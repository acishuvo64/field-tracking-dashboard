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hinur.Islam_Desktop_MyDoc\Desktop\For AI Masterclass\"/>
    </mc:Choice>
  </mc:AlternateContent>
  <xr:revisionPtr revIDLastSave="0" documentId="13_ncr:1_{AF8ADF05-1F73-43AC-BCA2-A3708377E0F6}" xr6:coauthVersionLast="47" xr6:coauthVersionMax="47" xr10:uidLastSave="{00000000-0000-0000-0000-000000000000}"/>
  <bookViews>
    <workbookView xWindow="-110" yWindow="-110" windowWidth="19420" windowHeight="10300" xr2:uid="{5B692BBE-D2FF-4944-AD0B-4056FA77C0EF}"/>
  </bookViews>
  <sheets>
    <sheet name="Summarize_data" sheetId="1" r:id="rId1"/>
    <sheet name="Image_URL" sheetId="6" r:id="rId2"/>
    <sheet name="SamePlace_Highest Hour" sheetId="8" r:id="rId3"/>
    <sheet name="Overall _Raw_data" sheetId="7" r:id="rId4"/>
  </sheets>
  <externalReferences>
    <externalReference r:id="rId5"/>
  </externalReferences>
  <definedNames>
    <definedName name="_xlnm._FilterDatabase" localSheetId="1" hidden="1">Image_URL!$A$1:$F$51</definedName>
    <definedName name="_xlnm._FilterDatabase" localSheetId="0" hidden="1">Summarize_data!$A$1:$P$1307</definedName>
    <definedName name="ExternalData_1" localSheetId="3" hidden="1">'Overall _Raw_data'!$A$1:$P$4831</definedName>
    <definedName name="ExternalData_1" localSheetId="2" hidden="1">'SamePlace_Highest Hour'!$A$1:$O$5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8" i="1" l="1"/>
  <c r="O188" i="1" s="1"/>
  <c r="M188" i="1"/>
  <c r="L188" i="1"/>
  <c r="I188" i="1"/>
  <c r="K188" i="1" s="1"/>
  <c r="N187" i="1"/>
  <c r="O187" i="1" s="1"/>
  <c r="M187" i="1"/>
  <c r="L187" i="1"/>
  <c r="K187" i="1"/>
  <c r="I187" i="1"/>
  <c r="N186" i="1"/>
  <c r="O186" i="1" s="1"/>
  <c r="M186" i="1"/>
  <c r="L186" i="1"/>
  <c r="I186" i="1"/>
  <c r="K186" i="1" s="1"/>
  <c r="N185" i="1"/>
  <c r="O185" i="1" s="1"/>
  <c r="M185" i="1"/>
  <c r="L185" i="1"/>
  <c r="K185" i="1"/>
  <c r="I185" i="1"/>
  <c r="M184" i="1"/>
  <c r="L184" i="1"/>
  <c r="I184" i="1"/>
  <c r="K184" i="1" s="1"/>
  <c r="M183" i="1"/>
  <c r="L183" i="1"/>
  <c r="I183" i="1"/>
  <c r="N183" i="1" s="1"/>
  <c r="O183" i="1" s="1"/>
  <c r="N182" i="1"/>
  <c r="O182" i="1" s="1"/>
  <c r="M182" i="1"/>
  <c r="L182" i="1"/>
  <c r="I182" i="1"/>
  <c r="K182" i="1" s="1"/>
  <c r="M181" i="1"/>
  <c r="L181" i="1"/>
  <c r="I181" i="1"/>
  <c r="N181" i="1" s="1"/>
  <c r="O181" i="1" s="1"/>
  <c r="N180" i="1"/>
  <c r="O180" i="1" s="1"/>
  <c r="M180" i="1"/>
  <c r="L180" i="1"/>
  <c r="I180" i="1"/>
  <c r="K180" i="1" s="1"/>
  <c r="N179" i="1"/>
  <c r="O179" i="1" s="1"/>
  <c r="M179" i="1"/>
  <c r="L179" i="1"/>
  <c r="K179" i="1"/>
  <c r="I179" i="1"/>
  <c r="N178" i="1"/>
  <c r="O178" i="1" s="1"/>
  <c r="M178" i="1"/>
  <c r="L178" i="1"/>
  <c r="I178" i="1"/>
  <c r="K178" i="1" s="1"/>
  <c r="N177" i="1"/>
  <c r="O177" i="1" s="1"/>
  <c r="M177" i="1"/>
  <c r="L177" i="1"/>
  <c r="K177" i="1"/>
  <c r="I177" i="1"/>
  <c r="M176" i="1"/>
  <c r="L176" i="1"/>
  <c r="I176" i="1"/>
  <c r="K176" i="1" s="1"/>
  <c r="M175" i="1"/>
  <c r="L175" i="1"/>
  <c r="I175" i="1"/>
  <c r="N175" i="1" s="1"/>
  <c r="O175" i="1" s="1"/>
  <c r="N174" i="1"/>
  <c r="O174" i="1" s="1"/>
  <c r="M174" i="1"/>
  <c r="L174" i="1"/>
  <c r="I174" i="1"/>
  <c r="K174" i="1" s="1"/>
  <c r="M173" i="1"/>
  <c r="L173" i="1"/>
  <c r="I173" i="1"/>
  <c r="N173" i="1" s="1"/>
  <c r="O173" i="1" s="1"/>
  <c r="N172" i="1"/>
  <c r="O172" i="1" s="1"/>
  <c r="M172" i="1"/>
  <c r="L172" i="1"/>
  <c r="I172" i="1"/>
  <c r="K172" i="1" s="1"/>
  <c r="N171" i="1"/>
  <c r="O171" i="1" s="1"/>
  <c r="M171" i="1"/>
  <c r="L171" i="1"/>
  <c r="K171" i="1"/>
  <c r="I171" i="1"/>
  <c r="N170" i="1"/>
  <c r="O170" i="1" s="1"/>
  <c r="M170" i="1"/>
  <c r="L170" i="1"/>
  <c r="I170" i="1"/>
  <c r="K170" i="1" s="1"/>
  <c r="N169" i="1"/>
  <c r="O169" i="1" s="1"/>
  <c r="M169" i="1"/>
  <c r="L169" i="1"/>
  <c r="K169" i="1"/>
  <c r="I169" i="1"/>
  <c r="M168" i="1"/>
  <c r="L168" i="1"/>
  <c r="I168" i="1"/>
  <c r="K168" i="1" s="1"/>
  <c r="M167" i="1"/>
  <c r="L167" i="1"/>
  <c r="I167" i="1"/>
  <c r="N167" i="1" s="1"/>
  <c r="O167" i="1" s="1"/>
  <c r="N166" i="1"/>
  <c r="O166" i="1" s="1"/>
  <c r="M166" i="1"/>
  <c r="L166" i="1"/>
  <c r="I166" i="1"/>
  <c r="K166" i="1" s="1"/>
  <c r="M165" i="1"/>
  <c r="L165" i="1"/>
  <c r="I165" i="1"/>
  <c r="N165" i="1" s="1"/>
  <c r="O165" i="1" s="1"/>
  <c r="N164" i="1"/>
  <c r="O164" i="1" s="1"/>
  <c r="M164" i="1"/>
  <c r="L164" i="1"/>
  <c r="I164" i="1"/>
  <c r="K164" i="1" s="1"/>
  <c r="N163" i="1"/>
  <c r="O163" i="1" s="1"/>
  <c r="M163" i="1"/>
  <c r="L163" i="1"/>
  <c r="K163" i="1"/>
  <c r="I163" i="1"/>
  <c r="N162" i="1"/>
  <c r="O162" i="1" s="1"/>
  <c r="M162" i="1"/>
  <c r="L162" i="1"/>
  <c r="I162" i="1"/>
  <c r="K162" i="1" s="1"/>
  <c r="N161" i="1"/>
  <c r="O161" i="1" s="1"/>
  <c r="M161" i="1"/>
  <c r="L161" i="1"/>
  <c r="K161" i="1"/>
  <c r="I161" i="1"/>
  <c r="M160" i="1"/>
  <c r="L160" i="1"/>
  <c r="I160" i="1"/>
  <c r="K160" i="1" s="1"/>
  <c r="M159" i="1"/>
  <c r="L159" i="1"/>
  <c r="I159" i="1"/>
  <c r="N159" i="1" s="1"/>
  <c r="O159" i="1" s="1"/>
  <c r="N158" i="1"/>
  <c r="O158" i="1" s="1"/>
  <c r="M158" i="1"/>
  <c r="L158" i="1"/>
  <c r="I158" i="1"/>
  <c r="K158" i="1" s="1"/>
  <c r="M157" i="1"/>
  <c r="L157" i="1"/>
  <c r="I157" i="1"/>
  <c r="N157" i="1" s="1"/>
  <c r="O157" i="1" s="1"/>
  <c r="N156" i="1"/>
  <c r="O156" i="1" s="1"/>
  <c r="M156" i="1"/>
  <c r="L156" i="1"/>
  <c r="I156" i="1"/>
  <c r="K156" i="1" s="1"/>
  <c r="N155" i="1"/>
  <c r="O155" i="1" s="1"/>
  <c r="M155" i="1"/>
  <c r="L155" i="1"/>
  <c r="K155" i="1"/>
  <c r="I155" i="1"/>
  <c r="N154" i="1"/>
  <c r="O154" i="1" s="1"/>
  <c r="M154" i="1"/>
  <c r="L154" i="1"/>
  <c r="I154" i="1"/>
  <c r="K154" i="1" s="1"/>
  <c r="N153" i="1"/>
  <c r="O153" i="1" s="1"/>
  <c r="M153" i="1"/>
  <c r="L153" i="1"/>
  <c r="K153" i="1"/>
  <c r="I153" i="1"/>
  <c r="M152" i="1"/>
  <c r="L152" i="1"/>
  <c r="I152" i="1"/>
  <c r="K152" i="1" s="1"/>
  <c r="M151" i="1"/>
  <c r="L151" i="1"/>
  <c r="I151" i="1"/>
  <c r="N151" i="1" s="1"/>
  <c r="O151" i="1" s="1"/>
  <c r="N150" i="1"/>
  <c r="O150" i="1" s="1"/>
  <c r="M150" i="1"/>
  <c r="L150" i="1"/>
  <c r="I150" i="1"/>
  <c r="K150" i="1" s="1"/>
  <c r="M149" i="1"/>
  <c r="L149" i="1"/>
  <c r="I149" i="1"/>
  <c r="N149" i="1" s="1"/>
  <c r="O149" i="1" s="1"/>
  <c r="N148" i="1"/>
  <c r="O148" i="1" s="1"/>
  <c r="M148" i="1"/>
  <c r="L148" i="1"/>
  <c r="I148" i="1"/>
  <c r="K148" i="1" s="1"/>
  <c r="N147" i="1"/>
  <c r="O147" i="1" s="1"/>
  <c r="M147" i="1"/>
  <c r="L147" i="1"/>
  <c r="K147" i="1"/>
  <c r="I147" i="1"/>
  <c r="N146" i="1"/>
  <c r="O146" i="1" s="1"/>
  <c r="M146" i="1"/>
  <c r="L146" i="1"/>
  <c r="I146" i="1"/>
  <c r="K146" i="1" s="1"/>
  <c r="N145" i="1"/>
  <c r="O145" i="1" s="1"/>
  <c r="M145" i="1"/>
  <c r="L145" i="1"/>
  <c r="K145" i="1"/>
  <c r="I145" i="1"/>
  <c r="M144" i="1"/>
  <c r="L144" i="1"/>
  <c r="I144" i="1"/>
  <c r="K144" i="1" s="1"/>
  <c r="M143" i="1"/>
  <c r="L143" i="1"/>
  <c r="I143" i="1"/>
  <c r="N143" i="1" s="1"/>
  <c r="O143" i="1" s="1"/>
  <c r="N142" i="1"/>
  <c r="O142" i="1" s="1"/>
  <c r="M142" i="1"/>
  <c r="L142" i="1"/>
  <c r="I142" i="1"/>
  <c r="K142" i="1" s="1"/>
  <c r="M141" i="1"/>
  <c r="L141" i="1"/>
  <c r="I141" i="1"/>
  <c r="N141" i="1" s="1"/>
  <c r="O141" i="1" s="1"/>
  <c r="N140" i="1"/>
  <c r="O140" i="1" s="1"/>
  <c r="M140" i="1"/>
  <c r="L140" i="1"/>
  <c r="I140" i="1"/>
  <c r="K140" i="1" s="1"/>
  <c r="N139" i="1"/>
  <c r="O139" i="1" s="1"/>
  <c r="M139" i="1"/>
  <c r="L139" i="1"/>
  <c r="K139" i="1"/>
  <c r="I139" i="1"/>
  <c r="N138" i="1"/>
  <c r="O138" i="1" s="1"/>
  <c r="M138" i="1"/>
  <c r="L138" i="1"/>
  <c r="I138" i="1"/>
  <c r="K138" i="1" s="1"/>
  <c r="N137" i="1"/>
  <c r="O137" i="1" s="1"/>
  <c r="M137" i="1"/>
  <c r="L137" i="1"/>
  <c r="K137" i="1"/>
  <c r="I137" i="1"/>
  <c r="M136" i="1"/>
  <c r="L136" i="1"/>
  <c r="I136" i="1"/>
  <c r="K136" i="1" s="1"/>
  <c r="M135" i="1"/>
  <c r="L135" i="1"/>
  <c r="I135" i="1"/>
  <c r="N135" i="1" s="1"/>
  <c r="O135" i="1" s="1"/>
  <c r="N134" i="1"/>
  <c r="O134" i="1" s="1"/>
  <c r="M134" i="1"/>
  <c r="L134" i="1"/>
  <c r="I134" i="1"/>
  <c r="K134" i="1" s="1"/>
  <c r="M133" i="1"/>
  <c r="L133" i="1"/>
  <c r="I133" i="1"/>
  <c r="N133" i="1" s="1"/>
  <c r="O133" i="1" s="1"/>
  <c r="N132" i="1"/>
  <c r="O132" i="1" s="1"/>
  <c r="M132" i="1"/>
  <c r="L132" i="1"/>
  <c r="I132" i="1"/>
  <c r="K132" i="1" s="1"/>
  <c r="N131" i="1"/>
  <c r="O131" i="1" s="1"/>
  <c r="M131" i="1"/>
  <c r="L131" i="1"/>
  <c r="K131" i="1"/>
  <c r="I131" i="1"/>
  <c r="N130" i="1"/>
  <c r="O130" i="1" s="1"/>
  <c r="M130" i="1"/>
  <c r="L130" i="1"/>
  <c r="I130" i="1"/>
  <c r="K130" i="1" s="1"/>
  <c r="N129" i="1"/>
  <c r="O129" i="1" s="1"/>
  <c r="M129" i="1"/>
  <c r="L129" i="1"/>
  <c r="K129" i="1"/>
  <c r="I129" i="1"/>
  <c r="M128" i="1"/>
  <c r="L128" i="1"/>
  <c r="I128" i="1"/>
  <c r="K128" i="1" s="1"/>
  <c r="M127" i="1"/>
  <c r="L127" i="1"/>
  <c r="I127" i="1"/>
  <c r="N127" i="1" s="1"/>
  <c r="O127" i="1" s="1"/>
  <c r="N126" i="1"/>
  <c r="O126" i="1" s="1"/>
  <c r="M126" i="1"/>
  <c r="L126" i="1"/>
  <c r="I126" i="1"/>
  <c r="K126" i="1" s="1"/>
  <c r="M125" i="1"/>
  <c r="L125" i="1"/>
  <c r="I125" i="1"/>
  <c r="N125" i="1" s="1"/>
  <c r="O125" i="1" s="1"/>
  <c r="N124" i="1"/>
  <c r="O124" i="1" s="1"/>
  <c r="M124" i="1"/>
  <c r="L124" i="1"/>
  <c r="I124" i="1"/>
  <c r="K124" i="1" s="1"/>
  <c r="N123" i="1"/>
  <c r="O123" i="1" s="1"/>
  <c r="M123" i="1"/>
  <c r="L123" i="1"/>
  <c r="K123" i="1"/>
  <c r="I123" i="1"/>
  <c r="N122" i="1"/>
  <c r="O122" i="1" s="1"/>
  <c r="M122" i="1"/>
  <c r="L122" i="1"/>
  <c r="I122" i="1"/>
  <c r="K122" i="1" s="1"/>
  <c r="N121" i="1"/>
  <c r="O121" i="1" s="1"/>
  <c r="M121" i="1"/>
  <c r="L121" i="1"/>
  <c r="K121" i="1"/>
  <c r="I121" i="1"/>
  <c r="M120" i="1"/>
  <c r="L120" i="1"/>
  <c r="I120" i="1"/>
  <c r="K120" i="1" s="1"/>
  <c r="M119" i="1"/>
  <c r="L119" i="1"/>
  <c r="I119" i="1"/>
  <c r="N119" i="1" s="1"/>
  <c r="O119" i="1" s="1"/>
  <c r="N118" i="1"/>
  <c r="O118" i="1" s="1"/>
  <c r="M118" i="1"/>
  <c r="L118" i="1"/>
  <c r="I118" i="1"/>
  <c r="K118" i="1" s="1"/>
  <c r="M117" i="1"/>
  <c r="L117" i="1"/>
  <c r="I117" i="1"/>
  <c r="N117" i="1" s="1"/>
  <c r="O117" i="1" s="1"/>
  <c r="N116" i="1"/>
  <c r="O116" i="1" s="1"/>
  <c r="M116" i="1"/>
  <c r="L116" i="1"/>
  <c r="I116" i="1"/>
  <c r="K116" i="1" s="1"/>
  <c r="N115" i="1"/>
  <c r="O115" i="1" s="1"/>
  <c r="M115" i="1"/>
  <c r="L115" i="1"/>
  <c r="K115" i="1"/>
  <c r="I115" i="1"/>
  <c r="N114" i="1"/>
  <c r="O114" i="1" s="1"/>
  <c r="M114" i="1"/>
  <c r="L114" i="1"/>
  <c r="I114" i="1"/>
  <c r="K114" i="1" s="1"/>
  <c r="N113" i="1"/>
  <c r="O113" i="1" s="1"/>
  <c r="M113" i="1"/>
  <c r="L113" i="1"/>
  <c r="K113" i="1"/>
  <c r="I113" i="1"/>
  <c r="M112" i="1"/>
  <c r="L112" i="1"/>
  <c r="I112" i="1"/>
  <c r="K112" i="1" s="1"/>
  <c r="M111" i="1"/>
  <c r="L111" i="1"/>
  <c r="I111" i="1"/>
  <c r="N111" i="1" s="1"/>
  <c r="O111" i="1" s="1"/>
  <c r="N110" i="1"/>
  <c r="O110" i="1" s="1"/>
  <c r="M110" i="1"/>
  <c r="L110" i="1"/>
  <c r="I110" i="1"/>
  <c r="K110" i="1" s="1"/>
  <c r="M109" i="1"/>
  <c r="L109" i="1"/>
  <c r="I109" i="1"/>
  <c r="N109" i="1" s="1"/>
  <c r="O109" i="1" s="1"/>
  <c r="N108" i="1"/>
  <c r="O108" i="1" s="1"/>
  <c r="M108" i="1"/>
  <c r="L108" i="1"/>
  <c r="I108" i="1"/>
  <c r="K108" i="1" s="1"/>
  <c r="N107" i="1"/>
  <c r="O107" i="1" s="1"/>
  <c r="M107" i="1"/>
  <c r="L107" i="1"/>
  <c r="K107" i="1"/>
  <c r="I107" i="1"/>
  <c r="N106" i="1"/>
  <c r="O106" i="1" s="1"/>
  <c r="M106" i="1"/>
  <c r="L106" i="1"/>
  <c r="I106" i="1"/>
  <c r="K106" i="1" s="1"/>
  <c r="N105" i="1"/>
  <c r="O105" i="1" s="1"/>
  <c r="M105" i="1"/>
  <c r="L105" i="1"/>
  <c r="K105" i="1"/>
  <c r="I105" i="1"/>
  <c r="M104" i="1"/>
  <c r="L104" i="1"/>
  <c r="I104" i="1"/>
  <c r="K104" i="1" s="1"/>
  <c r="M103" i="1"/>
  <c r="L103" i="1"/>
  <c r="I103" i="1"/>
  <c r="N103" i="1" s="1"/>
  <c r="O103" i="1" s="1"/>
  <c r="N102" i="1"/>
  <c r="O102" i="1" s="1"/>
  <c r="M102" i="1"/>
  <c r="L102" i="1"/>
  <c r="I102" i="1"/>
  <c r="K102" i="1" s="1"/>
  <c r="M101" i="1"/>
  <c r="L101" i="1"/>
  <c r="I101" i="1"/>
  <c r="N101" i="1" s="1"/>
  <c r="O101" i="1" s="1"/>
  <c r="N100" i="1"/>
  <c r="O100" i="1" s="1"/>
  <c r="M100" i="1"/>
  <c r="L100" i="1"/>
  <c r="I100" i="1"/>
  <c r="K100" i="1" s="1"/>
  <c r="N99" i="1"/>
  <c r="O99" i="1" s="1"/>
  <c r="M99" i="1"/>
  <c r="L99" i="1"/>
  <c r="K99" i="1"/>
  <c r="I99" i="1"/>
  <c r="N98" i="1"/>
  <c r="O98" i="1" s="1"/>
  <c r="M98" i="1"/>
  <c r="L98" i="1"/>
  <c r="I98" i="1"/>
  <c r="K98" i="1" s="1"/>
  <c r="N97" i="1"/>
  <c r="O97" i="1" s="1"/>
  <c r="M97" i="1"/>
  <c r="L97" i="1"/>
  <c r="K97" i="1"/>
  <c r="I97" i="1"/>
  <c r="M96" i="1"/>
  <c r="L96" i="1"/>
  <c r="I96" i="1"/>
  <c r="K96" i="1" s="1"/>
  <c r="M95" i="1"/>
  <c r="L95" i="1"/>
  <c r="I95" i="1"/>
  <c r="N95" i="1" s="1"/>
  <c r="O95" i="1" s="1"/>
  <c r="N94" i="1"/>
  <c r="O94" i="1" s="1"/>
  <c r="M94" i="1"/>
  <c r="L94" i="1"/>
  <c r="I94" i="1"/>
  <c r="K94" i="1" s="1"/>
  <c r="M93" i="1"/>
  <c r="L93" i="1"/>
  <c r="I93" i="1"/>
  <c r="N93" i="1" s="1"/>
  <c r="O93" i="1" s="1"/>
  <c r="N92" i="1"/>
  <c r="O92" i="1" s="1"/>
  <c r="M92" i="1"/>
  <c r="L92" i="1"/>
  <c r="I92" i="1"/>
  <c r="K92" i="1" s="1"/>
  <c r="N91" i="1"/>
  <c r="O91" i="1" s="1"/>
  <c r="M91" i="1"/>
  <c r="L91" i="1"/>
  <c r="K91" i="1"/>
  <c r="I91" i="1"/>
  <c r="N90" i="1"/>
  <c r="O90" i="1" s="1"/>
  <c r="M90" i="1"/>
  <c r="L90" i="1"/>
  <c r="I90" i="1"/>
  <c r="K90" i="1" s="1"/>
  <c r="N89" i="1"/>
  <c r="O89" i="1" s="1"/>
  <c r="M89" i="1"/>
  <c r="L89" i="1"/>
  <c r="K89" i="1"/>
  <c r="I89" i="1"/>
  <c r="M88" i="1"/>
  <c r="L88" i="1"/>
  <c r="I88" i="1"/>
  <c r="K88" i="1" s="1"/>
  <c r="M87" i="1"/>
  <c r="L87" i="1"/>
  <c r="I87" i="1"/>
  <c r="N87" i="1" s="1"/>
  <c r="O87" i="1" s="1"/>
  <c r="N86" i="1"/>
  <c r="O86" i="1" s="1"/>
  <c r="M86" i="1"/>
  <c r="L86" i="1"/>
  <c r="I86" i="1"/>
  <c r="K86" i="1" s="1"/>
  <c r="M85" i="1"/>
  <c r="L85" i="1"/>
  <c r="I85" i="1"/>
  <c r="N85" i="1" s="1"/>
  <c r="O85" i="1" s="1"/>
  <c r="N84" i="1"/>
  <c r="O84" i="1" s="1"/>
  <c r="M84" i="1"/>
  <c r="L84" i="1"/>
  <c r="I84" i="1"/>
  <c r="K84" i="1" s="1"/>
  <c r="N83" i="1"/>
  <c r="O83" i="1" s="1"/>
  <c r="M83" i="1"/>
  <c r="L83" i="1"/>
  <c r="K83" i="1"/>
  <c r="I83" i="1"/>
  <c r="N82" i="1"/>
  <c r="O82" i="1" s="1"/>
  <c r="M82" i="1"/>
  <c r="L82" i="1"/>
  <c r="I82" i="1"/>
  <c r="K82" i="1" s="1"/>
  <c r="N81" i="1"/>
  <c r="O81" i="1" s="1"/>
  <c r="M81" i="1"/>
  <c r="L81" i="1"/>
  <c r="K81" i="1"/>
  <c r="I81" i="1"/>
  <c r="M80" i="1"/>
  <c r="L80" i="1"/>
  <c r="I80" i="1"/>
  <c r="K80" i="1" s="1"/>
  <c r="M79" i="1"/>
  <c r="L79" i="1"/>
  <c r="I79" i="1"/>
  <c r="N79" i="1" s="1"/>
  <c r="O79" i="1" s="1"/>
  <c r="N78" i="1"/>
  <c r="O78" i="1" s="1"/>
  <c r="M78" i="1"/>
  <c r="L78" i="1"/>
  <c r="I78" i="1"/>
  <c r="K78" i="1" s="1"/>
  <c r="M77" i="1"/>
  <c r="L77" i="1"/>
  <c r="I77" i="1"/>
  <c r="N77" i="1" s="1"/>
  <c r="O77" i="1" s="1"/>
  <c r="N76" i="1"/>
  <c r="O76" i="1" s="1"/>
  <c r="M76" i="1"/>
  <c r="L76" i="1"/>
  <c r="I76" i="1"/>
  <c r="K76" i="1" s="1"/>
  <c r="N75" i="1"/>
  <c r="O75" i="1" s="1"/>
  <c r="M75" i="1"/>
  <c r="L75" i="1"/>
  <c r="K75" i="1"/>
  <c r="I75" i="1"/>
  <c r="N74" i="1"/>
  <c r="O74" i="1" s="1"/>
  <c r="M74" i="1"/>
  <c r="L74" i="1"/>
  <c r="I74" i="1"/>
  <c r="K74" i="1" s="1"/>
  <c r="N73" i="1"/>
  <c r="O73" i="1" s="1"/>
  <c r="M73" i="1"/>
  <c r="L73" i="1"/>
  <c r="K73" i="1"/>
  <c r="I73" i="1"/>
  <c r="M72" i="1"/>
  <c r="L72" i="1"/>
  <c r="I72" i="1"/>
  <c r="K72" i="1" s="1"/>
  <c r="M71" i="1"/>
  <c r="L71" i="1"/>
  <c r="I71" i="1"/>
  <c r="N71" i="1" s="1"/>
  <c r="O71" i="1" s="1"/>
  <c r="N70" i="1"/>
  <c r="O70" i="1" s="1"/>
  <c r="M70" i="1"/>
  <c r="L70" i="1"/>
  <c r="I70" i="1"/>
  <c r="K70" i="1" s="1"/>
  <c r="M69" i="1"/>
  <c r="L69" i="1"/>
  <c r="I69" i="1"/>
  <c r="N69" i="1" s="1"/>
  <c r="O69" i="1" s="1"/>
  <c r="N68" i="1"/>
  <c r="O68" i="1" s="1"/>
  <c r="M68" i="1"/>
  <c r="L68" i="1"/>
  <c r="I68" i="1"/>
  <c r="K68" i="1" s="1"/>
  <c r="N67" i="1"/>
  <c r="O67" i="1" s="1"/>
  <c r="M67" i="1"/>
  <c r="L67" i="1"/>
  <c r="K67" i="1"/>
  <c r="I67" i="1"/>
  <c r="N66" i="1"/>
  <c r="O66" i="1" s="1"/>
  <c r="M66" i="1"/>
  <c r="L66" i="1"/>
  <c r="I66" i="1"/>
  <c r="K66" i="1" s="1"/>
  <c r="N65" i="1"/>
  <c r="O65" i="1" s="1"/>
  <c r="M65" i="1"/>
  <c r="L65" i="1"/>
  <c r="K65" i="1"/>
  <c r="I65" i="1"/>
  <c r="M64" i="1"/>
  <c r="L64" i="1"/>
  <c r="I64" i="1"/>
  <c r="K64" i="1" s="1"/>
  <c r="M63" i="1"/>
  <c r="L63" i="1"/>
  <c r="I63" i="1"/>
  <c r="N63" i="1" s="1"/>
  <c r="O63" i="1" s="1"/>
  <c r="N62" i="1"/>
  <c r="O62" i="1" s="1"/>
  <c r="M62" i="1"/>
  <c r="L62" i="1"/>
  <c r="I62" i="1"/>
  <c r="K62" i="1" s="1"/>
  <c r="M61" i="1"/>
  <c r="L61" i="1"/>
  <c r="I61" i="1"/>
  <c r="N61" i="1" s="1"/>
  <c r="O61" i="1" s="1"/>
  <c r="N60" i="1"/>
  <c r="O60" i="1" s="1"/>
  <c r="M60" i="1"/>
  <c r="L60" i="1"/>
  <c r="I60" i="1"/>
  <c r="K60" i="1" s="1"/>
  <c r="N59" i="1"/>
  <c r="O59" i="1" s="1"/>
  <c r="M59" i="1"/>
  <c r="L59" i="1"/>
  <c r="K59" i="1"/>
  <c r="I59" i="1"/>
  <c r="N58" i="1"/>
  <c r="O58" i="1" s="1"/>
  <c r="M58" i="1"/>
  <c r="L58" i="1"/>
  <c r="I58" i="1"/>
  <c r="K58" i="1" s="1"/>
  <c r="N57" i="1"/>
  <c r="O57" i="1" s="1"/>
  <c r="M57" i="1"/>
  <c r="L57" i="1"/>
  <c r="K57" i="1"/>
  <c r="I57" i="1"/>
  <c r="M56" i="1"/>
  <c r="L56" i="1"/>
  <c r="I56" i="1"/>
  <c r="K56" i="1" s="1"/>
  <c r="M55" i="1"/>
  <c r="L55" i="1"/>
  <c r="I55" i="1"/>
  <c r="N55" i="1" s="1"/>
  <c r="O55" i="1" s="1"/>
  <c r="N54" i="1"/>
  <c r="O54" i="1" s="1"/>
  <c r="M54" i="1"/>
  <c r="L54" i="1"/>
  <c r="I54" i="1"/>
  <c r="K54" i="1" s="1"/>
  <c r="M53" i="1"/>
  <c r="L53" i="1"/>
  <c r="I53" i="1"/>
  <c r="N53" i="1" s="1"/>
  <c r="O53" i="1" s="1"/>
  <c r="O52" i="1"/>
  <c r="N52" i="1"/>
  <c r="M52" i="1"/>
  <c r="L52" i="1"/>
  <c r="I52" i="1"/>
  <c r="K52" i="1" s="1"/>
  <c r="M51" i="1"/>
  <c r="L51" i="1"/>
  <c r="I51" i="1"/>
  <c r="K51" i="1" s="1"/>
  <c r="M50" i="1"/>
  <c r="L50" i="1"/>
  <c r="I50" i="1"/>
  <c r="N50" i="1" s="1"/>
  <c r="O50" i="1" s="1"/>
  <c r="M49" i="1"/>
  <c r="L49" i="1"/>
  <c r="I49" i="1"/>
  <c r="N49" i="1" s="1"/>
  <c r="O49" i="1" s="1"/>
  <c r="N48" i="1"/>
  <c r="O48" i="1" s="1"/>
  <c r="M48" i="1"/>
  <c r="L48" i="1"/>
  <c r="I48" i="1"/>
  <c r="K48" i="1" s="1"/>
  <c r="M47" i="1"/>
  <c r="L47" i="1"/>
  <c r="I47" i="1"/>
  <c r="N47" i="1" s="1"/>
  <c r="O47" i="1" s="1"/>
  <c r="M46" i="1"/>
  <c r="L46" i="1"/>
  <c r="I46" i="1"/>
  <c r="N46" i="1" s="1"/>
  <c r="O46" i="1" s="1"/>
  <c r="N45" i="1"/>
  <c r="O45" i="1" s="1"/>
  <c r="M45" i="1"/>
  <c r="L45" i="1"/>
  <c r="K45" i="1"/>
  <c r="I45" i="1"/>
  <c r="M44" i="1"/>
  <c r="L44" i="1"/>
  <c r="I44" i="1"/>
  <c r="K44" i="1" s="1"/>
  <c r="N43" i="1"/>
  <c r="O43" i="1" s="1"/>
  <c r="M43" i="1"/>
  <c r="L43" i="1"/>
  <c r="I43" i="1"/>
  <c r="K43" i="1" s="1"/>
  <c r="N42" i="1"/>
  <c r="O42" i="1" s="1"/>
  <c r="M42" i="1"/>
  <c r="L42" i="1"/>
  <c r="K42" i="1"/>
  <c r="I42" i="1"/>
  <c r="N41" i="1"/>
  <c r="O41" i="1" s="1"/>
  <c r="M41" i="1"/>
  <c r="L41" i="1"/>
  <c r="K41" i="1"/>
  <c r="I41" i="1"/>
  <c r="M40" i="1"/>
  <c r="L40" i="1"/>
  <c r="I40" i="1"/>
  <c r="K40" i="1" s="1"/>
  <c r="N39" i="1"/>
  <c r="O39" i="1" s="1"/>
  <c r="M39" i="1"/>
  <c r="L39" i="1"/>
  <c r="K39" i="1"/>
  <c r="I39" i="1"/>
  <c r="N38" i="1"/>
  <c r="O38" i="1" s="1"/>
  <c r="M38" i="1"/>
  <c r="L38" i="1"/>
  <c r="K38" i="1"/>
  <c r="I38" i="1"/>
  <c r="M37" i="1"/>
  <c r="L37" i="1"/>
  <c r="I37" i="1"/>
  <c r="N37" i="1" s="1"/>
  <c r="O37" i="1" s="1"/>
  <c r="O36" i="1"/>
  <c r="N36" i="1"/>
  <c r="M36" i="1"/>
  <c r="L36" i="1"/>
  <c r="I36" i="1"/>
  <c r="K36" i="1" s="1"/>
  <c r="M35" i="1"/>
  <c r="L35" i="1"/>
  <c r="I35" i="1"/>
  <c r="K35" i="1" s="1"/>
  <c r="M34" i="1"/>
  <c r="L34" i="1"/>
  <c r="I34" i="1"/>
  <c r="N34" i="1" s="1"/>
  <c r="O34" i="1" s="1"/>
  <c r="M33" i="1"/>
  <c r="L33" i="1"/>
  <c r="I33" i="1"/>
  <c r="N33" i="1" s="1"/>
  <c r="O33" i="1" s="1"/>
  <c r="N32" i="1"/>
  <c r="O32" i="1" s="1"/>
  <c r="M32" i="1"/>
  <c r="L32" i="1"/>
  <c r="I32" i="1"/>
  <c r="K32" i="1" s="1"/>
  <c r="M31" i="1"/>
  <c r="L31" i="1"/>
  <c r="I31" i="1"/>
  <c r="N31" i="1" s="1"/>
  <c r="O31" i="1" s="1"/>
  <c r="M30" i="1"/>
  <c r="L30" i="1"/>
  <c r="I30" i="1"/>
  <c r="N30" i="1" s="1"/>
  <c r="O30" i="1" s="1"/>
  <c r="N29" i="1"/>
  <c r="O29" i="1" s="1"/>
  <c r="M29" i="1"/>
  <c r="L29" i="1"/>
  <c r="K29" i="1"/>
  <c r="I29" i="1"/>
  <c r="M28" i="1"/>
  <c r="L28" i="1"/>
  <c r="I28" i="1"/>
  <c r="K28" i="1" s="1"/>
  <c r="N27" i="1"/>
  <c r="O27" i="1" s="1"/>
  <c r="M27" i="1"/>
  <c r="L27" i="1"/>
  <c r="I27" i="1"/>
  <c r="K27" i="1" s="1"/>
  <c r="N26" i="1"/>
  <c r="O26" i="1" s="1"/>
  <c r="M26" i="1"/>
  <c r="L26" i="1"/>
  <c r="K26" i="1"/>
  <c r="I26" i="1"/>
  <c r="N25" i="1"/>
  <c r="O25" i="1" s="1"/>
  <c r="M25" i="1"/>
  <c r="L25" i="1"/>
  <c r="K25" i="1"/>
  <c r="I25" i="1"/>
  <c r="M24" i="1"/>
  <c r="L24" i="1"/>
  <c r="I24" i="1"/>
  <c r="K24" i="1" s="1"/>
  <c r="N23" i="1"/>
  <c r="O23" i="1" s="1"/>
  <c r="M23" i="1"/>
  <c r="L23" i="1"/>
  <c r="K23" i="1"/>
  <c r="I23" i="1"/>
  <c r="N22" i="1"/>
  <c r="O22" i="1" s="1"/>
  <c r="M22" i="1"/>
  <c r="L22" i="1"/>
  <c r="K22" i="1"/>
  <c r="I22" i="1"/>
  <c r="M21" i="1"/>
  <c r="L21" i="1"/>
  <c r="I21" i="1"/>
  <c r="N21" i="1" s="1"/>
  <c r="O21" i="1" s="1"/>
  <c r="O20" i="1"/>
  <c r="N20" i="1"/>
  <c r="M20" i="1"/>
  <c r="L20" i="1"/>
  <c r="I20" i="1"/>
  <c r="K20" i="1" s="1"/>
  <c r="M19" i="1"/>
  <c r="L19" i="1"/>
  <c r="I19" i="1"/>
  <c r="K19" i="1" s="1"/>
  <c r="M18" i="1"/>
  <c r="L18" i="1"/>
  <c r="I18" i="1"/>
  <c r="K18" i="1" s="1"/>
  <c r="N17" i="1"/>
  <c r="O17" i="1" s="1"/>
  <c r="M17" i="1"/>
  <c r="L17" i="1"/>
  <c r="I17" i="1"/>
  <c r="K17" i="1" s="1"/>
  <c r="N16" i="1"/>
  <c r="O16" i="1" s="1"/>
  <c r="M16" i="1"/>
  <c r="L16" i="1"/>
  <c r="K16" i="1"/>
  <c r="I16" i="1"/>
  <c r="M15" i="1"/>
  <c r="L15" i="1"/>
  <c r="I15" i="1"/>
  <c r="K15" i="1" s="1"/>
  <c r="M14" i="1"/>
  <c r="L14" i="1"/>
  <c r="I14" i="1"/>
  <c r="N14" i="1" s="1"/>
  <c r="O14" i="1" s="1"/>
  <c r="N13" i="1"/>
  <c r="O13" i="1" s="1"/>
  <c r="M13" i="1"/>
  <c r="L13" i="1"/>
  <c r="I13" i="1"/>
  <c r="K13" i="1" s="1"/>
  <c r="N12" i="1"/>
  <c r="O12" i="1" s="1"/>
  <c r="M12" i="1"/>
  <c r="L12" i="1"/>
  <c r="K12" i="1"/>
  <c r="I12" i="1"/>
  <c r="M11" i="1"/>
  <c r="L11" i="1"/>
  <c r="I11" i="1"/>
  <c r="K11" i="1" s="1"/>
  <c r="M10" i="1"/>
  <c r="L10" i="1"/>
  <c r="I10" i="1"/>
  <c r="K10" i="1" s="1"/>
  <c r="N9" i="1"/>
  <c r="O9" i="1" s="1"/>
  <c r="M9" i="1"/>
  <c r="L9" i="1"/>
  <c r="I9" i="1"/>
  <c r="K9" i="1" s="1"/>
  <c r="N8" i="1"/>
  <c r="O8" i="1" s="1"/>
  <c r="M8" i="1"/>
  <c r="L8" i="1"/>
  <c r="K8" i="1"/>
  <c r="I8" i="1"/>
  <c r="M7" i="1"/>
  <c r="L7" i="1"/>
  <c r="I7" i="1"/>
  <c r="K7" i="1" s="1"/>
  <c r="M6" i="1"/>
  <c r="L6" i="1"/>
  <c r="I6" i="1"/>
  <c r="K6" i="1" s="1"/>
  <c r="N5" i="1"/>
  <c r="O5" i="1" s="1"/>
  <c r="M5" i="1"/>
  <c r="L5" i="1"/>
  <c r="I5" i="1"/>
  <c r="K5" i="1" s="1"/>
  <c r="N4" i="1"/>
  <c r="O4" i="1" s="1"/>
  <c r="M4" i="1"/>
  <c r="L4" i="1"/>
  <c r="K4" i="1"/>
  <c r="I4" i="1"/>
  <c r="M3" i="1"/>
  <c r="L3" i="1"/>
  <c r="I3" i="1"/>
  <c r="K3" i="1" s="1"/>
  <c r="M2" i="1"/>
  <c r="L2" i="1"/>
  <c r="I2" i="1"/>
  <c r="K2" i="1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2" i="6"/>
  <c r="K14" i="1" l="1"/>
  <c r="K31" i="1"/>
  <c r="K47" i="1"/>
  <c r="K21" i="1"/>
  <c r="K69" i="1"/>
  <c r="K109" i="1"/>
  <c r="K149" i="1"/>
  <c r="N28" i="1"/>
  <c r="O28" i="1" s="1"/>
  <c r="N3" i="1"/>
  <c r="O3" i="1" s="1"/>
  <c r="N7" i="1"/>
  <c r="O7" i="1" s="1"/>
  <c r="N15" i="1"/>
  <c r="O15" i="1" s="1"/>
  <c r="N19" i="1"/>
  <c r="O19" i="1" s="1"/>
  <c r="N35" i="1"/>
  <c r="O35" i="1" s="1"/>
  <c r="K50" i="1"/>
  <c r="N51" i="1"/>
  <c r="O51" i="1" s="1"/>
  <c r="K53" i="1"/>
  <c r="K77" i="1"/>
  <c r="K93" i="1"/>
  <c r="K117" i="1"/>
  <c r="K133" i="1"/>
  <c r="K141" i="1"/>
  <c r="K165" i="1"/>
  <c r="K181" i="1"/>
  <c r="N2" i="1"/>
  <c r="O2" i="1" s="1"/>
  <c r="N6" i="1"/>
  <c r="O6" i="1" s="1"/>
  <c r="N10" i="1"/>
  <c r="O10" i="1" s="1"/>
  <c r="N18" i="1"/>
  <c r="O18" i="1" s="1"/>
  <c r="K30" i="1"/>
  <c r="K33" i="1"/>
  <c r="K46" i="1"/>
  <c r="K49" i="1"/>
  <c r="K55" i="1"/>
  <c r="N56" i="1"/>
  <c r="O56" i="1" s="1"/>
  <c r="K63" i="1"/>
  <c r="N64" i="1"/>
  <c r="O64" i="1" s="1"/>
  <c r="K71" i="1"/>
  <c r="N72" i="1"/>
  <c r="O72" i="1" s="1"/>
  <c r="K79" i="1"/>
  <c r="N80" i="1"/>
  <c r="O80" i="1" s="1"/>
  <c r="K87" i="1"/>
  <c r="N88" i="1"/>
  <c r="O88" i="1" s="1"/>
  <c r="K95" i="1"/>
  <c r="N96" i="1"/>
  <c r="O96" i="1" s="1"/>
  <c r="K103" i="1"/>
  <c r="N104" i="1"/>
  <c r="O104" i="1" s="1"/>
  <c r="K111" i="1"/>
  <c r="N112" i="1"/>
  <c r="O112" i="1" s="1"/>
  <c r="K119" i="1"/>
  <c r="N120" i="1"/>
  <c r="O120" i="1" s="1"/>
  <c r="K127" i="1"/>
  <c r="N128" i="1"/>
  <c r="O128" i="1" s="1"/>
  <c r="K135" i="1"/>
  <c r="N136" i="1"/>
  <c r="O136" i="1" s="1"/>
  <c r="K143" i="1"/>
  <c r="N144" i="1"/>
  <c r="O144" i="1" s="1"/>
  <c r="K151" i="1"/>
  <c r="N152" i="1"/>
  <c r="O152" i="1" s="1"/>
  <c r="K159" i="1"/>
  <c r="N160" i="1"/>
  <c r="O160" i="1" s="1"/>
  <c r="K167" i="1"/>
  <c r="N168" i="1"/>
  <c r="O168" i="1" s="1"/>
  <c r="K175" i="1"/>
  <c r="N176" i="1"/>
  <c r="O176" i="1" s="1"/>
  <c r="K183" i="1"/>
  <c r="N184" i="1"/>
  <c r="O184" i="1" s="1"/>
  <c r="N11" i="1"/>
  <c r="O11" i="1" s="1"/>
  <c r="K34" i="1"/>
  <c r="K37" i="1"/>
  <c r="K61" i="1"/>
  <c r="K85" i="1"/>
  <c r="K101" i="1"/>
  <c r="K125" i="1"/>
  <c r="K157" i="1"/>
  <c r="K173" i="1"/>
  <c r="N44" i="1"/>
  <c r="O44" i="1" s="1"/>
  <c r="N24" i="1"/>
  <c r="O24" i="1" s="1"/>
  <c r="N40" i="1"/>
  <c r="O4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5ECD47-426F-46C8-BB35-E405D9C17B8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0E1930D-2D44-493E-82CC-99A5E2E0100F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5439F212-AC64-4ABD-98A3-4D5CE60CFAC7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<sst xmlns="http://schemas.openxmlformats.org/spreadsheetml/2006/main" count="49550" uniqueCount="11953">
  <si>
    <t>Mobile
Number</t>
  </si>
  <si>
    <t>Date</t>
  </si>
  <si>
    <t>Day</t>
  </si>
  <si>
    <t>Wednesday</t>
  </si>
  <si>
    <t>Thursday</t>
  </si>
  <si>
    <t>Saturday</t>
  </si>
  <si>
    <t>Sunday</t>
  </si>
  <si>
    <t>Total Working Hr</t>
  </si>
  <si>
    <t>Total Idle Hr</t>
  </si>
  <si>
    <t>Total Travel Hr</t>
  </si>
  <si>
    <t>Total Tp Visit</t>
  </si>
  <si>
    <t>Travel %</t>
  </si>
  <si>
    <t>idle %</t>
  </si>
  <si>
    <t>TP Visit %</t>
  </si>
  <si>
    <t>Work productivity</t>
  </si>
  <si>
    <t>Remarks</t>
  </si>
  <si>
    <t>Deg</t>
  </si>
  <si>
    <t>Group</t>
  </si>
  <si>
    <t>TSM</t>
  </si>
  <si>
    <t>RSM</t>
  </si>
  <si>
    <t>Kings</t>
  </si>
  <si>
    <t>Captain</t>
  </si>
  <si>
    <t>Auditing</t>
  </si>
  <si>
    <t>Employee Name</t>
  </si>
  <si>
    <t>Image</t>
  </si>
  <si>
    <t>Mobile No.</t>
  </si>
  <si>
    <t>Designation</t>
  </si>
  <si>
    <t>https://1drv.ms/i/c/43ae19b50f43f106/IQSnyA21oAL5TYgJp8s339hZAZH0BfKZbpo5ioA9lz848bU?width=613&amp;height=607</t>
  </si>
  <si>
    <t>https://1drv.ms/i/c/43ae19b50f43f106/IQRk-xlL55bjT46FJhz2n3-1AaveJ4_gIxspOcbkqcRSP04</t>
  </si>
  <si>
    <t>https://1drv.ms/i/c/43ae19b50f43f106/IQRlCvAp_dgvQLxtapajzaszAQtXzCl0uCXN6JUZ1YBniQA</t>
  </si>
  <si>
    <t>https://1drv.ms/i/c/43ae19b50f43f106/IQTmnmbVIdpgR4JQxd2vN9SLAb6Or8PuYpAhdjsvtWOrJ94?width=559&amp;height=624</t>
  </si>
  <si>
    <t>https://1drv.ms/i/c/43ae19b50f43f106/IQR97Mlt8dYNSqzXs569xfsgATH8nNIhZ2iS_IzkthaVrAA</t>
  </si>
  <si>
    <t>https://1drv.ms/i/c/43ae19b50f43f106/IQQIVoeVJkgoRr36aJ98AM6sAQeYQHFwEMSxUoqODajgQK8?width=651&amp;height=685</t>
  </si>
  <si>
    <t>https://1drv.ms/i/c/43ae19b50f43f106/IQTcEwEf2l49S4rZ4gJwXeUVAfzQ391bC7DFzpVA1TDzC7A</t>
  </si>
  <si>
    <t>https://1drv.ms/i/c/43ae19b50f43f106/IQSZkGFae09DTasXmTCQ6MG2AYaVypAVHQ8VLQ_sfeM4uWU</t>
  </si>
  <si>
    <t>https://1drv.ms/i/c/43ae19b50f43f106/IQTFkBYtlLxeSLkhC7W8mNRVAQg_sGRyro3F6FEWw0uyrxw?width=657&amp;height=694</t>
  </si>
  <si>
    <t>https://1drv.ms/i/c/43ae19b50f43f106/IQSSl74a7QgSRoBzWxbuOxuQAZ_s7d2LP9UZdZxs2Yh14z0?width=678&amp;height=676</t>
  </si>
  <si>
    <t>https://1drv.ms/i/c/43ae19b50f43f106/IQSy_6aUOJ9iRZoLkjj_mB5uAYCR9aVW7THAKfR70_F1nnI?width=712&amp;height=666</t>
  </si>
  <si>
    <t>https://1drv.ms/i/c/43ae19b50f43f106/IQSLmcwDLecBTZM67DW0LgepAUJKrRPILHCAbC9kbx9uv7g?width=628&amp;height=718</t>
  </si>
  <si>
    <t>https://1drv.ms/i/c/43ae19b50f43f106/IQS12bKo0Q9iRI0kwdt6GFR4AUWu74CUpLgZ6FNzGpgr7cQ?width=700&amp;height=277</t>
  </si>
  <si>
    <t>https://1drv.ms/i/c/43ae19b50f43f106/IQQLSJoMbqnmRaRIUcbLeBDeAcEC3Ab1K_nWoYCKOmsY23Y?width=660&amp;height=702</t>
  </si>
  <si>
    <t>https://1drv.ms/i/c/43ae19b50f43f106/IQQySaoPw4bdSr_cc0KpO8X7Afp4WLOSit6nINq2F2KjKVY?width=709&amp;height=709</t>
  </si>
  <si>
    <t>https://1drv.ms/i/c/43ae19b50f43f106/IQThvLZ1lU59RpGDHA5RHmCBAcUE-83A4ASzXDQlUlM_YlA?width=691&amp;height=700</t>
  </si>
  <si>
    <t>https://1drv.ms/i/c/43ae19b50f43f106/IQQ8YOZnSEXsRpyFUarEH-JaAZsShNlVlV6NR8KFP9Sr_Co?width=664&amp;height=690</t>
  </si>
  <si>
    <t>https://1drv.ms/i/c/43ae19b50f43f106/IQQdrEvYvZniQo2e8dVpmJGOAQ440a6Sp3pRNRx_n7LSq30?width=529&amp;height=585</t>
  </si>
  <si>
    <t>https://1drv.ms/i/c/43ae19b50f43f106/IQT2AXXeDLd_TaEV-PoDfLItAVx7Wi3C-i4i4OFfE97wsrQ</t>
  </si>
  <si>
    <t>https://1drv.ms/i/c/43ae19b50f43f106/IQQ4zeOm2j9LQYnvvXa4CyfuAetrVYfwJFqIIpXifV0h4ls</t>
  </si>
  <si>
    <t>https://1drv.ms/i/c/43ae19b50f43f106/IQR_qfSdTWSwSbV1ijQiMVYVAaT_4v9MyxXHmqqBqwyuwwA?width=651&amp;height=712</t>
  </si>
  <si>
    <t>https://1drv.ms/i/c/43ae19b50f43f106/IQRw0PSfw8EOQaseBgWB8eKFAQaMxEXBaNygGvlIx4aAUG8?width=355&amp;height=363</t>
  </si>
  <si>
    <t>https://1drv.ms/i/c/43ae19b50f43f106/IQTSNXEhqJzQRJIRS5kDbwDRAb9WxgqTo4JNAbQowxJ5IZc?width=451&amp;height=444</t>
  </si>
  <si>
    <t>https://1drv.ms/i/c/43ae19b50f43f106/IQQ9VbNTFiDeS6R8fhMK_rb_AaNsYFSJhkQPVL4lcurlR3Q?width=642&amp;height=702</t>
  </si>
  <si>
    <t>https://1drv.ms/i/c/43ae19b50f43f106/IQTF13-2qZxQT7VpOMg_qZfHAVkO8oc00J9vKddVENXJS8M</t>
  </si>
  <si>
    <t>https://1drv.ms/i/c/43ae19b50f43f106/IQSmyuPD7pssRamGyBu93dipAb_JT1qkbQ4YVyXNokxcB_0?width=574&amp;height=604</t>
  </si>
  <si>
    <t>https://1drv.ms/i/c/43ae19b50f43f106/IQR8-wM68kHZS4JtNP6d_fuSARjV7GSQSoYhqoPXUTk-pOs</t>
  </si>
  <si>
    <t>https://1drv.ms/i/c/43ae19b50f43f106/IQSzCOMIkT13TJtL2MiJDy2uAXm148j8DOQW3Ycq7D1Ftxs?width=454&amp;height=499</t>
  </si>
  <si>
    <t>https://1drv.ms/i/c/43ae19b50f43f106/IQRCJhwDJYDQTrWy1MkpoSyCAfVafE_lWav9i_vivUXjeIM</t>
  </si>
  <si>
    <t>https://1drv.ms/i/c/43ae19b50f43f106/IQR_HdyJrTeaToTYvzvSYUHKAUJ_mJJD2Yf837KCEHQAGZ4</t>
  </si>
  <si>
    <t>https://1drv.ms/i/c/43ae19b50f43f106/IQTutdzBTCr4S5EaXW4wl61OASIIBoLAwrT2MzuTScHdze4?width=697&amp;height=703</t>
  </si>
  <si>
    <t>https://1drv.ms/i/c/43ae19b50f43f106/IQRk0LhkIPqCTaxKUYYjpodXATtpdTVEwQA7zlqCP3bxGjM?width=673&amp;height=615</t>
  </si>
  <si>
    <t>https://1drv.ms/i/c/43ae19b50f43f106/IQSncUTFnjzATKmWP_kBOQ0QAS6CDhKj-ZYRkqPPWIJ5Qek?width=720&amp;height=697</t>
  </si>
  <si>
    <t>https://1drv.ms/i/c/43ae19b50f43f106/IQQgsKdq0tkkT7_mBmshOL4oAeWX_3Dm1N2A3reDu-ChOO8?width=690&amp;height=697</t>
  </si>
  <si>
    <t>https://1drv.ms/i/c/43ae19b50f43f106/IQSbWBtrqyBZRYXakPy_KOD7AfXhr0K2uP_5tQTCwf--qAo</t>
  </si>
  <si>
    <t>https://1drv.ms/i/c/43ae19b50f43f106/IQS8Z7YCXISfQoWEJTXdLKMgAQWrf5IjVfxAyvM8D4LQoGQ?width=723&amp;height=718</t>
  </si>
  <si>
    <t>https://1drv.ms/i/c/43ae19b50f43f106/IQTmsqX-r76HSrIzFDSwp_7EARNTOQ60iGh6q2Qlw3PfpEs?width=498&amp;height=547</t>
  </si>
  <si>
    <t>https://1drv.ms/i/c/43ae19b50f43f106/IQSNOEICWtjkSZgf6L_GCxY6AX1r06T2YPBSQV-QiH6bYwU?width=672&amp;height=721</t>
  </si>
  <si>
    <t>https://1drv.ms/i/c/43ae19b50f43f106/IQQ2Pim97Rs8RrZwy0piV42tAXKWaVk779zFqcXhcQxjbZg?width=700&amp;height=706</t>
  </si>
  <si>
    <t>https://1drv.ms/i/c/43ae19b50f43f106/IQQgNP9HhgxGQbP7LOHlpptcAYVIaC39_wdgK_o3VzPS-lo</t>
  </si>
  <si>
    <t>https://1drv.ms/i/c/43ae19b50f43f106/IQReSJ0dH2ynS4jra1FiK0A1AdbTzwvOv6hRP6JNF_OZGes?width=693&amp;height=709</t>
  </si>
  <si>
    <t>https://1drv.ms/i/c/43ae19b50f43f106/IQRVF49_YT6SQqMbZEBikPsNAUS1wBqWYoeM74bk46eHrKo?width=505&amp;height=496</t>
  </si>
  <si>
    <t>https://1drv.ms/i/c/43ae19b50f43f106/IQTTVFHOlanIS7PwSlrz4zwiAQx3B6iYEbGKhDzCTnO-V7c?width=682&amp;height=712</t>
  </si>
  <si>
    <t>https://1drv.ms/i/c/43ae19b50f43f106/IQSg_UeDHyKQR6cDreW5n50eAT2tiaJs1PBuz0hLS4A2I2U?width=682&amp;height=709</t>
  </si>
  <si>
    <t>https://1drv.ms/i/c/43ae19b50f43f106/IQTEru33S-14RaI9qlhmDluDAS9Wr5kKjpsq1wWywit8Qf4?width=694&amp;height=712</t>
  </si>
  <si>
    <t>https://1drv.ms/i/c/43ae19b50f43f106/IQQ3xtTiNltpQ6YX1kj8cKr4Ab_TxV25rPo7qRgY6qehTmE?width=288&amp;height=298</t>
  </si>
  <si>
    <t>https://1drv.ms/i/c/43ae19b50f43f106/IQS5yK0oODYdT6PRJJPHlwwSASfeizoLgJ6xGXg27NiMl-Q?width=537&amp;height=577</t>
  </si>
  <si>
    <t>https://1drv.ms/i/c/43ae19b50f43f106/IQQtJkqxcaQCSo3tIYWHJXiZAT3t0_fDaZ66bKmpVnLLrfc?width=262&amp;height=264</t>
  </si>
  <si>
    <t>https://1drv.ms/i/c/43ae19b50f43f106/IQRM-cu9ZRIqRIjcryDLSrBTAStAlzzO8W5YVkk6Vnx1TSA?width=532&amp;height=546</t>
  </si>
  <si>
    <t>https://1drv.ms/i/c/43ae19b50f43f106/IQTUupmY41oZS4zC-eQP4s0CAVcW3r2MzXlobbJ7y7-tPD8?width=553&amp;height=610</t>
  </si>
  <si>
    <t>SM</t>
  </si>
  <si>
    <t>https://1drv.ms/i/c/43ae19b50f43f106/IQS9jDRbhpjwRId2aHPYFbVuAelJT0WlafNumvtxEa55Dnc?width=643&amp;height=724</t>
  </si>
  <si>
    <t>https://1drv.ms/i/c/43ae19b50f43f106/IQS9CY-HVN7ISLN7OaRNcOm7AUKhL5HQj2gV0gCkB6etP7A?width=685&amp;height=703</t>
  </si>
  <si>
    <t>https://1drv.ms/i/c/43ae19b50f43f106/IQTK6PDR32lxQ6rY1m1q9h3iAZ4KFtWvfw5UZOEmApBcbUE?width=660&amp;height=655</t>
  </si>
  <si>
    <t>https://1drv.ms/i/c/43ae19b50f43f106/IQTSyPq-yo_3RbNOurzSn4U2Aey_BLJ16m1txD_bVV4BLK0?width=685&amp;height=715</t>
  </si>
  <si>
    <t>Md. Al Amin</t>
  </si>
  <si>
    <t>Md. Niaz Morshed</t>
  </si>
  <si>
    <t>Md. Rafiqul Islam</t>
  </si>
  <si>
    <t>Marefat Ali</t>
  </si>
  <si>
    <t>Md. Mannan Ali</t>
  </si>
  <si>
    <t>Md. Hafizur Rahman</t>
  </si>
  <si>
    <t>Md. Akteruzzamann</t>
  </si>
  <si>
    <t>Md. Rokonuzzaman</t>
  </si>
  <si>
    <t>Nasir Sharif Tonmoy</t>
  </si>
  <si>
    <t>Md. Khalilur Rahman</t>
  </si>
  <si>
    <t>Abu Musa</t>
  </si>
  <si>
    <t>Md. Abdun Nur</t>
  </si>
  <si>
    <t>Hasan Fakir</t>
  </si>
  <si>
    <t>Md. Mahmudul Hasan Chowdhury</t>
  </si>
  <si>
    <t>Md. Shakil Chowdhury</t>
  </si>
  <si>
    <t>Md. Abdul Kuddus</t>
  </si>
  <si>
    <t>Md Feroz</t>
  </si>
  <si>
    <t>Md. Masum Kabir</t>
  </si>
  <si>
    <t>Badhon Kumar Saha Akash</t>
  </si>
  <si>
    <t>Md. Tito Mia</t>
  </si>
  <si>
    <t>Gopal Kumar</t>
  </si>
  <si>
    <t>Md. Ratul Hasan</t>
  </si>
  <si>
    <t>Md. Rohul Amin</t>
  </si>
  <si>
    <t>Md. Mezanur Rahman</t>
  </si>
  <si>
    <t>Ruman Das</t>
  </si>
  <si>
    <t>Ayubur Rahman Kha</t>
  </si>
  <si>
    <t>Md. Raysul Islam</t>
  </si>
  <si>
    <t>Md. Akteruzzaman</t>
  </si>
  <si>
    <t>Md. Akbar Hossain</t>
  </si>
  <si>
    <t>Md. Masud Rana</t>
  </si>
  <si>
    <t>Ibrahim Khalil</t>
  </si>
  <si>
    <t>Md. Nahidul Islam Bhuyain</t>
  </si>
  <si>
    <t>Md. Jiaul Haque Rony</t>
  </si>
  <si>
    <t>Md. Saifullah</t>
  </si>
  <si>
    <t>Md. Zahidul Islam</t>
  </si>
  <si>
    <t>Md. Yeasin Ali</t>
  </si>
  <si>
    <t>Rajib Chandra Nath</t>
  </si>
  <si>
    <t>Shubha Shaha</t>
  </si>
  <si>
    <t>Arifur Rahman</t>
  </si>
  <si>
    <t>Sadhin Islam</t>
  </si>
  <si>
    <t>Md. Shariful Islam</t>
  </si>
  <si>
    <t>Protap Mondol</t>
  </si>
  <si>
    <t>Md. Yeasin</t>
  </si>
  <si>
    <t>Md. Tazidul Islam Papon</t>
  </si>
  <si>
    <t>Md.Nuruzzaman</t>
  </si>
  <si>
    <t>Md. Nazmul Huda</t>
  </si>
  <si>
    <t>Md. Masum Billah</t>
  </si>
  <si>
    <t>Golam Mostofa</t>
  </si>
  <si>
    <t>Khandaker Iklil Azam</t>
  </si>
  <si>
    <t>https://1drv.ms/i/c/43ae19b50f43f106/IQQJccgEX5pGR584OV9AYBnBAY6Sz0aDLVxgodsj_maIi-Q</t>
  </si>
  <si>
    <t>abdur rob</t>
  </si>
  <si>
    <t>No Major issue Found</t>
  </si>
  <si>
    <t>Same Place stay 5 Hr</t>
  </si>
  <si>
    <t>Same Place Stay 9 hr</t>
  </si>
  <si>
    <t>Same Place Stay 4 Hr</t>
  </si>
  <si>
    <t>Same Place Stay 8 hr</t>
  </si>
  <si>
    <t>Start Time</t>
  </si>
  <si>
    <t>End Time</t>
  </si>
  <si>
    <t>Avg Duration 
(hr)</t>
  </si>
  <si>
    <t>Status</t>
  </si>
  <si>
    <t>Tp Visit</t>
  </si>
  <si>
    <t>Distance
Travelled
From Last
Location</t>
  </si>
  <si>
    <t xml:space="preserve"> Address / Diagnostic report</t>
  </si>
  <si>
    <t xml:space="preserve">Distance From Base Location </t>
  </si>
  <si>
    <t>Idling / Stop</t>
  </si>
  <si>
    <t>0 m</t>
  </si>
  <si>
    <t>Nambihin Rasta, Jhenaidah Paurashava, Jhenaidah Sadar, Jhenaidah, Khulna, Bangladesh</t>
  </si>
  <si>
    <t>195.34 Km</t>
  </si>
  <si>
    <t>Nambihin Rasta, Sarikkhali, Itabaria, Patuakhali Sadar, Patuakhali, Barisal, Bangladesh</t>
  </si>
  <si>
    <t>237.78 Km</t>
  </si>
  <si>
    <t>Jalabari Union, Lakshmankati, Jalabari, Swarupkati, Pirojpur, Barisal, Bangladesh</t>
  </si>
  <si>
    <t>185.82 Km</t>
  </si>
  <si>
    <t>Nambihin Rasta, Cumilla, Bara Durgapur, Bijoypur, Comilla Sadar Dakshin, Comilla, Chittagong, Bangladesh</t>
  </si>
  <si>
    <t>130.85 Km</t>
  </si>
  <si>
    <t>Lat</t>
  </si>
  <si>
    <t>Lon</t>
  </si>
  <si>
    <t>23.544735</t>
  </si>
  <si>
    <t xml:space="preserve">
89.162346</t>
  </si>
  <si>
    <t>22.350853</t>
  </si>
  <si>
    <t xml:space="preserve">
90.3068</t>
  </si>
  <si>
    <t>22.699234</t>
  </si>
  <si>
    <t xml:space="preserve">
90.0931</t>
  </si>
  <si>
    <t>23.412193</t>
  </si>
  <si>
    <t xml:space="preserve">
91.17073</t>
  </si>
  <si>
    <t>Bow Bazar, Bou Bazar, 12 No. Sarai Para Ward, Ward No-12 (Part), Pahartali, Chittagong, Chittagong, Bangladesh</t>
  </si>
  <si>
    <t>22.346375</t>
  </si>
  <si>
    <t xml:space="preserve">
91.79678</t>
  </si>
  <si>
    <t>318.57 Km</t>
  </si>
  <si>
    <t>Port Connecting Road, K-Block, Double Mooring, Chattogram, Ward-24, Halishahar, Chittagong, Bangladesh</t>
  </si>
  <si>
    <t>22.33192</t>
  </si>
  <si>
    <t xml:space="preserve">
91.78976</t>
  </si>
  <si>
    <t>319.67 Km</t>
  </si>
  <si>
    <t>Travelling</t>
  </si>
  <si>
    <t>1.76 km</t>
  </si>
  <si>
    <t>2.19 km</t>
  </si>
  <si>
    <t>534.18 m</t>
  </si>
  <si>
    <t>Quarter Road, 12 No. Sarai Para Ward, Chattogram, Ward No-12 (Part), Pahartali, Chittagong, Bangladesh</t>
  </si>
  <si>
    <t>22.349905</t>
  </si>
  <si>
    <t xml:space="preserve">
91.79836</t>
  </si>
  <si>
    <t>318.29 Km</t>
  </si>
  <si>
    <t>আমবাগান সড়ক, Railway Colony, 13 No. Pahartali Ward, Ward-13, Khulshi, Chittagong, Chittagong, Bangladesh</t>
  </si>
  <si>
    <t>22.353022</t>
  </si>
  <si>
    <t xml:space="preserve">
91.80232</t>
  </si>
  <si>
    <t>318.31 Km</t>
  </si>
  <si>
    <t>1.79 km</t>
  </si>
  <si>
    <t>Nambihin Rasta, 24 No. North Agrabad Ward, Chattogram, Ward No-24 (Part), Halishahar, Chittagong, Bangladesh</t>
  </si>
  <si>
    <t>22.334444</t>
  </si>
  <si>
    <t xml:space="preserve">
91.804855</t>
  </si>
  <si>
    <t>320.89 Km</t>
  </si>
  <si>
    <t>Shuvopur Bus Stand, Uttar Pathantooly, Chattogram, Ward-29, Double Mooring, Chittagong, Bangladesh</t>
  </si>
  <si>
    <t>22.333923</t>
  </si>
  <si>
    <t xml:space="preserve">
91.82228</t>
  </si>
  <si>
    <t>322.74 Km</t>
  </si>
  <si>
    <t>1254, Saifuddin Siddiqui Lane, Riaj Uddin Bazar, Ward-31, Chittagong Kotwali Thana, Chittagong, Chittagong 4000, Bangladesh</t>
  </si>
  <si>
    <t>22.335749</t>
  </si>
  <si>
    <t xml:space="preserve">
91.83046</t>
  </si>
  <si>
    <t>323.35 Km</t>
  </si>
  <si>
    <t>Rahat Center, 295, Kadamtali Road, Shuvopur Bus Stand, 28 No. Pathantooly Ward, Ward-29, Double Mooring, Chittagong, Chittagong, Bangladesh</t>
  </si>
  <si>
    <t>22.333172</t>
  </si>
  <si>
    <t xml:space="preserve">
91.82233</t>
  </si>
  <si>
    <t>322.83 Km</t>
  </si>
  <si>
    <t>1, Road No 1, 25 No. Rampur Ward, Ward-25, Halishahar, Chittagong, Chittagong 4217, Bangladesh</t>
  </si>
  <si>
    <t>22.336344</t>
  </si>
  <si>
    <t xml:space="preserve">
91.78969</t>
  </si>
  <si>
    <t>319.11 Km</t>
  </si>
  <si>
    <t>598.37 m</t>
  </si>
  <si>
    <t>Lane-5, Bashundhara Residential Area, 24 No. North Agrabad Ward, Chattogram, Ward-25, Halishahar, Chittagong, Bangladesh</t>
  </si>
  <si>
    <t>22.336523</t>
  </si>
  <si>
    <t xml:space="preserve">
91.79278</t>
  </si>
  <si>
    <t>319.4 Km</t>
  </si>
  <si>
    <t>2.25 km</t>
  </si>
  <si>
    <t>1.56 km</t>
  </si>
  <si>
    <t>Dhaka Trunk Road, 12 No. Sarai Para Ward, Ward No-12 (Part), Pahartali, Chittagong, Chittagong, Bangladesh</t>
  </si>
  <si>
    <t>22.35144</t>
  </si>
  <si>
    <t xml:space="preserve">
91.795494</t>
  </si>
  <si>
    <t>317.81 Km</t>
  </si>
  <si>
    <t>Dakshin Kattali, 11 No. South Kattali Ward, Chattogram, Ward No-11 (Part), Pahartali, Chittagong, Bangladesh</t>
  </si>
  <si>
    <t>22.35277</t>
  </si>
  <si>
    <t xml:space="preserve">
91.78036</t>
  </si>
  <si>
    <t>316.1 Km</t>
  </si>
  <si>
    <t>1.74 km</t>
  </si>
  <si>
    <t>Nesaria Madrasa Road, Pahartali, Chattogram, Ward-09, Khulshi, Chittagong 4207, Bangladesh</t>
  </si>
  <si>
    <t>22.359</t>
  </si>
  <si>
    <t xml:space="preserve">
91.78433</t>
  </si>
  <si>
    <t>315.72 Km</t>
  </si>
  <si>
    <t>Seven Market, Plot-246, Block - I Lane, Kaibalyadham Housing Society, ৯ নং উত্তর পাহাড়তলী ওয়ার্ড, চট্টগ্রাম, Ward-09, CCC (Khulshi), চট্টগ্রাম জেলা, চট্টগ্রাম বিভাগ, Bangladesh</t>
  </si>
  <si>
    <t>22.374655</t>
  </si>
  <si>
    <t xml:space="preserve">
91.78324</t>
  </si>
  <si>
    <t>313.66 Km</t>
  </si>
  <si>
    <t>964.3 m</t>
  </si>
  <si>
    <t>843.7 m</t>
  </si>
  <si>
    <t>Shahid Salam Road, Sagorika BSCIC Industrial Area, Ward-10, Pahartali, Chittagong, Chittagong 4217, Bangladesh</t>
  </si>
  <si>
    <t>22.358494</t>
  </si>
  <si>
    <t xml:space="preserve">
91.77497</t>
  </si>
  <si>
    <t>314.83 Km</t>
  </si>
  <si>
    <t>Sagorika Road, Dakshin Kattali, 11 No. South Kattali Ward, Ward No-11 (Part), Pahartali, Chittagong, Chittagong, Bangladesh</t>
  </si>
  <si>
    <t>22.353971</t>
  </si>
  <si>
    <t xml:space="preserve">
91.77362</t>
  </si>
  <si>
    <t>315.27 Km</t>
  </si>
  <si>
    <t>Begum Jahanara Iddris Manzil, 2, B Line, Firojshah Colony, পাহাড়তলী, চট্টগ্রাম, Ward-10, Pahartali, চট্টগ্রাম জেলা, চট্টগ্রাম বিভাগ 4207, Bangladesh</t>
  </si>
  <si>
    <t>22.365316</t>
  </si>
  <si>
    <t xml:space="preserve">
91.78166</t>
  </si>
  <si>
    <t>314.66 Km</t>
  </si>
  <si>
    <t>2.12 km</t>
  </si>
  <si>
    <t>1.9 km</t>
  </si>
  <si>
    <t>1.25 km</t>
  </si>
  <si>
    <t>846, CDA Avenue, Lal Khan Bazaar, Ward-14, CCC (Khulshi), Chittagong, Chittagong 4000, Bangladesh</t>
  </si>
  <si>
    <t>22.346087</t>
  </si>
  <si>
    <t xml:space="preserve">
91.81834</t>
  </si>
  <si>
    <t>320.82 Km</t>
  </si>
  <si>
    <t>1.5 km</t>
  </si>
  <si>
    <t>South Khulshi Road, Uttar Lalkhan, Lal Khan Bazaar, Ward-13, Khulshi, Chittagong, Chittagong, Bangladesh</t>
  </si>
  <si>
    <t>22.35639</t>
  </si>
  <si>
    <t xml:space="preserve">
91.81357</t>
  </si>
  <si>
    <t>319.05 Km</t>
  </si>
  <si>
    <t>1.81 km</t>
  </si>
  <si>
    <t>65a, Road 03, Nasirabad, 15 No. Bagmoniram Ward, Ward No-15 (Part), Kotwali, Chittagong, Chittagong 4203, Bangladesh</t>
  </si>
  <si>
    <t>22.363909</t>
  </si>
  <si>
    <t xml:space="preserve">
91.82569</t>
  </si>
  <si>
    <t>319.37 Km</t>
  </si>
  <si>
    <t>1.51 km</t>
  </si>
  <si>
    <t>Noimiya Building, 808, Arakan Road, Ward-08, Panchlaish, Chittagong, Chittagong 4212, Bangladesh</t>
  </si>
  <si>
    <t>22.36694</t>
  </si>
  <si>
    <t xml:space="preserve">
91.843</t>
  </si>
  <si>
    <t>320.81 Km</t>
  </si>
  <si>
    <t>1.89 km</t>
  </si>
  <si>
    <t>Green View Road 1, Kamrabad, 7 No. West Sholoshohor Ward, Chattogram, Ward-07, Panchlaish, Chittagong, Bangladesh</t>
  </si>
  <si>
    <t>22.378477</t>
  </si>
  <si>
    <t xml:space="preserve">
91.83525</t>
  </si>
  <si>
    <t>318.58 Km</t>
  </si>
  <si>
    <t>416.79 m</t>
  </si>
  <si>
    <t>2.95 km</t>
  </si>
  <si>
    <t>969, CDA Avenue, Nasirabad, Sulakbahar, Ward No-15 (Part), Kotwali, Chittagong, Chittagong 4000, Bangladesh</t>
  </si>
  <si>
    <t>22.363361</t>
  </si>
  <si>
    <t xml:space="preserve">
91.82168</t>
  </si>
  <si>
    <t>319.02 Km</t>
  </si>
  <si>
    <t>4.39 km</t>
  </si>
  <si>
    <t>16, Station Road, Kadamtoli Bus Stop, 15 No. Bagmoniram Ward, Ward-31, Chittagong Kotwali Thana, Chittagong, Chittagong, Bangladesh</t>
  </si>
  <si>
    <t>22.336891</t>
  </si>
  <si>
    <t xml:space="preserve">
91.823135</t>
  </si>
  <si>
    <t>322.45 Km</t>
  </si>
  <si>
    <t>63, Road Number 01, Akbarshah Railway Colony, 9 No. North Pahartali Ward, Ward-09, Khulshi, Chittagong, Chittagong, Bangladesh</t>
  </si>
  <si>
    <t>22.364128</t>
  </si>
  <si>
    <t xml:space="preserve">
91.79226</t>
  </si>
  <si>
    <t>315.89 Km</t>
  </si>
  <si>
    <t>1.44 km</t>
  </si>
  <si>
    <t>435.09 m</t>
  </si>
  <si>
    <t>Bangladesh Railway Museum, Ambagan Road, Railway Colony, 13 No. Pahartali Ward, Ward-13, CCC (Khulshi), Chittagong, Chittagong, Bangladesh</t>
  </si>
  <si>
    <t>22.354334</t>
  </si>
  <si>
    <t xml:space="preserve">
91.80146</t>
  </si>
  <si>
    <t>318.06 Km</t>
  </si>
  <si>
    <t>1.92 km</t>
  </si>
  <si>
    <t>Jhautola, Pahartali, Chattogram, Ward-13, CCC (Khulshi), Chittagong 4202, Bangladesh</t>
  </si>
  <si>
    <t>22.358192</t>
  </si>
  <si>
    <t xml:space="preserve">
91.800766</t>
  </si>
  <si>
    <t>317.51 Km</t>
  </si>
  <si>
    <t>Bilpara Road, Sulakbahar, Chattogram, Ward-08, CCC (Khulshi), Chittagong, Bangladesh</t>
  </si>
  <si>
    <t>22.364485</t>
  </si>
  <si>
    <t xml:space="preserve">
91.81818</t>
  </si>
  <si>
    <t>318.52 Km</t>
  </si>
  <si>
    <t>Nambihin Rasta, Ward-27, Double Mooring, Chittagong, Chittagong, Bangladesh</t>
  </si>
  <si>
    <t>22.322876</t>
  </si>
  <si>
    <t xml:space="preserve">
91.806946</t>
  </si>
  <si>
    <t>322.55 Km</t>
  </si>
  <si>
    <t>Strand Road, 28 No. Pathantooly Ward, Chattogram, Ward-29, Double Mooring, Chittagong, Bangladesh</t>
  </si>
  <si>
    <t>22.32281</t>
  </si>
  <si>
    <t xml:space="preserve">
91.82092</t>
  </si>
  <si>
    <t>323.98 Km</t>
  </si>
  <si>
    <t>Route, 24 No. North Agrabad Ward, Chattogram, Ward No-24 (Part), Halishahar, Chittagong, Bangladesh</t>
  </si>
  <si>
    <t>22.329716</t>
  </si>
  <si>
    <t xml:space="preserve">
91.80798</t>
  </si>
  <si>
    <t>321.8 Km</t>
  </si>
  <si>
    <t>Dhaka Trunk Road, Saraipara, 12 No. Sarai Para Ward, Ward No-12 (Part), Pahartali, Chittagong, Chittagong 4202, Bangladesh</t>
  </si>
  <si>
    <t>22.353949</t>
  </si>
  <si>
    <t xml:space="preserve">
91.7912</t>
  </si>
  <si>
    <t>317.06 Km</t>
  </si>
  <si>
    <t>3.88 km</t>
  </si>
  <si>
    <t>2, Pahartali College Road, Railway Colony, 13 No. Pahartali Ward, Ward-13, CCC (Khulshi), Chittagong, Chittagong, Bangladesh</t>
  </si>
  <si>
    <t>22.357164</t>
  </si>
  <si>
    <t xml:space="preserve">
91.80426</t>
  </si>
  <si>
    <t>317.99 Km</t>
  </si>
  <si>
    <t>1.52 km</t>
  </si>
  <si>
    <t>1282/a, Al-Madani Road, Shulakbahar, Sulakbahar, Ward-08, Panchlaish, Chittagong, Chittagong 4203, Bangladesh</t>
  </si>
  <si>
    <t>22.364159</t>
  </si>
  <si>
    <t xml:space="preserve">
91.841225</t>
  </si>
  <si>
    <t>320.96 Km</t>
  </si>
  <si>
    <t>1025/A, Bayazid Bostami Road, Hillview Residential Area, 15 No. Bagmoniram Ward, Ward No-15 (Part), Chittagong Kotwali Thana, Chittagong, Chittagong, Bangladesh</t>
  </si>
  <si>
    <t>22.363276</t>
  </si>
  <si>
    <t xml:space="preserve">
91.826454</t>
  </si>
  <si>
    <t>319.53 Km</t>
  </si>
  <si>
    <t>1.75 km</t>
  </si>
  <si>
    <t>359.13 m</t>
  </si>
  <si>
    <t>3.48 km</t>
  </si>
  <si>
    <t>20, Road 01, Sulakbahar, Ward-08, CCC (Khulshi), Chittagong, Chittagong, Bangladesh</t>
  </si>
  <si>
    <t>22.364574</t>
  </si>
  <si>
    <t xml:space="preserve">
91.81399</t>
  </si>
  <si>
    <t>318.08 Km</t>
  </si>
  <si>
    <t>731.34 m</t>
  </si>
  <si>
    <t>1.69 km</t>
  </si>
  <si>
    <t>Rongipara Bank Colony, 25 No. Rampur Ward, Chattogram, Ward No-24 (Part), Halishahar, Chittagong, Bangladesh</t>
  </si>
  <si>
    <t>22.33775</t>
  </si>
  <si>
    <t xml:space="preserve">
91.79871</t>
  </si>
  <si>
    <t>319.85 Km</t>
  </si>
  <si>
    <t>13, Road No. 1, Halishahar Housing Estate, Halishahar, Ward-11, Pahartali, Chittagong, Chittagong, Bangladesh</t>
  </si>
  <si>
    <t>22.341898</t>
  </si>
  <si>
    <t xml:space="preserve">
91.78293</t>
  </si>
  <si>
    <t>317.73 Km</t>
  </si>
  <si>
    <t>1.59 km</t>
  </si>
  <si>
    <t>Mistripara Road, 24 No. North Agrabad Ward, Ward No-24 (Part), Halishahar, Chittagong, Chittagong, Bangladesh</t>
  </si>
  <si>
    <t>22.336224</t>
  </si>
  <si>
    <t xml:space="preserve">
91.80692</t>
  </si>
  <si>
    <t>320.88 Km</t>
  </si>
  <si>
    <t>682, Halishahar Road, 24 No. North Agrabad Ward, Chattogram, Ward No-24 (Part), Halishahar, Chittagong 4100, Bangladesh</t>
  </si>
  <si>
    <t>22.32889</t>
  </si>
  <si>
    <t xml:space="preserve">
91.79362</t>
  </si>
  <si>
    <t>320.45 Km</t>
  </si>
  <si>
    <t>467.22 m</t>
  </si>
  <si>
    <t>1.54 km</t>
  </si>
  <si>
    <t>Muhuri Para Road, 24 No. North Agrabad Ward, Ward No-24 (Part), Halishahar, Chittagong, Chittagong, Bangladesh</t>
  </si>
  <si>
    <t>22.332556</t>
  </si>
  <si>
    <t xml:space="preserve">
91.80471</t>
  </si>
  <si>
    <t>321.11 Km</t>
  </si>
  <si>
    <t>Khan Shaheb Abdul Hakim Mia Road, Monsurabad, 24 No. North Agrabad Ward, Chattogram, Ward No-24 (Part), Halishahar, Chittagong, Bangladesh</t>
  </si>
  <si>
    <t>22.337477</t>
  </si>
  <si>
    <t xml:space="preserve">
91.805084</t>
  </si>
  <si>
    <t>320.53 Km</t>
  </si>
  <si>
    <t>2.26 km</t>
  </si>
  <si>
    <t>1.64 km</t>
  </si>
  <si>
    <t>Nambihin Rasta, Shimrail, Simrail, Siddirganj, Narayanganj Sadar, Narayanganj, Dhaka, Bangladesh</t>
  </si>
  <si>
    <t>23.70709</t>
  </si>
  <si>
    <t xml:space="preserve">
90.51506</t>
  </si>
  <si>
    <t>18.71 Km</t>
  </si>
  <si>
    <t>963.17 m</t>
  </si>
  <si>
    <t>Madani Nagar Madrasah Road, Siddirganj (Part), Siddirganj, Narayanganj Sadar, Narayanganj, Dhaka, Bangladesh</t>
  </si>
  <si>
    <t>23.697119</t>
  </si>
  <si>
    <t xml:space="preserve">
90.50316</t>
  </si>
  <si>
    <t>18.36 Km</t>
  </si>
  <si>
    <t>2.24 km</t>
  </si>
  <si>
    <t>Kalu Hazi Road, Hirazheel, Siddhirganj, Siddirganj (Part), Siddirganj, Narayanganj Sadar, Narayanganj, Dhaka, Bangladesh</t>
  </si>
  <si>
    <t>23.68846</t>
  </si>
  <si>
    <t xml:space="preserve">
90.50335</t>
  </si>
  <si>
    <t>19.4 Km</t>
  </si>
  <si>
    <t>5.11 km</t>
  </si>
  <si>
    <t>Dhaka - Narayanganj Road, Sign Board, Siddhirganj, Bhuingar, Kutubpur, Narayanganj Sadar, Narayanganj, Dhaka, Bangladesh</t>
  </si>
  <si>
    <t>23.688639</t>
  </si>
  <si>
    <t xml:space="preserve">
90.48137</t>
  </si>
  <si>
    <t>17.23 Km</t>
  </si>
  <si>
    <t>4.15 km</t>
  </si>
  <si>
    <t>2, Bibir Bagicha Road Number 2, Jatra Bari, Ward-86, Dcc (Sutrapur), Dhaka, Dhaka, Bangladesh</t>
  </si>
  <si>
    <t>23.710588</t>
  </si>
  <si>
    <t xml:space="preserve">
90.43728</t>
  </si>
  <si>
    <t>10.86 Km</t>
  </si>
  <si>
    <t>1.35 km</t>
  </si>
  <si>
    <t>Bangladesh River Side Development Forum (BRSDF), Motijheel, Dhaka, Ward-34, Motijheel, Bangladesh</t>
  </si>
  <si>
    <t>23.745588</t>
  </si>
  <si>
    <t xml:space="preserve">
90.423225</t>
  </si>
  <si>
    <t>4.65 Km</t>
  </si>
  <si>
    <t>2.08 km</t>
  </si>
  <si>
    <t>32, East Nayatola Road, MoghBazar T&amp;T Colony, Ward-55, Ramna, Dhaka, Dhaka 1217, Bangladesh</t>
  </si>
  <si>
    <t>23.75393</t>
  </si>
  <si>
    <t xml:space="preserve">
90.41358</t>
  </si>
  <si>
    <t>3.13 Km</t>
  </si>
  <si>
    <t>392.05 m</t>
  </si>
  <si>
    <t>Bir Uttam Mir Shawkat Sarak, Ward-19, Gulshan, Dhaka, Dhaka 1212, Bangladesh</t>
  </si>
  <si>
    <t>23.77236</t>
  </si>
  <si>
    <t xml:space="preserve">
90.41682</t>
  </si>
  <si>
    <t>185.73 m</t>
  </si>
  <si>
    <t>392.24 m</t>
  </si>
  <si>
    <t>204/B, Bir Uttam Mir Shawkat Sarak, Ward-37, Tejgaon, Dhaka, Dhaka 1208, Bangladesh</t>
  </si>
  <si>
    <t>23.770544</t>
  </si>
  <si>
    <t xml:space="preserve">
90.41351</t>
  </si>
  <si>
    <t>472.22 m</t>
  </si>
  <si>
    <t>Police Plaza, 167, Dhaka 1212, Gulshan 1, Ward-19, Gulshan, Dhaka, Dhaka 1212, Bangladesh</t>
  </si>
  <si>
    <t>23.773281</t>
  </si>
  <si>
    <t xml:space="preserve">
90.41595</t>
  </si>
  <si>
    <t>121.94 m</t>
  </si>
  <si>
    <t>548.5 m</t>
  </si>
  <si>
    <t>House 28, Road 6, Block C, Gulshan, Ward No-20 (Part), Tejgaon, Dhaka, Dhaka 1212, Bangladesh</t>
  </si>
  <si>
    <t>23.772991</t>
  </si>
  <si>
    <t xml:space="preserve">
90.41056</t>
  </si>
  <si>
    <t>775.78 m</t>
  </si>
  <si>
    <t>246.66 m</t>
  </si>
  <si>
    <t>House # 74, Road 127, Police Plaza, Rampura, Ward-22, Khilgaon, Dhaka, Dhaka 1212, Bangladesh</t>
  </si>
  <si>
    <t>23.771132</t>
  </si>
  <si>
    <t xml:space="preserve">
90.41654</t>
  </si>
  <si>
    <t>283.34 m</t>
  </si>
  <si>
    <t>House-5A, Road 137, Gulshan 1, Ward-19, Gulshan, Dhaka, Dhaka 1212, Bangladesh</t>
  </si>
  <si>
    <t>23.777807</t>
  </si>
  <si>
    <t xml:space="preserve">
90.41777</t>
  </si>
  <si>
    <t>926.85 m</t>
  </si>
  <si>
    <t>845.19 m</t>
  </si>
  <si>
    <t>House 15, Road No 128, Gulshan 1, Ward-19, Gulshan, Dhaka, Dhaka 1212, Bangladesh</t>
  </si>
  <si>
    <t>23.783049</t>
  </si>
  <si>
    <t xml:space="preserve">
90.418236</t>
  </si>
  <si>
    <t>1.79 Km</t>
  </si>
  <si>
    <t>2.34 km</t>
  </si>
  <si>
    <t>109, Road 39, Gulshan 2, Ward-19, Gulshan, Dhaka, Dhaka 1212, Bangladesh</t>
  </si>
  <si>
    <t>23.790318</t>
  </si>
  <si>
    <t xml:space="preserve">
90.41581</t>
  </si>
  <si>
    <t>2.95 Km</t>
  </si>
  <si>
    <t>1.03 km</t>
  </si>
  <si>
    <t>48, শাহীদ আব্দুল আজিজ রোড, Nadda Heliport, Bashundhara, Nadda, Ward-18, Gulshan, Dhaka, Dhaka 1229, Bangladesh</t>
  </si>
  <si>
    <t>23.810766</t>
  </si>
  <si>
    <t xml:space="preserve">
90.42118</t>
  </si>
  <si>
    <t>6.42 Km</t>
  </si>
  <si>
    <t>948.88 m</t>
  </si>
  <si>
    <t>Kuril, Ward No-17 (Part), Badda, Dhaka, Dhaka 1229, Bangladesh</t>
  </si>
  <si>
    <t>23.819876</t>
  </si>
  <si>
    <t xml:space="preserve">
90.42287</t>
  </si>
  <si>
    <t>7.96 Km</t>
  </si>
  <si>
    <t>259.84 m</t>
  </si>
  <si>
    <t>Ward No-17 (Part), Badda, Dhaka, Dhaka, Bangladesh</t>
  </si>
  <si>
    <t>23.811352</t>
  </si>
  <si>
    <t xml:space="preserve">
90.423294</t>
  </si>
  <si>
    <t>6.57 Km</t>
  </si>
  <si>
    <t>182, Bashundhara Road, Basundhara Residential Area, Ward No-17 (Part), Badda, Dhaka, Dhaka, Bangladesh</t>
  </si>
  <si>
    <t>23.81363</t>
  </si>
  <si>
    <t xml:space="preserve">
90.42386</t>
  </si>
  <si>
    <t>6.96 Km</t>
  </si>
  <si>
    <t>845.79 m</t>
  </si>
  <si>
    <t>61, Sohrawardy Avenue, Baridhara, Vatara, Badda, Dhaka, Dhaka 1212, Bangladesh</t>
  </si>
  <si>
    <t>23.805876</t>
  </si>
  <si>
    <t xml:space="preserve">
90.42195</t>
  </si>
  <si>
    <t>5.63 Km</t>
  </si>
  <si>
    <t>1.99 km</t>
  </si>
  <si>
    <t>Plot No 2/3, 79, Road No 74, Gulshan 2, Ward-19, Gulshan, Dhaka, Dhaka 1212, Bangladesh</t>
  </si>
  <si>
    <t>23.802711</t>
  </si>
  <si>
    <t xml:space="preserve">
90.41439</t>
  </si>
  <si>
    <t>5.02 Km</t>
  </si>
  <si>
    <t>1.29 km</t>
  </si>
  <si>
    <t>House # 16, 16, Road 30, Gulshan 1, Ward-19, Gulshan, Dhaka, Dhaka 1212, Bangladesh</t>
  </si>
  <si>
    <t>23.78484</t>
  </si>
  <si>
    <t xml:space="preserve">
90.414955</t>
  </si>
  <si>
    <t>2.04 Km</t>
  </si>
  <si>
    <t>Radiant S.Nahar, 3, Aftab Nagar Main Road, Arifas Niketan , House, Aftab Nagar, Badda, Badda, Dhaka, Dhaka 1212, Bangladesh</t>
  </si>
  <si>
    <t>23.767277</t>
  </si>
  <si>
    <t xml:space="preserve">
90.42924</t>
  </si>
  <si>
    <t>2.26 Km</t>
  </si>
  <si>
    <t>1.2 km</t>
  </si>
  <si>
    <t>A, 2, Jahurul Islam Avenue, Police Checkpost Ramapura, Aftab Nagar, Badda, Badda, Dhaka, Dhaka 1212, Bangladesh</t>
  </si>
  <si>
    <t>23.768229</t>
  </si>
  <si>
    <t xml:space="preserve">
90.42591</t>
  </si>
  <si>
    <t>1.73 Km</t>
  </si>
  <si>
    <t>2.58 km</t>
  </si>
  <si>
    <t>6, East Hazipara, East Hajipara, Rampura, Ward-23, Khilgaon, Dhaka, Dhaka 1219, Bangladesh</t>
  </si>
  <si>
    <t>23.75846</t>
  </si>
  <si>
    <t xml:space="preserve">
90.42083</t>
  </si>
  <si>
    <t>2.49 Km</t>
  </si>
  <si>
    <t>747.31 m</t>
  </si>
  <si>
    <t>94, Willes School Road, Kakrail, Ward-53, Ramna, Dhaka, Dhaka 1205, Bangladesh</t>
  </si>
  <si>
    <t>23.738386</t>
  </si>
  <si>
    <t xml:space="preserve">
90.40822</t>
  </si>
  <si>
    <t>5.82 Km</t>
  </si>
  <si>
    <t>429.21 m</t>
  </si>
  <si>
    <t>64, Moulana Bhasani Road, High Court, Shegunbagicha, Ward-56, Ramna, Dhaka, Dhaka 1000, Bangladesh</t>
  </si>
  <si>
    <t>23.732262</t>
  </si>
  <si>
    <t xml:space="preserve">
90.40519</t>
  </si>
  <si>
    <t>6.92 Km</t>
  </si>
  <si>
    <t>BGIC Tower, 33, Topkhana Road, Ramna, Dhaka, Ward-56, Dcc (Ramna), Bangladesh, 1000</t>
  </si>
  <si>
    <t>23.730425</t>
  </si>
  <si>
    <t xml:space="preserve">
90.4089</t>
  </si>
  <si>
    <t>7.11 Km</t>
  </si>
  <si>
    <t>330.77 m</t>
  </si>
  <si>
    <t>18, Topkhana Road, Shegunbagicha, Ward-56, Ramna, Dhaka, Dhaka 1000, Bangladesh</t>
  </si>
  <si>
    <t>23.729181</t>
  </si>
  <si>
    <t xml:space="preserve">
90.407486</t>
  </si>
  <si>
    <t>7.35 Km</t>
  </si>
  <si>
    <t>1.12 km</t>
  </si>
  <si>
    <t>L. Mollick Complex, 12, Purana Paltan Line, Paltan, Ward-36, Motijheel, Dhaka, Dhaka 1205, Bangladesh</t>
  </si>
  <si>
    <t>23.730124</t>
  </si>
  <si>
    <t xml:space="preserve">
90.41057</t>
  </si>
  <si>
    <t>7.13 Km</t>
  </si>
  <si>
    <t>2.91 km</t>
  </si>
  <si>
    <t>Fazli Rabbi Road, Ward-32, Motijheel, Dhaka, Dhaka 1205, Bangladesh</t>
  </si>
  <si>
    <t>23.722475</t>
  </si>
  <si>
    <t xml:space="preserve">
90.417694</t>
  </si>
  <si>
    <t>8.37 Km</t>
  </si>
  <si>
    <t>4.14 km</t>
  </si>
  <si>
    <t>295, Jatrabari Madrasa Road, South Jatrabari, Shyampur, Ward-86, Dcc (Sutrapur), Dhaka, Dhaka, Bangladesh</t>
  </si>
  <si>
    <t>23.702785</t>
  </si>
  <si>
    <t xml:space="preserve">
90.436455</t>
  </si>
  <si>
    <t>12.07 Km</t>
  </si>
  <si>
    <t>Ekuria, Tegharia, Keraniganj, Dhaka, Bangladesh</t>
  </si>
  <si>
    <t>23.675837</t>
  </si>
  <si>
    <t xml:space="preserve">
90.40841</t>
  </si>
  <si>
    <t>16.18 Km</t>
  </si>
  <si>
    <t>8.42 km</t>
  </si>
  <si>
    <t>215, Rasulpur, কদমপুর আব্দুল্লাহপুর দক্ষিণ, Kalakandi, Char Galgalia, Basta, Keraniganj, Dhaka, Bangladesh</t>
  </si>
  <si>
    <t>23.657772</t>
  </si>
  <si>
    <t xml:space="preserve">
90.36342</t>
  </si>
  <si>
    <t>20.75 Km</t>
  </si>
  <si>
    <t>11.9 km</t>
  </si>
  <si>
    <t>Dhaka - Barisal Highway, Solepur, Hasara, Sreenagar, Munshiganj, Dhaka, Bangladesh</t>
  </si>
  <si>
    <t>23.59657</t>
  </si>
  <si>
    <t xml:space="preserve">
90.31471</t>
  </si>
  <si>
    <t>33.16 Km</t>
  </si>
  <si>
    <t>11.52 km</t>
  </si>
  <si>
    <t>MNG80, Dogachi, Mawa, Kazir Pagla, Medini Mandal, Louhajang, Munshiganj, Dhaka, Bangladesh</t>
  </si>
  <si>
    <t>23.496637</t>
  </si>
  <si>
    <t xml:space="preserve">
90.27291</t>
  </si>
  <si>
    <t>50.93 Km</t>
  </si>
  <si>
    <t>11.42 km</t>
  </si>
  <si>
    <t>Padma Bridge Road, Paschim Naodoba, Naodoba, Zajira, শরিয়তপুর জেলা, ঢাকা বিভাগ, Bangladesh</t>
  </si>
  <si>
    <t>23.397758</t>
  </si>
  <si>
    <t xml:space="preserve">
90.23919</t>
  </si>
  <si>
    <t>68.09 Km</t>
  </si>
  <si>
    <t>10.93 km</t>
  </si>
  <si>
    <t>alamin madbor, Shibchar, Sarebish Rashi, Matbarer Char, Madaripur District, Dhaka Division, Bangladesh</t>
  </si>
  <si>
    <t>23.397192</t>
  </si>
  <si>
    <t xml:space="preserve">
90.12732</t>
  </si>
  <si>
    <t>76.57 Km</t>
  </si>
  <si>
    <t>5.25 km</t>
  </si>
  <si>
    <t>Chandra, Maligram, Bhanga Upazila, Faridpur District, Dhaka Division, Bangladesh</t>
  </si>
  <si>
    <t>23.366415</t>
  </si>
  <si>
    <t xml:space="preserve">
90.02565</t>
  </si>
  <si>
    <t>90.25 Km</t>
  </si>
  <si>
    <t>5.13 km</t>
  </si>
  <si>
    <t>Dhaka - Mawa Highway, Ekuria, Subhadya, Keraniganj, Dhaka, Bangladesh</t>
  </si>
  <si>
    <t>23.670969</t>
  </si>
  <si>
    <t xml:space="preserve">
90.39992</t>
  </si>
  <si>
    <t>17.12 Km</t>
  </si>
  <si>
    <t>223.84 m</t>
  </si>
  <si>
    <t>921.19 m</t>
  </si>
  <si>
    <t>1, Madrasha Goli, West Dolairpar, Shyampur, Ward-87, Dcc (Sutrapur), Dhaka, Dhaka, Bangladesh</t>
  </si>
  <si>
    <t>23.701336</t>
  </si>
  <si>
    <t xml:space="preserve">
90.43493</t>
  </si>
  <si>
    <t>12.25 Km</t>
  </si>
  <si>
    <t>3.08 km</t>
  </si>
  <si>
    <t>791, Daniya Bazar Road, Shyampur, Dhania (Part), Shampur, Dhaka, Dhaka 1236, Bangladesh</t>
  </si>
  <si>
    <t>23.700945</t>
  </si>
  <si>
    <t xml:space="preserve">
90.44396</t>
  </si>
  <si>
    <t>12.71 Km</t>
  </si>
  <si>
    <t>3.98 km</t>
  </si>
  <si>
    <t>Road Number 2, Matuail, Matuail (Part), Demra, Dhaka, Dhaka 1361, Bangladesh</t>
  </si>
  <si>
    <t>23.695873</t>
  </si>
  <si>
    <t xml:space="preserve">
90.47375</t>
  </si>
  <si>
    <t>15.57 Km</t>
  </si>
  <si>
    <t>1.33 km</t>
  </si>
  <si>
    <t>Shimrail, Siddhirganj, Simrail, Siddirganj, Narayanganj Sadar, Narayanganj, Dhaka 1361, Bangladesh</t>
  </si>
  <si>
    <t>23.70675</t>
  </si>
  <si>
    <t xml:space="preserve">
90.51094</t>
  </si>
  <si>
    <t>18.23 Km</t>
  </si>
  <si>
    <t>2.59 km</t>
  </si>
  <si>
    <t>1361, Golakata-Shukursi Road, Shimrail, Dhaka, Siddirganj, Narayanganj Sadar Upazila, Narayanganj District, Bangladesh, 1361</t>
  </si>
  <si>
    <t>4.75 km</t>
  </si>
  <si>
    <t>আলী আহমেদ চুনকা সড়ক, Siddhirganj, Adamjee, Siddirganj (Part), Sumil Para, Narayanganj Sadar, Narayanganj, Dhaka, Bangladesh</t>
  </si>
  <si>
    <t>23.68375</t>
  </si>
  <si>
    <t>21.22 Km</t>
  </si>
  <si>
    <t>907.24 m</t>
  </si>
  <si>
    <t>Godenail, Godnail, Narayanganj Sadar, Narayanganj, Dhaka, Bangladesh</t>
  </si>
  <si>
    <t>23.64106</t>
  </si>
  <si>
    <t xml:space="preserve">
90.516754</t>
  </si>
  <si>
    <t>26.83 Km</t>
  </si>
  <si>
    <t>1.38 km</t>
  </si>
  <si>
    <t>হাজীগঞ্জ রোড, IET School Bus Stop, Kellarpool, Fatullah, Narayanganj Sadar, Narayanganj, Dhaka 1400, Bangladesh</t>
  </si>
  <si>
    <t>23.634398</t>
  </si>
  <si>
    <t xml:space="preserve">
90.51161</t>
  </si>
  <si>
    <t>27.32 Km</t>
  </si>
  <si>
    <t>2.47 km</t>
  </si>
  <si>
    <t>Port Road, Kadamrasul, Paurashava, Narayanganj Sadar, Narayanganj, Dhaka, Bangladesh</t>
  </si>
  <si>
    <t>23.62228</t>
  </si>
  <si>
    <t xml:space="preserve">
90.50874</t>
  </si>
  <si>
    <t>28.83 Km</t>
  </si>
  <si>
    <t>76, South G Road, SITALAKHYA, Paurashava, Narayanganj Sadar, Narayanganj, Dhaka 1400, Bangladesh</t>
  </si>
  <si>
    <t>23.600817</t>
  </si>
  <si>
    <t xml:space="preserve">
90.50243</t>
  </si>
  <si>
    <t>31.57 Km</t>
  </si>
  <si>
    <t>731.82 m</t>
  </si>
  <si>
    <t>Nambihin Rasta, Sonakanda, Kalagachhia, Bandar, Narayanganj, Dhaka, Bangladesh</t>
  </si>
  <si>
    <t>23.60449</t>
  </si>
  <si>
    <t xml:space="preserve">
90.50839</t>
  </si>
  <si>
    <t>31.42 Km</t>
  </si>
  <si>
    <t>2.07 km</t>
  </si>
  <si>
    <t>171, bongobondhu road, Luthfa Towar, Chasara Commercial Area, Chashara, Paurashava, Narayanganj Sadar, Narayanganj, Dhaka 1400, Bangladesh</t>
  </si>
  <si>
    <t>23.623047</t>
  </si>
  <si>
    <t xml:space="preserve">
90.5011</t>
  </si>
  <si>
    <t>28.15 Km</t>
  </si>
  <si>
    <t>802.46 m</t>
  </si>
  <si>
    <t>287, Paikpara, Goalbanda, Kashipur, Narayanganj Sadar, Narayanganj, Dhaka, Bangladesh</t>
  </si>
  <si>
    <t>23.605045</t>
  </si>
  <si>
    <t xml:space="preserve">
90.49605</t>
  </si>
  <si>
    <t>30.53 Km</t>
  </si>
  <si>
    <t>1.72 km</t>
  </si>
  <si>
    <t>বঙ্গবন্ধু সড়ক, Paurashava, Narayanganj Sadar, Narayanganj, Dhaka, Bangladesh</t>
  </si>
  <si>
    <t>23.620768</t>
  </si>
  <si>
    <t xml:space="preserve">
90.49985</t>
  </si>
  <si>
    <t>28.41 Km</t>
  </si>
  <si>
    <t>1.62 km</t>
  </si>
  <si>
    <t>180, Nalua Road, Nalua, Nitaigonj, Paurashava, Narayanganj Sadar, Narayanganj, Dhaka 1400, Bangladesh</t>
  </si>
  <si>
    <t>23.605639</t>
  </si>
  <si>
    <t xml:space="preserve">
90.50346</t>
  </si>
  <si>
    <t>30.91 Km</t>
  </si>
  <si>
    <t>Sher E Bangla Road, Masdair, Bara Dewbhog (Part), Kashipur, Narayanganj Sadar, Narayanganj, Dhaka, Bangladesh</t>
  </si>
  <si>
    <t>23.617228</t>
  </si>
  <si>
    <t xml:space="preserve">
90.493904</t>
  </si>
  <si>
    <t>28.54 Km</t>
  </si>
  <si>
    <t>3.22 km</t>
  </si>
  <si>
    <t>Chashara Hajigonj Rail Line Road, Chanmari, Tolla, Khanpur (Part), Fatullah, Narayanganj Sadar, Narayanganj, Dhaka, Bangladesh</t>
  </si>
  <si>
    <t>23.630428</t>
  </si>
  <si>
    <t xml:space="preserve">
90.501686</t>
  </si>
  <si>
    <t>27.11 Km</t>
  </si>
  <si>
    <t>4.31 km</t>
  </si>
  <si>
    <t>ঢাকেস্বরী - জালকুরী বড়, Godenail, Donkunda, Godnail, Narayanganj Sadar, Narayanganj, Dhaka 1432, Bangladesh</t>
  </si>
  <si>
    <t>23.65797</t>
  </si>
  <si>
    <t xml:space="preserve">
90.511375</t>
  </si>
  <si>
    <t>24.07 Km</t>
  </si>
  <si>
    <t>1.41 km</t>
  </si>
  <si>
    <t>Road Number 5, Siddhirganj Housing, Ati, Siddirganj, Narayanganj Sadar, Narayanganj, Dhaka, Bangladesh</t>
  </si>
  <si>
    <t>23.696646</t>
  </si>
  <si>
    <t xml:space="preserve">
90.51388</t>
  </si>
  <si>
    <t>19.64 Km</t>
  </si>
  <si>
    <t>1361, Golakata-Shukursi Road, Shimrail, Dhaka, Simrail, Siddirganj, Narayanganj Sadar Upazila, Narayanganj District, Bangladesh, 1361</t>
  </si>
  <si>
    <t>23.694128</t>
  </si>
  <si>
    <t xml:space="preserve">
90.518974</t>
  </si>
  <si>
    <t>20.5 Km</t>
  </si>
  <si>
    <t>1.23 km</t>
  </si>
  <si>
    <t>395.03 m</t>
  </si>
  <si>
    <t>House 4, Road 21, Gulshan 1, Ward-19, Gulshan, Dhaka, Dhaka 1212, Bangladesh</t>
  </si>
  <si>
    <t>23.781366</t>
  </si>
  <si>
    <t xml:space="preserve">
90.41578</t>
  </si>
  <si>
    <t>1.46 Km</t>
  </si>
  <si>
    <t>1.85 km</t>
  </si>
  <si>
    <t>Plot No, 18, Baridhara J Block, Baridhara K Block, Badda, Ward-18, Gulshan, Dhaka, Dhaka 1212, Bangladesh</t>
  </si>
  <si>
    <t>23.799812</t>
  </si>
  <si>
    <t xml:space="preserve">
90.422844</t>
  </si>
  <si>
    <t>4.67 Km</t>
  </si>
  <si>
    <t>437.02 m</t>
  </si>
  <si>
    <t>304, NSU Main Campus Road, Basundhara Residential Area, Ward No-17 (Part), Badda, Dhaka, Dhaka, Bangladesh</t>
  </si>
  <si>
    <t>23.813684</t>
  </si>
  <si>
    <t xml:space="preserve">
90.42406</t>
  </si>
  <si>
    <t>6.97 Km</t>
  </si>
  <si>
    <t>224.34 m</t>
  </si>
  <si>
    <t>2.11 km</t>
  </si>
  <si>
    <t>Gulshan Pink City Shopping Center, 14b, Gulshan Avenue, Gulshan 2, Ward-19, Gulshan, Dhaka, Dhaka 1212, Bangladesh</t>
  </si>
  <si>
    <t>23.79236</t>
  </si>
  <si>
    <t xml:space="preserve">
90.41603</t>
  </si>
  <si>
    <t>3.29 Km</t>
  </si>
  <si>
    <t>405.17 m</t>
  </si>
  <si>
    <t>2.75 km</t>
  </si>
  <si>
    <t>Hatir Jheel Link Road, Kunipara, Tejgaon Industrial Area, Ward-37, Tejgaon, Dhaka, Dhaka 1212, Bangladesh</t>
  </si>
  <si>
    <t>23.763958</t>
  </si>
  <si>
    <t xml:space="preserve">
90.409904</t>
  </si>
  <si>
    <t>1.69 Km</t>
  </si>
  <si>
    <t>1.87 km</t>
  </si>
  <si>
    <t>Circuit House Jame Masjid, 18, Shaheed Captain Monsur Ali Sharani, Kakrail, Ward-53, Ramna, Dhaka, Dhaka 1000, Bangladesh</t>
  </si>
  <si>
    <t>23.739412</t>
  </si>
  <si>
    <t xml:space="preserve">
90.40664</t>
  </si>
  <si>
    <t>5.7 Km</t>
  </si>
  <si>
    <t>5.2 km</t>
  </si>
  <si>
    <t>Nagar Plaza , Underground, 175, Siddique Bazar, Old Dhaka, Bangshal, Ward-70, Kotwali, Dhaka, Dhaka, Bangladesh</t>
  </si>
  <si>
    <t>23.72264</t>
  </si>
  <si>
    <t xml:space="preserve">
90.40845</t>
  </si>
  <si>
    <t>8.41 Km</t>
  </si>
  <si>
    <t>1.58 km</t>
  </si>
  <si>
    <t>Radhaballav Road, Paurashava, Rangpur Sadar, Rangpur, Rangpur 5400, Bangladesh</t>
  </si>
  <si>
    <t>25.762878</t>
  </si>
  <si>
    <t xml:space="preserve">
89.24596</t>
  </si>
  <si>
    <t>376.27 Km</t>
  </si>
  <si>
    <t>3.35 km</t>
  </si>
  <si>
    <t>around Paschim Nil Kontho Jame Masjid, Nil Kontho Rd, Rangpur, Bangladesh</t>
  </si>
  <si>
    <t>25.752949</t>
  </si>
  <si>
    <t xml:space="preserve">
89.23461</t>
  </si>
  <si>
    <t>375.63 Km</t>
  </si>
  <si>
    <t>2.7 km</t>
  </si>
  <si>
    <t>Pandar Dighi Khatkhatia Road, Pashuram, Rangpur Sadar, Rangpur, Bangladesh</t>
  </si>
  <si>
    <t>25.782146</t>
  </si>
  <si>
    <t xml:space="preserve">
89.24284</t>
  </si>
  <si>
    <t>379.32 Km</t>
  </si>
  <si>
    <t>3.62 km</t>
  </si>
  <si>
    <t>Daktar Para Road, Chabbish Hazari, Pashuram, Rangpur Sadar, Rangpur, Bangladesh</t>
  </si>
  <si>
    <t>25.805908</t>
  </si>
  <si>
    <t xml:space="preserve">
89.237175</t>
  </si>
  <si>
    <t>383.22 Km</t>
  </si>
  <si>
    <t>2.68 km</t>
  </si>
  <si>
    <t>Rangpur - Barabil Road, Nabanidas, Gangachara, Gangachara, Rangpur, Bangladesh</t>
  </si>
  <si>
    <t>25.836153</t>
  </si>
  <si>
    <t xml:space="preserve">
89.22385</t>
  </si>
  <si>
    <t>388.61 Km</t>
  </si>
  <si>
    <t>Nambihin Rasta, Dhamur, Kolkanda, Gangachara, Rangpur, Bangladesh</t>
  </si>
  <si>
    <t>25.85823</t>
  </si>
  <si>
    <t xml:space="preserve">
89.21309</t>
  </si>
  <si>
    <t>392.62 Km</t>
  </si>
  <si>
    <t>5.89 km</t>
  </si>
  <si>
    <t>2, Kachari Bazar Road, Paurashava, Rangpur Sadar, Rangpur, Rangpur 5400, Bangladesh</t>
  </si>
  <si>
    <t>25.753572</t>
  </si>
  <si>
    <t xml:space="preserve">
89.24608</t>
  </si>
  <si>
    <t>374.89 Km</t>
  </si>
  <si>
    <t>624.25 m</t>
  </si>
  <si>
    <t>488a, Shapla Road, Ganeshpur, Paurashava, Rangpur Sadar, Rangpur, Rangpur 5400, Bangladesh</t>
  </si>
  <si>
    <t>25.74244</t>
  </si>
  <si>
    <t xml:space="preserve">
89.2534</t>
  </si>
  <si>
    <t>372.74 Km</t>
  </si>
  <si>
    <t>7, Mulatol Road, Paurashava, Rangpur Sadar, Rangpur, Rangpur 5400, Bangladesh</t>
  </si>
  <si>
    <t>25.742702</t>
  </si>
  <si>
    <t xml:space="preserve">
89.24718</t>
  </si>
  <si>
    <t>373.22 Km</t>
  </si>
  <si>
    <t>599.53 m</t>
  </si>
  <si>
    <t>41, কেরাণীপাড়া রোড, Shama Sundori Lake Park, Kachari Bazaar, Paurashava, Rangpur Sadar, Rangpur, Rangpur, Bangladesh</t>
  </si>
  <si>
    <t>25.752602</t>
  </si>
  <si>
    <t xml:space="preserve">
89.24327</t>
  </si>
  <si>
    <t>374.95 Km</t>
  </si>
  <si>
    <t>395.7 m</t>
  </si>
  <si>
    <t>Police Line Road, Paurashava, Rangpur Sadar, Rangpur, Rangpur 5400, Bangladesh</t>
  </si>
  <si>
    <t>25.754694</t>
  </si>
  <si>
    <t xml:space="preserve">
89.24879</t>
  </si>
  <si>
    <t>374.86 Km</t>
  </si>
  <si>
    <t>628.63 m</t>
  </si>
  <si>
    <t>Rangpur College Road, Paurashava, Rangpur Sadar, Rangpur, Rangpur, Bangladesh</t>
  </si>
  <si>
    <t>25.757515</t>
  </si>
  <si>
    <t xml:space="preserve">
89.24638</t>
  </si>
  <si>
    <t>375.45 Km</t>
  </si>
  <si>
    <t>950.29 m</t>
  </si>
  <si>
    <t>DCPUK Debi Chowdhurani Pa lli Unnayan Kendra, Shatgara Mistri Paara Road, Rangpur, Paurashava, Bangladesh</t>
  </si>
  <si>
    <t>25.747831</t>
  </si>
  <si>
    <t xml:space="preserve">
89.2354</t>
  </si>
  <si>
    <t>374.82 Km</t>
  </si>
  <si>
    <t>6, Lal Kuthi Road, Dhap, Paurashava, Rangpur Sadar, Rangpur, Rangpur, Bangladesh</t>
  </si>
  <si>
    <t>25.760445</t>
  </si>
  <si>
    <t xml:space="preserve">
89.2337</t>
  </si>
  <si>
    <t>376.79 Km</t>
  </si>
  <si>
    <t>1, College Road, Paurashava, Rangpur Sadar, Rangpur, Rangpur 5402, Bangladesh</t>
  </si>
  <si>
    <t>25.7367</t>
  </si>
  <si>
    <t xml:space="preserve">
89.25274</t>
  </si>
  <si>
    <t>371.94 Km</t>
  </si>
  <si>
    <t>Road Number 03, Paurashava, Rangpur Sadar, Rangpur, Rangpur 5402, Bangladesh</t>
  </si>
  <si>
    <t>25.737503</t>
  </si>
  <si>
    <t xml:space="preserve">
89.26467</t>
  </si>
  <si>
    <t>371.21 Km</t>
  </si>
  <si>
    <t>Jummapara Chruch Lane, Paurashava, Rangpur Sadar, Rangpur, Rangpur, Bangladesh</t>
  </si>
  <si>
    <t>25.759201</t>
  </si>
  <si>
    <t xml:space="preserve">
89.25672</t>
  </si>
  <si>
    <t>374.96 Km</t>
  </si>
  <si>
    <t>Chickli Park Trail, Rangpur, Paurashava, Bangladesh, 5400</t>
  </si>
  <si>
    <t>1.94 km</t>
  </si>
  <si>
    <t>75, Gurrati Paara Road, Paurashava, Rangpur Sadar, Rangpur, Rangpur, Bangladesh</t>
  </si>
  <si>
    <t>25.74574</t>
  </si>
  <si>
    <t xml:space="preserve">
89.24183</t>
  </si>
  <si>
    <t>374.05 Km</t>
  </si>
  <si>
    <t>Z5025, Pirzabad, Word No 13, Shatgara, Rampura, Satgara, Rangpur Sadar, Rangpur, Bangladesh</t>
  </si>
  <si>
    <t>25.743238</t>
  </si>
  <si>
    <t xml:space="preserve">
89.22264</t>
  </si>
  <si>
    <t>375.08 Km</t>
  </si>
  <si>
    <t>Road, Pirzabad (Part-B), Satgara, Rangpur Sadar, Rangpur, Rangpur, Bangladesh</t>
  </si>
  <si>
    <t>25.733782</t>
  </si>
  <si>
    <t xml:space="preserve">
89.226616</t>
  </si>
  <si>
    <t>373.41 Km</t>
  </si>
  <si>
    <t>717.59 m</t>
  </si>
  <si>
    <t>36, Cantonment Road, Paurashava, Rangpur Sadar, Rangpur, Rangpur, Bangladesh</t>
  </si>
  <si>
    <t>25.752705</t>
  </si>
  <si>
    <t xml:space="preserve">
89.2317</t>
  </si>
  <si>
    <t>375.8 Km</t>
  </si>
  <si>
    <t>3.1 km</t>
  </si>
  <si>
    <t>Gurati Para Ranagpur, 75/1, Gurrati Paara Road, Rangpur, Paurashava, Bangladesh, 5400</t>
  </si>
  <si>
    <t>25.746334</t>
  </si>
  <si>
    <t xml:space="preserve">
89.23055</t>
  </si>
  <si>
    <t>02, Rangpur City Bypass, College Para, দর্শনা, Binodpur, Paurashava, Rangpur Sadar, রংপুর জেলা, রংপুর বিভাগ 5405, Bangladesh</t>
  </si>
  <si>
    <t>25.721363</t>
  </si>
  <si>
    <t xml:space="preserve">
89.24433</t>
  </si>
  <si>
    <t>370.3 Km</t>
  </si>
  <si>
    <t>N5, Darshana, Taluk Dharmadas, Tamphat, Rangpur Sadar, Rangpur, Bangladesh</t>
  </si>
  <si>
    <t>25.701923</t>
  </si>
  <si>
    <t xml:space="preserve">
89.2641</t>
  </si>
  <si>
    <t>366.03 Km</t>
  </si>
  <si>
    <t>9.77 km</t>
  </si>
  <si>
    <t>Dhaka - Rangpur Highway, পায়রাবন্দ, Abhirampur Nurpur, Pairaband, Mithapukur, রংপুর জেলা, রংপুর বিভাগ, Bangladesh</t>
  </si>
  <si>
    <t>25.633404</t>
  </si>
  <si>
    <t xml:space="preserve">
89.26732</t>
  </si>
  <si>
    <t>355.81 Km</t>
  </si>
  <si>
    <t>9.07 km</t>
  </si>
  <si>
    <t>Tulshipur Road, Tulasipur, Durgapur, Mithapukur, Rangpur, Bangladesh</t>
  </si>
  <si>
    <t>25.545893</t>
  </si>
  <si>
    <t xml:space="preserve">
89.27584</t>
  </si>
  <si>
    <t>342.54 Km</t>
  </si>
  <si>
    <t>6 km</t>
  </si>
  <si>
    <t>Bogura - Rangpur Highway, Dasar Para, Bara Dargah, Pirganj, Rangpur, Bangladesh</t>
  </si>
  <si>
    <t>25.466248</t>
  </si>
  <si>
    <t xml:space="preserve">
89.29539</t>
  </si>
  <si>
    <t>329.63 Km</t>
  </si>
  <si>
    <t>11.46 km</t>
  </si>
  <si>
    <t>Nambihin Rasta, Osmanpur, Pirganj Union, Pirganj, Rangpur, Bangladesh</t>
  </si>
  <si>
    <t>25.415586</t>
  </si>
  <si>
    <t xml:space="preserve">
89.31605</t>
  </si>
  <si>
    <t>320.79 Km</t>
  </si>
  <si>
    <t>4.63 km</t>
  </si>
  <si>
    <t>Kabilpur Road, Nij Kabilpur, Kabilpur, Pirganj, Rangpur, Bangladesh</t>
  </si>
  <si>
    <t>25.31391</t>
  </si>
  <si>
    <t xml:space="preserve">
89.334755</t>
  </si>
  <si>
    <t>304.94 Km</t>
  </si>
  <si>
    <t>9.11 km</t>
  </si>
  <si>
    <t>প্রধান পাড়া রোড, Jamalpur, Palashbari, Palashbari, Gaibandha, Rangpur, Bangladesh</t>
  </si>
  <si>
    <t>25.280987</t>
  </si>
  <si>
    <t xml:space="preserve">
89.36296</t>
  </si>
  <si>
    <t>298.02 Km</t>
  </si>
  <si>
    <t>Niamatpur, Kaliganj, Jhenaidah, Khulna, Bangladesh</t>
  </si>
  <si>
    <t>23.399357</t>
  </si>
  <si>
    <t xml:space="preserve">
89.14748</t>
  </si>
  <si>
    <t>203.74 Km</t>
  </si>
  <si>
    <t>Bara Raigram, Roygram, Kaliganj, Jhenaidah, Khulna, Bangladesh</t>
  </si>
  <si>
    <t>23.391293</t>
  </si>
  <si>
    <t xml:space="preserve">
89.14086</t>
  </si>
  <si>
    <t>205.12 Km</t>
  </si>
  <si>
    <t>977.32 m</t>
  </si>
  <si>
    <t>03, Hospital Road, Foyla, Paurashava, Kaliganj, Jhenaidah, Khulna, Bangladesh</t>
  </si>
  <si>
    <t>23.408144</t>
  </si>
  <si>
    <t xml:space="preserve">
89.147316</t>
  </si>
  <si>
    <t>203.31 Km</t>
  </si>
  <si>
    <t>4.06 km</t>
  </si>
  <si>
    <t>Rocky Ahmed, Paurashava, Kaliganj, Jhenaidah, Khulna, Bangladesh</t>
  </si>
  <si>
    <t>23.39938</t>
  </si>
  <si>
    <t xml:space="preserve">
89.1284</t>
  </si>
  <si>
    <t>206.51 Km</t>
  </si>
  <si>
    <t>6.5 km</t>
  </si>
  <si>
    <t>Jessore - Jhenaidah Highway, Kayargachhi, Moharajpur, Jhenaidah Sadar Upazila, Jhenaidah District, Khulna Division, Bangladesh</t>
  </si>
  <si>
    <t>23.43588</t>
  </si>
  <si>
    <t xml:space="preserve">
89.129944</t>
  </si>
  <si>
    <t>204.5 Km</t>
  </si>
  <si>
    <t>8.51 km</t>
  </si>
  <si>
    <t>Nambihin Rasta, Chutlia Village, Karati Para, Naldanga, Jhenaidah Sadar, Jhenaidah, Khulna, Bangladesh</t>
  </si>
  <si>
    <t>23.487879</t>
  </si>
  <si>
    <t xml:space="preserve">
89.15914</t>
  </si>
  <si>
    <t>197.92 Km</t>
  </si>
  <si>
    <t>7.06 km</t>
  </si>
  <si>
    <t>Kushtia - Jhenaidah Road, Khajura (Part), Paurashava, Jhenaidah Sadar, Jhenaidah, Khulna, Bangladesh</t>
  </si>
  <si>
    <t>23.563528</t>
  </si>
  <si>
    <t xml:space="preserve">
89.17201</t>
  </si>
  <si>
    <t>193.28 Km</t>
  </si>
  <si>
    <t>6.99 km</t>
  </si>
  <si>
    <t>Bhatai Bazar, Chandpur, Fulhari, Shailkupa, Jhenaidah, Khulna, Bangladesh</t>
  </si>
  <si>
    <t>23.624207</t>
  </si>
  <si>
    <t xml:space="preserve">
89.19226</t>
  </si>
  <si>
    <t>188.6 Km</t>
  </si>
  <si>
    <t>8.09 km</t>
  </si>
  <si>
    <t>Nambihin Rasta, Rotonpur, Rajnagar, Mirzapur, Shailkupa, Jhenaidah, Khulna, Bangladesh</t>
  </si>
  <si>
    <t>23.681826</t>
  </si>
  <si>
    <t xml:space="preserve">
89.16491</t>
  </si>
  <si>
    <t>191.7 Km</t>
  </si>
  <si>
    <t>15.55 km</t>
  </si>
  <si>
    <t>Kushtia - Jhenaidah Road, Harinarayanpur, Krittinagar, Abdulpur, Kustia Sadar, Kushtia, Khulna, Bangladesh</t>
  </si>
  <si>
    <t>23.746822</t>
  </si>
  <si>
    <t xml:space="preserve">
89.12931</t>
  </si>
  <si>
    <t>196.53 Km</t>
  </si>
  <si>
    <t>6.84 km</t>
  </si>
  <si>
    <t>MRS Industries Limited, Kushtia - Jhenaidah Highway, BSCIC, Chechua, Jagati, Kustia Sadar, Kushtia, Khulna 7002, Bangladesh</t>
  </si>
  <si>
    <t>23.883978</t>
  </si>
  <si>
    <t xml:space="preserve">
89.09945</t>
  </si>
  <si>
    <t>201.79 Km</t>
  </si>
  <si>
    <t>9.6 km</t>
  </si>
  <si>
    <t>Barkhada, Gobindapur, Talbaria, Mirpur, Kushtia, Khulna, Bangladesh</t>
  </si>
  <si>
    <t>23.943743</t>
  </si>
  <si>
    <t xml:space="preserve">
89.08336</t>
  </si>
  <si>
    <t>205.33 Km</t>
  </si>
  <si>
    <t>6.86 km</t>
  </si>
  <si>
    <t>Chandgram, Paschim Bahir Char, Bahir Char, Bheramara Upazila, Kushtia District, Khulna Division, Bangladesh</t>
  </si>
  <si>
    <t>23.997637</t>
  </si>
  <si>
    <t xml:space="preserve">
89.00957</t>
  </si>
  <si>
    <t>217.81 Km</t>
  </si>
  <si>
    <t>8.35 km</t>
  </si>
  <si>
    <t>Baccu Store, Paschim Bahir Char, Bahir Char, Bheramara Upazila, Kushtia District, Khulna Division, Bangladesh</t>
  </si>
  <si>
    <t>24.05924</t>
  </si>
  <si>
    <t xml:space="preserve">
89.01346</t>
  </si>
  <si>
    <t>219.18 Km</t>
  </si>
  <si>
    <t>5.15 km</t>
  </si>
  <si>
    <t>Tetultola Road, Mirkamari, Char Silimpur, Silimpur, Ishwardi, Pabna, Rajshahi, Bangladesh</t>
  </si>
  <si>
    <t>24.086054</t>
  </si>
  <si>
    <t xml:space="preserve">
89.09023</t>
  </si>
  <si>
    <t>208.82 Km</t>
  </si>
  <si>
    <t>Road, Dasuria, Saraikandi, Muladuli, Ishwardi Upazila, Pabna District, Rajshahi Division, Bangladesh</t>
  </si>
  <si>
    <t>24.122334</t>
  </si>
  <si>
    <t xml:space="preserve">
89.121826</t>
  </si>
  <si>
    <t>205.76 Km</t>
  </si>
  <si>
    <t>7.87 km</t>
  </si>
  <si>
    <t>Rajshahi - Pabna Highway, Purnakalas, Gopalpur, Baraigram, Natore, Rajshahi, Bangladesh</t>
  </si>
  <si>
    <t>24.172821</t>
  </si>
  <si>
    <t xml:space="preserve">
89.13953</t>
  </si>
  <si>
    <t>205.72 Km</t>
  </si>
  <si>
    <t>Rajshahi - Pabna Highway, Kadam Chilan, Nagar, Baraigram, Natore District, Rajshahi Division, Bangladesh</t>
  </si>
  <si>
    <t>24.2405</t>
  </si>
  <si>
    <t xml:space="preserve">
89.11668</t>
  </si>
  <si>
    <t>212.83 Km</t>
  </si>
  <si>
    <t>7.15 km</t>
  </si>
  <si>
    <t>Kalikapur Road, Bonpara, Kalikapur, Joari, Baraigram, Natore, Rajshahi, Bangladesh</t>
  </si>
  <si>
    <t>24.30424</t>
  </si>
  <si>
    <t xml:space="preserve">
89.07815</t>
  </si>
  <si>
    <t>222.28 Km</t>
  </si>
  <si>
    <t>7.43 km</t>
  </si>
  <si>
    <t>Arjunpur Govt. primary school, Arjunpur, Halsa, Natore Sadar Upazila, Natore District, Rajshahi Division, Bangladesh</t>
  </si>
  <si>
    <t>24.36582</t>
  </si>
  <si>
    <t xml:space="preserve">
89.05798</t>
  </si>
  <si>
    <t>229.29 Km</t>
  </si>
  <si>
    <t>7.54 km</t>
  </si>
  <si>
    <t>Dhaka - Natore Highway, Nator, Paurashava, Natore Sadar, Natore, Rajshahi, Bangladesh</t>
  </si>
  <si>
    <t>24.411333</t>
  </si>
  <si>
    <t xml:space="preserve">
89.00431</t>
  </si>
  <si>
    <t>239.93 Km</t>
  </si>
  <si>
    <t>8.72 km</t>
  </si>
  <si>
    <t>Naldanga, Ataikula, Lalore, Singra, Natore, Rajshahi, Bangladesh</t>
  </si>
  <si>
    <t>24.454256</t>
  </si>
  <si>
    <t xml:space="preserve">
89.06199</t>
  </si>
  <si>
    <t>235.43 Km</t>
  </si>
  <si>
    <t>7.42 km</t>
  </si>
  <si>
    <t>Natore Road, Balubhora, Singra Paurashava, Singra, Natore, Rajshahi, Bangladesh</t>
  </si>
  <si>
    <t>24.4991</t>
  </si>
  <si>
    <t xml:space="preserve">
89.13271</t>
  </si>
  <si>
    <t>229.88 Km</t>
  </si>
  <si>
    <t>10.3 km</t>
  </si>
  <si>
    <t>Natore Road, Chowgram, Chaugaon, Chaugram, Singra, Natore, Rajshahi, Bangladesh</t>
  </si>
  <si>
    <t>24.543938</t>
  </si>
  <si>
    <t xml:space="preserve">
89.187004</t>
  </si>
  <si>
    <t>227.03 Km</t>
  </si>
  <si>
    <t>10.53 km</t>
  </si>
  <si>
    <t>Nambihin Rasta, Alaipur, Bijoyghat, Nandigram, Bogra, Rajshahi, Bangladesh</t>
  </si>
  <si>
    <t>24.6182</t>
  </si>
  <si>
    <t xml:space="preserve">
89.24783</t>
  </si>
  <si>
    <t>226.9 Km</t>
  </si>
  <si>
    <t>8.22 km</t>
  </si>
  <si>
    <t>Rupihar, Gohail, Shajahanpur, Bogra, Rajshahi, Bangladesh</t>
  </si>
  <si>
    <t>24.701647</t>
  </si>
  <si>
    <t xml:space="preserve">
89.29712</t>
  </si>
  <si>
    <t>230.16 Km</t>
  </si>
  <si>
    <t>6.09 km</t>
  </si>
  <si>
    <t>Bogura - Natore Highway, Chandibar, Kharna, Shajahanpur, Bogra, Rajshahi, Bangladesh</t>
  </si>
  <si>
    <t>24.760662</t>
  </si>
  <si>
    <t xml:space="preserve">
89.34609</t>
  </si>
  <si>
    <t>231.57 Km</t>
  </si>
  <si>
    <t>5.91 km</t>
  </si>
  <si>
    <t>Road 501, Gondagram, Sultanganj, Shajahanpur, Bogra, Rajshahi 5800, Bangladesh</t>
  </si>
  <si>
    <t>24.812473</t>
  </si>
  <si>
    <t xml:space="preserve">
89.36571</t>
  </si>
  <si>
    <t>235.74 Km</t>
  </si>
  <si>
    <t>7.24 km</t>
  </si>
  <si>
    <t>Bogra City Bypass, Uposhohor, Bogura, Nishindara (Part-B), Nishindara, Bogra Sadar, Bogra, Rajshahi, Bangladesh</t>
  </si>
  <si>
    <t>24.864332</t>
  </si>
  <si>
    <t xml:space="preserve">
89.352684</t>
  </si>
  <si>
    <t>243.46 Km</t>
  </si>
  <si>
    <t>8.74 km</t>
  </si>
  <si>
    <t>Nambihin Rasta, Gokul, Telihara, Sekherkola, Bogra Sadar, Bogra, Rajshahi, Bangladesh</t>
  </si>
  <si>
    <t>24.929373</t>
  </si>
  <si>
    <t xml:space="preserve">
89.35486</t>
  </si>
  <si>
    <t>251.44 Km</t>
  </si>
  <si>
    <t>10.72 km</t>
  </si>
  <si>
    <t>Dhaka - Rangpur Highway, Mokamtola, Muradpur, Mokamtala, Shibganj, Bogra, Rajshahi, Bangladesh</t>
  </si>
  <si>
    <t>25.006243</t>
  </si>
  <si>
    <t xml:space="preserve">
89.37313</t>
  </si>
  <si>
    <t>259.67 Km</t>
  </si>
  <si>
    <t>8.75 km</t>
  </si>
  <si>
    <t>Nambihin Rasta, Gobindogonj, Barna Chandra Sekhar, Kamardaha, Gobindaganj, Gaibandha, Rangpur, Bangladesh</t>
  </si>
  <si>
    <t>25.102566</t>
  </si>
  <si>
    <t xml:space="preserve">
89.37704</t>
  </si>
  <si>
    <t>272.19 Km</t>
  </si>
  <si>
    <t>11.87 km</t>
  </si>
  <si>
    <t>Tajpur, Taluk Kanupur, Gobindaganj, Gaibandha, Rangpur, Bangladesh</t>
  </si>
  <si>
    <t>25.178967</t>
  </si>
  <si>
    <t xml:space="preserve">
89.397736</t>
  </si>
  <si>
    <t>280.9 Km</t>
  </si>
  <si>
    <t>7.08 km</t>
  </si>
  <si>
    <t>11.03 km</t>
  </si>
  <si>
    <t>Dhaperhat Monikrishna Shen Degree College, Kabilpur, Bishnupur, Pirganj Upazila, Rangpur District, Rangpur Division, Bangladesh</t>
  </si>
  <si>
    <t>25.340473</t>
  </si>
  <si>
    <t xml:space="preserve">
89.33781</t>
  </si>
  <si>
    <t>308.43 Km</t>
  </si>
  <si>
    <t>12.92 km</t>
  </si>
  <si>
    <t>Nambihin Rasta, Makimpur, Pirganj, Pirganj, Rangpur, Bangladesh</t>
  </si>
  <si>
    <t>25.436281</t>
  </si>
  <si>
    <t xml:space="preserve">
89.30952</t>
  </si>
  <si>
    <t>324.25 Km</t>
  </si>
  <si>
    <t>11.93 km</t>
  </si>
  <si>
    <t>Dhaka - Rangpur Highway, Dulahapur, Durgapur, Mithapukur, Rangpur, Bangladesh</t>
  </si>
  <si>
    <t>25.549574</t>
  </si>
  <si>
    <t xml:space="preserve">
89.28112</t>
  </si>
  <si>
    <t>342.66 Km</t>
  </si>
  <si>
    <t>5.78 km</t>
  </si>
  <si>
    <t>Chuhar, Pairaband, Mithapukur, Rangpur, Bangladesh</t>
  </si>
  <si>
    <t>25.655952</t>
  </si>
  <si>
    <t xml:space="preserve">
89.265656</t>
  </si>
  <si>
    <t>359.21 Km</t>
  </si>
  <si>
    <t>2.73 km</t>
  </si>
  <si>
    <t>Nambihin Rasta, Darshana, Tamphat, Rangpur Sadar, Rangpur, Bangladesh</t>
  </si>
  <si>
    <t>25.706402</t>
  </si>
  <si>
    <t xml:space="preserve">
89.25185</t>
  </si>
  <si>
    <t>367.57 Km</t>
  </si>
  <si>
    <t>1.4 km</t>
  </si>
  <si>
    <t>Nambihin Rasta, Paurashava, Rangpur Sadar, Rangpur, Rangpur, Bangladesh</t>
  </si>
  <si>
    <t>25.730997</t>
  </si>
  <si>
    <t xml:space="preserve">
89.25198</t>
  </si>
  <si>
    <t>371.16 Km</t>
  </si>
  <si>
    <t>2.54 km</t>
  </si>
  <si>
    <t>25.737333</t>
  </si>
  <si>
    <t xml:space="preserve">
89.26409</t>
  </si>
  <si>
    <t>371.22 Km</t>
  </si>
  <si>
    <t>2.33 km</t>
  </si>
  <si>
    <t>175.45 m</t>
  </si>
  <si>
    <t>3, Bricks Lane, Kerani Para, Paurashava, Rangpur Sadar, Rangpur, Rangpur, Bangladesh</t>
  </si>
  <si>
    <t>25.749235</t>
  </si>
  <si>
    <t xml:space="preserve">
89.2362</t>
  </si>
  <si>
    <t>374.97 Km</t>
  </si>
  <si>
    <t>1.7 km</t>
  </si>
  <si>
    <t>33, Road, Paurashava, Rangpur Sadar, Rangpur, Rangpur 5400, Bangladesh</t>
  </si>
  <si>
    <t>25.765184</t>
  </si>
  <si>
    <t xml:space="preserve">
89.24452</t>
  </si>
  <si>
    <t>376.71 Km</t>
  </si>
  <si>
    <t>6.71 km</t>
  </si>
  <si>
    <t>Haji Para Road, Niamat, Paurashava, Rangpur Sadar, Rangpur, Rangpur, Bangladesh</t>
  </si>
  <si>
    <t>25.77509</t>
  </si>
  <si>
    <t xml:space="preserve">
89.23153</t>
  </si>
  <si>
    <t>379.09 Km</t>
  </si>
  <si>
    <t>Nambihin Rasta, Debiour, Haridebpur, Rangpur Sadar, Rangpur, Bangladesh</t>
  </si>
  <si>
    <t>25.796799</t>
  </si>
  <si>
    <t xml:space="preserve">
89.168976</t>
  </si>
  <si>
    <t>386.81 Km</t>
  </si>
  <si>
    <t>Horkoli Haat Road, Arazi Kismat Harakali, Haridebpur, Rangpur Sadar, Rangpur, Bangladesh</t>
  </si>
  <si>
    <t>25.807722</t>
  </si>
  <si>
    <t xml:space="preserve">
89.13783</t>
  </si>
  <si>
    <t>390.71 Km</t>
  </si>
  <si>
    <t>Gokulpur, Haridebpur, Rangpur Sadar, Rangpur, Bangladesh</t>
  </si>
  <si>
    <t>25.805002</t>
  </si>
  <si>
    <t xml:space="preserve">
89.153145</t>
  </si>
  <si>
    <t>389.17 Km</t>
  </si>
  <si>
    <t>4.28 km</t>
  </si>
  <si>
    <t>8.33 km</t>
  </si>
  <si>
    <t>Nambihin Rasta, Ekarchali, Lalchandpur, Khaleya, Gangachara, Rangpur, Bangladesh</t>
  </si>
  <si>
    <t>25.828522</t>
  </si>
  <si>
    <t xml:space="preserve">
89.10184</t>
  </si>
  <si>
    <t>396.43 Km</t>
  </si>
  <si>
    <t>Near UAO TARAGONG , R26C+8MM, Kursha, Rangpur Division, Bangladesh</t>
  </si>
  <si>
    <t>25.810404</t>
  </si>
  <si>
    <t xml:space="preserve">
89.021034</t>
  </si>
  <si>
    <t>400.15 Km</t>
  </si>
  <si>
    <t>Nambihin Rasta, Kursha, Khalisa Dhulia, Khata Madhupur, Saidpur, Nilphamari, Rangpur, Bangladesh</t>
  </si>
  <si>
    <t>25.814487</t>
  </si>
  <si>
    <t xml:space="preserve">
89.00274</t>
  </si>
  <si>
    <t>402.19 Km</t>
  </si>
  <si>
    <t>7.57 km</t>
  </si>
  <si>
    <t>Officer's Quarter, Rangpur - Dinajpur Highway, Ghanirampur, Kursha, Taraganj, Rangpur, Bangladesh</t>
  </si>
  <si>
    <t>25.80801</t>
  </si>
  <si>
    <t xml:space="preserve">
89.01875</t>
  </si>
  <si>
    <t>399.99 Km</t>
  </si>
  <si>
    <t>6.18 km</t>
  </si>
  <si>
    <t>Hajipur, Ekarchali, Taraganj, Rangpur, Bangladesh</t>
  </si>
  <si>
    <t>25.818785</t>
  </si>
  <si>
    <t xml:space="preserve">
89.09338</t>
  </si>
  <si>
    <t>395.68 Km</t>
  </si>
  <si>
    <t>7.65 km</t>
  </si>
  <si>
    <t>1.67 km</t>
  </si>
  <si>
    <t>CMH Quarter Road, Paurashava, Rangpur Sadar, Rangpur, Rangpur, Bangladesh</t>
  </si>
  <si>
    <t>25.76894</t>
  </si>
  <si>
    <t xml:space="preserve">
89.21817</t>
  </si>
  <si>
    <t>379.15 Km</t>
  </si>
  <si>
    <t>2.2 km</t>
  </si>
  <si>
    <t>Gangachara Road, Paurashava, Rangpur Sadar, Rangpur, Rangpur, Bangladesh</t>
  </si>
  <si>
    <t>25.770864</t>
  </si>
  <si>
    <t xml:space="preserve">
89.23475</t>
  </si>
  <si>
    <t>378.24 Km</t>
  </si>
  <si>
    <t>1.49 km</t>
  </si>
  <si>
    <t>2, Strand Road, 30 No. East Madarbari Ward, Ward-30, Chittagong, Chittagong 4202, Bangladesh</t>
  </si>
  <si>
    <t>22.321806</t>
  </si>
  <si>
    <t xml:space="preserve">
91.82642</t>
  </si>
  <si>
    <t>324.09 Km</t>
  </si>
  <si>
    <t>Cpdl Abode, 43, Yakub Nagar Road, Bakalia, Ward-33, Kotwali, Chittagong, Chittagong 4000, Bangladesh</t>
  </si>
  <si>
    <t>22.330614</t>
  </si>
  <si>
    <t xml:space="preserve">
91.837395</t>
  </si>
  <si>
    <t>324.15 Km</t>
  </si>
  <si>
    <t>Jugi Chand Mosjid Lane, 28 No. Pathantooly Ward, Ward-29, Double Mooring, Chittagong, Chittagong, Bangladesh</t>
  </si>
  <si>
    <t>22.330637</t>
  </si>
  <si>
    <t xml:space="preserve">
91.81982</t>
  </si>
  <si>
    <t>322.32 Km</t>
  </si>
  <si>
    <t>16, Station Road, 15 No. Bagmoniram Ward, Ward-31, Chittagong Kotwali Thana, Chittagong, Chittagong 4100, Bangladesh</t>
  </si>
  <si>
    <t>22.335722</t>
  </si>
  <si>
    <t xml:space="preserve">
91.823845</t>
  </si>
  <si>
    <t>322.11 Km</t>
  </si>
  <si>
    <t>482.63 m</t>
  </si>
  <si>
    <t>90, Muhuri Para Road, 24 No. North Agrabad Ward, Chattogram, Ward No-24 (Part), Halishahar, Chittagong, Bangladesh</t>
  </si>
  <si>
    <t>22.33152</t>
  </si>
  <si>
    <t xml:space="preserve">
91.80302</t>
  </si>
  <si>
    <t>320.47 Km</t>
  </si>
  <si>
    <t>South Agrabad, Chattogram, Ward-27, Double Mooring, Chittagong, Bangladesh</t>
  </si>
  <si>
    <t>22.327206</t>
  </si>
  <si>
    <t xml:space="preserve">
91.803535</t>
  </si>
  <si>
    <t>321.06 Km</t>
  </si>
  <si>
    <t>953.6 m</t>
  </si>
  <si>
    <t>Nambihin Rasta, 12 No. Sarai Para Ward, Ward-23, Double Mooring, Chittagong, Chittagong, Bangladesh</t>
  </si>
  <si>
    <t>22.342695</t>
  </si>
  <si>
    <t xml:space="preserve">
91.811066</t>
  </si>
  <si>
    <t>319.92 Km</t>
  </si>
  <si>
    <t>2.28 km</t>
  </si>
  <si>
    <t>CRB Building, Network antena, 15 No. Bagmoniram Ward, Ward-15, Chittagong Kotwali Thana, Chittagong, Chittagong, Bangladesh</t>
  </si>
  <si>
    <t>22.343645</t>
  </si>
  <si>
    <t xml:space="preserve">
91.820274</t>
  </si>
  <si>
    <t>320.76 Km</t>
  </si>
  <si>
    <t>Cpdl Abode, 43, Yakub Nagar Road, Bakalia, Ward-33, Chittagong Kotwali Thana, Chittagong, Chittagong 4000, Bangladesh</t>
  </si>
  <si>
    <t>5no, Nasu Malum By Lane, 30 No. East Madarbari Ward, Ward No-30 (Part), Double Mooring, Chittagong, Chittagong 4100, Bangladesh</t>
  </si>
  <si>
    <t>22.328049</t>
  </si>
  <si>
    <t xml:space="preserve">
91.82625</t>
  </si>
  <si>
    <t>323.3 Km</t>
  </si>
  <si>
    <t>23, Nandan Kanan No 1 Lane, Nandan Kanan, Ward-22, Kotwali, Chittagong, Chittagong, Bangladesh</t>
  </si>
  <si>
    <t>22.340727</t>
  </si>
  <si>
    <t xml:space="preserve">
91.83151</t>
  </si>
  <si>
    <t>322.29 Km</t>
  </si>
  <si>
    <t>804.08 m</t>
  </si>
  <si>
    <t>Mariner's Drive Road, ফিরিঙ্গি বাজার ঘাট, Bakalia, Ward-33, Chittagong Kotwali Thana, Chittagong, Chittagong, Bangladesh</t>
  </si>
  <si>
    <t>22.325726</t>
  </si>
  <si>
    <t xml:space="preserve">
91.83795</t>
  </si>
  <si>
    <t>324.81 Km</t>
  </si>
  <si>
    <t>48, Darogha Hat Road, 30 No. East Madarbari Ward, Ward No-30 (Part), Double Mooring, Chittagong, Chittagong 4000, Bangladesh</t>
  </si>
  <si>
    <t>22.32736</t>
  </si>
  <si>
    <t xml:space="preserve">
91.83033</t>
  </si>
  <si>
    <t>323.81 Km</t>
  </si>
  <si>
    <t>3.04 km</t>
  </si>
  <si>
    <t>321.89 Km</t>
  </si>
  <si>
    <t>979.35 m</t>
  </si>
  <si>
    <t>9, Road 01, Sulakbahar, Ward-08, CCC (Khulshi), Chittagong, Chittagong 4216, Bangladesh</t>
  </si>
  <si>
    <t>22.362797</t>
  </si>
  <si>
    <t xml:space="preserve">
91.81371</t>
  </si>
  <si>
    <t>426.6 m</t>
  </si>
  <si>
    <t>13 No. Pahartali Ward, Chattogram, Ward-13, CCC (Khulshi), Chittagong, Bangladesh</t>
  </si>
  <si>
    <t>22.354158</t>
  </si>
  <si>
    <t xml:space="preserve">
91.81186</t>
  </si>
  <si>
    <t>318.59 Km</t>
  </si>
  <si>
    <t>3.32 km</t>
  </si>
  <si>
    <t>54/A, Zakir Hossain Road, 13 No. Pahartali Ward, Ward-13, CCC (Khulshi), Chittagong, Chittagong 4225, Bangladesh</t>
  </si>
  <si>
    <t>22.35799</t>
  </si>
  <si>
    <t xml:space="preserve">
91.81209</t>
  </si>
  <si>
    <t>318.15 Km</t>
  </si>
  <si>
    <t>1.86 km</t>
  </si>
  <si>
    <t>Nambihin Rasta, East Firojshah Colony, 9 No. North Pahartali Ward, Chattogram, Ward-09, Khulshi, Chittagong 4207, Bangladesh</t>
  </si>
  <si>
    <t>22.37291</t>
  </si>
  <si>
    <t xml:space="preserve">
91.78417</t>
  </si>
  <si>
    <t>313.4 Km</t>
  </si>
  <si>
    <t>314.23 Km</t>
  </si>
  <si>
    <t>1.15 km</t>
  </si>
  <si>
    <t>315.14 Km</t>
  </si>
  <si>
    <t>Vet Chamber, 9, New Monsurabad Road, Akborshah, Ward-09, Khulshi, Chittagong, Chittagong 4207, Bangladesh</t>
  </si>
  <si>
    <t>22.369173</t>
  </si>
  <si>
    <t xml:space="preserve">
91.78242</t>
  </si>
  <si>
    <t>313.68 Km</t>
  </si>
  <si>
    <t>2.37 km</t>
  </si>
  <si>
    <t>Saraipara, 10 No. North Kattali Ward, Chattogram, Ward-10, Pahartali, Chittagong, Bangladesh</t>
  </si>
  <si>
    <t>22.357664</t>
  </si>
  <si>
    <t xml:space="preserve">
91.7835</t>
  </si>
  <si>
    <t>315.22 Km</t>
  </si>
  <si>
    <t>3.95 km</t>
  </si>
  <si>
    <t>314.08 Km</t>
  </si>
  <si>
    <t>2.98 km</t>
  </si>
  <si>
    <t>Lal Khan Bazaar, Chattogram, Ward-14, CCC (Khulshi), Chittagong 4000, Bangladesh</t>
  </si>
  <si>
    <t>22.347185</t>
  </si>
  <si>
    <t xml:space="preserve">
91.81464</t>
  </si>
  <si>
    <t>319.74 Km</t>
  </si>
  <si>
    <t>1.43 km</t>
  </si>
  <si>
    <t>40, মোমিন রোড বাই লেইন, 21 No. Jamal Khan Ward, Ward-32, Chittagong Kotwali Thana, Chittagong, Chittagong, Bangladesh</t>
  </si>
  <si>
    <t>22.342339</t>
  </si>
  <si>
    <t xml:space="preserve">
91.83286</t>
  </si>
  <si>
    <t>322.24 Km</t>
  </si>
  <si>
    <t>770.02 m</t>
  </si>
  <si>
    <t>322.17 Km</t>
  </si>
  <si>
    <t>1.73 km</t>
  </si>
  <si>
    <t>245.99 m</t>
  </si>
  <si>
    <t>261, Ice Factory Road, West Madar Bari, Chattogram, Ward No-30 (Part), Double Mooring, Chittagong, Bangladesh</t>
  </si>
  <si>
    <t>22.327137</t>
  </si>
  <si>
    <t xml:space="preserve">
91.824066</t>
  </si>
  <si>
    <t>323.19 Km</t>
  </si>
  <si>
    <t>1.36 km</t>
  </si>
  <si>
    <t>2, Bangshal Road, Firingee Bazar, Ward-33, Chittagong Kotwali Thana, Chittagong, Chittagong, Bangladesh</t>
  </si>
  <si>
    <t>22.330666</t>
  </si>
  <si>
    <t xml:space="preserve">
91.836845</t>
  </si>
  <si>
    <t>366.96 m</t>
  </si>
  <si>
    <t>48 No Building, 48, South Nalapara Road, 30 No. East Madarbari Ward, Ward No-30 (Part), Double Mooring, Chittagong, Chittagong 4000, Bangladesh</t>
  </si>
  <si>
    <t>22.330158</t>
  </si>
  <si>
    <t xml:space="preserve">
91.82899</t>
  </si>
  <si>
    <t>323.33 Km</t>
  </si>
  <si>
    <t>694.4 m</t>
  </si>
  <si>
    <t>4.43 km</t>
  </si>
  <si>
    <t>301, Hathazari Road, Manikchari Heliport, Muradnagar, West Sholashahar, Ward-03, Baizid Bostami, Chittagong, Chittagong 0341, Bangladesh</t>
  </si>
  <si>
    <t>22.386003</t>
  </si>
  <si>
    <t xml:space="preserve">
91.82616</t>
  </si>
  <si>
    <t>316.21 Km</t>
  </si>
  <si>
    <t>যুগীর হাট রোড, Borodigir Par, Chattogram, Chikandandi, Hathazari, Chittagong, Bangladesh</t>
  </si>
  <si>
    <t>22.425753</t>
  </si>
  <si>
    <t xml:space="preserve">
91.828705</t>
  </si>
  <si>
    <t>311.71 Km</t>
  </si>
  <si>
    <t>চট্রগ্রাম - রাঙামাটি-খাগড়াছড়ি মহাসড়ক, Paschim Patty, Fatehpur, Hathazari, Chittagong, Chittagong, Bangladesh</t>
  </si>
  <si>
    <t>22.470215</t>
  </si>
  <si>
    <t xml:space="preserve">
91.81456</t>
  </si>
  <si>
    <t>304.91 Km</t>
  </si>
  <si>
    <t>চট্রগ্রাম - রাঙামাটি-খাগড়াছড়ি মহাসড়ক, 1 No. South Pahartoli Ward, Chattogram, Dakshin Fateyabad, Ward No-01, CCC (Hathazari), Chittagong 4335, Bangladesh</t>
  </si>
  <si>
    <t>22.440977</t>
  </si>
  <si>
    <t xml:space="preserve">
91.81992</t>
  </si>
  <si>
    <t>308.95 Km</t>
  </si>
  <si>
    <t>Nitole Villa, N106, BRTC Chittagong Bus Depot, Chikandadi, 1 No. South Pahartoli Ward, Dakshin Fateyabad, Ward-02, Hathazari, Chittagong, Chittagong, Bangladesh</t>
  </si>
  <si>
    <t>22.41652</t>
  </si>
  <si>
    <t xml:space="preserve">
91.82201</t>
  </si>
  <si>
    <t>312.09 Km</t>
  </si>
  <si>
    <t>Chittagong Cantonment, 2 No. Jalalabad Ward, Chattogram, Dakshin Fateyabad, Ward-02, Baizid Bostami, Chittagong, Bangladesh</t>
  </si>
  <si>
    <t>22.410463</t>
  </si>
  <si>
    <t xml:space="preserve">
91.81204</t>
  </si>
  <si>
    <t>311.76 Km</t>
  </si>
  <si>
    <t>1.47 km</t>
  </si>
  <si>
    <t>Kulgaon, 2 No. Jalalabad Ward, Chattogram, Ward-02, Baizid Bostami, Chittagong, Bangladesh</t>
  </si>
  <si>
    <t>22.409622</t>
  </si>
  <si>
    <t xml:space="preserve">
91.83077</t>
  </si>
  <si>
    <t>313.86 Km</t>
  </si>
  <si>
    <t>College Road, Chikandadi, 1 No. South Pahartoli Ward, Fatehabad, Dakshin Fateyabad, Ward-02, Hathazari, Chittagong, Bangladesh</t>
  </si>
  <si>
    <t>22.420002</t>
  </si>
  <si>
    <t xml:space="preserve">
91.82184</t>
  </si>
  <si>
    <t>311.66 Km</t>
  </si>
  <si>
    <t>Tiger Road, Chittagong Cantonment, 2 No. Jalalabad Ward, Chattogram, Dakshin Fateyabad, Ward-02, Baizid Bostami, Chittagong, Bangladesh</t>
  </si>
  <si>
    <t>22.408113</t>
  </si>
  <si>
    <t xml:space="preserve">
91.811844</t>
  </si>
  <si>
    <t>312.02 Km</t>
  </si>
  <si>
    <t>Nambihin Rasta, Bara Dighir Par, 1 No. South Pahartoli Ward, Chattogram, Dakshin Fateyabad, Ward-02, Hathazari, Chittagong, Bangladesh</t>
  </si>
  <si>
    <t>22.430475</t>
  </si>
  <si>
    <t xml:space="preserve">
91.82085</t>
  </si>
  <si>
    <t>310.3 Km</t>
  </si>
  <si>
    <t>N106, notunpara four h 2nd gate, Chikandadi, 1 No. South Pahartoli Ward, Dakshin Fateyabad, Ward-02, CCC (Hathazari), Chittagong, Chittagong, Bangladesh</t>
  </si>
  <si>
    <t>22.41599</t>
  </si>
  <si>
    <t xml:space="preserve">
91.819954</t>
  </si>
  <si>
    <t>311.94 Km</t>
  </si>
  <si>
    <t>392, N106, 2 No. Jalalabad Ward, Ward-02, Baizid Bostami, Chittagong, Chittagong, Bangladesh</t>
  </si>
  <si>
    <t>22.395855</t>
  </si>
  <si>
    <t xml:space="preserve">
91.818184</t>
  </si>
  <si>
    <t>314.17 Km</t>
  </si>
  <si>
    <t>3.97 km</t>
  </si>
  <si>
    <t>Sowdagar Road, Charakul Bus Stop, Uttar Fateabad, 1 No. South Pahartoli Ward, Fatehabad, Dakshin Fateyabad, Chikandandi, Hathazari, Chittagong, Bangladesh</t>
  </si>
  <si>
    <t>22.452078</t>
  </si>
  <si>
    <t xml:space="preserve">
91.81887</t>
  </si>
  <si>
    <t>307.52 Km</t>
  </si>
  <si>
    <t>3.59 km</t>
  </si>
  <si>
    <t>North Madarsha, Maizpatty (Fatehpur), Fatehpur, Hathazari, Chittagong, Bangladesh</t>
  </si>
  <si>
    <t>22.47042</t>
  </si>
  <si>
    <t xml:space="preserve">
91.82225</t>
  </si>
  <si>
    <t>305.72 Km</t>
  </si>
  <si>
    <t>2.21 km</t>
  </si>
  <si>
    <t>Nambihin Rasta, Dawan Nagar, Hathazari, Dewan Nagar, Hathazari, Hathazari, Chittagong, Bangladesh</t>
  </si>
  <si>
    <t>22.494047</t>
  </si>
  <si>
    <t xml:space="preserve">
91.798454</t>
  </si>
  <si>
    <t>300.34 Km</t>
  </si>
  <si>
    <t>1, South Mirer Khil Road, Fotika, Alipur, Hathazari, Hathazari, Chittagong, Bangladesh</t>
  </si>
  <si>
    <t>22.510937</t>
  </si>
  <si>
    <t xml:space="preserve">
91.80981</t>
  </si>
  <si>
    <t>299.62 Km</t>
  </si>
  <si>
    <t>N106, Kamal Para, Fotika, Fatika, Hathazari, Hathazari, Chittagong 4330, Bangladesh</t>
  </si>
  <si>
    <t>22.504423</t>
  </si>
  <si>
    <t xml:space="preserve">
91.81223</t>
  </si>
  <si>
    <t>300.65 Km</t>
  </si>
  <si>
    <t>322.52 m</t>
  </si>
  <si>
    <t>Fotika Road, Fotika, Alipur, Hathazari, Hathazari, Chittagong, Bangladesh</t>
  </si>
  <si>
    <t>22.509249</t>
  </si>
  <si>
    <t xml:space="preserve">
91.80725</t>
  </si>
  <si>
    <t>299.53 Km</t>
  </si>
  <si>
    <t>Mekhal Road, খোয়াজ নগর, আজিম পাড়া, কর্ণফুলী, Azam Para, Hathazari, Dewan Nagar, Hathazari, Hathazari, Chittagong, Bangladesh</t>
  </si>
  <si>
    <t>22.495087</t>
  </si>
  <si>
    <t xml:space="preserve">
91.81348</t>
  </si>
  <si>
    <t>301.87 Km</t>
  </si>
  <si>
    <t>481.1 m</t>
  </si>
  <si>
    <t>195, Asadganj Road, Patharghata, Pathar Ghata, Ward-34, Kotwali, Chittagong, Chittagong, Bangladesh</t>
  </si>
  <si>
    <t>22.332142</t>
  </si>
  <si>
    <t xml:space="preserve">
91.845726</t>
  </si>
  <si>
    <t>324.83 Km</t>
  </si>
  <si>
    <t>27, Iqbal Road, Patharghata, Pathar Ghata, Ward-34, Chittagong Kotwali Thana, Chittagong, Chittagong, Bangladesh</t>
  </si>
  <si>
    <t>22.32825</t>
  </si>
  <si>
    <t xml:space="preserve">
91.84368</t>
  </si>
  <si>
    <t>325.1 Km</t>
  </si>
  <si>
    <t>1.14 km</t>
  </si>
  <si>
    <t>283, Dhaka Trunk Road, Monsurabad, 24 No. North Agrabad Ward, Ward No-24 (Part), Halishahar, Chittagong, Chittagong, Bangladesh</t>
  </si>
  <si>
    <t>22.338034</t>
  </si>
  <si>
    <t xml:space="preserve">
91.81214</t>
  </si>
  <si>
    <t>320.61 Km</t>
  </si>
  <si>
    <t>1.71 km</t>
  </si>
  <si>
    <t>1070, Sheikh Mujib Road, Agrabad Commercial Area, 36 Goshail Danga Ward, Chattogram, Ward No-36 (Part), Bandar, Chittagong 4100, Bangladesh</t>
  </si>
  <si>
    <t>22.320805</t>
  </si>
  <si>
    <t xml:space="preserve">
91.81179</t>
  </si>
  <si>
    <t>322.71 Km</t>
  </si>
  <si>
    <t>Nambihin Rasta, ৩৮ নং দক্ষিণ মধ্য হালিশহর ওয়ার্ড, চট্টগ্রাম, Ward-38, Bandar, চট্টগ্রাম জেলা, চট্টগ্রাম বিভাগ, Bangladesh</t>
  </si>
  <si>
    <t>22.309143</t>
  </si>
  <si>
    <t xml:space="preserve">
91.80102</t>
  </si>
  <si>
    <t>323.05 Km</t>
  </si>
  <si>
    <t>78, South Middle Halishahar, ৩৮ নং দক্ষিণ মধ্য হালিশহর ওয়ার্ড, চট্টগ্রাম, Ward-38, Bandar, চট্টগ্রাম জেলা, চট্টগ্রাম বিভাগ, Bangladesh</t>
  </si>
  <si>
    <t>22.303143</t>
  </si>
  <si>
    <t xml:space="preserve">
91.78558</t>
  </si>
  <si>
    <t>Sailors Colony 2 Road, Hospital Gate Bus Stop, 39 No. South Halishahar Ward, Chattogram, Ward No-39 (Part), Bandar, Chittagong, Bangladesh</t>
  </si>
  <si>
    <t>22.283617</t>
  </si>
  <si>
    <t xml:space="preserve">
91.78386</t>
  </si>
  <si>
    <t>324.53 Km</t>
  </si>
  <si>
    <t>Taltola Road, Halishahar, Chattogram, Ward No-39 (Part), Bandar, Chittagong 4218, Bangladesh</t>
  </si>
  <si>
    <t>22.283932</t>
  </si>
  <si>
    <t xml:space="preserve">
91.78562</t>
  </si>
  <si>
    <t>324.67 Km</t>
  </si>
  <si>
    <t>CEPZ Exit Road, Sector 1, Halishahar, Ward No-39 (Part), Bandar, Chittagong, Chittagong, Bangladesh</t>
  </si>
  <si>
    <t>22.289396</t>
  </si>
  <si>
    <t xml:space="preserve">
91.7755</t>
  </si>
  <si>
    <t>322.96 Km</t>
  </si>
  <si>
    <t>1.57 km</t>
  </si>
  <si>
    <t>Comilla - Chandpur Highway, Sispur, Dakshin Jatrapur, Bara Para, Comilla Sadar Dakshin, Comilla, Chittagong, Bangladesh</t>
  </si>
  <si>
    <t>23.391478</t>
  </si>
  <si>
    <t xml:space="preserve">
91.16667</t>
  </si>
  <si>
    <t>131.15 Km</t>
  </si>
  <si>
    <t>Shalmanpur, Bara Durgapur, Bijoypur, Comilla Sadar Dakshin, Comilla, Chittagong, Bangladesh</t>
  </si>
  <si>
    <t>23.40319</t>
  </si>
  <si>
    <t xml:space="preserve">
91.15803</t>
  </si>
  <si>
    <t>129.05 Km</t>
  </si>
  <si>
    <t>পদুয়ার বাজার - হীরাপুর - দিশাবন রোড, Cumilla, Sreeballabhpur, Dakshin Comilla (Chouara), Comilla Sadar Dakshin, Comilla, Chittagong, Bangladesh</t>
  </si>
  <si>
    <t>23.416674</t>
  </si>
  <si>
    <t xml:space="preserve">
91.1803</t>
  </si>
  <si>
    <t>131.01 Km</t>
  </si>
  <si>
    <t>421.35 m</t>
  </si>
  <si>
    <t>Nambihin Rasta, Paduar Bazar Bishwa Road, Bara Durgapur, Bijoypur, Comilla Sadar Dakshin, Comilla, Chittagong, Bangladesh</t>
  </si>
  <si>
    <t>23.415956</t>
  </si>
  <si>
    <t xml:space="preserve">
91.17025</t>
  </si>
  <si>
    <t>129.7 Km</t>
  </si>
  <si>
    <t>1.1 km</t>
  </si>
  <si>
    <t>130.05 Km</t>
  </si>
  <si>
    <t>2.17 km</t>
  </si>
  <si>
    <t>Barsona Road, Nangalkot, Alekhar Char, Uttar Durgapur, Comilla Adarsha Sadar, Comilla, Chittagong, Bangladesh</t>
  </si>
  <si>
    <t>23.475515</t>
  </si>
  <si>
    <t xml:space="preserve">
91.1422</t>
  </si>
  <si>
    <t>121.5 Km</t>
  </si>
  <si>
    <t>Nambihin Rasta, Alekharchar, Lalmai, Bijoypur, Comilla Adarsha Sadar, Comilla, Chittagong, Bangladesh</t>
  </si>
  <si>
    <t>23.47339</t>
  </si>
  <si>
    <t xml:space="preserve">
91.12106</t>
  </si>
  <si>
    <t>118.71 Km</t>
  </si>
  <si>
    <t>Syedpur, Saha Daulatpur, Mainamati, Burichang, Comilla, Chittagong, Bangladesh</t>
  </si>
  <si>
    <t>23.483953</t>
  </si>
  <si>
    <t xml:space="preserve">
91.10434</t>
  </si>
  <si>
    <t>115.64 Km</t>
  </si>
  <si>
    <t>698.65 m</t>
  </si>
  <si>
    <t>Moynamoti, Saha Daulatpur, Bijoypur, Comilla Adarsha Sadar, Comilla, Chittagong, Bangladesh</t>
  </si>
  <si>
    <t>23.472326</t>
  </si>
  <si>
    <t xml:space="preserve">
91.11431</t>
  </si>
  <si>
    <t>117.85 Km</t>
  </si>
  <si>
    <t>1.66 km</t>
  </si>
  <si>
    <t>7.51 km</t>
  </si>
  <si>
    <t>Road, Dhaka - Chittagong Highway, Cumilla, Alekhar Char, Uttar Durgapur, Comilla Adarsha Sadar, Comilla, Chittagong, Bangladesh</t>
  </si>
  <si>
    <t>23.471455</t>
  </si>
  <si>
    <t xml:space="preserve">
91.13718</t>
  </si>
  <si>
    <t>121.08 Km</t>
  </si>
  <si>
    <t>9.47 km</t>
  </si>
  <si>
    <t>Comilla - Chandpur Highway, Cumilla, Bara Durgapur, Bijoypur, Comilla Sadar Dakshin, Comilla, Chittagong, 3500, Bangladesh</t>
  </si>
  <si>
    <t>23.409885</t>
  </si>
  <si>
    <t xml:space="preserve">
91.17164</t>
  </si>
  <si>
    <t>130.36 Km</t>
  </si>
  <si>
    <t>5.43 km</t>
  </si>
  <si>
    <t>Comilla - Chandpur Road, KeshenPar Bus Stop, Kesanpar, Dakshin Shilmuri, Barura, Comilla, Chittagong, Bangladesh</t>
  </si>
  <si>
    <t>23.340332</t>
  </si>
  <si>
    <t xml:space="preserve">
91.11818</t>
  </si>
  <si>
    <t>129.3 Km</t>
  </si>
  <si>
    <t>6.4 km</t>
  </si>
  <si>
    <t>Puluya, Galimpur, Bakai, Laksam, Comilla, Chittagong, Bangladesh</t>
  </si>
  <si>
    <t>23.303246</t>
  </si>
  <si>
    <t xml:space="preserve">
91.08355</t>
  </si>
  <si>
    <t>128.63 Km</t>
  </si>
  <si>
    <t>7.63 km</t>
  </si>
  <si>
    <t>Muddafarganj, Daulatpur, Dakshin Payalgachha, Barura, Comilla, Chittagong, Bangladesh</t>
  </si>
  <si>
    <t>23.262028</t>
  </si>
  <si>
    <t xml:space="preserve">
91.0398</t>
  </si>
  <si>
    <t>127.87 Km</t>
  </si>
  <si>
    <t>1.45 km</t>
  </si>
  <si>
    <t>মৃধা বাড়ি রোড, Kaliapara Bazar, Sahapur, Shahrasti Paurashava, Shahrasti, Chandpur, Chittagong, Bangladesh</t>
  </si>
  <si>
    <t>23.25213</t>
  </si>
  <si>
    <t xml:space="preserve">
90.96585</t>
  </si>
  <si>
    <t>120.86 Km</t>
  </si>
  <si>
    <t>3.45 km</t>
  </si>
  <si>
    <t>Upalata, Shahrasti Paurashava, Shahrasti, Chandpur, Chittagong, Bangladesh</t>
  </si>
  <si>
    <t>23.243872</t>
  </si>
  <si>
    <t xml:space="preserve">
90.95483</t>
  </si>
  <si>
    <t>120.7 Km</t>
  </si>
  <si>
    <t>6.67 km</t>
  </si>
  <si>
    <t>Woruk Murad Bari, Kulsi, Tamta Purba, Shahrasti, Chandpur, Chittagong, Bangladesh</t>
  </si>
  <si>
    <t>23.242258</t>
  </si>
  <si>
    <t xml:space="preserve">
90.92111</t>
  </si>
  <si>
    <t>117.45 Km</t>
  </si>
  <si>
    <t>847.55 m</t>
  </si>
  <si>
    <t>Hajiganj-Ramganj Road, Randhanimura, Purba Barkul, Haziganj, Chandpur, Chittagong 3640, Bangladesh</t>
  </si>
  <si>
    <t>23.245361</t>
  </si>
  <si>
    <t xml:space="preserve">
90.85587</t>
  </si>
  <si>
    <t>110.73 Km</t>
  </si>
  <si>
    <t>3.8 km</t>
  </si>
  <si>
    <t>Comilla Road, Toragor, Raicho, Paurashava, Haziganj, Chandpur, Chittagong, Bangladesh</t>
  </si>
  <si>
    <t>23.25066</t>
  </si>
  <si>
    <t xml:space="preserve">
90.86184</t>
  </si>
  <si>
    <t>110.59 Km</t>
  </si>
  <si>
    <t>2.15 km</t>
  </si>
  <si>
    <t>Talukder Bari Road, Dherra, Paurashava, Haziganj, Chandpur, Chittagong, Bangladesh</t>
  </si>
  <si>
    <t>23.249117</t>
  </si>
  <si>
    <t xml:space="preserve">
90.82465</t>
  </si>
  <si>
    <t>107.39 Km</t>
  </si>
  <si>
    <t>5.07 km</t>
  </si>
  <si>
    <t>Comilla - Chandpur Road, Betia Para, Paurashava, Haziganj, Chandpur, Chittagong, 3611, Bangladesh</t>
  </si>
  <si>
    <t>23.250769</t>
  </si>
  <si>
    <t xml:space="preserve">
90.80369</t>
  </si>
  <si>
    <t>105.33 Km</t>
  </si>
  <si>
    <t>5.49 km</t>
  </si>
  <si>
    <t>Shah Mahmudpur, Taherkhil, Dakshin Upadi, Matlab Dakshin, Chandpur, Chittagong, Bangladesh</t>
  </si>
  <si>
    <t>23.262314</t>
  </si>
  <si>
    <t xml:space="preserve">
90.75572</t>
  </si>
  <si>
    <t>99.74 Km</t>
  </si>
  <si>
    <t>4.07 km</t>
  </si>
  <si>
    <t>Ashikati, Silandia, Maishadi, Chandpur Sadar, Chandpur, Chittagong, Bangladesh</t>
  </si>
  <si>
    <t>23.252895</t>
  </si>
  <si>
    <t xml:space="preserve">
90.703</t>
  </si>
  <si>
    <t>97.19 Km</t>
  </si>
  <si>
    <t>1.3 km</t>
  </si>
  <si>
    <t>Bishnudi (Part), Tarpur Chandi, Chandpur Sadar, Chandpur, Chittagong, Bangladesh</t>
  </si>
  <si>
    <t>23.231274</t>
  </si>
  <si>
    <t xml:space="preserve">
90.67082</t>
  </si>
  <si>
    <t>98.37 Km</t>
  </si>
  <si>
    <t>Comilla Road, Wireless Bazaar, Tarpur Chandi, Chandpur Sadar, Chandpur, Chittagong, Bangladesh</t>
  </si>
  <si>
    <t>23.238998</t>
  </si>
  <si>
    <t xml:space="preserve">
90.68039</t>
  </si>
  <si>
    <t>97.79 Km</t>
  </si>
  <si>
    <t>667.54 m</t>
  </si>
  <si>
    <t>Gunrajdi, Tarpur Chandi, Chandpur Sadar, Chandpur, Chittagong, Bangladesh</t>
  </si>
  <si>
    <t>23.225618</t>
  </si>
  <si>
    <t xml:space="preserve">
90.67374</t>
  </si>
  <si>
    <t>99.42 Km</t>
  </si>
  <si>
    <t>Gazi Bari Road, Kollanpur, Tarpur Chandi, Chandpur Sadar, Chandpur, Chittagong 3600, Bangladesh</t>
  </si>
  <si>
    <t>23.22192</t>
  </si>
  <si>
    <t xml:space="preserve">
90.66859</t>
  </si>
  <si>
    <t>99.68 Km</t>
  </si>
  <si>
    <t>Niloy Villa, Professor Para Road, Paurashava, Chandpur Sadar, Chandpur, Chittagong 3600, Bangladesh</t>
  </si>
  <si>
    <t>23.233034</t>
  </si>
  <si>
    <t xml:space="preserve">
90.65992</t>
  </si>
  <si>
    <t>97.46 Km</t>
  </si>
  <si>
    <t>147, Main City Road, Paurashava, Chandpur Sadar, Chandpur, Chittagong, Bangladesh</t>
  </si>
  <si>
    <t>23.220701</t>
  </si>
  <si>
    <t xml:space="preserve">
90.662445</t>
  </si>
  <si>
    <t>99.51 Km</t>
  </si>
  <si>
    <t>1.21 km</t>
  </si>
  <si>
    <t>Main City Road, Paurashava, Chandpur Sadar, Chandpur, Chittagong, Bangladesh</t>
  </si>
  <si>
    <t>23.219727</t>
  </si>
  <si>
    <t xml:space="preserve">
90.65917</t>
  </si>
  <si>
    <t>99.47 Km</t>
  </si>
  <si>
    <t>Ajmad Ali Road, Jafrabad, Sakhua, Chandpur Sadar, Chandpur, Chittagong, Bangladesh</t>
  </si>
  <si>
    <t>23.214819</t>
  </si>
  <si>
    <t xml:space="preserve">
90.64861</t>
  </si>
  <si>
    <t>99.64 Km</t>
  </si>
  <si>
    <t>351.68 m</t>
  </si>
  <si>
    <t>4.17 km</t>
  </si>
  <si>
    <t>Jafrabad, Paurashava, Chandpur Sadar, Chandpur, Chittagong, Bangladesh</t>
  </si>
  <si>
    <t>23.215128</t>
  </si>
  <si>
    <t xml:space="preserve">
90.65338</t>
  </si>
  <si>
    <t>99.86 Km</t>
  </si>
  <si>
    <t>2.45 km</t>
  </si>
  <si>
    <t>Lakshmipur, Sakhua, Chandpur Sadar, Chandpur, Chittagong, Bangladesh</t>
  </si>
  <si>
    <t>23.178095</t>
  </si>
  <si>
    <t xml:space="preserve">
90.64689</t>
  </si>
  <si>
    <t>105.3 Km</t>
  </si>
  <si>
    <t>4.27 km</t>
  </si>
  <si>
    <t>R860, Dakshin Balia, Chandra, Chandpur Sadar, Chandpur, Chittagong, Bangladesh</t>
  </si>
  <si>
    <t>23.157495</t>
  </si>
  <si>
    <t xml:space="preserve">
90.65548</t>
  </si>
  <si>
    <t>108.98 Km</t>
  </si>
  <si>
    <t>2.87 km</t>
  </si>
  <si>
    <t>Z8699, Chandra, Nayani Lakshmipur, Uttar Algi Durgapur, Haimchar, Chandpur, Chittagong, Bangladesh</t>
  </si>
  <si>
    <t>23.119719</t>
  </si>
  <si>
    <t xml:space="preserve">
90.66295</t>
  </si>
  <si>
    <t>115.3 Km</t>
  </si>
  <si>
    <t>Nambihin Rasta, Hanarchor, Paschim Char Krishnapur, Uttar Algi Durgapur, Haimchar, Chandpur, Chittagong, Bangladesh</t>
  </si>
  <si>
    <t>23.095703</t>
  </si>
  <si>
    <t xml:space="preserve">
90.65255</t>
  </si>
  <si>
    <t>118.6 Km</t>
  </si>
  <si>
    <t>2.55 km</t>
  </si>
  <si>
    <t>Char Haim, Char Bhairabi, Dakshin Algi Durgapur, Chandpur, Chittagong, Bangladesh</t>
  </si>
  <si>
    <t>23.06987</t>
  </si>
  <si>
    <t xml:space="preserve">
90.649</t>
  </si>
  <si>
    <t>122.56 Km</t>
  </si>
  <si>
    <t>785.54 m</t>
  </si>
  <si>
    <t>Old Charbharabi Bazar Road, Haiderganj, Char Bhairabi, Haimchar, Chandpur, Chittagong, Bangladesh</t>
  </si>
  <si>
    <t>23.04738</t>
  </si>
  <si>
    <t xml:space="preserve">
90.653946</t>
  </si>
  <si>
    <t>126.37 Km</t>
  </si>
  <si>
    <t>New Charbharabi Bazar Road, Haiderganj, Char Bhairabi, Haimchar, Chandpur, Chittagong, Bangladesh</t>
  </si>
  <si>
    <t>23.042162</t>
  </si>
  <si>
    <t xml:space="preserve">
90.65913</t>
  </si>
  <si>
    <t>127.43 Km</t>
  </si>
  <si>
    <t>6.48 km</t>
  </si>
  <si>
    <t>3.83 km</t>
  </si>
  <si>
    <t>Lalmai-Barura Road, Lalmai, Bara Dharmapur, Bara Para, Comilla Sadar Dakshin, Comilla, Chittagong, Bangladesh</t>
  </si>
  <si>
    <t>23.361538</t>
  </si>
  <si>
    <t xml:space="preserve">
91.139275</t>
  </si>
  <si>
    <t>130.08 Km</t>
  </si>
  <si>
    <t>4.89 km</t>
  </si>
  <si>
    <t>Amratali, Sundar Doul, Dakshin Shilmuri, Barura, Comilla, Chittagong, Bangladesh</t>
  </si>
  <si>
    <t>23.360895</t>
  </si>
  <si>
    <t xml:space="preserve">
91.10177</t>
  </si>
  <si>
    <t>125.31 Km</t>
  </si>
  <si>
    <t>553.85 m</t>
  </si>
  <si>
    <t>Tolagram, Talagram, Dakshin Deora, Barura, Comilla, Chittagong, Bangladesh</t>
  </si>
  <si>
    <t>23.367838</t>
  </si>
  <si>
    <t xml:space="preserve">
91.05448</t>
  </si>
  <si>
    <t>118.66 Km</t>
  </si>
  <si>
    <t>3.41 km</t>
  </si>
  <si>
    <t>Tolagram, Belbhoj, Uttar Deora, Barura, Comilla, Chittagong, Bangladesh</t>
  </si>
  <si>
    <t>23.367949</t>
  </si>
  <si>
    <t xml:space="preserve">
91.04906</t>
  </si>
  <si>
    <t>117.97 Km</t>
  </si>
  <si>
    <t>4.98 km</t>
  </si>
  <si>
    <t>Puran Kadba, Kasadda, Dakshin Khosbas, Barura, Comilla, Chittagong, Bangladesh</t>
  </si>
  <si>
    <t>23.398598</t>
  </si>
  <si>
    <t xml:space="preserve">
91.048584</t>
  </si>
  <si>
    <t>115.05 Km</t>
  </si>
  <si>
    <t>Z1028, Barkait, Uttar Latifpur, Purba Chandina, Chandina, Comilla, Chittagong, Bangladesh</t>
  </si>
  <si>
    <t>23.443357</t>
  </si>
  <si>
    <t xml:space="preserve">
91.04722</t>
  </si>
  <si>
    <t>110.98 Km</t>
  </si>
  <si>
    <t>2 km</t>
  </si>
  <si>
    <t>Khoshbash, Arifpur, Uttar Khosbas, Barura, Comilla, Chittagong, Bangladesh</t>
  </si>
  <si>
    <t>23.430174</t>
  </si>
  <si>
    <t xml:space="preserve">
91.04227</t>
  </si>
  <si>
    <t>111.44 Km</t>
  </si>
  <si>
    <t>Cumilla, Narasinghpur, Uttar Khosbas, Barura, Comilla, Chittagong, Bangladesh</t>
  </si>
  <si>
    <t>23.430199</t>
  </si>
  <si>
    <t xml:space="preserve">
91.02267</t>
  </si>
  <si>
    <t>108.88 Km</t>
  </si>
  <si>
    <t>4.93 km</t>
  </si>
  <si>
    <t>Panipara, Nabipur, Uttar Khosbas, Barura, Comilla, Chittagong, Bangladesh</t>
  </si>
  <si>
    <t>23.422356</t>
  </si>
  <si>
    <t xml:space="preserve">
91.01156</t>
  </si>
  <si>
    <t>108.14 Km</t>
  </si>
  <si>
    <t>Tamta Village, Kaduti, Maijkhara, Chandina Upazila, Comilla District, Chittagong Division, Bangladesh</t>
  </si>
  <si>
    <t>23.4132</t>
  </si>
  <si>
    <t xml:space="preserve">
90.96431</t>
  </si>
  <si>
    <t>103.02 Km</t>
  </si>
  <si>
    <t>Kaduti, Fatehpur, Uttar Bara Karai, Chandina, Comilla, Chittagong, Bangladesh</t>
  </si>
  <si>
    <t>23.403412</t>
  </si>
  <si>
    <t xml:space="preserve">
90.95468</t>
  </si>
  <si>
    <t>102.8 Km</t>
  </si>
  <si>
    <t>Nawabpur Kachua Chandpur Road, Nowabpur, Natingi, Dakshin Gallai, Chandina, Comilla, Chittagong, Bangladesh</t>
  </si>
  <si>
    <t>23.407187</t>
  </si>
  <si>
    <t xml:space="preserve">
90.93088</t>
  </si>
  <si>
    <t>99.53 Km</t>
  </si>
  <si>
    <t>Jhalam, Odda, Uttar Jalam, Barura, Comilla, Chittagong, Bangladesh</t>
  </si>
  <si>
    <t>23.394741</t>
  </si>
  <si>
    <t xml:space="preserve">
90.970116</t>
  </si>
  <si>
    <t>105.56 Km</t>
  </si>
  <si>
    <t>3.11 km</t>
  </si>
  <si>
    <t>Nambihin Rasta, পশ্চিম ওড্ডা (বট তলা), Jhalam, Bhuari, Uttar Jalam, Barura, Comilla, Chittagong, Bangladesh</t>
  </si>
  <si>
    <t>23.385588</t>
  </si>
  <si>
    <t xml:space="preserve">
90.9651</t>
  </si>
  <si>
    <t>105.88 Km</t>
  </si>
  <si>
    <t>4.76 km</t>
  </si>
  <si>
    <t>Jhalam-Barura Road, Jhalam, Jalam, Dakshin Jalam, Barura, Comilla, Chittagong, Bangladesh</t>
  </si>
  <si>
    <t>23.379982</t>
  </si>
  <si>
    <t xml:space="preserve">
90.994934</t>
  </si>
  <si>
    <t>110.08 Km</t>
  </si>
  <si>
    <t>947.83 m</t>
  </si>
  <si>
    <t>Bagmara Road, Tolagram, Saudmara, Uttar Deora, Barura, Comilla, Chittagong, Bangladesh</t>
  </si>
  <si>
    <t>23.37157</t>
  </si>
  <si>
    <t xml:space="preserve">
91.04065</t>
  </si>
  <si>
    <t>116.57 Km</t>
  </si>
  <si>
    <t>1.77 km</t>
  </si>
  <si>
    <t>Lalmai-Barura Road, Barura, Dakshin Deora, Barura, Comilla, Chittagong, Bangladesh</t>
  </si>
  <si>
    <t>23.374481</t>
  </si>
  <si>
    <t xml:space="preserve">
91.06488</t>
  </si>
  <si>
    <t>119.35 Km</t>
  </si>
  <si>
    <t>5.56 km</t>
  </si>
  <si>
    <t>3.49 km</t>
  </si>
  <si>
    <t>Amtali, Joykamta, Uttar Shilmuri, Barura, Comilla, Chittagong, Bangladesh</t>
  </si>
  <si>
    <t>23.374971</t>
  </si>
  <si>
    <t xml:space="preserve">
91.10837</t>
  </si>
  <si>
    <t>124.88 Km</t>
  </si>
  <si>
    <t>6.31 km</t>
  </si>
  <si>
    <t>272.68 m</t>
  </si>
  <si>
    <t>597.08 m</t>
  </si>
  <si>
    <t>উত্তর রামপুর - শ্রীমন্তপুর রোড, Cumilla, Sreeballabhpur, Chouara, Comilla Sadar Dakshin, Comilla, Chittagong 3500, Bangladesh</t>
  </si>
  <si>
    <t>23.415045</t>
  </si>
  <si>
    <t xml:space="preserve">
91.17569</t>
  </si>
  <si>
    <t>130.51 Km</t>
  </si>
  <si>
    <t>5.1 km</t>
  </si>
  <si>
    <t>Kotbari, Dakshin Bagmara, Bijoypur, Comilla Sadar Dakshin, Comilla, Chittagong, Bangladesh</t>
  </si>
  <si>
    <t>23.433086</t>
  </si>
  <si>
    <t xml:space="preserve">
91.14499</t>
  </si>
  <si>
    <t>124.95 Km</t>
  </si>
  <si>
    <t>7.38 km</t>
  </si>
  <si>
    <t>6.69 km</t>
  </si>
  <si>
    <t>Nambihin Rasta, Korpai, Mokam, Burichang, Comilla, Chittagong, Bangladesh</t>
  </si>
  <si>
    <t>23.485155</t>
  </si>
  <si>
    <t xml:space="preserve">
91.04989</t>
  </si>
  <si>
    <t>108.05 Km</t>
  </si>
  <si>
    <t>8.48 km</t>
  </si>
  <si>
    <t>Nambihin Rasta, Thangaon, Uttar Barera, Chandina, Comilla, Chittagong, Bangladesh</t>
  </si>
  <si>
    <t>23.48518</t>
  </si>
  <si>
    <t xml:space="preserve">
90.98431</t>
  </si>
  <si>
    <t>99.17 Km</t>
  </si>
  <si>
    <t>7.8 km</t>
  </si>
  <si>
    <t>Bhani, Kutambapur, Madhya (Mechachal Union), Chandina, Comilla, Chittagong, Bangladesh</t>
  </si>
  <si>
    <t>23.502645</t>
  </si>
  <si>
    <t xml:space="preserve">
90.90339</t>
  </si>
  <si>
    <t>87 Km</t>
  </si>
  <si>
    <t>N1, Singula, Malikhil, Dakshin Elliotganj, Daudkandi, Comilla, Chittagong, Bangladesh</t>
  </si>
  <si>
    <t>23.524794</t>
  </si>
  <si>
    <t xml:space="preserve">
90.8308</t>
  </si>
  <si>
    <t>75.64 Km</t>
  </si>
  <si>
    <t>5.38 km</t>
  </si>
  <si>
    <t>Dhaka - Cox's Bazar Highway, Barpara, Chhota Mohammadpur, Paschim Gauripur, Daudkandi, Comilla, Chittagong, Bangladesh</t>
  </si>
  <si>
    <t>23.531511</t>
  </si>
  <si>
    <t xml:space="preserve">
90.76106</t>
  </si>
  <si>
    <t>66.29 Km</t>
  </si>
  <si>
    <t>Ganga Prasad Char, Uttar Daudkandi, Daudkandi, Comilla, Chittagong, Bangladesh</t>
  </si>
  <si>
    <t>23.545273</t>
  </si>
  <si>
    <t xml:space="preserve">
90.71049</t>
  </si>
  <si>
    <t>58.83 Km</t>
  </si>
  <si>
    <t>Daudkandi Bridge, Gazaria, Ganga Prasad Char, Dakshin Daudkandi, Daudkandi, Munshiganj, Dhaka, Bangladesh</t>
  </si>
  <si>
    <t>23.531797</t>
  </si>
  <si>
    <t xml:space="preserve">
90.70855</t>
  </si>
  <si>
    <t>60.08 Km</t>
  </si>
  <si>
    <t>Dhaka - Cox's Bazar Highway, Joypur, Dakshin Daudkandi, Daudkandi, Comilla, Chittagong, Bangladesh</t>
  </si>
  <si>
    <t>23.5302</t>
  </si>
  <si>
    <t xml:space="preserve">
90.721</t>
  </si>
  <si>
    <t>61.68 Km</t>
  </si>
  <si>
    <t>692.98 m</t>
  </si>
  <si>
    <t>Nambihin Rasta, Hasnabad, Uttar Daudkandi, Daudkandi, Comilla, Chittagong, Bangladesh</t>
  </si>
  <si>
    <t>23.54845</t>
  </si>
  <si>
    <t xml:space="preserve">
90.71633</t>
  </si>
  <si>
    <t>59.17 Km</t>
  </si>
  <si>
    <t>Dhaka - Chittagong Highway, Baraikuri, Dakshin Daudkandi, Daudkandi, Comilla, Chittagong, Bangladesh</t>
  </si>
  <si>
    <t>23.530281</t>
  </si>
  <si>
    <t xml:space="preserve">
90.731255</t>
  </si>
  <si>
    <t>62.87 Km</t>
  </si>
  <si>
    <t>2.97 km</t>
  </si>
  <si>
    <t>Dhaka - Chittagong Highway, Gouripur, Pennai, Paschim Gauripur, Daudkandi, Comilla, Chittagong, Bangladesh</t>
  </si>
  <si>
    <t>23.533972</t>
  </si>
  <si>
    <t xml:space="preserve">
90.79007</t>
  </si>
  <si>
    <t>69.63 Km</t>
  </si>
  <si>
    <t>পেন্নাই হোমনা রোড, Gouripur, Pennai, Paschim Gauripur, Daudkandi, Comilla, Chittagong, Bangladesh</t>
  </si>
  <si>
    <t>23.533161</t>
  </si>
  <si>
    <t xml:space="preserve">
90.78286</t>
  </si>
  <si>
    <t>68.8 Km</t>
  </si>
  <si>
    <t>8.65 km</t>
  </si>
  <si>
    <t>N1, Haripur, Gouripur, Dakshin Haripur, Purba Gauripur, Daudkandi, Comilla, Chittagong, Bangladesh</t>
  </si>
  <si>
    <t>23.529686</t>
  </si>
  <si>
    <t xml:space="preserve">
90.79644</t>
  </si>
  <si>
    <t>70.83 Km</t>
  </si>
  <si>
    <t>7.23 km</t>
  </si>
  <si>
    <t>Dhaka - Chittagong Highway, Chandina, Sabdalpur, Dakshin Elliotganj, Daudkandi, Comilla, Chittagong, Bangladesh</t>
  </si>
  <si>
    <t>23.508316</t>
  </si>
  <si>
    <t xml:space="preserve">
90.878</t>
  </si>
  <si>
    <t>83.2 Km</t>
  </si>
  <si>
    <t>4.57 km</t>
  </si>
  <si>
    <t>Dhaka - Chittagong Highway, Bhani, Sonapur, Uttar Barera, Chandina, Comilla, Chittagong, Bangladesh</t>
  </si>
  <si>
    <t>23.501205</t>
  </si>
  <si>
    <t xml:space="preserve">
90.9485</t>
  </si>
  <si>
    <t>93.08 Km</t>
  </si>
  <si>
    <t>3.99 km</t>
  </si>
  <si>
    <t>তুলাগাঁও--চাদ্নিনা--সড়ক, Barkamta, Sanarnagar, Dakshin Barkamta, Debidwar, Comilla, Chittagong, Bangladesh</t>
  </si>
  <si>
    <t>23.497583</t>
  </si>
  <si>
    <t xml:space="preserve">
90.99316</t>
  </si>
  <si>
    <t>99.38 Km</t>
  </si>
  <si>
    <t>7.73 km</t>
  </si>
  <si>
    <t>Ashra Road, Barkamta, Asara, Dakshin Barkamta, Debidwar, Comilla, Chittagong, Bangladesh</t>
  </si>
  <si>
    <t>23.490894</t>
  </si>
  <si>
    <t xml:space="preserve">
91.0316</t>
  </si>
  <si>
    <t>105.12 Km</t>
  </si>
  <si>
    <t>3.33 km</t>
  </si>
  <si>
    <t>23.471962</t>
  </si>
  <si>
    <t xml:space="preserve">
91.1045</t>
  </si>
  <si>
    <t>116.52 Km</t>
  </si>
  <si>
    <t>2.22 km</t>
  </si>
  <si>
    <t>Sapura, R685, Shah Makhdum Thana More Bus Stop, Sufinagar, Ward No-18 (Part), Shah Makhdum Thana, Rajshahi, Rajshahi 6203, Bangladesh</t>
  </si>
  <si>
    <t>24.392614</t>
  </si>
  <si>
    <t xml:space="preserve">
88.60913</t>
  </si>
  <si>
    <t>292.84 Km</t>
  </si>
  <si>
    <t>51, Station Road, Shiroil, Ward-20, Boalia Thana, Rajshahi, Rajshahi 6100, Bangladesh</t>
  </si>
  <si>
    <t>24.373291</t>
  </si>
  <si>
    <t xml:space="preserve">
88.60375</t>
  </si>
  <si>
    <t>292.47 Km</t>
  </si>
  <si>
    <t>53, Bir Sreshtho Shaheed Captain Mohiuddin Jahangir Smarani, Hazrapukur, Ward-15, Boalia Thana, Rajshahi, Rajshahi, Bangladesh</t>
  </si>
  <si>
    <t>24.374784</t>
  </si>
  <si>
    <t xml:space="preserve">
88.60483</t>
  </si>
  <si>
    <t>292.4 Km</t>
  </si>
  <si>
    <t>198.46 m</t>
  </si>
  <si>
    <t>239.82 m</t>
  </si>
  <si>
    <t>Greater Road, Kadirgani, Ward-15, Boalia Thana, Rajshahi, Rajshahi, 6000, Bangladesh</t>
  </si>
  <si>
    <t>24.374594</t>
  </si>
  <si>
    <t xml:space="preserve">
88.60068</t>
  </si>
  <si>
    <t>292.98 Km</t>
  </si>
  <si>
    <t>828.74 m</t>
  </si>
  <si>
    <t>1, New Widened Road, Kadirganj, রাজশাহী, Ward-13, Boalia Thana, রাজশাহী জেলা, রাজশাহী বিভাগ 6100, Bangladesh</t>
  </si>
  <si>
    <t>24.37387</t>
  </si>
  <si>
    <t xml:space="preserve">
88.602905</t>
  </si>
  <si>
    <t>292.62 Km</t>
  </si>
  <si>
    <t>320, Greater Road, Kadirganj, Ward-13, Boalia Thana, Rajshahi, Rajshahi 6000, Bangladesh</t>
  </si>
  <si>
    <t>24.375042</t>
  </si>
  <si>
    <t xml:space="preserve">
88.594826</t>
  </si>
  <si>
    <t>293.84 Km</t>
  </si>
  <si>
    <t>275, Saheb Bazar Road, Shaheb Bazar, Ward-12, Boalia Thana, Rajshahi, Rajshahi 6100, Bangladesh</t>
  </si>
  <si>
    <t>24.365286</t>
  </si>
  <si>
    <t xml:space="preserve">
88.59927</t>
  </si>
  <si>
    <t>292.65 Km</t>
  </si>
  <si>
    <t>697.32 m</t>
  </si>
  <si>
    <t>Shaheed Jiaur Rahman High School, Rajshahi - Hatgodagari - Faliarbil - Mohonganj Road, Rajshahi, Narikelbari, Parila, Paba Upazila, Bangladesh</t>
  </si>
  <si>
    <t>24.392927</t>
  </si>
  <si>
    <t xml:space="preserve">
88.648384</t>
  </si>
  <si>
    <t>287.29 Km</t>
  </si>
  <si>
    <t>Rajshahi Bypass, Lalitahar, Parila, Paba Upazila, Rajshahi District, Rajshahi Division, Bangladesh</t>
  </si>
  <si>
    <t>24.39841</t>
  </si>
  <si>
    <t xml:space="preserve">
88.64504</t>
  </si>
  <si>
    <t>288.1 Km</t>
  </si>
  <si>
    <t>5.97 km</t>
  </si>
  <si>
    <t>Parila Road, Balanagar, Parila, Paba, Rajshahi, Bangladesh</t>
  </si>
  <si>
    <t>24.420242</t>
  </si>
  <si>
    <t xml:space="preserve">
88.6628</t>
  </si>
  <si>
    <t>286.96 Km</t>
  </si>
  <si>
    <t>4.01 km</t>
  </si>
  <si>
    <t>Nambihin Rasta, Uttar Kazirpara, Jagir, Harian, Paba, Rajshahi, Bangladesh</t>
  </si>
  <si>
    <t>24.3819</t>
  </si>
  <si>
    <t xml:space="preserve">
88.704056</t>
  </si>
  <si>
    <t>278.75 Km</t>
  </si>
  <si>
    <t>Kashiadanga Road, Baneswar, Nanazgaon, Belpukuria, Puthia, Rajshahi, Bangladesh</t>
  </si>
  <si>
    <t>24.368668</t>
  </si>
  <si>
    <t xml:space="preserve">
88.74089</t>
  </si>
  <si>
    <t>272.74 Km</t>
  </si>
  <si>
    <t>Shibpur Road, Baneshwar Haat, Baneswar, Shibpur, Baneshwar, Puthia, Rajshahi, Bangladesh</t>
  </si>
  <si>
    <t>24.370417</t>
  </si>
  <si>
    <t xml:space="preserve">
88.75926</t>
  </si>
  <si>
    <t>270.25 Km</t>
  </si>
  <si>
    <t>7.3 km</t>
  </si>
  <si>
    <t>Shibpur Road, Baneswar, Shibpur, Baneshwar, Puthia, Rajshahi, Bangladesh</t>
  </si>
  <si>
    <t>24.377708</t>
  </si>
  <si>
    <t xml:space="preserve">
88.76424</t>
  </si>
  <si>
    <t>270.01 Km</t>
  </si>
  <si>
    <t>Puthia - Bagha Road, Puthia, Krishnapur, Rajshahi District, Rajshahi Division, Bangladesh</t>
  </si>
  <si>
    <t>24.36965</t>
  </si>
  <si>
    <t xml:space="preserve">
88.83579</t>
  </si>
  <si>
    <t>259.46 Km</t>
  </si>
  <si>
    <t>642.15 m</t>
  </si>
  <si>
    <t>221, Puthia Stadium Road, Puthia Bazar, Kanthalbaria, Puthia Paurashava, Puthia, Rajshahi 6260, Bangladesh</t>
  </si>
  <si>
    <t>24.366003</t>
  </si>
  <si>
    <t xml:space="preserve">
88.840706</t>
  </si>
  <si>
    <t>258.53 Km</t>
  </si>
  <si>
    <t>3.18 km</t>
  </si>
  <si>
    <t>Rajshahi - Dhaka Highway, Durgapur, Baneshwar, Puthia, Rajshahi, Bangladesh</t>
  </si>
  <si>
    <t>24.38156</t>
  </si>
  <si>
    <t xml:space="preserve">
88.78814</t>
  </si>
  <si>
    <t>266.9 Km</t>
  </si>
  <si>
    <t>865.59 m</t>
  </si>
  <si>
    <t>Nambihin Rasta, Baneswar, Shibpur, Baneshwar, Puthia, Rajshahi, Bangladesh</t>
  </si>
  <si>
    <t>24.375866</t>
  </si>
  <si>
    <t xml:space="preserve">
88.765366</t>
  </si>
  <si>
    <t>269.74 Km</t>
  </si>
  <si>
    <t>350, Namazgram Road, Baneshwar Haat, Baneswar, Nanazgaon, Baneshwar, Puthia, Rajshahi 6260, Bangladesh</t>
  </si>
  <si>
    <t>24.365866</t>
  </si>
  <si>
    <t xml:space="preserve">
88.74781</t>
  </si>
  <si>
    <t>271.59 Km</t>
  </si>
  <si>
    <t>2.89 km</t>
  </si>
  <si>
    <t>Rajshahi - Dhaka Highway, Bhangra, Belpukuria, Puthia Upazila, Rajshahi District, Rajshahi Division, Bangladesh</t>
  </si>
  <si>
    <t>24.36276</t>
  </si>
  <si>
    <t xml:space="preserve">
88.71257</t>
  </si>
  <si>
    <t>276.38 Km</t>
  </si>
  <si>
    <t>778.51 m</t>
  </si>
  <si>
    <t>Rajshahi - Dhaka Highway, Samsadipur, Katakhali Paurashava, Paba, Rajshahi, Bangladesh</t>
  </si>
  <si>
    <t>24.363398</t>
  </si>
  <si>
    <t xml:space="preserve">
88.68401</t>
  </si>
  <si>
    <t>280.47 Km</t>
  </si>
  <si>
    <t>Dhaka - Rajshahi Highway, Katakhali Bazar, Yusufpur, Samsadipur, Katakhali Paurashava, Paba, Rajshahi, Bangladesh</t>
  </si>
  <si>
    <t>24.364399</t>
  </si>
  <si>
    <t xml:space="preserve">
88.67641</t>
  </si>
  <si>
    <t>281.61 Km</t>
  </si>
  <si>
    <t>IBA, 155, N6, University of Rajshahi, Mirzapur, Ward-30, Matihar Thana, Rajshahi, Rajshahi 6206, Bangladesh</t>
  </si>
  <si>
    <t>24.3687</t>
  </si>
  <si>
    <t xml:space="preserve">
88.65015</t>
  </si>
  <si>
    <t>285.6 Km</t>
  </si>
  <si>
    <t>221.94 m</t>
  </si>
  <si>
    <t>552, N6, Binodpur, Mirzapur, Ward-30, Matihar Thana, Rajshahi, Rajshahi 6206, Bangladesh</t>
  </si>
  <si>
    <t>24.366693</t>
  </si>
  <si>
    <t xml:space="preserve">
88.64246</t>
  </si>
  <si>
    <t>286.57 Km</t>
  </si>
  <si>
    <t>156, Rajshahi - Dhaka Highway, Binodpur Bus Stop, Mirzapur, Ward-30, Matihar Thana, Rajshahi, Rajshahi 6206, Bangladesh</t>
  </si>
  <si>
    <t>24.367847</t>
  </si>
  <si>
    <t xml:space="preserve">
88.64425</t>
  </si>
  <si>
    <t>286.39 Km</t>
  </si>
  <si>
    <t>3.13 km</t>
  </si>
  <si>
    <t>1.32 km</t>
  </si>
  <si>
    <t>Chez Razzak Suites, Shiroil, Rajshahi, Ward-19, Rcc (Boalia), Bangladesh</t>
  </si>
  <si>
    <t>24.376575</t>
  </si>
  <si>
    <t xml:space="preserve">
88.61355</t>
  </si>
  <si>
    <t>291.26 Km</t>
  </si>
  <si>
    <t>93/5, Baliapukur Road, Mirer Tek, Ward-27, Matihar Thana, Rajshahi, Rajshahi 6402, Bangladesh</t>
  </si>
  <si>
    <t>24.37037</t>
  </si>
  <si>
    <t xml:space="preserve">
88.6246</t>
  </si>
  <si>
    <t>289.33 Km</t>
  </si>
  <si>
    <t>866.78 m</t>
  </si>
  <si>
    <t>Z6010, Meher Chandi, Ward-26, Boalia Thana, Rajshahi, Rajshahi, Bangladesh</t>
  </si>
  <si>
    <t>24.37926</t>
  </si>
  <si>
    <t xml:space="preserve">
88.634094</t>
  </si>
  <si>
    <t>288.5 Km</t>
  </si>
  <si>
    <t>Meher Chandi, Ward-26, Boalia Thana, Rajshahi, Rajshahi, Bangladesh</t>
  </si>
  <si>
    <t>24.387047</t>
  </si>
  <si>
    <t xml:space="preserve">
88.63373</t>
  </si>
  <si>
    <t>289.02 Km</t>
  </si>
  <si>
    <t>আজিজ রোড, Meher Chandi, Ward-26, Boalia Thana, Rajshahi, Rajshahi, Bangladesh</t>
  </si>
  <si>
    <t>24.382502</t>
  </si>
  <si>
    <t xml:space="preserve">
88.62796</t>
  </si>
  <si>
    <t>289.56 Km</t>
  </si>
  <si>
    <t>700.26 m</t>
  </si>
  <si>
    <t>18, Dream Road, Chhota Banagram, Ward-19, Boalia Thana, Rajshahi, Rajshahi 6000, Bangladesh</t>
  </si>
  <si>
    <t>24.389603</t>
  </si>
  <si>
    <t xml:space="preserve">
88.61471</t>
  </si>
  <si>
    <t>291.87 Km</t>
  </si>
  <si>
    <t>Nambihin Rasta, Ward-19, Boalia Thana, Rajshahi, Rajshahi, Bangladesh</t>
  </si>
  <si>
    <t>24.386543</t>
  </si>
  <si>
    <t xml:space="preserve">
88.62075</t>
  </si>
  <si>
    <t>290.83 Km</t>
  </si>
  <si>
    <t>5.77 km</t>
  </si>
  <si>
    <t>Babu Para Road, Nowhata, Mahanandakhali, Noahata, Paba Upazila, Rajshahi District, Rajshahi Division, Bangladesh</t>
  </si>
  <si>
    <t>24.456995</t>
  </si>
  <si>
    <t xml:space="preserve">
88.61177</t>
  </si>
  <si>
    <t>296.47 Km</t>
  </si>
  <si>
    <t>Nawdapara Bus Terminal, Paba Nathun Para, Ward No-17, Shah Makhdum Thana, Rajshahi, Rajshahi, Bangladesh</t>
  </si>
  <si>
    <t>24.405214</t>
  </si>
  <si>
    <t xml:space="preserve">
88.61534</t>
  </si>
  <si>
    <t>292.72 Km</t>
  </si>
  <si>
    <t>1.98 km</t>
  </si>
  <si>
    <t>24.386927</t>
  </si>
  <si>
    <t xml:space="preserve">
88.61949</t>
  </si>
  <si>
    <t>291.03 Km</t>
  </si>
  <si>
    <t>1.16 km</t>
  </si>
  <si>
    <t>23, Eidgah Road, Uposhohor, Ward-15, Boalia Thana, Rajshahi, Rajshahi 6202, Bangladesh</t>
  </si>
  <si>
    <t>24.378557</t>
  </si>
  <si>
    <t xml:space="preserve">
88.60228</t>
  </si>
  <si>
    <t>891.74 m</t>
  </si>
  <si>
    <t>Barendra Jam-e-Mosque, Cantonment Road, Bilsimla, Rajshahi, Ward-03, Rajpara Thana, Bangladesh</t>
  </si>
  <si>
    <t>24.37799</t>
  </si>
  <si>
    <t xml:space="preserve">
88.590836</t>
  </si>
  <si>
    <t>294.58 Km</t>
  </si>
  <si>
    <t>Nambihin Rasta, Terakhadia, Ward-14, Rajpara Thana, Rajshahi, Rajshahi, Bangladesh</t>
  </si>
  <si>
    <t>24.385784</t>
  </si>
  <si>
    <t xml:space="preserve">
88.59292</t>
  </si>
  <si>
    <t>294.74 Km</t>
  </si>
  <si>
    <t>525.52 m</t>
  </si>
  <si>
    <t>Begum Rokeya Road, Hatemkha, Ward-11, Boalia Thana, Rajshahi, Rajshahi, Bangladesh</t>
  </si>
  <si>
    <t>24.367638</t>
  </si>
  <si>
    <t xml:space="preserve">
88.59734</t>
  </si>
  <si>
    <t>293.06 Km</t>
  </si>
  <si>
    <t>Hajrat Shah Mukhdom Madrasha, Shaheb Bazar, Rajshahi, Ward-12, Rcc (Boalia), Bangladesh</t>
  </si>
  <si>
    <t>24.362953</t>
  </si>
  <si>
    <t xml:space="preserve">
88.598045</t>
  </si>
  <si>
    <t>292.69 Km</t>
  </si>
  <si>
    <t>Shaheb Bazar, Masterpara, Ward-12, Boalia Thana, Rajshahi 6100, Bangladesh</t>
  </si>
  <si>
    <t>24.364298</t>
  </si>
  <si>
    <t xml:space="preserve">
88.59726</t>
  </si>
  <si>
    <t>292.88 Km</t>
  </si>
  <si>
    <t>6.43 km</t>
  </si>
  <si>
    <t>Shaheb Bazar, Ward-12, Boalia Thana, Rajshahi, Rajshahi, Bangladesh</t>
  </si>
  <si>
    <t>24.362873</t>
  </si>
  <si>
    <t xml:space="preserve">
88.59945</t>
  </si>
  <si>
    <t>292.49 Km</t>
  </si>
  <si>
    <t>6.32 km</t>
  </si>
  <si>
    <t>Nambihin Rasta, Jazira Char Sonaikandi, Haripur, Paba, Rajshahi, Rajshahi, Bangladesh</t>
  </si>
  <si>
    <t>24.330076</t>
  </si>
  <si>
    <t xml:space="preserve">
88.547195</t>
  </si>
  <si>
    <t>298.19 Km</t>
  </si>
  <si>
    <t>5.01 km</t>
  </si>
  <si>
    <t>Shah Makhdum Airport, Parila Road, Rajshahi, Baya, Noahata, Paba Upazila, Bangladesh, 6210</t>
  </si>
  <si>
    <t>24.426546</t>
  </si>
  <si>
    <t xml:space="preserve">
88.614006</t>
  </si>
  <si>
    <t>294.22 Km</t>
  </si>
  <si>
    <t>6.9 km</t>
  </si>
  <si>
    <t>Rajshahi - Naogaon Highway, Paba, Khayra, Maugachhi, Mohanpur, Rajshahi, Bangladesh</t>
  </si>
  <si>
    <t>24.50051</t>
  </si>
  <si>
    <t xml:space="preserve">
88.61327</t>
  </si>
  <si>
    <t>299.16 Km</t>
  </si>
  <si>
    <t>4.08 km</t>
  </si>
  <si>
    <t>Nambihin Rasta, Saipara, Bakshimail, Mohanpur, Rajshahi, Bangladesh</t>
  </si>
  <si>
    <t>24.554998</t>
  </si>
  <si>
    <t xml:space="preserve">
88.64581</t>
  </si>
  <si>
    <t>298.56 Km</t>
  </si>
  <si>
    <t>KeshorHat Road, Royghati, Sehalai, Kesharhat Paurashava, Mohanpur, Rajshahi, Bangladesh</t>
  </si>
  <si>
    <t>24.59165</t>
  </si>
  <si>
    <t xml:space="preserve">
88.64712</t>
  </si>
  <si>
    <t>301.13 Km</t>
  </si>
  <si>
    <t>R685, Royghati, Osayer Hatra, Kesharhat Paurashava, Mohanpur, Rajshahi, Bangladesh</t>
  </si>
  <si>
    <t>24.600258</t>
  </si>
  <si>
    <t xml:space="preserve">
88.655136</t>
  </si>
  <si>
    <t>300.71 Km</t>
  </si>
  <si>
    <t>KeshorHat Road, Gokul, Bharbarail, Kamargaon, Tanore, Rajshahi, Bangladesh</t>
  </si>
  <si>
    <t>24.61377</t>
  </si>
  <si>
    <t xml:space="preserve">
88.619995</t>
  </si>
  <si>
    <t>306.48 Km</t>
  </si>
  <si>
    <t>5.53 km</t>
  </si>
  <si>
    <t>Rajshahi - Naogaon Highway, কালীগ্রাম, Pirakair, Tentulia, Manda, Naogaon, Rajshahi, Bangladesh</t>
  </si>
  <si>
    <t>24.667212</t>
  </si>
  <si>
    <t xml:space="preserve">
88.66087</t>
  </si>
  <si>
    <t>305.28 Km</t>
  </si>
  <si>
    <t>1.65 km</t>
  </si>
  <si>
    <t>Rajshahi - Naogaon Highway, Daluabari, Kirtali, Kusumba, Manda, Naogaon, Rajshahi, Bangladesh</t>
  </si>
  <si>
    <t>24.714685</t>
  </si>
  <si>
    <t xml:space="preserve">
88.67711</t>
  </si>
  <si>
    <t>307.15 Km</t>
  </si>
  <si>
    <t>Deluabari - Prosadpur Road, Daluabari, Safapur, Kusumba, Manda, Naogaon, Rajshahi, Bangladesh</t>
  </si>
  <si>
    <t>24.728622</t>
  </si>
  <si>
    <t xml:space="preserve">
88.682785</t>
  </si>
  <si>
    <t>307.62 Km</t>
  </si>
  <si>
    <t>Mrinal Kanti Saha Memorial Road, Daluabari, Kalisafa, Bharso, Manda, Naogaon, Rajshahi, Bangladesh</t>
  </si>
  <si>
    <t>24.721445</t>
  </si>
  <si>
    <t xml:space="preserve">
88.67381</t>
  </si>
  <si>
    <t>308.16 Km</t>
  </si>
  <si>
    <t>1.55 km</t>
  </si>
  <si>
    <t>2.4 km</t>
  </si>
  <si>
    <t>Nasirgonj - Deluabari Road, Daluabari, Kusumba, Manda, Naogaon, Rajshahi, Bangladesh</t>
  </si>
  <si>
    <t>24.71679</t>
  </si>
  <si>
    <t xml:space="preserve">
88.6908</t>
  </si>
  <si>
    <t>305.56 Km</t>
  </si>
  <si>
    <t>4.05 km</t>
  </si>
  <si>
    <t>দোডাঙ্গী, Chak Bholai, Nurullabad, Manda, Naogaon, Rajshahi, Bangladesh</t>
  </si>
  <si>
    <t>24.696857</t>
  </si>
  <si>
    <t xml:space="preserve">
88.69993</t>
  </si>
  <si>
    <t>302.66 Km</t>
  </si>
  <si>
    <t>5.82 km</t>
  </si>
  <si>
    <t>Chokgori Road, হাট চকগৌরী গোপালপুর মোর ভাই ভাই এন্টারপ্রাইজ, Damnash, Chak Gauri, Kalikapur, Manda, Naogaon, Rajshahi, Bangladesh</t>
  </si>
  <si>
    <t>24.679203</t>
  </si>
  <si>
    <t xml:space="preserve">
88.73501</t>
  </si>
  <si>
    <t>296.58 Km</t>
  </si>
  <si>
    <t>348.21 m</t>
  </si>
  <si>
    <t>Hat Gangopara, Paschim Daulatpur, Gobinda Para, Bagmara, Rajshahi, Bangladesh</t>
  </si>
  <si>
    <t>24.627512</t>
  </si>
  <si>
    <t xml:space="preserve">
88.72592</t>
  </si>
  <si>
    <t>293.44 Km</t>
  </si>
  <si>
    <t>Nambihin Rasta, Hat Gangopara, Paschim Daulatpur, Gobinda Para, Bagmara, Rajshahi, Bangladesh</t>
  </si>
  <si>
    <t>24.628035</t>
  </si>
  <si>
    <t xml:space="preserve">
88.72932</t>
  </si>
  <si>
    <t>293.03 Km</t>
  </si>
  <si>
    <t>Hat Gangopara, Kanaisar, Auch Para, Bagmara, Rajshahi, Bangladesh</t>
  </si>
  <si>
    <t>24.611355</t>
  </si>
  <si>
    <t xml:space="preserve">
88.71924</t>
  </si>
  <si>
    <t>293.02 Km</t>
  </si>
  <si>
    <t>4.83 km</t>
  </si>
  <si>
    <t>3.39 km</t>
  </si>
  <si>
    <t>Nambihin Rasta, Baigacha, Rampur, Basu Para, Bagmara, Rajshahi, Bangladesh</t>
  </si>
  <si>
    <t>24.60439</t>
  </si>
  <si>
    <t xml:space="preserve">
88.76945</t>
  </si>
  <si>
    <t>285.8 Km</t>
  </si>
  <si>
    <t>5.08 km</t>
  </si>
  <si>
    <t>Dipnagar, Basu Para, Bagmara, Rajshahi, Bangladesh</t>
  </si>
  <si>
    <t>24.575884</t>
  </si>
  <si>
    <t xml:space="preserve">
88.781364</t>
  </si>
  <si>
    <t>281.91 Km</t>
  </si>
  <si>
    <t>Chand Para, Bhabaniganj, Bagmara, Rajshahi, Bangladesh</t>
  </si>
  <si>
    <t>24.570421</t>
  </si>
  <si>
    <t xml:space="preserve">
88.831215</t>
  </si>
  <si>
    <t>274.86 Km</t>
  </si>
  <si>
    <t>Road, Tahirpur, Tahirpur Paurashava, Bagmara, Rajshahi, Bangladesh</t>
  </si>
  <si>
    <t>24.520018</t>
  </si>
  <si>
    <t xml:space="preserve">
88.845184</t>
  </si>
  <si>
    <t>268.96 Km</t>
  </si>
  <si>
    <t>3.77 km</t>
  </si>
  <si>
    <t>Nambihin Rasta, Naldanga, Chhatar Para, Silmaria, Puthia, Rajshahi, Bangladesh</t>
  </si>
  <si>
    <t>24.501081</t>
  </si>
  <si>
    <t xml:space="preserve">
88.89141</t>
  </si>
  <si>
    <t>261.29 Km</t>
  </si>
  <si>
    <t>2.72 km</t>
  </si>
  <si>
    <t>Nambihin Rasta, Naldanga, Ramrama, Goalkandi, Bagmara, Rajshahi, Bangladesh</t>
  </si>
  <si>
    <t>24.529003</t>
  </si>
  <si>
    <t xml:space="preserve">
88.87019</t>
  </si>
  <si>
    <t>266.33 Km</t>
  </si>
  <si>
    <t>984.91 m</t>
  </si>
  <si>
    <t>Z6004, Taherpur, Ramrama, Goalkandi, Bagmara, Rajshahi, Bangladesh</t>
  </si>
  <si>
    <t>24.52214</t>
  </si>
  <si>
    <t xml:space="preserve">
88.85463</t>
  </si>
  <si>
    <t>267.86 Km</t>
  </si>
  <si>
    <t>Taherpur, Sargachhi, Silmaria, Puthia, Rajshahi, Bangladesh</t>
  </si>
  <si>
    <t>24.509665</t>
  </si>
  <si>
    <t xml:space="preserve">
88.86126</t>
  </si>
  <si>
    <t>266 Km</t>
  </si>
  <si>
    <t>5.19 km</t>
  </si>
  <si>
    <t>Puthia - Bagmara Road, Naldanga, Tebaria, Silmaria, Puthia, Rajshahi, Bangladesh</t>
  </si>
  <si>
    <t>24.489597</t>
  </si>
  <si>
    <t xml:space="preserve">
88.849464</t>
  </si>
  <si>
    <t>266.04 Km</t>
  </si>
  <si>
    <t>4.51 km</t>
  </si>
  <si>
    <t>Puthia 1, Dhokrakul, Banshbaria, Bhalukgachhi, Puthia, Rajshahi, Bangladesh</t>
  </si>
  <si>
    <t>24.44315</t>
  </si>
  <si>
    <t xml:space="preserve">
88.85417</t>
  </si>
  <si>
    <t>261.96 Km</t>
  </si>
  <si>
    <t>894.34 m</t>
  </si>
  <si>
    <t>Nambihin Rasta, ধোপাপাড়া, Dhopa Para, Jeopara, Puthia, Rajshahi, Bangladesh</t>
  </si>
  <si>
    <t>24.403181</t>
  </si>
  <si>
    <t xml:space="preserve">
88.846436</t>
  </si>
  <si>
    <t>260.21 Km</t>
  </si>
  <si>
    <t>3.34 km</t>
  </si>
  <si>
    <t>Puthia - Bagmara Road, ধোপাপাড়া, Ganda Gohali, Jeopara, Puthia, রাজশাহী জেলা, রাজশাহী বিভাগ, Bangladesh</t>
  </si>
  <si>
    <t>24.395288</t>
  </si>
  <si>
    <t xml:space="preserve">
88.84813</t>
  </si>
  <si>
    <t>259.44 Km</t>
  </si>
  <si>
    <t>847.88 m</t>
  </si>
  <si>
    <t>Rajshahi - Dhaka Highway, Puthia Bazar, Kanthalbaria, Puthia, Puthia Upazila, Rajshahi District, Rajshahi Division, Bangladesh</t>
  </si>
  <si>
    <t>24.370695</t>
  </si>
  <si>
    <t xml:space="preserve">
88.847305</t>
  </si>
  <si>
    <t>257.92 Km</t>
  </si>
  <si>
    <t>3.94 km</t>
  </si>
  <si>
    <t>4.66 km</t>
  </si>
  <si>
    <t>Rajshahi - Dhaka Highway, Maipara, Baneshwar, Puthia, Rajshahi, Bangladesh</t>
  </si>
  <si>
    <t>24.378681</t>
  </si>
  <si>
    <t xml:space="preserve">
88.80434</t>
  </si>
  <si>
    <t>264.45 Km</t>
  </si>
  <si>
    <t>117a, Bir Uttam Ziaur Rahman Road, Tejkunipara, Ward No-38 (Part), Tejgaon, Dhaka, Dhaka 1215, Bangladesh</t>
  </si>
  <si>
    <t>23.765127</t>
  </si>
  <si>
    <t xml:space="preserve">
90.38975</t>
  </si>
  <si>
    <t>4.28 Km</t>
  </si>
  <si>
    <t>890.52 m</t>
  </si>
  <si>
    <t>হাতির ঝিল সংযোগ সড়ক, Tejgaon Industrial Area, Ward-37, Tejgaon, Dhaka, Dhaka 1208, Bangladesh</t>
  </si>
  <si>
    <t>23.768309</t>
  </si>
  <si>
    <t xml:space="preserve">
90.40908</t>
  </si>
  <si>
    <t>1.37 Km</t>
  </si>
  <si>
    <t>90.41 m</t>
  </si>
  <si>
    <t>603.72 m</t>
  </si>
  <si>
    <t>3, 2, Bir Uttam Mir Shawkat Sarak, Tejgaon Industrial Area, Ward-37, Tejgaon, Dhaka, Dhaka 1208, Bangladesh</t>
  </si>
  <si>
    <t>23.76963</t>
  </si>
  <si>
    <t xml:space="preserve">
90.4118</t>
  </si>
  <si>
    <t>901.83 m</t>
  </si>
  <si>
    <t>966.53 m</t>
  </si>
  <si>
    <t>235, 5, East Nakhalpara Road, East Nakhalpara, Ward No-38 (Part), Tejgaon, Dhaka, Dhaka 1215, Bangladesh</t>
  </si>
  <si>
    <t>23.770338</t>
  </si>
  <si>
    <t xml:space="preserve">
90.397354</t>
  </si>
  <si>
    <t>406.28 m</t>
  </si>
  <si>
    <t>3.57 km</t>
  </si>
  <si>
    <t>Sadarghat - Gabtoli Road, Gabtoli / Parbat, Gabtali, Gabtoli Sweeper Colony, Ward-09, Mirpur, Dhaka, Bangladesh</t>
  </si>
  <si>
    <t>23.780144</t>
  </si>
  <si>
    <t xml:space="preserve">
90.339386</t>
  </si>
  <si>
    <t>11.82 Km</t>
  </si>
  <si>
    <t>Bongaon Union, Bilamalia, Tetuljhora, Savar, Dhaka, Bangladesh</t>
  </si>
  <si>
    <t>23.785809</t>
  </si>
  <si>
    <t xml:space="preserve">
90.30489</t>
  </si>
  <si>
    <t>17.16 Km</t>
  </si>
  <si>
    <t>461.8 m</t>
  </si>
  <si>
    <t>Nambihin Rasta, Hemayetpur, Jamur Muchipara(Joynabad), Tetuljhora, Savar, Dhaka, Bangladesh</t>
  </si>
  <si>
    <t>23.795275</t>
  </si>
  <si>
    <t xml:space="preserve">
90.267525</t>
  </si>
  <si>
    <t>23.03 Km</t>
  </si>
  <si>
    <t>2, N5, Hemayetpur bus stop, Hemayetpur, Tetuljhora, Savar, Dhaka 1340, Bangladesh</t>
  </si>
  <si>
    <t>23.794344</t>
  </si>
  <si>
    <t xml:space="preserve">
90.27195</t>
  </si>
  <si>
    <t>22.34 Km</t>
  </si>
  <si>
    <t>Savar - Manikganj Highway, Hemayetpur, Nandakhali, Tetuljhora, Savar, Dhaka 1340, Bangladesh</t>
  </si>
  <si>
    <t>23.797962</t>
  </si>
  <si>
    <t xml:space="preserve">
90.2502</t>
  </si>
  <si>
    <t>25.71 Km</t>
  </si>
  <si>
    <t>526.32 m</t>
  </si>
  <si>
    <t>Nambihin Rasta, Hemayetpur, Bhararia, Tetuljhora, Savar, Dhaka, Bangladesh</t>
  </si>
  <si>
    <t>23.802673</t>
  </si>
  <si>
    <t xml:space="preserve">
90.25336</t>
  </si>
  <si>
    <t>25.38 Km</t>
  </si>
  <si>
    <t>517.02 m</t>
  </si>
  <si>
    <t>Tatulzhora Road, Hemayetpur, Nandakhali, Tetuljhora, Savar, Dhaka, Bangladesh</t>
  </si>
  <si>
    <t>23.798277</t>
  </si>
  <si>
    <t xml:space="preserve">
90.25527</t>
  </si>
  <si>
    <t>24.96 Km</t>
  </si>
  <si>
    <t>Savar - Manikganj Highway, Baniara, Joy Mantap, Singair Upazila, Manikganj District, Dhaka Division, Bangladesh</t>
  </si>
  <si>
    <t>23.805319</t>
  </si>
  <si>
    <t xml:space="preserve">
90.18636</t>
  </si>
  <si>
    <t>35.53 Km</t>
  </si>
  <si>
    <t>Bahadia PurboPara Jame Mosque, Deuli Lakshmidia, Joy Mantap, Singair Upazila, Manikganj District, Dhaka Division, Bangladesh</t>
  </si>
  <si>
    <t>23.804283</t>
  </si>
  <si>
    <t xml:space="preserve">
90.17688</t>
  </si>
  <si>
    <t>36.93 Km</t>
  </si>
  <si>
    <t>971.43 m</t>
  </si>
  <si>
    <t>3.68 km</t>
  </si>
  <si>
    <t>Nambihin Rasta, Singair Union, Singair Paurashava, Singair, Manikganj, Dhaka, Bangladesh</t>
  </si>
  <si>
    <t>23.803213</t>
  </si>
  <si>
    <t xml:space="preserve">
90.15026</t>
  </si>
  <si>
    <t>40.94 Km</t>
  </si>
  <si>
    <t>Azimpur - Singair College Road, Singair Union, Singair Paurashava, Singair, Manikganj, Dhaka, Bangladesh</t>
  </si>
  <si>
    <t>23.816935</t>
  </si>
  <si>
    <t xml:space="preserve">
90.148026</t>
  </si>
  <si>
    <t>41.61 Km</t>
  </si>
  <si>
    <t>1, Azimpur - Singair College Road, Singair Union, Singair Paurashava, Singair, Manikganj, Dhaka, Bangladesh</t>
  </si>
  <si>
    <t>23.81281</t>
  </si>
  <si>
    <t xml:space="preserve">
90.14988</t>
  </si>
  <si>
    <t>41.22 Km</t>
  </si>
  <si>
    <t>6.45 km</t>
  </si>
  <si>
    <t>2.52 km</t>
  </si>
  <si>
    <t>Nambihin Rasta, Rajfulbaria, Dhalla, Tetuljhora, Savar, Dhaka 1347, Bangladesh</t>
  </si>
  <si>
    <t>23.804487</t>
  </si>
  <si>
    <t xml:space="preserve">
90.24976</t>
  </si>
  <si>
    <t>25.98 Km</t>
  </si>
  <si>
    <t>Konda - Bangaoug Road, Nagar Konda, Bongaon Union, Kunda, Banagram, Savar Upazila, Dhaka District, Dhaka Division, Bangladesh, 1216</t>
  </si>
  <si>
    <t>23.800108</t>
  </si>
  <si>
    <t xml:space="preserve">
90.296715</t>
  </si>
  <si>
    <t>18.82 Km</t>
  </si>
  <si>
    <t>474.09 m</t>
  </si>
  <si>
    <t>গাবতলি বাস টার্মিনাল যাত্রি ছাওনি, Dhaka - Aricha Highway, Gabtoli, Gabtali, Ward-09, Mirpur, Dhaka, Dhaka, Bangladesh</t>
  </si>
  <si>
    <t>23.78236</t>
  </si>
  <si>
    <t xml:space="preserve">
90.34395</t>
  </si>
  <si>
    <t>11.17 Km</t>
  </si>
  <si>
    <t>2.27 km</t>
  </si>
  <si>
    <t>Mazar Road, Nanderbag, Ward-10, Mirpur, Dhaka, Dhaka, Bangladesh</t>
  </si>
  <si>
    <t>23.782785</t>
  </si>
  <si>
    <t xml:space="preserve">
90.34859</t>
  </si>
  <si>
    <t>10.48 Km</t>
  </si>
  <si>
    <t>1.8 km</t>
  </si>
  <si>
    <t>8a, Mirpur Road, Shishu Mela, Mohammadpur, Ward No-40 (Part), Tejgaon, Dhaka, Dhaka 1207, Bangladesh</t>
  </si>
  <si>
    <t>23.77242</t>
  </si>
  <si>
    <t xml:space="preserve">
90.367775</t>
  </si>
  <si>
    <t>7.43 Km</t>
  </si>
  <si>
    <t>973.36 m</t>
  </si>
  <si>
    <t>1, Mirpur Road, Sher-E-Bangla Nagar, Ward No-51 (Part), Dhanmondi, Dhaka, Dhaka 1205, Bangladesh</t>
  </si>
  <si>
    <t>23.757618</t>
  </si>
  <si>
    <t xml:space="preserve">
90.375</t>
  </si>
  <si>
    <t>6.82 Km</t>
  </si>
  <si>
    <t>421.03 m</t>
  </si>
  <si>
    <t>Sher Shah Suri Road, Ward-44, Mohammadpur, Dhaka, Dhaka 1205, Bangladesh</t>
  </si>
  <si>
    <t>23.760134</t>
  </si>
  <si>
    <t xml:space="preserve">
90.36584</t>
  </si>
  <si>
    <t>8.02 Km</t>
  </si>
  <si>
    <t>2, Nurjahan Road, Ward-44, Mohammadpur, Dhaka, Dhaka 1209, Bangladesh</t>
  </si>
  <si>
    <t>23.76054</t>
  </si>
  <si>
    <t xml:space="preserve">
90.361725</t>
  </si>
  <si>
    <t>8.61 Km</t>
  </si>
  <si>
    <t>591.03 m</t>
  </si>
  <si>
    <t>4, Bash Bari Road, Mohammadpur, Ward-44, Mohammadpur, Dhaka, Dhaka, Bangladesh</t>
  </si>
  <si>
    <t>23.757471</t>
  </si>
  <si>
    <t xml:space="preserve">
90.36082</t>
  </si>
  <si>
    <t>8.88 Km</t>
  </si>
  <si>
    <t>287.72 m</t>
  </si>
  <si>
    <t>68/C, Asad Avenue, Ward-44, Mohammadpur, Dhaka, Dhaka 1207, Bangladesh</t>
  </si>
  <si>
    <t>23.758772</t>
  </si>
  <si>
    <t xml:space="preserve">
90.363434</t>
  </si>
  <si>
    <t>8.43 Km</t>
  </si>
  <si>
    <t>169.61 m</t>
  </si>
  <si>
    <t>Sk Golam Muhammad Hasnain's Home, 12, Azam Road, Ward-44, Mohammadpur, Dhaka, Dhaka 1207, Bangladesh</t>
  </si>
  <si>
    <t>23.75962</t>
  </si>
  <si>
    <t xml:space="preserve">
90.36427</t>
  </si>
  <si>
    <t>8.27 Km</t>
  </si>
  <si>
    <t>275.09 m</t>
  </si>
  <si>
    <t>15/20, Tajmahal Road, Ward-42, Mohammadpur, Dhaka, Dhaka 1207, Bangladesh</t>
  </si>
  <si>
    <t>23.763815</t>
  </si>
  <si>
    <t xml:space="preserve">
90.362404</t>
  </si>
  <si>
    <t>8.39 Km</t>
  </si>
  <si>
    <t>29, Humayun Road, Shyamoli, Ward-42, Mohammadpur, Dhaka, Dhaka 1207, Bangladesh</t>
  </si>
  <si>
    <t>23.766024</t>
  </si>
  <si>
    <t xml:space="preserve">
90.36118</t>
  </si>
  <si>
    <t>8.51 Km</t>
  </si>
  <si>
    <t>304.77 m</t>
  </si>
  <si>
    <t>Ring Road, Adabor, Shyamoli, Ward-42, Mohammadpur, Dhaka, Dhaka, Bangladesh</t>
  </si>
  <si>
    <t>23.767551</t>
  </si>
  <si>
    <t xml:space="preserve">
90.358696</t>
  </si>
  <si>
    <t>8.86 Km</t>
  </si>
  <si>
    <t>8, 6, Salimullah Road, Adabor, Shyamoli, Ward-42, Mohammadpur, Dhaka, Dhaka 1207, Bangladesh</t>
  </si>
  <si>
    <t>23.765709</t>
  </si>
  <si>
    <t xml:space="preserve">
90.359344</t>
  </si>
  <si>
    <t>8.8 Km</t>
  </si>
  <si>
    <t>6.38 km</t>
  </si>
  <si>
    <t>Dhaka - Aricha Highway, Jadurchar, Hemayetpur, Bilamalia, Tetuljhora, Savar, Dhaka, Bangladesh</t>
  </si>
  <si>
    <t>23.79468</t>
  </si>
  <si>
    <t xml:space="preserve">
90.27871</t>
  </si>
  <si>
    <t>21.33 Km</t>
  </si>
  <si>
    <t>5.03 km</t>
  </si>
  <si>
    <t>22, Dhaka - Aricha Highway, Anandapur, Savar-Paurashava, Savar, Dhaka 1340, Bangladesh</t>
  </si>
  <si>
    <t>23.836578</t>
  </si>
  <si>
    <t xml:space="preserve">
90.25901</t>
  </si>
  <si>
    <t>26.26 Km</t>
  </si>
  <si>
    <t>Dairy Farm Main Road, Jahangir Nagar University, Savar, Savar, Dhaka, Bangladesh</t>
  </si>
  <si>
    <t>23.879412</t>
  </si>
  <si>
    <t xml:space="preserve">
90.27489</t>
  </si>
  <si>
    <t>27.96 Km</t>
  </si>
  <si>
    <t>1.31 km</t>
  </si>
  <si>
    <t>Nambihin Rasta, Kurgaon, Pathalia, Savar, Dhaka, Bangladesh</t>
  </si>
  <si>
    <t>23.91243</t>
  </si>
  <si>
    <t xml:space="preserve">
90.257484</t>
  </si>
  <si>
    <t>33.6 Km</t>
  </si>
  <si>
    <t>Savar Palli Bidyut Bazar Road, Dendabor, Palashbari, Dhamsana, Savar, Dhaka, Bangladesh</t>
  </si>
  <si>
    <t>23.923376</t>
  </si>
  <si>
    <t xml:space="preserve">
90.26219</t>
  </si>
  <si>
    <t>34.39 Km</t>
  </si>
  <si>
    <t>371.63 m</t>
  </si>
  <si>
    <t>Dhaka - Ashulia Highway, Baipayl, Banshbari, Dhamsana, Savar, Dhaka, Bangladesh</t>
  </si>
  <si>
    <t>23.938057</t>
  </si>
  <si>
    <t xml:space="preserve">
90.27111</t>
  </si>
  <si>
    <t>35.35 Km</t>
  </si>
  <si>
    <t>1.07 km</t>
  </si>
  <si>
    <t>Dhaka - Ashulia Highway, Bogabari, Baipayl, Baipail, Dhamsana, Savar, Dhaka, Bangladesh</t>
  </si>
  <si>
    <t>23.936754</t>
  </si>
  <si>
    <t xml:space="preserve">
90.274475</t>
  </si>
  <si>
    <t>34.86 Km</t>
  </si>
  <si>
    <t>394.42 m</t>
  </si>
  <si>
    <t>Tongi - Ashulia - Zerabo - EPZ Road, Savar Union, Baipail, Yearpur, Savar, Dhaka, Bangladesh</t>
  </si>
  <si>
    <t>23.9366</t>
  </si>
  <si>
    <t xml:space="preserve">
90.28502</t>
  </si>
  <si>
    <t>33.86 Km</t>
  </si>
  <si>
    <t>1.13 km</t>
  </si>
  <si>
    <t>Tongi - Ashulia - Zerabo - EPZ Road, Jamgora, Diakhali, Yearpur, Savar, Dhaka, Bangladesh</t>
  </si>
  <si>
    <t>23.937222</t>
  </si>
  <si>
    <t xml:space="preserve">
90.28884</t>
  </si>
  <si>
    <t>33.61 Km</t>
  </si>
  <si>
    <t>598.82 m</t>
  </si>
  <si>
    <t>Tongi - Ashulia - Zerabo - EPZ Road, Sarkar Market, Savar Union, Diakhali, Yearpur, Savar, Dhaka, Bangladesh</t>
  </si>
  <si>
    <t>23.936703</t>
  </si>
  <si>
    <t xml:space="preserve">
90.29994</t>
  </si>
  <si>
    <t>32.58 Km</t>
  </si>
  <si>
    <t>Narsinghapur Link Road, Norosinhopur, Diakhali, Yearpur, Savar, Dhaka, Bangladesh</t>
  </si>
  <si>
    <t>23.940771</t>
  </si>
  <si>
    <t xml:space="preserve">
90.3038</t>
  </si>
  <si>
    <t>32.84 Km</t>
  </si>
  <si>
    <t>923.77 m</t>
  </si>
  <si>
    <t>2, Nightingale College Medical College RD, Sarkar Market, Ashulia, Diakhali, Yearpur, Savar, Dhaka, Bangladesh</t>
  </si>
  <si>
    <t>23.938198</t>
  </si>
  <si>
    <t xml:space="preserve">
90.30151</t>
  </si>
  <si>
    <t>32.66 Km</t>
  </si>
  <si>
    <t>838.63 m</t>
  </si>
  <si>
    <t>ঢাকা - আশুলিয়া মহাসড়ক, Jamgora, Diakhali, Yearpur, Savar, Dhaka, Bangladesh</t>
  </si>
  <si>
    <t>23.93507</t>
  </si>
  <si>
    <t xml:space="preserve">
90.2931</t>
  </si>
  <si>
    <t>32.94 Km</t>
  </si>
  <si>
    <t>1.26 km</t>
  </si>
  <si>
    <t>1 km</t>
  </si>
  <si>
    <t>6A, Sopnochowa, Bogabari, Bashundhara RA, Palashbari, Dhamsana, Savar, Dhaka, Dhaka, Bangladesh</t>
  </si>
  <si>
    <t>23.93642</t>
  </si>
  <si>
    <t xml:space="preserve">
90.27264</t>
  </si>
  <si>
    <t>34.99 Km</t>
  </si>
  <si>
    <t>1.19 km</t>
  </si>
  <si>
    <t>Ijtema Road, Machimpur, Tongi, Tongi Paurashava, Gazipur Sadar, Gazipur, Dhaka, 1230, Bangladesh</t>
  </si>
  <si>
    <t>23.885386</t>
  </si>
  <si>
    <t xml:space="preserve">
90.39323</t>
  </si>
  <si>
    <t>19.08 Km</t>
  </si>
  <si>
    <t>Arichpur, Tongi, Gazipur Sadar Upazila, Gazipur District, Dhaka Division, Bangladesh</t>
  </si>
  <si>
    <t>23.895079</t>
  </si>
  <si>
    <t xml:space="preserve">
90.398155</t>
  </si>
  <si>
    <t>20.56 Km</t>
  </si>
  <si>
    <t>597.41 m</t>
  </si>
  <si>
    <t>স ও জ ভবন, 10, Dhaka - Mymensingh Road, Tongi Bazaar, Machimpur, Tongi Industrial Area, Tongi, Tongi Paurashava, Gazipur Sadar, Gazipur, Dhaka 1230, Bangladesh</t>
  </si>
  <si>
    <t>23.883121</t>
  </si>
  <si>
    <t xml:space="preserve">
90.39855</t>
  </si>
  <si>
    <t>18.57 Km</t>
  </si>
  <si>
    <t>772.3 m</t>
  </si>
  <si>
    <t>982.68 m</t>
  </si>
  <si>
    <t>19, Dhaka - Jamuna Bridge Highway, Tongi Bazaar, Tongi Bazar, Arichpur, Tongi, Tongi Paurashava, Gazipur Sadar, Gazipur, Dhaka 1230, Bangladesh</t>
  </si>
  <si>
    <t>23.884846</t>
  </si>
  <si>
    <t xml:space="preserve">
90.4008</t>
  </si>
  <si>
    <t>18.81 Km</t>
  </si>
  <si>
    <t>1.34 km</t>
  </si>
  <si>
    <t>M 10, Tongi, Gazipur Sadar Upazila, Gazipur District, Dhaka Division, Bangladesh</t>
  </si>
  <si>
    <t>23.893438</t>
  </si>
  <si>
    <t xml:space="preserve">
90.40305</t>
  </si>
  <si>
    <t>20.2 Km</t>
  </si>
  <si>
    <t>810.66 m</t>
  </si>
  <si>
    <t>488.86 m</t>
  </si>
  <si>
    <t>32, Road Number 6, Sector 9, Uttara, Ward No-01, Dakshin Khan, Dhaka, Dhaka 1230, Bangladesh</t>
  </si>
  <si>
    <t>23.878962</t>
  </si>
  <si>
    <t xml:space="preserve">
90.396996</t>
  </si>
  <si>
    <t>17.92 Km</t>
  </si>
  <si>
    <t>3.75 km</t>
  </si>
  <si>
    <t>Tongi, Gazipur Sadar Upazila, Gazipur District, Dhaka Division, Bangladesh</t>
  </si>
  <si>
    <t>23.883982</t>
  </si>
  <si>
    <t xml:space="preserve">
90.393684</t>
  </si>
  <si>
    <t>18.84 Km</t>
  </si>
  <si>
    <t>Ledu Mollah Road, Ershadnagar, Tongi, Tongi Paurashava, Gazipur Sadar, Gazipur, Dhaka, Bangladesh</t>
  </si>
  <si>
    <t>23.917534</t>
  </si>
  <si>
    <t xml:space="preserve">
90.3977</t>
  </si>
  <si>
    <t>24.28 Km</t>
  </si>
  <si>
    <t>Tahmina Vila, 198, Asad Ullah Matobbar Road, Tongi, Gazipur Sadar Upazila, Gazipur District, Dhaka Division, Bangladesh</t>
  </si>
  <si>
    <t>23.90575</t>
  </si>
  <si>
    <t xml:space="preserve">
90.40468</t>
  </si>
  <si>
    <t>22.22 Km</t>
  </si>
  <si>
    <t>Fakirbari Road, Gazipura, Tongi, Tongi Paurashava, Gazipur Sadar, Gazipur, Dhaka, Bangladesh</t>
  </si>
  <si>
    <t>23.92381</t>
  </si>
  <si>
    <t xml:space="preserve">
90.39795</t>
  </si>
  <si>
    <t>25.31 Km</t>
  </si>
  <si>
    <t>Mustafa Masjid Road, Tongi, Khalikair, Gachha, Gazipur Sadar, Gazipur, Dhaka, Bangladesh</t>
  </si>
  <si>
    <t>23.939972</t>
  </si>
  <si>
    <t xml:space="preserve">
90.39318</t>
  </si>
  <si>
    <t>28.08 Km</t>
  </si>
  <si>
    <t>3.14 km</t>
  </si>
  <si>
    <t>Monsur Plaza, Dhaka - Mymensingh Highway, Board Bazar Bus Stop, Board Bazar, Kalmeshwar, Kalemeshwar, Gachha, Gazipur Sadar, Gazipur, Dhaka, Bangladesh</t>
  </si>
  <si>
    <t>23.945494</t>
  </si>
  <si>
    <t xml:space="preserve">
90.382515</t>
  </si>
  <si>
    <t>29.24 Km</t>
  </si>
  <si>
    <t>170, Mogorkhal Road, Mogorkhal, Mugurkhal, Basan, Gazipur Sadar, Gazipur, Dhaka 1704, Bangladesh</t>
  </si>
  <si>
    <t>23.973223</t>
  </si>
  <si>
    <t xml:space="preserve">
90.38827</t>
  </si>
  <si>
    <t>33.67 Km</t>
  </si>
  <si>
    <t>1.53 km</t>
  </si>
  <si>
    <t>185, Mogorkhal Road, Mugurkhal, Basan, Gazipur Sadar, Gazipur, Dhaka 1704, Bangladesh</t>
  </si>
  <si>
    <t>23.973083</t>
  </si>
  <si>
    <t xml:space="preserve">
90.38991</t>
  </si>
  <si>
    <t>33.62 Km</t>
  </si>
  <si>
    <t>N105, Mogorkhal, Bhogra, Basan, Gazipur Sadar, Gazipur, Dhaka, Bangladesh</t>
  </si>
  <si>
    <t>23.976343</t>
  </si>
  <si>
    <t xml:space="preserve">
90.375305</t>
  </si>
  <si>
    <t>34.49 Km</t>
  </si>
  <si>
    <t>457.85 m</t>
  </si>
  <si>
    <t>Garib and Garib Company Ltd. (Business), Dhaka - Mymensingh Road, Bhogra, Basan, Gazipur Sadar, Gazipur, Dhaka, Bangladesh</t>
  </si>
  <si>
    <t>23.978859</t>
  </si>
  <si>
    <t xml:space="preserve">
90.378876</t>
  </si>
  <si>
    <t>34.81 Km</t>
  </si>
  <si>
    <t>Kumar Doba, Basan, Gazipur Sadar, Gazipur, Dhaka, Bangladesh</t>
  </si>
  <si>
    <t>23.97809</t>
  </si>
  <si>
    <t xml:space="preserve">
90.39597</t>
  </si>
  <si>
    <t>34.35 Km</t>
  </si>
  <si>
    <t>Columbia Garments Limited, Dhaka - Mymensingh Highway, Mogorkhal, Sonda, Basan, Gazipur Sadar, Gazipur, Dhaka, Bangladesh</t>
  </si>
  <si>
    <t>23.969553</t>
  </si>
  <si>
    <t xml:space="preserve">
90.38171</t>
  </si>
  <si>
    <t>33.21 Km</t>
  </si>
  <si>
    <t>Bijoy Sarak, Kumar Doba, Basan, Gazipur Sadar, Gazipur, Dhaka 1704, Bangladesh</t>
  </si>
  <si>
    <t>23.977577</t>
  </si>
  <si>
    <t xml:space="preserve">
90.38839</t>
  </si>
  <si>
    <t>Dhaka - Mymensingh Road, Bason Bus Stop, Sonda, Basan, Gazipur Sadar, Gazipur, Dhaka, Bangladesh</t>
  </si>
  <si>
    <t>23.974104</t>
  </si>
  <si>
    <t xml:space="preserve">
90.38002</t>
  </si>
  <si>
    <t>34 Km</t>
  </si>
  <si>
    <t>Degerchala Road, Chhaydana, Gachha, Gazipur Sadar, Gazipur, Dhaka, Bangladesh</t>
  </si>
  <si>
    <t>23.96194</t>
  </si>
  <si>
    <t xml:space="preserve">
90.38912</t>
  </si>
  <si>
    <t>31.79 Km</t>
  </si>
  <si>
    <t>Mosjid Road, Gazipura, Tongi, Tongi Paurashava, Gazipur Sadar, Gazipur, Dhaka 1502, Bangladesh</t>
  </si>
  <si>
    <t>23.921492</t>
  </si>
  <si>
    <t xml:space="preserve">
90.39416</t>
  </si>
  <si>
    <t>25 Km</t>
  </si>
  <si>
    <t>55, Ledu Mollah Road, Dattapara, Tongi, Tongi Paurashava, Gazipur Sadar, Gazipur, Dhaka 1710, Bangladesh</t>
  </si>
  <si>
    <t>23.913078</t>
  </si>
  <si>
    <t xml:space="preserve">
90.396835</t>
  </si>
  <si>
    <t>23.56 Km</t>
  </si>
  <si>
    <t>Sharif Market Road, Boro Dewra, Tongi, Tongi Paurashava, Gazipur Sadar, Gazipur, Dhaka, Bangladesh</t>
  </si>
  <si>
    <t>23.917738</t>
  </si>
  <si>
    <t xml:space="preserve">
90.3803</t>
  </si>
  <si>
    <t>24.77 Km</t>
  </si>
  <si>
    <t>Auchpara, Tongi, Tongi Paurashava, Gazipur Sadar, Gazipur, Dhaka, Bangladesh</t>
  </si>
  <si>
    <t>23.91461</t>
  </si>
  <si>
    <t xml:space="preserve">
90.38697</t>
  </si>
  <si>
    <t>24.05 Km</t>
  </si>
  <si>
    <t>55, 27 Road, Khartail, Tongi, Tongi Paurashava, Gazipur Sadar, Gazipur, Dhaka, Bangladesh</t>
  </si>
  <si>
    <t>23.921476</t>
  </si>
  <si>
    <t xml:space="preserve">
90.38447</t>
  </si>
  <si>
    <t>25.24 Km</t>
  </si>
  <si>
    <t>23.908926</t>
  </si>
  <si>
    <t xml:space="preserve">
90.40779</t>
  </si>
  <si>
    <t>22.71 Km</t>
  </si>
  <si>
    <t>Asad Bepari Road, Auchpara, Tongi, Tongi Paurashava, Gazipur Sadar, Gazipur, Dhaka, Bangladesh</t>
  </si>
  <si>
    <t>23.905514</t>
  </si>
  <si>
    <t xml:space="preserve">
90.3967</t>
  </si>
  <si>
    <t>22.31 Km</t>
  </si>
  <si>
    <t>Kazibari Road, Gazipura, Tongi, Tongi Paurashava, Gazipur Sadar, Gazipur, Dhaka, Bangladesh</t>
  </si>
  <si>
    <t>23.924475</t>
  </si>
  <si>
    <t xml:space="preserve">
90.39278</t>
  </si>
  <si>
    <t>25.52 Km</t>
  </si>
  <si>
    <t>Tongi, Chandara, Gachha, Gazipur Sadar, Gazipur, Dhaka, Bangladesh</t>
  </si>
  <si>
    <t>23.926237</t>
  </si>
  <si>
    <t xml:space="preserve">
90.37506</t>
  </si>
  <si>
    <t>26.33 Km</t>
  </si>
  <si>
    <t>Dakhhin Khailkur Road, Tongi, Kunia, Tongi Paurashava, Gazipur Sadar, Gazipur, Dhaka, Bangladesh</t>
  </si>
  <si>
    <t>23.927921</t>
  </si>
  <si>
    <t xml:space="preserve">
90.39459</t>
  </si>
  <si>
    <t>26.06 Km</t>
  </si>
  <si>
    <t>295.35 m</t>
  </si>
  <si>
    <t>Dhaka - Mymensingh Highway, Gazipura, Tongi, Kunia, Gachha, Gazipur Sadar, Gazipur, Dhaka, Bangladesh</t>
  </si>
  <si>
    <t>23.926811</t>
  </si>
  <si>
    <t xml:space="preserve">
90.39195</t>
  </si>
  <si>
    <t>25.93 Km</t>
  </si>
  <si>
    <t>Nambihin Rasta, Sataish, Tongi, Chandara, Tongi Paurashava, Gazipur Sadar, Gazipur, Dhaka, Bangladesh</t>
  </si>
  <si>
    <t>23.923523</t>
  </si>
  <si>
    <t xml:space="preserve">
90.37317</t>
  </si>
  <si>
    <t>25.96 Km</t>
  </si>
  <si>
    <t>693.39 m</t>
  </si>
  <si>
    <t>23.926283</t>
  </si>
  <si>
    <t xml:space="preserve">
90.391685</t>
  </si>
  <si>
    <t>25.85 Km</t>
  </si>
  <si>
    <t>Board Bazar, Kalmeshwar, Gacha, Kalemeshwar, Gachha, Gazipur Sadar, Gazipur, Dhaka, Bangladesh</t>
  </si>
  <si>
    <t>23.94235</t>
  </si>
  <si>
    <t xml:space="preserve">
90.38047</t>
  </si>
  <si>
    <t>28.78 Km</t>
  </si>
  <si>
    <t>1.6 km</t>
  </si>
  <si>
    <t>Arichpur Masjid Road, Tongi, Tongi Paurashava, Gazipur Sadar, Gazipur, Dhaka, Bangladesh</t>
  </si>
  <si>
    <t>23.888624</t>
  </si>
  <si>
    <t xml:space="preserve">
90.40852</t>
  </si>
  <si>
    <t>19.33 Km</t>
  </si>
  <si>
    <t>303.52 m</t>
  </si>
  <si>
    <t>Siraj Uddin Sarker Vidyaniketan And College Road, Tongi Bazar, Arichpur, Tongi, Tongi Paurashava, Gazipur Sadar, Dhaka 1230, Bangladesh</t>
  </si>
  <si>
    <t>23.882833</t>
  </si>
  <si>
    <t xml:space="preserve">
90.40282</t>
  </si>
  <si>
    <t>18.44 Km</t>
  </si>
  <si>
    <t>Tongi 230/132/33 kV Super Grid substation, Gopalpur Road, Gopalpur, Tongi, Tongi Paurashava, Gazipur Sadar, Gazipur, Dhaka, Bangladesh</t>
  </si>
  <si>
    <t>23.898035</t>
  </si>
  <si>
    <t xml:space="preserve">
90.41161</t>
  </si>
  <si>
    <t>20.87 Km</t>
  </si>
  <si>
    <t>1.09 km</t>
  </si>
  <si>
    <t>Dhaka Dyeing Road, Tongi, Tongi Paurashava, Gazipur Sadar, Gazipur, Dhaka, Bangladesh</t>
  </si>
  <si>
    <t>23.888874</t>
  </si>
  <si>
    <t xml:space="preserve">
90.41854</t>
  </si>
  <si>
    <t>1.91 km</t>
  </si>
  <si>
    <t>Nambihin Rasta, Tongi, Tongi Paurashava, Gazipur Sadar, Gazipur, Dhaka, Bangladesh</t>
  </si>
  <si>
    <t>23.887512</t>
  </si>
  <si>
    <t xml:space="preserve">
90.4079</t>
  </si>
  <si>
    <t>19.15 Km</t>
  </si>
  <si>
    <t>কালীগঞ্জ - ঘোড়াশাল - পাঁচদোনা সড়ক, Morkun, Tongi, Tongi Paurashava, Gazipur Sadar, Gazipur, Dhaka, Bangladesh</t>
  </si>
  <si>
    <t>23.902714</t>
  </si>
  <si>
    <t xml:space="preserve">
90.41669</t>
  </si>
  <si>
    <t>21.64 Km</t>
  </si>
  <si>
    <t>Tongi, Tongi Paurashava, Gazipur Sadar, Gazipur, Dhaka 1230, Bangladesh</t>
  </si>
  <si>
    <t>23.8851</t>
  </si>
  <si>
    <t xml:space="preserve">
90.413345</t>
  </si>
  <si>
    <t>80' Wide ABM Avenue, Uttar Khan, Dhaka, Dhaka, Bangladesh</t>
  </si>
  <si>
    <t>23.887491</t>
  </si>
  <si>
    <t xml:space="preserve">
90.42547</t>
  </si>
  <si>
    <t>23.897783</t>
  </si>
  <si>
    <t xml:space="preserve">
90.41316</t>
  </si>
  <si>
    <t>20.82 Km</t>
  </si>
  <si>
    <t>23.890472</t>
  </si>
  <si>
    <t xml:space="preserve">
90.41527</t>
  </si>
  <si>
    <t>19.6 Km</t>
  </si>
  <si>
    <t>Moktar Market Road, Uttar Khan, Uttar Khan, Dhaka, Dhaka 1230, Bangladesh</t>
  </si>
  <si>
    <t>23.8884</t>
  </si>
  <si>
    <t xml:space="preserve">
90.43079</t>
  </si>
  <si>
    <t>19.38 Km</t>
  </si>
  <si>
    <t>Nambihin Rasta, Uttara ABM City, Uttar Khan, Dhaka, Dhaka, Bangladesh</t>
  </si>
  <si>
    <t>23.89045</t>
  </si>
  <si>
    <t xml:space="preserve">
90.43284</t>
  </si>
  <si>
    <t>19.75 Km</t>
  </si>
  <si>
    <t>টঙ্গি বিসিক, Dhaka Dyeing Road, টঙ্গী, Tongi Paurashava, Gazipur Sadar, গাজীপুর জেলা, ঢাকা বিভাগ 1710, Bangladesh</t>
  </si>
  <si>
    <t>23.889591</t>
  </si>
  <si>
    <t xml:space="preserve">
90.41881</t>
  </si>
  <si>
    <t>19.45 Km</t>
  </si>
  <si>
    <t>Moktar Market Road, Uttara ABM City, Uttar Khan, Dhaka, Dhaka 1230, Bangladesh</t>
  </si>
  <si>
    <t>23.88731</t>
  </si>
  <si>
    <t xml:space="preserve">
90.431656</t>
  </si>
  <si>
    <t>19.21 Km</t>
  </si>
  <si>
    <t>2.42 km</t>
  </si>
  <si>
    <t>Dhaka Dyeing Road, Pagar, Tongi, Tongi Paurashava, Gazipur Sadar, Gazipur, Dhaka, Bangladesh</t>
  </si>
  <si>
    <t>23.88876</t>
  </si>
  <si>
    <t>19.31 Km</t>
  </si>
  <si>
    <t>Nambihin Rasta, Atipara, Uttar Khan, Uttar Khan, Dhaka, Dhaka 1230, Bangladesh</t>
  </si>
  <si>
    <t>23.883833</t>
  </si>
  <si>
    <t xml:space="preserve">
90.41724</t>
  </si>
  <si>
    <t>18.49 Km</t>
  </si>
  <si>
    <t>Sylotex Ltd, Tongi, Gazipur Sadar Upazila, Gazipur District, Dhaka Division, Bangladesh</t>
  </si>
  <si>
    <t>23.89159</t>
  </si>
  <si>
    <t xml:space="preserve">
90.42465</t>
  </si>
  <si>
    <t>19.82 Km</t>
  </si>
  <si>
    <t>531.95 m</t>
  </si>
  <si>
    <t>1.97 km</t>
  </si>
  <si>
    <t>Pagar Road, Gopalpur, Tongi, Tongi Paurashava, Gazipur Sadar, Gazipur, Dhaka, Bangladesh</t>
  </si>
  <si>
    <t>23.895012</t>
  </si>
  <si>
    <t xml:space="preserve">
90.41743</t>
  </si>
  <si>
    <t>20.35 Km</t>
  </si>
  <si>
    <t>900.23 m</t>
  </si>
  <si>
    <t>Graveyard Road, Mausaid, Uttar Khan, Dhaka, Dhaka, Bangladesh</t>
  </si>
  <si>
    <t>23.897856</t>
  </si>
  <si>
    <t xml:space="preserve">
90.436584</t>
  </si>
  <si>
    <t>21.05 Km</t>
  </si>
  <si>
    <t>Uttar Khan, Dhaka, Dhaka, Bangladesh</t>
  </si>
  <si>
    <t>23.891994</t>
  </si>
  <si>
    <t xml:space="preserve">
90.43047</t>
  </si>
  <si>
    <t>19.97 Km</t>
  </si>
  <si>
    <t>Nambihin Rasta, Alamin Property, Tongi, Pubail, Gazipur Sadar, Gazipur, Dhaka, Bangladesh</t>
  </si>
  <si>
    <t>23.907274</t>
  </si>
  <si>
    <t xml:space="preserve">
90.4311</t>
  </si>
  <si>
    <t>22.51 Km</t>
  </si>
  <si>
    <t>23.892073</t>
  </si>
  <si>
    <t xml:space="preserve">
90.42231</t>
  </si>
  <si>
    <t>19.88 Km</t>
  </si>
  <si>
    <t>Nambihin Rasta, Mausaid, Nagari, Uttar Khan, Dhaka, Dhaka, Bangladesh</t>
  </si>
  <si>
    <t>23.89499</t>
  </si>
  <si>
    <t xml:space="preserve">
90.435</t>
  </si>
  <si>
    <t>20.55 Km</t>
  </si>
  <si>
    <t>23.906094</t>
  </si>
  <si>
    <t xml:space="preserve">
90.42485</t>
  </si>
  <si>
    <t>22.24 Km</t>
  </si>
  <si>
    <t>23.910213</t>
  </si>
  <si>
    <t xml:space="preserve">
90.42622</t>
  </si>
  <si>
    <t>22.94 Km</t>
  </si>
  <si>
    <t>Zaber &amp; Zubair Fabrics Limited - Textiles, Tongi, Gazipur Sadar Upazila, Dhaka District, Dhaka Division, Bangladesh</t>
  </si>
  <si>
    <t>23.893528</t>
  </si>
  <si>
    <t xml:space="preserve">
90.4279</t>
  </si>
  <si>
    <t>20.18 Km</t>
  </si>
  <si>
    <t>DESCO Site Tongi BSCIC, Tongi, Gazipur Sadar Upazila, Gazipur District, Dhaka Division, Bangladesh</t>
  </si>
  <si>
    <t>23.894798</t>
  </si>
  <si>
    <t xml:space="preserve">
90.413605</t>
  </si>
  <si>
    <t>20.32 Km</t>
  </si>
  <si>
    <t>Tongi - Kaliganj - Gorashal - Pachdona Road, Tongi, Gazipur Sadar Upazila, Gazipur District, Dhaka Division, Bangladesh</t>
  </si>
  <si>
    <t>23.91145</t>
  </si>
  <si>
    <t xml:space="preserve">
90.42139</t>
  </si>
  <si>
    <t>23.11 Km</t>
  </si>
  <si>
    <t>Nambihin Rasta, Morkun, Tongi, Tongi Paurashava, Gazipur Sadar, Gazipur, Dhaka, Bangladesh</t>
  </si>
  <si>
    <t>23.903408</t>
  </si>
  <si>
    <t xml:space="preserve">
90.410995</t>
  </si>
  <si>
    <t>21.77 Km</t>
  </si>
  <si>
    <t>Tongi, Tongi Paurashava, Gazipur Sadar, Gazipur, Dhaka, Bangladesh</t>
  </si>
  <si>
    <t>23.898191</t>
  </si>
  <si>
    <t xml:space="preserve">
90.4209</t>
  </si>
  <si>
    <t>20.9 Km</t>
  </si>
  <si>
    <t>Bonomala Road, Tongi, Gazipur Sadar Upazila, Gazipur District, Dhaka Division, Bangladesh</t>
  </si>
  <si>
    <t>23.897232</t>
  </si>
  <si>
    <t xml:space="preserve">
90.4062</t>
  </si>
  <si>
    <t>20.78 Km</t>
  </si>
  <si>
    <t>Nambihin Rasta, Gopalpur, Tongi, Tongi Paurashava, Gazipur Sadar, Gazipur, Dhaka, Bangladesh</t>
  </si>
  <si>
    <t>23.89905</t>
  </si>
  <si>
    <t xml:space="preserve">
90.41736</t>
  </si>
  <si>
    <t>21.03 Km</t>
  </si>
  <si>
    <t>40, Alek Mia Road, Dattapara, Tongi, Tongi Paurashava, Gazipur Sadar, Gazipur, Dhaka, Bangladesh</t>
  </si>
  <si>
    <t>23.914274</t>
  </si>
  <si>
    <t xml:space="preserve">
90.40858</t>
  </si>
  <si>
    <t>23.6 Km</t>
  </si>
  <si>
    <t>4.47 km</t>
  </si>
  <si>
    <t>18.17 Km</t>
  </si>
  <si>
    <t>Nambihin Rasta, Matuail (Part), Demra, Dhaka, Dhaka, Bangladesh</t>
  </si>
  <si>
    <t>23.696302</t>
  </si>
  <si>
    <t xml:space="preserve">
90.4685</t>
  </si>
  <si>
    <t>15.06 Km</t>
  </si>
  <si>
    <t>Christian Missionaries Technical Institute, Isckon Swamibag, 32, Shah Saheb Lane, Sutrapur, Dhaka, Ward No-76 (Part), Dcc (Sutrapur), Bangladesh</t>
  </si>
  <si>
    <t>23.7128</t>
  </si>
  <si>
    <t xml:space="preserve">
90.42212</t>
  </si>
  <si>
    <t>10.08 Km</t>
  </si>
  <si>
    <t>1.02 km</t>
  </si>
  <si>
    <t>Kabadi Stadium, 66/7, DIT Avenue, Gulistan, Ward-36, Motijheel, Dhaka, Dhaka 1000, Bangladesh</t>
  </si>
  <si>
    <t>23.725191</t>
  </si>
  <si>
    <t xml:space="preserve">
90.41374</t>
  </si>
  <si>
    <t>7.98 Km</t>
  </si>
  <si>
    <t>277.84 m</t>
  </si>
  <si>
    <t>241, Nawabpur Road, Nawabpur, Sutrapur, Ward No-71 (Part), Dcc (Sutrapur), Dhaka, Dhaka 1100, Bangladesh</t>
  </si>
  <si>
    <t>23.716303</t>
  </si>
  <si>
    <t xml:space="preserve">
90.41144</t>
  </si>
  <si>
    <t>9.48 Km</t>
  </si>
  <si>
    <t>20, Bangshal Road, Malitola, Bangshal, Ward No-71 (Part), Kotwali, Dhaka, Dhaka 1100, Bangladesh</t>
  </si>
  <si>
    <t>23.717237</t>
  </si>
  <si>
    <t xml:space="preserve">
90.408905</t>
  </si>
  <si>
    <t>9.37 Km</t>
  </si>
  <si>
    <t>01, Shahid Baki Road, Chowdhuripara, Ward-24, Khilgaon, Dhaka, Dhaka 1219, Bangladesh</t>
  </si>
  <si>
    <t>23.750744</t>
  </si>
  <si>
    <t xml:space="preserve">
90.423584</t>
  </si>
  <si>
    <t>3.87 Km</t>
  </si>
  <si>
    <t>375.23 m</t>
  </si>
  <si>
    <t>60a, Bangshal Road, Old Dhaka, Bangshal, Ward No-68 (Part), Kotwali, Dhaka, Dhaka 1100, Bangladesh</t>
  </si>
  <si>
    <t>23.717129</t>
  </si>
  <si>
    <t xml:space="preserve">
90.40523</t>
  </si>
  <si>
    <t>9.47 Km</t>
  </si>
  <si>
    <t>639.35 m</t>
  </si>
  <si>
    <t>76, Bangshal Road, Old Dhaka, Bangshal, Ward No-68 (Part), Kotwali, Dhaka, Dhaka 1100, Bangladesh</t>
  </si>
  <si>
    <t>612.15 m</t>
  </si>
  <si>
    <t>191.81 m</t>
  </si>
  <si>
    <t>32, Sikkatuly Lane, Sikkatuly, Bangshal, Ward No-69, Kotwali, Dhaka, Dhaka, Bangladesh</t>
  </si>
  <si>
    <t>23.719032</t>
  </si>
  <si>
    <t xml:space="preserve">
90.40622</t>
  </si>
  <si>
    <t>9.13 Km</t>
  </si>
  <si>
    <t>347.05 m</t>
  </si>
  <si>
    <t>93, Haji Osman Gani Road, Alu Bazar, Bangshal, Ward-70, Kotwali, Dhaka, Dhaka 1000, Bangladesh</t>
  </si>
  <si>
    <t>23.720423</t>
  </si>
  <si>
    <t xml:space="preserve">
90.40733</t>
  </si>
  <si>
    <t>784.36 m</t>
  </si>
  <si>
    <t>Nagar Plaza , Underground, 73, A H M Kamruzzaman Sharani, Old Dhaka, Bangshal, Ward-56, Ramna, Dhaka, Dhaka 1000, Bangladesh</t>
  </si>
  <si>
    <t>23.723278</t>
  </si>
  <si>
    <t xml:space="preserve">
90.40871</t>
  </si>
  <si>
    <t>529.33 m</t>
  </si>
  <si>
    <t>7.2 Km</t>
  </si>
  <si>
    <t>365.56 m</t>
  </si>
  <si>
    <t>13, Purana Paltan Line, Naya Paltan, Dhaka:1000, Ward-36, Motijheel, Dhaka 1000, Bangladesh</t>
  </si>
  <si>
    <t>23.734592</t>
  </si>
  <si>
    <t xml:space="preserve">
90.41236</t>
  </si>
  <si>
    <t>6.43 Km</t>
  </si>
  <si>
    <t>684.99 m</t>
  </si>
  <si>
    <t>43, Anjuman Mufidul Islam Road, Kakrail, Motijheel, Ward-53, Ramna, Dhaka, Dhaka 1205, Bangladesh</t>
  </si>
  <si>
    <t>23.737099</t>
  </si>
  <si>
    <t xml:space="preserve">
90.410034</t>
  </si>
  <si>
    <t>6.06 Km</t>
  </si>
  <si>
    <t>Doric Chandrima, 352, Shiddeshwari Lane, Shiddheswari, Ward-53, Ramna, Dhaka, Dhaka 1217, Bangladesh</t>
  </si>
  <si>
    <t>23.743196</t>
  </si>
  <si>
    <t>5.04 Km</t>
  </si>
  <si>
    <t>1.27 km</t>
  </si>
  <si>
    <t>6b, East Hazipara, Rampura Bazaar, East Hajipara, Rampura, Ward-23, Khilgaon, Dhaka, Dhaka 1219, Bangladesh</t>
  </si>
  <si>
    <t>23.758196</t>
  </si>
  <si>
    <t xml:space="preserve">
90.41993</t>
  </si>
  <si>
    <t>2.52 Km</t>
  </si>
  <si>
    <t>824.42 m</t>
  </si>
  <si>
    <t>1.65 Km</t>
  </si>
  <si>
    <t>302.72 m</t>
  </si>
  <si>
    <t>98, South Badda Road, South Badda, Badda, Ward-21, Gulshan, Dhaka, Dhaka 1212, Bangladesh</t>
  </si>
  <si>
    <t>23.775232</t>
  </si>
  <si>
    <t xml:space="preserve">
90.423256</t>
  </si>
  <si>
    <t>1.11 Km</t>
  </si>
  <si>
    <t>575.59 m</t>
  </si>
  <si>
    <t>116, South Badda Road, South Badda, Badda, Ward-21, Gulshan, Dhaka, Dhaka 1212, Bangladesh</t>
  </si>
  <si>
    <t>23.774971</t>
  </si>
  <si>
    <t xml:space="preserve">
90.420296</t>
  </si>
  <si>
    <t>675.97 m</t>
  </si>
  <si>
    <t>632.6 m</t>
  </si>
  <si>
    <t>21/1, Hatir Jheel Link Road, Merul Badda, Badda, Ward-21, Gulshan, Dhaka, Dhaka 1212, Bangladesh</t>
  </si>
  <si>
    <t>23.770733</t>
  </si>
  <si>
    <t xml:space="preserve">
90.423546</t>
  </si>
  <si>
    <t>1.15 Km</t>
  </si>
  <si>
    <t>863.88 m</t>
  </si>
  <si>
    <t>108, Alatunnesa School Road, South Badda, Badda, Ward-21, Gulshan, Dhaka, Dhaka 1212, Bangladesh</t>
  </si>
  <si>
    <t>23.77638</t>
  </si>
  <si>
    <t xml:space="preserve">
90.422806</t>
  </si>
  <si>
    <t>1.13 Km</t>
  </si>
  <si>
    <t>308.82 m</t>
  </si>
  <si>
    <t>Shimrail, Shiddhirganj, Simrail, Siddirganj, Narayanganj Sadar Upazila, Narayanganj District, Dhaka Division, Bangladesh, 1361</t>
  </si>
  <si>
    <t>19.36 Km</t>
  </si>
  <si>
    <t>4.65 km</t>
  </si>
  <si>
    <t>Sign Board, Bhuingar, Kutubpur, Narayanganj Sadar, Narayanganj, Dhaka, Bangladesh</t>
  </si>
  <si>
    <t>23.691536</t>
  </si>
  <si>
    <t xml:space="preserve">
90.47964</t>
  </si>
  <si>
    <t>16.66 Km</t>
  </si>
  <si>
    <t>79/8/7, Bibir Bagicha Road No 1, যাত্রাবাড়ি, ঢাকা, Ward-84, Dcc (Sutrapur), ঢাকা জেলা, ঢাকা বিভাগ, Bangladesh</t>
  </si>
  <si>
    <t>23.710981</t>
  </si>
  <si>
    <t xml:space="preserve">
90.43921</t>
  </si>
  <si>
    <t>10.91 Km</t>
  </si>
  <si>
    <t>75, Swamibagh Road, Shamibag, Sutrapur, Ward No-76 (Part), Dcc (Sutrapur), Dhaka, Dhaka 1100, Bangladesh</t>
  </si>
  <si>
    <t>23.715883</t>
  </si>
  <si>
    <t xml:space="preserve">
90.42302</t>
  </si>
  <si>
    <t>9.58 Km</t>
  </si>
  <si>
    <t>1.78 km</t>
  </si>
  <si>
    <t>7no, Armanitola Road, Lalbagh, Dhaka, Ward No-67 (Part), Lalbagh, Bangladesh</t>
  </si>
  <si>
    <t>23.712812</t>
  </si>
  <si>
    <t xml:space="preserve">
90.4026</t>
  </si>
  <si>
    <t>10.26 Km</t>
  </si>
  <si>
    <t>554.02 m</t>
  </si>
  <si>
    <t>93, Road Number 3, Zinzira, Keraniganj, Zinjira, Keraniganj, Dhaka 1310, Bangladesh</t>
  </si>
  <si>
    <t>23.704723</t>
  </si>
  <si>
    <t xml:space="preserve">
90.39549</t>
  </si>
  <si>
    <t>11.83 Km</t>
  </si>
  <si>
    <t>Zinzira - Keraniganj - Nawabganj - Dohar - Srinagar Road, Kadamtali, Keraniganj, Gokpar, Zinjira, Keraniganj, Dhaka 1310, Bangladesh</t>
  </si>
  <si>
    <t>23.7012</t>
  </si>
  <si>
    <t xml:space="preserve">
90.39164</t>
  </si>
  <si>
    <t>12.56 Km</t>
  </si>
  <si>
    <t>Brahmonkitta Road, Purba Bramhankitta, Keraniganj, Brahmankita, Kalindi, Keraniganj, Dhaka, Bangladesh</t>
  </si>
  <si>
    <t>23.704214</t>
  </si>
  <si>
    <t xml:space="preserve">
90.36992</t>
  </si>
  <si>
    <t>13.49 Km</t>
  </si>
  <si>
    <t>নতুন বাজার ব্রিজ, Dharmosur Mazar Road, Ruhitpur, Sonakanda, Basta, Keraniganj, Dhaka, Bangladesh</t>
  </si>
  <si>
    <t>23.679367</t>
  </si>
  <si>
    <t xml:space="preserve">
90.32745</t>
  </si>
  <si>
    <t>20.7 Km</t>
  </si>
  <si>
    <t>Nambihin Rasta, Mugar Char, Ruhitpur, Keraniganj, Dhaka, Bangladesh</t>
  </si>
  <si>
    <t>23.686243</t>
  </si>
  <si>
    <t xml:space="preserve">
90.30949</t>
  </si>
  <si>
    <t>21.82 Km</t>
  </si>
  <si>
    <t>580.2 m</t>
  </si>
  <si>
    <t>Zinzira - Keraniganj - Nawabganj - Dohar - Srinagar Road, Ramer Kanda, Ruhitpur, Dharnasur, Sakta, Keraniganj, Dhaka, Bangladesh</t>
  </si>
  <si>
    <t>23.689034</t>
  </si>
  <si>
    <t xml:space="preserve">
90.310165</t>
  </si>
  <si>
    <t>21.43 Km</t>
  </si>
  <si>
    <t>Zinzira - Keraniganj - Nawabganj - Dohar - Srinagar Road, Ruhitpur, Ruhitpur, Keraniganj Upazila, Dhaka District, Dhaka Division, Bangladesh</t>
  </si>
  <si>
    <t>23.688793</t>
  </si>
  <si>
    <t xml:space="preserve">
90.304474</t>
  </si>
  <si>
    <t>22.12 Km</t>
  </si>
  <si>
    <t>317.97 m</t>
  </si>
  <si>
    <t>2.83 km</t>
  </si>
  <si>
    <t>Talepur High School Road, Bhandarkhola, Kalatia, Keraniganj, Dhaka, Dhaka, Bangladesh</t>
  </si>
  <si>
    <t>23.704433</t>
  </si>
  <si>
    <t xml:space="preserve">
90.28799</t>
  </si>
  <si>
    <t>22.7 Km</t>
  </si>
  <si>
    <t>484.17 m</t>
  </si>
  <si>
    <t>3, Ati Bazar-Kalatiya Road, Kalatiya, Kalatia, Keraniganj, Dhaka 1313, Bangladesh</t>
  </si>
  <si>
    <t>23.73052</t>
  </si>
  <si>
    <t xml:space="preserve">
90.2752</t>
  </si>
  <si>
    <t>Professor Zahurul Islam Road, Kalatiya, Kalatia, Hazratpur, Keraniganj, Dhaka, Bangladesh</t>
  </si>
  <si>
    <t>23.733734</t>
  </si>
  <si>
    <t xml:space="preserve">
90.27199</t>
  </si>
  <si>
    <t>23 Km</t>
  </si>
  <si>
    <t>22, চন্ডীপুর সড়ক, Bara Manoharia, Taranagar, Keraniganj, Dhaka, Bangladesh</t>
  </si>
  <si>
    <t>23.73013</t>
  </si>
  <si>
    <t xml:space="preserve">
90.315926</t>
  </si>
  <si>
    <t>16.93 Km</t>
  </si>
  <si>
    <t>366.61 m</t>
  </si>
  <si>
    <t>Basila Road, Bara Joynagar, Taranagar, Keraniganj, Dhaka, Dhaka, Bangladesh</t>
  </si>
  <si>
    <t>23.734364</t>
  </si>
  <si>
    <t xml:space="preserve">
90.332054</t>
  </si>
  <si>
    <t>14.4 Km</t>
  </si>
  <si>
    <t>ঘাটারচর রোড, ঘাটারচর, Ghatarchar, Ati, Taranagar, Keraniganj, ঢাকাঃ, Dhaka, 1312, Bangladesh</t>
  </si>
  <si>
    <t>23.732439</t>
  </si>
  <si>
    <t xml:space="preserve">
90.33498</t>
  </si>
  <si>
    <t>14.16 Km</t>
  </si>
  <si>
    <t>1, Kholamora Hazratpur Road, Joynagar, Ati, Sakta, Keraniganj, Dhaka, Bangladesh</t>
  </si>
  <si>
    <t>23.72782</t>
  </si>
  <si>
    <t xml:space="preserve">
90.33329</t>
  </si>
  <si>
    <t>14.76 Km</t>
  </si>
  <si>
    <t>3.24 km</t>
  </si>
  <si>
    <t>Ati bazar, Nogda, Bamonsur, Ati, Sakta, Keraniganj, Dhaka, Bangladesh</t>
  </si>
  <si>
    <t>23.724407</t>
  </si>
  <si>
    <t xml:space="preserve">
90.34363</t>
  </si>
  <si>
    <t>13.75 Km</t>
  </si>
  <si>
    <t>4.21 km</t>
  </si>
  <si>
    <t>299, Keraniganj Highway Road, Konakhola Upazila Bus Stand, Boali, Basta, Keraniganj, Dhaka, Dhaka 1312, Bangladesh</t>
  </si>
  <si>
    <t>23.695326</t>
  </si>
  <si>
    <t xml:space="preserve">
90.34476</t>
  </si>
  <si>
    <t>16.96 Km</t>
  </si>
  <si>
    <t>South Mandail Road, po, Gokpar, Zinjira, Keraniganj, Dhaka, 1310, Bangladesh</t>
  </si>
  <si>
    <t>23.703465</t>
  </si>
  <si>
    <t xml:space="preserve">
90.3851</t>
  </si>
  <si>
    <t>12.54 Km</t>
  </si>
  <si>
    <t>891.76 m</t>
  </si>
  <si>
    <t>Rajia Bhaban, Khal Par Road, Zhaubari, Keraniganj, Dakpara, Aganagar, Keraniganj, Dhaka 1310, Bangladesh</t>
  </si>
  <si>
    <t>23.70033</t>
  </si>
  <si>
    <t xml:space="preserve">
90.39987</t>
  </si>
  <si>
    <t>12.38 Km</t>
  </si>
  <si>
    <t>9, Zinzira Tinpotti, Zinzira, Keraniganj, Zinjira, Keraniganj, Dhaka, Bangladesh</t>
  </si>
  <si>
    <t>23.708221</t>
  </si>
  <si>
    <t xml:space="preserve">
90.3983</t>
  </si>
  <si>
    <t>11.15 Km</t>
  </si>
  <si>
    <t>534.99 m</t>
  </si>
  <si>
    <t>83, Tanti Bazar, Sankharia Bazar, Dhaka, Ward-72, Kotwali, Bangladesh, 1100</t>
  </si>
  <si>
    <t>23.712805</t>
  </si>
  <si>
    <t xml:space="preserve">
90.408165</t>
  </si>
  <si>
    <t>10.12 Km</t>
  </si>
  <si>
    <t>498.88 m</t>
  </si>
  <si>
    <t>National Bank Lane, 223, Bangshal Road, Old Dhaka, Bangshal, Ward No-71 (Part), Kotwali, Dhaka, Dhaka 1100, Bangladesh</t>
  </si>
  <si>
    <t>23.717617</t>
  </si>
  <si>
    <t xml:space="preserve">
90.408134</t>
  </si>
  <si>
    <t>9.32 Km</t>
  </si>
  <si>
    <t>923.19 m</t>
  </si>
  <si>
    <t>174, BRTC CBS-2 Bus Terminal, Siddique Bazar, Bangshal, Ward-70, Kotwali, Dhaka, Dhaka 1000, Bangladesh</t>
  </si>
  <si>
    <t>23.721855</t>
  </si>
  <si>
    <t xml:space="preserve">
90.409744</t>
  </si>
  <si>
    <t>8.59 Km</t>
  </si>
  <si>
    <t>933.26 m</t>
  </si>
  <si>
    <t>478, DIT Road, Malibagh Rail Gate, Mogbazar, Ward-55, Ramna, Dhaka, Dhaka 1217, Bangladesh</t>
  </si>
  <si>
    <t>23.751406</t>
  </si>
  <si>
    <t xml:space="preserve">
90.4129</t>
  </si>
  <si>
    <t>3.64 Km</t>
  </si>
  <si>
    <t>1.18 km</t>
  </si>
  <si>
    <t>2.51 Km</t>
  </si>
  <si>
    <t>565.31 m</t>
  </si>
  <si>
    <t>Hatir Jheel Link Road, Rampura, Ward-22, Khilgaon, Dhaka, Dhaka 1212, Bangladesh</t>
  </si>
  <si>
    <t>23.769089</t>
  </si>
  <si>
    <t xml:space="preserve">
90.42107</t>
  </si>
  <si>
    <t>959.49 m</t>
  </si>
  <si>
    <t>118.36 m</t>
  </si>
  <si>
    <t>151, Road Number 4, Niketan Housing Project, Ward-20, Gulshan, Dhaka, Dhaka 1212, Bangladesh</t>
  </si>
  <si>
    <t>23.77471</t>
  </si>
  <si>
    <t xml:space="preserve">
90.41147</t>
  </si>
  <si>
    <t>810.95 m</t>
  </si>
  <si>
    <t>1.06 km</t>
  </si>
  <si>
    <t>10, Rampura Bridge, Ward 98, Rampura, Ward-22, Khilgaon, Dhaka, Dhaka 1212, Bangladesh</t>
  </si>
  <si>
    <t>23.767271</t>
  </si>
  <si>
    <t xml:space="preserve">
90.42313</t>
  </si>
  <si>
    <t>1.4 Km</t>
  </si>
  <si>
    <t>4.95 km</t>
  </si>
  <si>
    <t>Nambihin Rasta, Siddhirganj, Khurdaghosh Para(Sanarpar, Siddirganj, Narayanganj Sadar, Narayanganj, Dhaka, Bangladesh</t>
  </si>
  <si>
    <t>23.689476</t>
  </si>
  <si>
    <t xml:space="preserve">
90.49447</t>
  </si>
  <si>
    <t>18.33 Km</t>
  </si>
  <si>
    <t>3.21 km</t>
  </si>
  <si>
    <t>53, Addakhkha Irshadullah Sorok, Dania, Mridha Para, Shampur, Dhaka, Dhaka, Bangladesh</t>
  </si>
  <si>
    <t>23.706139</t>
  </si>
  <si>
    <t xml:space="preserve">
90.44943</t>
  </si>
  <si>
    <t>12.23 Km</t>
  </si>
  <si>
    <t>1.11 km</t>
  </si>
  <si>
    <t>Sufiyani Plaza, 8, Abhay Das Lane, Tikatuli, Sutrapur, Ward-75, Dcc (Sutrapur), Dhaka, Dhaka 1203, Bangladesh</t>
  </si>
  <si>
    <t>23.719763</t>
  </si>
  <si>
    <t xml:space="preserve">
90.421616</t>
  </si>
  <si>
    <t>8.91 Km</t>
  </si>
  <si>
    <t>464.83 m</t>
  </si>
  <si>
    <t>174, DIT Avenue, Ward-36, Motijheel, Dhaka, Dhaka, Bangladesh</t>
  </si>
  <si>
    <t>23.725275</t>
  </si>
  <si>
    <t xml:space="preserve">
90.41256</t>
  </si>
  <si>
    <t>Nagar Bhaban, 70, A H M Kamruzzaman Sharani, Ward-56, Ramna, Dhaka, Dhaka 1000, Bangladesh</t>
  </si>
  <si>
    <t>23.723478</t>
  </si>
  <si>
    <t xml:space="preserve">
90.40843</t>
  </si>
  <si>
    <t>8.35 Km</t>
  </si>
  <si>
    <t>1.93 km</t>
  </si>
  <si>
    <t>476.93 m</t>
  </si>
  <si>
    <t>23.704506</t>
  </si>
  <si>
    <t xml:space="preserve">
90.39568</t>
  </si>
  <si>
    <t>11.85 Km</t>
  </si>
  <si>
    <t>Aga Nagar Union Parishad Hospital Road, Kodomtoli, Kadamtali, Keraniganj, Dakpara, Aganagar, Keraniganj, Dhaka, 1310, Bangladesh</t>
  </si>
  <si>
    <t>23.701895</t>
  </si>
  <si>
    <t xml:space="preserve">
90.3994</t>
  </si>
  <si>
    <t>12.14 Km</t>
  </si>
  <si>
    <t>630.06 m</t>
  </si>
  <si>
    <t>Khajurbag School Road, Teghoria Bazaar, Chunkutia, Subhadya, Keraniganj, Dhaka, Dhaka, Bangladesh</t>
  </si>
  <si>
    <t>23.680649</t>
  </si>
  <si>
    <t xml:space="preserve">
90.411194</t>
  </si>
  <si>
    <t>15.42 Km</t>
  </si>
  <si>
    <t>Jamal Uddin Shorok Road, Hasnabad, Ikuria, Subhadya, Keraniganj, Dhaka, Bangladesh</t>
  </si>
  <si>
    <t>23.680882</t>
  </si>
  <si>
    <t xml:space="preserve">
90.426186</t>
  </si>
  <si>
    <t>15.43 Km</t>
  </si>
  <si>
    <t>357.49 m</t>
  </si>
  <si>
    <t>Dhaka - Mawa Highway, Ikuria, Subhadya, Keraniganj, Dhaka, Bangladesh</t>
  </si>
  <si>
    <t>23.683617</t>
  </si>
  <si>
    <t xml:space="preserve">
90.42235</t>
  </si>
  <si>
    <t>14.93 Km</t>
  </si>
  <si>
    <t>537.53 m</t>
  </si>
  <si>
    <t>ইকুরিয়া বেপারী পাড়া টু মিরেরবাগ রোড, Hasnabad Mokam Para, Ekuria, Ikuria, Subhadya, Keraniganj, Dhaka, Bangladesh</t>
  </si>
  <si>
    <t>23.683756</t>
  </si>
  <si>
    <t xml:space="preserve">
90.41884</t>
  </si>
  <si>
    <t>14.89 Km</t>
  </si>
  <si>
    <t>637.87 m</t>
  </si>
  <si>
    <t>Road Number 9, Hasnabad Housing Society, Hasnabad, Ikuria, Subhadya, Keraniganj, Dhaka, Bangladesh</t>
  </si>
  <si>
    <t>23.679478</t>
  </si>
  <si>
    <t xml:space="preserve">
90.421295</t>
  </si>
  <si>
    <t>15.61 Km</t>
  </si>
  <si>
    <t>931.2 m</t>
  </si>
  <si>
    <t>ইকুরিয়া বেপারী পাড়া টু মিরেরবাগ রোড, Ekuria, Hasnabad Mokam Para, Mirerbagh, Subhadya, Keraniganj, Dhaka, Dhaka 1310, Bangladesh</t>
  </si>
  <si>
    <t>23.684753</t>
  </si>
  <si>
    <t>14.72 Km</t>
  </si>
  <si>
    <t>Bojlur Rahman Road, Keraniganj, Mirerbagh, Subhadya, Dhaka District, Dhaka Division, Bangladesh</t>
  </si>
  <si>
    <t>23.69306</t>
  </si>
  <si>
    <t xml:space="preserve">
90.41766</t>
  </si>
  <si>
    <t>13.33 Km</t>
  </si>
  <si>
    <t>483.58 m</t>
  </si>
  <si>
    <t>6, Ahsan Ullah Road, Tel Ghat, Sadarghat, Mirerbagh, Subhadya, Keraniganj, Dhaka, Dhaka 1100, Bangladesh</t>
  </si>
  <si>
    <t>23.702457</t>
  </si>
  <si>
    <t xml:space="preserve">
90.41088</t>
  </si>
  <si>
    <t>11.79 Km</t>
  </si>
  <si>
    <t>R 326382008, Khejur Bagh, Keraniganj, Kaliganj, Subhadya, Keraniganj, Dhaka, Bangladesh</t>
  </si>
  <si>
    <t>23.698223</t>
  </si>
  <si>
    <t xml:space="preserve">
90.40979</t>
  </si>
  <si>
    <t>12.51 Km</t>
  </si>
  <si>
    <t>9, Boro Masjid Road, Kaligonj, South Keranigonj, Kaliganj, Aganagar, Keraniganj, Dhaka, Dhaka 1310, Bangladesh</t>
  </si>
  <si>
    <t>23.69932</t>
  </si>
  <si>
    <t xml:space="preserve">
90.406364</t>
  </si>
  <si>
    <t>Zilaporishod Market Road, Zinjira, Aganagar, Keraniganj, Dhaka, Dhaka 1310, Bangladesh</t>
  </si>
  <si>
    <t>23.70207</t>
  </si>
  <si>
    <t xml:space="preserve">
90.405304</t>
  </si>
  <si>
    <t>11.95 Km</t>
  </si>
  <si>
    <t>243.07 m</t>
  </si>
  <si>
    <t>Girls School Road, Keraniganj, Subhadya, Aganagar, Dhaka District, Dhaka Division, Bangladesh</t>
  </si>
  <si>
    <t>23.695824</t>
  </si>
  <si>
    <t xml:space="preserve">
90.40073</t>
  </si>
  <si>
    <t>13.09 Km</t>
  </si>
  <si>
    <t>Hijoltola Road, Chunkutia, Keraniganj, Subhadya, Aganagar, Keraniganj, Dhaka, Bangladesh</t>
  </si>
  <si>
    <t>23.693874</t>
  </si>
  <si>
    <t xml:space="preserve">
90.39965</t>
  </si>
  <si>
    <t>13.44 Km</t>
  </si>
  <si>
    <t>2.71 km</t>
  </si>
  <si>
    <t>Postogola Bridge, Chunkutia, Subhadya, Keraniganj, Dhaka, Dhaka, Bangladesh</t>
  </si>
  <si>
    <t>23.695475</t>
  </si>
  <si>
    <t>13.26 Km</t>
  </si>
  <si>
    <t>200.45 m</t>
  </si>
  <si>
    <t>682.32 m</t>
  </si>
  <si>
    <t>197, Bangshal Road, Bangshal, Dhaka, Ward No-69, Kotwali, Bangladesh, 1100</t>
  </si>
  <si>
    <t>23.7176</t>
  </si>
  <si>
    <t xml:space="preserve">
90.406166</t>
  </si>
  <si>
    <t>664.41 m</t>
  </si>
  <si>
    <t>221.05 m</t>
  </si>
  <si>
    <t>DIT Avenue, Rajdhani Unnayan Kartripakkha (RAJUK), Ward-36, Motijheel, Dhaka, Dhaka, Bangladesh</t>
  </si>
  <si>
    <t>23.725697</t>
  </si>
  <si>
    <t xml:space="preserve">
90.41468</t>
  </si>
  <si>
    <t>7.89 Km</t>
  </si>
  <si>
    <t>3724, Habib Nagar Road, Rayerbag, Kadamtoli, Matuail, Demra, Dhaka 1362, Bangladesh</t>
  </si>
  <si>
    <t>23.69627</t>
  </si>
  <si>
    <t xml:space="preserve">
90.46521</t>
  </si>
  <si>
    <t>14.8 Km</t>
  </si>
  <si>
    <t>Shordarpara-South Ajibpur Road, Ajibpur, Siddirganj (Part), Siddirganj, Narayanganj Sadar, Narayanganj, Dhaka, Bangladesh</t>
  </si>
  <si>
    <t>23.689232</t>
  </si>
  <si>
    <t xml:space="preserve">
90.5181</t>
  </si>
  <si>
    <t>20.88 Km</t>
  </si>
  <si>
    <t>781.64 m</t>
  </si>
  <si>
    <t>50, Chittagong Road, M/s, islamcariers Transport Agency, Siddhirganj, শিমরাইল, Ati, Siddirganj, Narayanganj Sadar, Narayanganj, Dhaka 1430, Bangladesh</t>
  </si>
  <si>
    <t>23.700245</t>
  </si>
  <si>
    <t xml:space="preserve">
90.51385</t>
  </si>
  <si>
    <t>19.19 Km</t>
  </si>
  <si>
    <t>1.24 km</t>
  </si>
  <si>
    <t>Shekher Jayga - Staf Quater Road, Paradagair, Demra, Dhaka, Dhaka, Bangladesh</t>
  </si>
  <si>
    <t>23.72175</t>
  </si>
  <si>
    <t xml:space="preserve">
90.49047</t>
  </si>
  <si>
    <t>14.17 Km</t>
  </si>
  <si>
    <t>1.04 km</t>
  </si>
  <si>
    <t>বাশেরপুল-ডগাইর বাজার, Sarulia, Paradagair, Demra, Dhaka, Dhaka 1361, Bangladesh</t>
  </si>
  <si>
    <t>23.716944</t>
  </si>
  <si>
    <t xml:space="preserve">
90.47943</t>
  </si>
  <si>
    <t>13.41 Km</t>
  </si>
  <si>
    <t>Konapara-Dogair Main Road, Konapara, Paradagair, Demra, Dhaka, Dhaka, Bangladesh</t>
  </si>
  <si>
    <t>23.714634</t>
  </si>
  <si>
    <t xml:space="preserve">
90.46951</t>
  </si>
  <si>
    <t>12.66 Km</t>
  </si>
  <si>
    <t>Mutual Trust Bank Ltd (ATM), Dhaka - Demra Highway, Demra, Dhaka, Paradagair, Dcc (Demra), Bangladesh</t>
  </si>
  <si>
    <t>23.717165</t>
  </si>
  <si>
    <t xml:space="preserve">
90.47054</t>
  </si>
  <si>
    <t>12.45 Km</t>
  </si>
  <si>
    <t>Nambihin Rasta, Matuail, Demra, Dhaka, Dhaka, Bangladesh</t>
  </si>
  <si>
    <t>23.71316</t>
  </si>
  <si>
    <t xml:space="preserve">
90.46248</t>
  </si>
  <si>
    <t>12.21 Km</t>
  </si>
  <si>
    <t>53, Addakhkha Irshadullah Sorok, Mridha Para, Dhania (Part), Shampur, Dhaka, Dhaka, Bangladesh</t>
  </si>
  <si>
    <t>23.704918</t>
  </si>
  <si>
    <t xml:space="preserve">
90.448746</t>
  </si>
  <si>
    <t>493.16 m</t>
  </si>
  <si>
    <t>18, Konapara Bridge, Golden Bridge, jatrabari, Matuail, Demra, Dhaka, Dhaka 1362, Bangladesh</t>
  </si>
  <si>
    <t>23.71726</t>
  </si>
  <si>
    <t xml:space="preserve">
90.4657</t>
  </si>
  <si>
    <t>11.96 Km</t>
  </si>
  <si>
    <t>500.98 m</t>
  </si>
  <si>
    <t>DND Road, Demra, Dhaka, Paradagair, Dcc (Demra), Bangladesh, 1362</t>
  </si>
  <si>
    <t>23.715652</t>
  </si>
  <si>
    <t xml:space="preserve">
90.46999</t>
  </si>
  <si>
    <t>12.58 Km</t>
  </si>
  <si>
    <t>Sojeeb Road, Matuail, Demra, Dhaka, Dhaka, Bangladesh</t>
  </si>
  <si>
    <t>23.712088</t>
  </si>
  <si>
    <t xml:space="preserve">
90.46698</t>
  </si>
  <si>
    <t>12.76 Km</t>
  </si>
  <si>
    <t>2.05 km</t>
  </si>
  <si>
    <t>Demra - Narayanganj Road, Paradagair, Demra, Dhaka, Dhaka 1361, Bangladesh</t>
  </si>
  <si>
    <t>23.718472</t>
  </si>
  <si>
    <t xml:space="preserve">
90.49544</t>
  </si>
  <si>
    <t>15.1 Km</t>
  </si>
  <si>
    <t>Nambihin Rasta, Shimrail, Ati, Siddirganj, Narayanganj Sadar, Narayanganj, Dhaka, Bangladesh</t>
  </si>
  <si>
    <t>23.698698</t>
  </si>
  <si>
    <t xml:space="preserve">
90.50947</t>
  </si>
  <si>
    <t>18.85 Km</t>
  </si>
  <si>
    <t>Nambihin Rasta, Paschim Hetalia, Madarbunia, Patuakhali Sadar, Patuakhali, Barisal, Bangladesh</t>
  </si>
  <si>
    <t>22.344946</t>
  </si>
  <si>
    <t xml:space="preserve">
90.3045</t>
  </si>
  <si>
    <t>238.79 Km</t>
  </si>
  <si>
    <t>4.03 km</t>
  </si>
  <si>
    <t>Abdul Haye Bidya Niketan Road, Patuakhali, Paurashava, Barisal Division, Bangladesh</t>
  </si>
  <si>
    <t>22.340841</t>
  </si>
  <si>
    <t xml:space="preserve">
90.318695</t>
  </si>
  <si>
    <t>239.32 Km</t>
  </si>
  <si>
    <t>Badarpur, Patuakhali Sadar Upazila, Patuakhali District, Barisal Division, Bangladesh</t>
  </si>
  <si>
    <t>22.370867</t>
  </si>
  <si>
    <t xml:space="preserve">
90.34069</t>
  </si>
  <si>
    <t>234.14 Km</t>
  </si>
  <si>
    <t>7.02 km</t>
  </si>
  <si>
    <t>Mita Pukur Road, Patuakhali, Paurashava, Barisal Division, Bangladesh</t>
  </si>
  <si>
    <t>22.337246</t>
  </si>
  <si>
    <t xml:space="preserve">
90.35394</t>
  </si>
  <si>
    <t>239.65 Km</t>
  </si>
  <si>
    <t>Bauphal Patuakhali DC Road, Bhuria, Kamalapur, Patuakhali Sadar, Patuakhali, Barisal, Bangladesh</t>
  </si>
  <si>
    <t>22.357227</t>
  </si>
  <si>
    <t xml:space="preserve">
90.41871</t>
  </si>
  <si>
    <t>236.12 Km</t>
  </si>
  <si>
    <t>Bauphal Patuakhali DC Road, East Jainkati, Bhuria, Adabaria, Bauphal, Patuakhali, Barisal, Bangladesh</t>
  </si>
  <si>
    <t>22.352749</t>
  </si>
  <si>
    <t xml:space="preserve">
90.43096</t>
  </si>
  <si>
    <t>236.88 Km</t>
  </si>
  <si>
    <t>3.09 km</t>
  </si>
  <si>
    <t>Kakrabania Lohalia, Lohalia, Patuakhali Sadar, Patuakhali, Barisal, Bangladesh</t>
  </si>
  <si>
    <t>22.359823</t>
  </si>
  <si>
    <t xml:space="preserve">
90.38092</t>
  </si>
  <si>
    <t>235.75 Km</t>
  </si>
  <si>
    <t>Keshabpur (Part), Lohalia, Patuakhali Sadar, Patuakhali, Barisal, Bangladesh</t>
  </si>
  <si>
    <t>22.34902</t>
  </si>
  <si>
    <t xml:space="preserve">
90.35325</t>
  </si>
  <si>
    <t>237.69 Km</t>
  </si>
  <si>
    <t>566.44 m</t>
  </si>
  <si>
    <t>Paurashava, Patuakhali, Barisal, Bangladesh</t>
  </si>
  <si>
    <t>22.360037</t>
  </si>
  <si>
    <t xml:space="preserve">
90.3574</t>
  </si>
  <si>
    <t>235.83 Km</t>
  </si>
  <si>
    <t>Iddrakpur Mredha Bari, Patuakhali Baufaul Dashmina Golachipa Road, Patuakhali, Keshabpur (Part), Lohalia, Barisal Division, Bangladesh</t>
  </si>
  <si>
    <t>22.35519</t>
  </si>
  <si>
    <t xml:space="preserve">
90.3591</t>
  </si>
  <si>
    <t>236.63 Km</t>
  </si>
  <si>
    <t>3.5 km</t>
  </si>
  <si>
    <t>Mitali Kunjo Lane, Patuakhali, Paurashava, Barisal Division, Bangladesh</t>
  </si>
  <si>
    <t>22.351763</t>
  </si>
  <si>
    <t xml:space="preserve">
90.34078</t>
  </si>
  <si>
    <t>237.32 Km</t>
  </si>
  <si>
    <t>Paurashava, Patuakhali Sadar, Patuakhali, Barisal, Bangladesh</t>
  </si>
  <si>
    <t>22.35977</t>
  </si>
  <si>
    <t xml:space="preserve">
90.33538</t>
  </si>
  <si>
    <t>236.03 Km</t>
  </si>
  <si>
    <t>915.88 m</t>
  </si>
  <si>
    <t>Nambihin Rasta, Paurashava, Patuakhali Sadar, Patuakhali, Barisal, Bangladesh</t>
  </si>
  <si>
    <t>22.35247</t>
  </si>
  <si>
    <t xml:space="preserve">
90.34516</t>
  </si>
  <si>
    <t>237.17 Km</t>
  </si>
  <si>
    <t>Laukati, Patuakhali Sadar, Patuakhali, Barisal, Bangladesh</t>
  </si>
  <si>
    <t>22.368275</t>
  </si>
  <si>
    <t xml:space="preserve">
90.34567</t>
  </si>
  <si>
    <t>234.53 Km</t>
  </si>
  <si>
    <t>Patuakhali, Paurashava, Barisal Division, Bangladesh</t>
  </si>
  <si>
    <t>22.359724</t>
  </si>
  <si>
    <t xml:space="preserve">
90.34167</t>
  </si>
  <si>
    <t>235.98 Km</t>
  </si>
  <si>
    <t>Bohalgachhia (Part), Paurashava, Patuakhali Sadar, Patuakhali, Barisal, Bangladesh</t>
  </si>
  <si>
    <t>22.350838</t>
  </si>
  <si>
    <t xml:space="preserve">
90.336395</t>
  </si>
  <si>
    <t>237.51 Km</t>
  </si>
  <si>
    <t>889.92 m</t>
  </si>
  <si>
    <t>Z8052, Paurashava, Patuakhali Sadar, Patuakhali, Barisal, Bangladesh</t>
  </si>
  <si>
    <t>22.36136</t>
  </si>
  <si>
    <t xml:space="preserve">
90.310234</t>
  </si>
  <si>
    <t>236 Km</t>
  </si>
  <si>
    <t>663.4 m</t>
  </si>
  <si>
    <t>Haque Palace - হক প্যালেস, Patuakhali, Paurashava, Barisal Division, Bangladesh</t>
  </si>
  <si>
    <t>22.354483</t>
  </si>
  <si>
    <t xml:space="preserve">
90.32548</t>
  </si>
  <si>
    <t>236.99 Km</t>
  </si>
  <si>
    <t>22.360348</t>
  </si>
  <si>
    <t xml:space="preserve">
90.32666</t>
  </si>
  <si>
    <t>Patuakhali Bridge, R880, Badarpur, Patuakhali Sadar, Patuakhali, Barisal, Bangladesh</t>
  </si>
  <si>
    <t>22.370743</t>
  </si>
  <si>
    <t xml:space="preserve">
90.32352</t>
  </si>
  <si>
    <t>234.3 Km</t>
  </si>
  <si>
    <t>994.35 m</t>
  </si>
  <si>
    <t>22.35872</t>
  </si>
  <si>
    <t xml:space="preserve">
90.34498</t>
  </si>
  <si>
    <t>236.13 Km</t>
  </si>
  <si>
    <t>Patuakhali - Amtali Highway, Ballabhpur, Kalikapur, Patuakhali Sadar, Patuakhali, Barisal, Bangladesh</t>
  </si>
  <si>
    <t>22.33539</t>
  </si>
  <si>
    <t xml:space="preserve">
90.3181</t>
  </si>
  <si>
    <t>240.24 Km</t>
  </si>
  <si>
    <t>773.85 m</t>
  </si>
  <si>
    <t>22.354921</t>
  </si>
  <si>
    <t xml:space="preserve">
90.312904</t>
  </si>
  <si>
    <t>237.04 Km</t>
  </si>
  <si>
    <t>2.18 km</t>
  </si>
  <si>
    <t>22.358454</t>
  </si>
  <si>
    <t xml:space="preserve">
90.32635</t>
  </si>
  <si>
    <t>236.32 Km</t>
  </si>
  <si>
    <t>2.31 km</t>
  </si>
  <si>
    <t>Dhaka - Kuakata Highway, Paurashava, Patuakhali Sadar, Patuakhali, Barisal, Bangladesh</t>
  </si>
  <si>
    <t>22.350487</t>
  </si>
  <si>
    <t xml:space="preserve">
90.31527</t>
  </si>
  <si>
    <t>237.75 Km</t>
  </si>
  <si>
    <t>Sofi Store, Old Ferry Ghat Road, Patuakhali, Paurashava, Barisal Division, Bangladesh</t>
  </si>
  <si>
    <t>22.366062</t>
  </si>
  <si>
    <t xml:space="preserve">
90.327614</t>
  </si>
  <si>
    <t>235.04 Km</t>
  </si>
  <si>
    <t>Dhaka - Patuakhali Highway, Gabua, Badarpur, Patuakhali Sadar, Patuakhali, Barisal, Bangladesh</t>
  </si>
  <si>
    <t>22.401184</t>
  </si>
  <si>
    <t xml:space="preserve">
90.32115</t>
  </si>
  <si>
    <t>229.26 Km</t>
  </si>
  <si>
    <t>Nambihin Rasta, Gabua, Badarpur, Patuakhali Sadar, Patuakhali, Barisal, Bangladesh</t>
  </si>
  <si>
    <t>22.417843</t>
  </si>
  <si>
    <t xml:space="preserve">
90.33309</t>
  </si>
  <si>
    <t>226.37 Km</t>
  </si>
  <si>
    <t>Barisal-Patuakhali Road, Maukaran, Badarpur, Patuakhali Sadar, Patuakhali, Barisal, Bangladesh</t>
  </si>
  <si>
    <t>22.437578</t>
  </si>
  <si>
    <t xml:space="preserve">
90.33545</t>
  </si>
  <si>
    <t>223.07 Km</t>
  </si>
  <si>
    <t>Maukaran, Laukati, Patuakhali Sadar, Patuakhali, Barisal, Bangladesh</t>
  </si>
  <si>
    <t>22.438438</t>
  </si>
  <si>
    <t xml:space="preserve">
90.3557</t>
  </si>
  <si>
    <t>222.77 Km</t>
  </si>
  <si>
    <t>Barisal-Patuakhali Road, Badarpur, Badarpur, Patuakhali Sadar, Patuakhali, Barisal, Bangladesh</t>
  </si>
  <si>
    <t>Road, Maukaran, Kartikpasha, Lebukhali (Dumki), Dumki, Patuakhali, Barisal, Bangladesh</t>
  </si>
  <si>
    <t>22.45044</t>
  </si>
  <si>
    <t xml:space="preserve">
90.34867</t>
  </si>
  <si>
    <t>220.82 Km</t>
  </si>
  <si>
    <t>দুমকী উপজেলা পরিষদ মিনি শিশু পার্ক, Dumki, Lebukhali (Dumki), Dumki, Patuakhali, Barisal, Bangladesh</t>
  </si>
  <si>
    <t>22.461868</t>
  </si>
  <si>
    <t xml:space="preserve">
90.37389</t>
  </si>
  <si>
    <t>218.77 Km</t>
  </si>
  <si>
    <t>Doard Office Bazar - Kodomtola Bazar Road, Karkhana, Rajakhali, Lebukhali (Dumki), Patuakhali District, Barisal Division, Bangladesh</t>
  </si>
  <si>
    <t>22.45268</t>
  </si>
  <si>
    <t xml:space="preserve">
90.422585</t>
  </si>
  <si>
    <t>220.21 Km</t>
  </si>
  <si>
    <t>3.4 km</t>
  </si>
  <si>
    <t>Hogla, Dakshin Muradia, Muradia, Dumki, Patuakhali, Barisal, Bangladesh</t>
  </si>
  <si>
    <t>22.438082</t>
  </si>
  <si>
    <t>222.64 Km</t>
  </si>
  <si>
    <t>Dumki - Board Bazar Road, Rajakhali, Lebukhali (Dumki), Dumki, Patuakhali, Barisal, Bangladesh</t>
  </si>
  <si>
    <t>22.458532</t>
  </si>
  <si>
    <t xml:space="preserve">
90.39267</t>
  </si>
  <si>
    <t>219.26 Km</t>
  </si>
  <si>
    <t>22.410444</t>
  </si>
  <si>
    <t xml:space="preserve">
90.31626</t>
  </si>
  <si>
    <t>227.76 Km</t>
  </si>
  <si>
    <t>Dhaka - Patuakhali Highway, Badarpur, Kartikpasha, Lebukhali (Dumki), Dumki, Patuakhali, Barisal, Bangladesh</t>
  </si>
  <si>
    <t>22.443773</t>
  </si>
  <si>
    <t xml:space="preserve">
90.33913</t>
  </si>
  <si>
    <t>222 Km</t>
  </si>
  <si>
    <t>2.63 km</t>
  </si>
  <si>
    <t>Tower, Barisal-Patuakhali Road, Ferry Terminal (South), Lebukhali, Lebukhali (Dumki), Patuakhali, Barisal, Bangladesh</t>
  </si>
  <si>
    <t>22.464062</t>
  </si>
  <si>
    <t xml:space="preserve">
90.33914</t>
  </si>
  <si>
    <t>218.62 Km</t>
  </si>
  <si>
    <t>Dhaka - Patuakhali Highway, Angaria, Dudhal Mou, Bhar Pasha, Bakerganj, Barisal, Bangladesh</t>
  </si>
  <si>
    <t>22.487392</t>
  </si>
  <si>
    <t xml:space="preserve">
90.34337</t>
  </si>
  <si>
    <t>214.7 Km</t>
  </si>
  <si>
    <t>4.38 km</t>
  </si>
  <si>
    <t>Nambihin Rasta, Garuria Union, Nanda Para, Rangasree, Bakerganj, Barisal, Bangladesh</t>
  </si>
  <si>
    <t>22.572674</t>
  </si>
  <si>
    <t xml:space="preserve">
90.328926</t>
  </si>
  <si>
    <t>200.64 Km</t>
  </si>
  <si>
    <t>6.41 km</t>
  </si>
  <si>
    <t>Nambihin Rasta, Garuria Union, Jurkati, Dapdapia, Nalchity, Jhalakathi, Barisal, Bangladesh</t>
  </si>
  <si>
    <t>22.612026</t>
  </si>
  <si>
    <t xml:space="preserve">
90.32878</t>
  </si>
  <si>
    <t>194.09 Km</t>
  </si>
  <si>
    <t>3.36 km</t>
  </si>
  <si>
    <t>university of, Dakshin Char Aicha, Char Kowa, Barisal Sadar, Barisal, Barisal, Bangladesh</t>
  </si>
  <si>
    <t>22.660536</t>
  </si>
  <si>
    <t xml:space="preserve">
90.362465</t>
  </si>
  <si>
    <t>185.72 Km</t>
  </si>
  <si>
    <t>Sagardi Bazar Road, South Sagardi, Sagardi, Ward No-23, Barisal Sadar, Barisal, Barisal, Bangladesh</t>
  </si>
  <si>
    <t>22.687561</t>
  </si>
  <si>
    <t xml:space="preserve">
90.34775</t>
  </si>
  <si>
    <t>181.33 Km</t>
  </si>
  <si>
    <t>3.78 km</t>
  </si>
  <si>
    <t>Bhanga-Barisal Highway, Barishal, Rupatali, Ward No-24, Barisal Sadar, Barisal 8200, Bangladesh</t>
  </si>
  <si>
    <t>22.668732</t>
  </si>
  <si>
    <t xml:space="preserve">
90.347664</t>
  </si>
  <si>
    <t>184.47 Km</t>
  </si>
  <si>
    <t>7.34 km</t>
  </si>
  <si>
    <t>Bot Tala, Magar, Nalchity, Jhalakathi, Barisal, Bangladesh</t>
  </si>
  <si>
    <t>22.665365</t>
  </si>
  <si>
    <t xml:space="preserve">
90.31097</t>
  </si>
  <si>
    <t>185.43 Km</t>
  </si>
  <si>
    <t>2.92 km</t>
  </si>
  <si>
    <t>Barisal - Pirojpur Highway, Nalchhiti, Pratap Madara, Bharabpasha, Nalchity, Jhalakathi, Barisal, Bangladesh</t>
  </si>
  <si>
    <t>22.653143</t>
  </si>
  <si>
    <t xml:space="preserve">
90.24067</t>
  </si>
  <si>
    <t>188.7 Km</t>
  </si>
  <si>
    <t>505.35 m</t>
  </si>
  <si>
    <t>8400, Barisal - Pirojpur Highway, Kutubnagar, Basanda, Jhalokati Sadar, Jhalakathi, Barisal, Bangladesh</t>
  </si>
  <si>
    <t>22.642069</t>
  </si>
  <si>
    <t xml:space="preserve">
90.214905</t>
  </si>
  <si>
    <t>191.12 Km</t>
  </si>
  <si>
    <t>New Bus Stand, Barisal - Pirojpur Highway, Jhalakati Bus Station, Jhalakat, Kutubnagar, Basanda, Jhalokati Sadar, Jhalakathi, Barisal 8400, Bangladesh</t>
  </si>
  <si>
    <t>22.64252</t>
  </si>
  <si>
    <t xml:space="preserve">
90.21001</t>
  </si>
  <si>
    <t>191.17 Km</t>
  </si>
  <si>
    <t>Barisal - Pirojpur Highway, Paurashava, Jhalokati Sadar, Jhalakathi, Barisal, Bangladesh</t>
  </si>
  <si>
    <t>22.649895</t>
  </si>
  <si>
    <t xml:space="preserve">
90.19673</t>
  </si>
  <si>
    <t>190.31 Km</t>
  </si>
  <si>
    <t>Jhalakat, Rajapur, Paurashava, Jhalokati Sadar Upazila, Jhalokati District, Barisal Division, Bangladesh</t>
  </si>
  <si>
    <t>22.63975</t>
  </si>
  <si>
    <t xml:space="preserve">
90.20297</t>
  </si>
  <si>
    <t>191.81 Km</t>
  </si>
  <si>
    <t>Road, Jhalakat, Diakul, Paurashava, Jhalakathi, Barisal, Bangladesh</t>
  </si>
  <si>
    <t>22.631989</t>
  </si>
  <si>
    <t xml:space="preserve">
90.1902</t>
  </si>
  <si>
    <t>193.42 Km</t>
  </si>
  <si>
    <t>Kamarpotti Road, Rajapur, Paurashava, Jhalokati Sadar, Jhalakathi, Barisal, Bangladesh</t>
  </si>
  <si>
    <t>পুরাতন কলাবাগান, ঝালকাঠি।, Jhalakat, Kistakati, Paurashava, Jhalokati Sadar, Jhalakathi, Barisal, Bangladesh</t>
  </si>
  <si>
    <t>22.635366</t>
  </si>
  <si>
    <t xml:space="preserve">
90.19267</t>
  </si>
  <si>
    <t>192.8 Km</t>
  </si>
  <si>
    <t>326.99 m</t>
  </si>
  <si>
    <t>Road, Jhalokati, Kistakati, Paurashava, Barisal Division, Bangladesh, 8400</t>
  </si>
  <si>
    <t>22.633291</t>
  </si>
  <si>
    <t xml:space="preserve">
90.19494</t>
  </si>
  <si>
    <t>193.08 Km</t>
  </si>
  <si>
    <t>Nambihin Rasta, Paurashava, Jhalokati Sadar, Jhalakathi, Barisal, Bangladesh</t>
  </si>
  <si>
    <t>22.64213</t>
  </si>
  <si>
    <t xml:space="preserve">
90.203125</t>
  </si>
  <si>
    <t>191.41 Km</t>
  </si>
  <si>
    <t>7.89 km</t>
  </si>
  <si>
    <t>Nambihin Rasta, Rupchandrapur, Bharabpasha, Nalchity, Jhalakathi, Barisal, Bangladesh</t>
  </si>
  <si>
    <t>22.6411</t>
  </si>
  <si>
    <t xml:space="preserve">
90.22494</t>
  </si>
  <si>
    <t>191.04 Km</t>
  </si>
  <si>
    <t>Nambihin Rasta, Rayapur, Magar, Nalchity, Jhalakathi, Barisal, Bangladesh</t>
  </si>
  <si>
    <t>22.666634</t>
  </si>
  <si>
    <t xml:space="preserve">
90.29667</t>
  </si>
  <si>
    <t>185.42 Km</t>
  </si>
  <si>
    <t>350.66 m</t>
  </si>
  <si>
    <t>Barisal - Pirojpur Highway, Godar Char, Barishal, Rupatali, Ward No-25, Barisal Sadar, Barisal, Bangladesh</t>
  </si>
  <si>
    <t>22.670406</t>
  </si>
  <si>
    <t xml:space="preserve">
90.33627</t>
  </si>
  <si>
    <t>184.3 Km</t>
  </si>
  <si>
    <t>Barisal - Pirojpur Highway, Barishal, Rupatali, Ward No-25, Barisal Sadar, Barisal, Bangladesh</t>
  </si>
  <si>
    <t>22.67236</t>
  </si>
  <si>
    <t xml:space="preserve">
90.33896</t>
  </si>
  <si>
    <t>183.94 Km</t>
  </si>
  <si>
    <t>2.82 km</t>
  </si>
  <si>
    <t>2.14 km</t>
  </si>
  <si>
    <t>Nambihin Rasta, Barishal, Rupatali, Ward No-25, Barisal Sadar, Barisal, Bangladesh</t>
  </si>
  <si>
    <t>22.663576</t>
  </si>
  <si>
    <t xml:space="preserve">
90.338715</t>
  </si>
  <si>
    <t>185.41 Km</t>
  </si>
  <si>
    <t>ভেরিবাধ রোড, Barishal, Rupatali, Char Kowa, Barisal Sadar, Barisal, Bangladesh</t>
  </si>
  <si>
    <t>22.66054</t>
  </si>
  <si>
    <t xml:space="preserve">
90.35931</t>
  </si>
  <si>
    <t>185.74 Km</t>
  </si>
  <si>
    <t>6.47 km</t>
  </si>
  <si>
    <t>Garuria Union, Uttar Jurkati, Dapdapia, Nalchity, Jhalakathi, Barisal 8420, Bangladesh</t>
  </si>
  <si>
    <t>22.626858</t>
  </si>
  <si>
    <t xml:space="preserve">
90.330765</t>
  </si>
  <si>
    <t>191.6 Km</t>
  </si>
  <si>
    <t>3.6 km</t>
  </si>
  <si>
    <t>Dhaka - Patuakhali Highway, Garuria Union, Nanda Para, Rangasree, Bakerganj, Barisal, Bangladesh</t>
  </si>
  <si>
    <t>22.568832</t>
  </si>
  <si>
    <t xml:space="preserve">
90.335236</t>
  </si>
  <si>
    <t>201.21 Km</t>
  </si>
  <si>
    <t>আজীমপুর সড়ক, Bhar Pasha (Part), Bhar Pasha, Bakerganj, Barisal, Bangladesh</t>
  </si>
  <si>
    <t>22.536413</t>
  </si>
  <si>
    <t xml:space="preserve">
90.33551</t>
  </si>
  <si>
    <t>206.61 Km</t>
  </si>
  <si>
    <t>22.478823</t>
  </si>
  <si>
    <t xml:space="preserve">
90.3414</t>
  </si>
  <si>
    <t>216.15 Km</t>
  </si>
  <si>
    <t>347.15 m</t>
  </si>
  <si>
    <t>Feni - Noakhali Highway, Chowmuhani, Hajipur (Part), Paurashava, Begumganj, Noakhali, Chittagong, Bangladesh</t>
  </si>
  <si>
    <t>22.946045</t>
  </si>
  <si>
    <t xml:space="preserve">
91.12618</t>
  </si>
  <si>
    <t>175.6 Km</t>
  </si>
  <si>
    <t>819.25 m</t>
  </si>
  <si>
    <t>Road No 25, Golabaria, Chowmuhani, Paurashava, Begumganj, Noakhali, Chittagong, Bangladesh</t>
  </si>
  <si>
    <t>22.944035</t>
  </si>
  <si>
    <t xml:space="preserve">
91.12359</t>
  </si>
  <si>
    <t>175.62 Km</t>
  </si>
  <si>
    <t>A147, Hazipur, Paurashava, Begumganj, Noakhali, Chittagong, Bangladesh</t>
  </si>
  <si>
    <t>22.936682</t>
  </si>
  <si>
    <t xml:space="preserve">
91.12409</t>
  </si>
  <si>
    <t>176.63 Km</t>
  </si>
  <si>
    <t>Road No. 16, Chowmuhani, Narottampur, Begumganj, Noakhali, Chittagong, Bangladesh</t>
  </si>
  <si>
    <t>22.954556</t>
  </si>
  <si>
    <t xml:space="preserve">
91.123924</t>
  </si>
  <si>
    <t>174.27 Km</t>
  </si>
  <si>
    <t>287.7 m</t>
  </si>
  <si>
    <t>Kuripara Road, Chowmuhani, Chaumohani Paurashava, Begumganj, Noakhali, Chittagong, Bangladesh</t>
  </si>
  <si>
    <t>22.944607</t>
  </si>
  <si>
    <t xml:space="preserve">
91.10892</t>
  </si>
  <si>
    <t>174.16 Km</t>
  </si>
  <si>
    <t>Lane 1, Chowmuhani, Chaumohani Paurashava, Begumganj, Noakhali, Chittagong, Bangladesh</t>
  </si>
  <si>
    <t>22.94409</t>
  </si>
  <si>
    <t xml:space="preserve">
91.11167</t>
  </si>
  <si>
    <t>174.49 Km</t>
  </si>
  <si>
    <t>Bazaar Road, Chowmuhani Paschim Bazaar Bus Stop, Chowmuhani, Chaumohani Paurashava, Begumganj, Noakhali, Chittagong, Bangladesh</t>
  </si>
  <si>
    <t>22.944553</t>
  </si>
  <si>
    <t xml:space="preserve">
91.11471</t>
  </si>
  <si>
    <t>174.71 Km</t>
  </si>
  <si>
    <t>R140, Lakshmipur Bus Stand, Mir Warishpur, Chaumohani Paurashava, Begumganj, Noakhali, Chittagong, Bangladesh</t>
  </si>
  <si>
    <t>22.944826</t>
  </si>
  <si>
    <t xml:space="preserve">
91.103806</t>
  </si>
  <si>
    <t>173.66 Km</t>
  </si>
  <si>
    <t>592.27 m</t>
  </si>
  <si>
    <t>1.37 km</t>
  </si>
  <si>
    <t>Ward No, 06, Road No. 16, চৌমুহনী, Chaumohani Paurashava, Begumganj, নোয়াখালী জেলা, চট্টগ্রাম বিভাগ, Bangladesh</t>
  </si>
  <si>
    <t>22.955616</t>
  </si>
  <si>
    <t xml:space="preserve">
91.119026</t>
  </si>
  <si>
    <t>1.17 km</t>
  </si>
  <si>
    <t>Feni - Noakhali Highway, Durgapur, Chowmuhani, Hajipur (Part), Paurashava, Begumganj, Noakhali, Chittagong, Bangladesh</t>
  </si>
  <si>
    <t>22.946507</t>
  </si>
  <si>
    <t xml:space="preserve">
91.13652</t>
  </si>
  <si>
    <t>176.52 Km</t>
  </si>
  <si>
    <t>2.16 km</t>
  </si>
  <si>
    <t>Road No. 14, Chowmuhani, Chaumohani Paurashava, Begumganj, Noakhali, Chittagong, Bangladesh</t>
  </si>
  <si>
    <t>22.955374</t>
  </si>
  <si>
    <t xml:space="preserve">
91.11822</t>
  </si>
  <si>
    <t>173.62 Km</t>
  </si>
  <si>
    <t>Staff Quarter 5, Road 2, Chowmuhani, Chaumohani Paurashava, Begumganj, Noakhali, Chittagong, Bangladesh</t>
  </si>
  <si>
    <t>22.938547</t>
  </si>
  <si>
    <t>3.16 km</t>
  </si>
  <si>
    <t>Gabua Khalpar Road, Anantapur, Eklashpur, Begumganj, Noakhali, Chittagong, Bangladesh</t>
  </si>
  <si>
    <t>22.902441</t>
  </si>
  <si>
    <t xml:space="preserve">
91.097786</t>
  </si>
  <si>
    <t>178.8 Km</t>
  </si>
  <si>
    <t>Chowmohani - Maijdee Road, New Jail Rd / Chowmohani - Maijdee Rd, Madhushudanpur, Maijdi, Kadir Hanif, Noakhali Sadar, Noakhali, Chittagong 3800, Bangladesh</t>
  </si>
  <si>
    <t>22.874084</t>
  </si>
  <si>
    <t xml:space="preserve">
91.096405</t>
  </si>
  <si>
    <t>182.55 Km</t>
  </si>
  <si>
    <t>Cumilla - Noakhali Highway, Gopai Ramsankar, Paurashava, Noakhali Sadar, Noakhali, Chittagong, Bangladesh</t>
  </si>
  <si>
    <t>22.837559</t>
  </si>
  <si>
    <t xml:space="preserve">
91.09997</t>
  </si>
  <si>
    <t>187.9 Km</t>
  </si>
  <si>
    <t>Kabirhat Road, Matipur (Part-B), Noakhali, Noakhali Sadar, Noakhali, Chittagong 3811, Bangladesh</t>
  </si>
  <si>
    <t>22.823954</t>
  </si>
  <si>
    <t xml:space="preserve">
91.10866</t>
  </si>
  <si>
    <t>190.53 Km</t>
  </si>
  <si>
    <t>512.92 m</t>
  </si>
  <si>
    <t>Kabirhat Road, Noakhali, Noakhali Sadar, Noakhali, Chittagong, Bangladesh</t>
  </si>
  <si>
    <t>22.824823</t>
  </si>
  <si>
    <t xml:space="preserve">
91.103745</t>
  </si>
  <si>
    <t>189.99 Km</t>
  </si>
  <si>
    <t>917.51 m</t>
  </si>
  <si>
    <t>Sonapur - Kobirhat Road, Paurashava, Noakhali Sadar, Noakhali, Chittagong, Bangladesh</t>
  </si>
  <si>
    <t>22.831537</t>
  </si>
  <si>
    <t xml:space="preserve">
91.10698</t>
  </si>
  <si>
    <t>189.33 Km</t>
  </si>
  <si>
    <t>Nambihin Rasta, Dakshin Masimpur, Ashwadia, Noakhali Sadar, Noakhali, Chittagong, Bangladesh</t>
  </si>
  <si>
    <t>22.828085</t>
  </si>
  <si>
    <t xml:space="preserve">
91.11511</t>
  </si>
  <si>
    <t>190.51 Km</t>
  </si>
  <si>
    <t>5.05 km</t>
  </si>
  <si>
    <t>Z1441, Gopai Ramsankar, Paurashava, Noakhali Sadar, Noakhali, Chittagong, Bangladesh</t>
  </si>
  <si>
    <t>22.832947</t>
  </si>
  <si>
    <t xml:space="preserve">
91.09976</t>
  </si>
  <si>
    <t>188.52 Km</t>
  </si>
  <si>
    <t>Napiter Pol-College Road, Maijdi, Maijdi (Part-B), Kadir Hanif, Noakhali Sadar, Noakhali, Chittagong, Bangladesh</t>
  </si>
  <si>
    <t>22.878191</t>
  </si>
  <si>
    <t xml:space="preserve">
91.09598</t>
  </si>
  <si>
    <t>181.95 Km</t>
  </si>
  <si>
    <t>2.84 km</t>
  </si>
  <si>
    <t>Road No 22, Eklashpur (Part), Eklashpur, Begumganj, Noakhali, Chittagong, Bangladesh</t>
  </si>
  <si>
    <t>22.913008</t>
  </si>
  <si>
    <t xml:space="preserve">
91.10528</t>
  </si>
  <si>
    <t>178.05 Km</t>
  </si>
  <si>
    <t>A476, Chowmuhani, Chaumohani Paurashava, Begumganj, Noakhali, Chittagong, Bangladesh</t>
  </si>
  <si>
    <t>22.938576</t>
  </si>
  <si>
    <t xml:space="preserve">
91.10558</t>
  </si>
  <si>
    <t>174.65 Km</t>
  </si>
  <si>
    <t>B384, Railgate Bus Stop, Chowmuhani, Chaumohani Paurashava, Begumganj, Noakhali, Chittagong, Bangladesh</t>
  </si>
  <si>
    <t>22.945658</t>
  </si>
  <si>
    <t xml:space="preserve">
91.12067</t>
  </si>
  <si>
    <t>175.13 Km</t>
  </si>
  <si>
    <t>937.16 m</t>
  </si>
  <si>
    <t>4.81 km</t>
  </si>
  <si>
    <t>A581, Rasulpur, Rasulpur, Begumganj, Noakhali, Chittagong, Bangladesh</t>
  </si>
  <si>
    <t>22.943115</t>
  </si>
  <si>
    <t xml:space="preserve">
91.170586</t>
  </si>
  <si>
    <t>180.26 Km</t>
  </si>
  <si>
    <t>7.21 km</t>
  </si>
  <si>
    <t>Feni - Noakhali Highway, Yearpur, Kabilpur, Senbag, Noakhali, Chittagong 3860, Bangladesh</t>
  </si>
  <si>
    <t>22.956125</t>
  </si>
  <si>
    <t xml:space="preserve">
91.21102</t>
  </si>
  <si>
    <t>182.66 Km</t>
  </si>
  <si>
    <t>A616, Sekandarpur, Ramnagar, Daganbhuiyan, Feni, Chittagong, Bangladesh</t>
  </si>
  <si>
    <t>22.949419</t>
  </si>
  <si>
    <t xml:space="preserve">
91.28104</t>
  </si>
  <si>
    <t>190.77 Km</t>
  </si>
  <si>
    <t>4.56 km</t>
  </si>
  <si>
    <t>Dagonbhuiyan-Companyganj Road, BUS STOP, Ramnagar, Uttar Karimpur, Daganbhuiyan Paurashava, Daganbhuiyan, Feni, Chittagong, Bangladesh</t>
  </si>
  <si>
    <t>22.929544</t>
  </si>
  <si>
    <t xml:space="preserve">
91.29644</t>
  </si>
  <si>
    <t>194.8 Km</t>
  </si>
  <si>
    <t>Dagonbhuiyan-Companyganj Road, Dakshin Chandpur, Yakubpur, Daganbhuiyan, Feni, Chittagong, Bangladesh</t>
  </si>
  <si>
    <t>22.893139</t>
  </si>
  <si>
    <t xml:space="preserve">
91.27591</t>
  </si>
  <si>
    <t>197.13 Km</t>
  </si>
  <si>
    <t>Z1441, Boshurhat Bus Station, Companigonj, Basurhat, Sirajpur, Companiganj, Noakhali, Chittagong 3850, Bangladesh</t>
  </si>
  <si>
    <t>22.882769</t>
  </si>
  <si>
    <t xml:space="preserve">
91.27926</t>
  </si>
  <si>
    <t>198.77 Km</t>
  </si>
  <si>
    <t>999.71 m</t>
  </si>
  <si>
    <t>Dagonbhuiyan-Companyganj Road, Companigonj, Basurhat, Paurashava, Companiganj, Noakhali, Chittagong 3850, Bangladesh</t>
  </si>
  <si>
    <t>22.873894</t>
  </si>
  <si>
    <t xml:space="preserve">
91.277695</t>
  </si>
  <si>
    <t>199.72 Km</t>
  </si>
  <si>
    <t>Road, Companigonj, Basurhat, Sahazadpur, Sirajpur, Companiganj, Noakhali, Chittagong, Bangladesh</t>
  </si>
  <si>
    <t>22.861687</t>
  </si>
  <si>
    <t xml:space="preserve">
91.24798</t>
  </si>
  <si>
    <t>198.3 Km</t>
  </si>
  <si>
    <t>Nambihin Rasta, Kabir Hat, Chandra Suddi, Bataiya, Kabirhat, Noakhali, Chittagong, Bangladesh</t>
  </si>
  <si>
    <t>22.855335</t>
  </si>
  <si>
    <t xml:space="preserve">
91.219734</t>
  </si>
  <si>
    <t>196.38 Km</t>
  </si>
  <si>
    <t>মোহাম্মেদ নগর দোকানঘর রোড, Dakshin Chandpur, Yakubpur, Daganbhuiyan, Feni, Chittagong, Bangladesh</t>
  </si>
  <si>
    <t>22.900537</t>
  </si>
  <si>
    <t xml:space="preserve">
91.28368</t>
  </si>
  <si>
    <t>197.01 Km</t>
  </si>
  <si>
    <t>বসুরহাট - কবিরহাট রোড, Ramnagar, Aziz Fazilpur, Daganbhuiyan Paurashava, Daganbhuiyan, Feni, Chittagong, Bangladesh</t>
  </si>
  <si>
    <t>22.93322</t>
  </si>
  <si>
    <t xml:space="preserve">
91.29953</t>
  </si>
  <si>
    <t>194.69 Km</t>
  </si>
  <si>
    <t>Ramnagar Chowdhury Bari, Ramnagar, Karamullapur, Yakubpur, Daganbhuiyan, Feni, Chittagong, Bangladesh</t>
  </si>
  <si>
    <t>22.931498</t>
  </si>
  <si>
    <t xml:space="preserve">
91.287544</t>
  </si>
  <si>
    <t>193.63 Km</t>
  </si>
  <si>
    <t>High School Road, South Mohammadpur, Kabilpur, Mohammadpur, Mohammadpur, Senbag, Noakhali, Chittagong, Bangladesh</t>
  </si>
  <si>
    <t>22.953514</t>
  </si>
  <si>
    <t xml:space="preserve">
91.23066</t>
  </si>
  <si>
    <t>185 Km</t>
  </si>
  <si>
    <t>N104, Kutubpur, Rasulpur, Begumganj, Noakhali, Chittagong, Bangladesh</t>
  </si>
  <si>
    <t>22.949924</t>
  </si>
  <si>
    <t xml:space="preserve">
91.17251</t>
  </si>
  <si>
    <t>179.58 Km</t>
  </si>
  <si>
    <t>1.22 km</t>
  </si>
  <si>
    <t>874.01 m</t>
  </si>
  <si>
    <t>শহীদ ফারুক সড়ক, Jashore, Paurashava, Jessore Sadar, Jessore, Khulna, Bangladesh</t>
  </si>
  <si>
    <t>23.157845</t>
  </si>
  <si>
    <t xml:space="preserve">
89.195305</t>
  </si>
  <si>
    <t>209.67 Km</t>
  </si>
  <si>
    <t>Jessore City Bypass, Jashore, Paurashava, Jessore Sadar, Jessore, Khulna, Bangladesh</t>
  </si>
  <si>
    <t>23.165606</t>
  </si>
  <si>
    <t xml:space="preserve">
89.193954</t>
  </si>
  <si>
    <t>209.24 Km</t>
  </si>
  <si>
    <t>2.85 km</t>
  </si>
  <si>
    <t>Jashore, Paurashava, Jessore Sadar, Jessore, Khulna, Bangladesh</t>
  </si>
  <si>
    <t>23.163109</t>
  </si>
  <si>
    <t xml:space="preserve">
89.19568</t>
  </si>
  <si>
    <t>209.21 Km</t>
  </si>
  <si>
    <t>23.18815</t>
  </si>
  <si>
    <t xml:space="preserve">
89.189606</t>
  </si>
  <si>
    <t>208.08 Km</t>
  </si>
  <si>
    <t>39100, Cantonment Entrance, Paurashava, Jessore Sadar, Jessore, Khulna, Bangladesh</t>
  </si>
  <si>
    <t>23.172907</t>
  </si>
  <si>
    <t xml:space="preserve">
89.186966</t>
  </si>
  <si>
    <t>209.61 Km</t>
  </si>
  <si>
    <t>Nambihin Rasta, Jashore, Pagladaha, Noapara, Jessore Sadar, Jessore, Khulna, Bangladesh</t>
  </si>
  <si>
    <t>23.188437</t>
  </si>
  <si>
    <t xml:space="preserve">
89.20002</t>
  </si>
  <si>
    <t>206.64 Km</t>
  </si>
  <si>
    <t>Palbari VaskorjorMor, Paurashava, Jessore Sadar, Jessore, Khulna, Bangladesh</t>
  </si>
  <si>
    <t>23.178438</t>
  </si>
  <si>
    <t xml:space="preserve">
89.19162</t>
  </si>
  <si>
    <t>208.55 Km</t>
  </si>
  <si>
    <t>972.67 m</t>
  </si>
  <si>
    <t>5, Lane Number 12, I-Block, 25 No. Rampur Ward, Chattogram, Ward-25, Halishahar, Chittagong, Bangladesh</t>
  </si>
  <si>
    <t>22.338892</t>
  </si>
  <si>
    <t xml:space="preserve">
91.78535</t>
  </si>
  <si>
    <t>317.74 Km</t>
  </si>
  <si>
    <t>04, Sonali Road No-1, Sonali Residential Area, 24 No. North Agrabad Ward, Ward-24, Halishahar, Chittagong, Chittagong 4100, Bangladesh</t>
  </si>
  <si>
    <t>22.334253</t>
  </si>
  <si>
    <t xml:space="preserve">
91.793365</t>
  </si>
  <si>
    <t>319.14 Km</t>
  </si>
  <si>
    <t>Road no. 1, Lane No. 7, I-Block, 25 No. Rampur Ward, Ward-11, Pahartali, Chittagong, Chittagong 4216, Bangladesh</t>
  </si>
  <si>
    <t>22.338665</t>
  </si>
  <si>
    <t xml:space="preserve">
91.783424</t>
  </si>
  <si>
    <t>317.57 Km</t>
  </si>
  <si>
    <t>903.57 m</t>
  </si>
  <si>
    <t>684.09 m</t>
  </si>
  <si>
    <t>2748, Port Connecting Road, Green View, 11 No. South Kattali Ward, Ward No-11 (Part), Pahartali, Chittagong, Chittagong, Bangladesh</t>
  </si>
  <si>
    <t>22.346907</t>
  </si>
  <si>
    <t xml:space="preserve">
91.78679</t>
  </si>
  <si>
    <t>316.89 Km</t>
  </si>
  <si>
    <t>491.19 m</t>
  </si>
  <si>
    <t>317.12 Km</t>
  </si>
  <si>
    <t>Port Connecting Road, Noya Bazar Bus Stop, 11 No. South Kattali Ward, Chattogram, Ward-25, Halishahar, Chittagong, Bangladesh</t>
  </si>
  <si>
    <t>22.343582</t>
  </si>
  <si>
    <t xml:space="preserve">
91.787346</t>
  </si>
  <si>
    <t>317.36 Km</t>
  </si>
  <si>
    <t>254.08 m</t>
  </si>
  <si>
    <t>Halishahar Cantonment, Ward-26, Halishahar, Chittagong, Chittagong, Bangladesh</t>
  </si>
  <si>
    <t>22.330326</t>
  </si>
  <si>
    <t xml:space="preserve">
91.7804</t>
  </si>
  <si>
    <t>318.3 Km</t>
  </si>
  <si>
    <t>Golondaz Road, Halishahar Cantonment, Ward-26, Halishahar, Chittagong, Chittagong, Bangladesh</t>
  </si>
  <si>
    <t>22.330257</t>
  </si>
  <si>
    <t xml:space="preserve">
91.782875</t>
  </si>
  <si>
    <t>318.56 Km</t>
  </si>
  <si>
    <t>345.59 m</t>
  </si>
  <si>
    <t>22.351963</t>
  </si>
  <si>
    <t xml:space="preserve">
91.77619</t>
  </si>
  <si>
    <t>315.17 Km</t>
  </si>
  <si>
    <t>316.47 Km</t>
  </si>
  <si>
    <t>705.3 m</t>
  </si>
  <si>
    <t>315.5 Km</t>
  </si>
  <si>
    <t>320.3 Km</t>
  </si>
  <si>
    <t>886.9 m</t>
  </si>
  <si>
    <t>Tulatoli Road, Sulakbahar, Chattogram, Ward-08, CCC (Khulshi), Chittagong, Bangladesh</t>
  </si>
  <si>
    <t>22.36724</t>
  </si>
  <si>
    <t xml:space="preserve">
91.817856</t>
  </si>
  <si>
    <t>317.62 Km</t>
  </si>
  <si>
    <t>318.85 Km</t>
  </si>
  <si>
    <t>320.31 Km</t>
  </si>
  <si>
    <t>277a, East Ashkar Dighi Lane, Ashkar Dighir Par, Kotwali, Ward-21, Chittagong Kotwali Thana, Chittagong, Chittagong 4000, Bangladesh</t>
  </si>
  <si>
    <t>22.347876</t>
  </si>
  <si>
    <t xml:space="preserve">
91.82958</t>
  </si>
  <si>
    <t>321.22 Km</t>
  </si>
  <si>
    <t>3.15 km</t>
  </si>
  <si>
    <t>58, Ambagan Road, Tigerpass Railway Colony, 13 No. Pahartali Ward, Ward-13, CCC (Khulshi), Chittagong, Chittagong, Bangladesh</t>
  </si>
  <si>
    <t>22.346287</t>
  </si>
  <si>
    <t xml:space="preserve">
91.81018</t>
  </si>
  <si>
    <t>319.39 Km</t>
  </si>
  <si>
    <t>3844, Dhaka Trunk Road, Saraipara, 10 No. North Kattali Ward, Chattogram, Ward-10, Pahartali, Chittagong, Bangladesh</t>
  </si>
  <si>
    <t>22.357409</t>
  </si>
  <si>
    <t xml:space="preserve">
91.78416</t>
  </si>
  <si>
    <t>315.32 Km</t>
  </si>
  <si>
    <t>2.3 km</t>
  </si>
  <si>
    <t>Shahid Lane, 9 No. North Pahartali Ward, Chattogram, Ward-13, CCC (Khulshi), Chittagong, Bangladesh</t>
  </si>
  <si>
    <t>22.359615</t>
  </si>
  <si>
    <t xml:space="preserve">
91.79377</t>
  </si>
  <si>
    <t>316.04 Km</t>
  </si>
  <si>
    <t>Lal Khan Bazaar, Chattogram, Ward-14, CCC (Khulshi), Chittagong, Bangladesh</t>
  </si>
  <si>
    <t>22.350218</t>
  </si>
  <si>
    <t xml:space="preserve">
91.81367</t>
  </si>
  <si>
    <t>319.26 Km</t>
  </si>
  <si>
    <t>2.44 km</t>
  </si>
  <si>
    <t>B.G.B Mosque, Khalpar Road, Halishahar Cantonment, Ward-26, Halishahar, Chittagong, Chittagong, Bangladesh</t>
  </si>
  <si>
    <t>22.334276</t>
  </si>
  <si>
    <t xml:space="preserve">
91.77579</t>
  </si>
  <si>
    <t>317.34 Km</t>
  </si>
  <si>
    <t>1940, Hazi Ashraf Ali Road, Saraipara, 12 No. Sarai Para Ward, Ward No-12 (Part), Pahartali, Chittagong, Chittagong 4202, Bangladesh</t>
  </si>
  <si>
    <t>22.353035</t>
  </si>
  <si>
    <t xml:space="preserve">
91.78806</t>
  </si>
  <si>
    <t>316.26 Km</t>
  </si>
  <si>
    <t>316.94 Km</t>
  </si>
  <si>
    <t>auntor &amp; nigar house, Hamjarbag Road, Ali Nagar, 7 No. West Sholoshohor Ward, Ward-07, Panchlaish, Chittagong, Chittagong, Bangladesh</t>
  </si>
  <si>
    <t>22.376495</t>
  </si>
  <si>
    <t xml:space="preserve">
91.83058</t>
  </si>
  <si>
    <t>317.83 Km</t>
  </si>
  <si>
    <t>319.01 Km</t>
  </si>
  <si>
    <t>320.46 Km</t>
  </si>
  <si>
    <t>Shyamoli Residential Area Road, Jangalpara, 7 No. West Sholoshohor Ward, Chattogram, Ward-07, Panchlaish, Chittagong, Bangladesh</t>
  </si>
  <si>
    <t>22.377167</t>
  </si>
  <si>
    <t xml:space="preserve">
91.83517</t>
  </si>
  <si>
    <t>318.24 Km</t>
  </si>
  <si>
    <t>Forest View, 38/A, Road No. 2, Nasirabad, West Sholashahar, Ward-07, Panchlaish, Chittagong, Chittagong, Bangladesh</t>
  </si>
  <si>
    <t>22.376255</t>
  </si>
  <si>
    <t xml:space="preserve">
91.825554</t>
  </si>
  <si>
    <t>317.33 Km</t>
  </si>
  <si>
    <t>Yahya Tower, 291, CDA Avenue, Dampara, Lal Khan Bazaar, Ward-14, CCC (Khulshi), Chittagong, Chittagong 4000, Bangladesh</t>
  </si>
  <si>
    <t>22.34884</t>
  </si>
  <si>
    <t xml:space="preserve">
91.82065</t>
  </si>
  <si>
    <t>320.16 Km</t>
  </si>
  <si>
    <t>2.78 km</t>
  </si>
  <si>
    <t>407, Khan Shaheb Abdul Hakim Mia Road, Monsurabad, 24 No. North Agrabad Ward, Chattogram, Ward No-24 (Part), Halishahar, Chittagong 4202, Bangladesh</t>
  </si>
  <si>
    <t>22.340338</t>
  </si>
  <si>
    <t xml:space="preserve">
91.80517</t>
  </si>
  <si>
    <t>319.6 Km</t>
  </si>
  <si>
    <t>306, New Road, Caktai, Ward-24, Halishahar, Chittagong, Chittagong, Bangladesh</t>
  </si>
  <si>
    <t>22.33344</t>
  </si>
  <si>
    <t xml:space="preserve">
91.794556</t>
  </si>
  <si>
    <t>319.36 Km</t>
  </si>
  <si>
    <t>Halishahar Cantonment, 26 No. North Halishahar Ward, Chattogram, Ward-26, Halishahar, Chittagong, Bangladesh</t>
  </si>
  <si>
    <t>22.327782</t>
  </si>
  <si>
    <t xml:space="preserve">
91.78061</t>
  </si>
  <si>
    <t>318.64 Km</t>
  </si>
  <si>
    <t>576.73 m</t>
  </si>
  <si>
    <t>719, Port Connecting Road, Ward-27, Double Mooring, Chittagong, Chittagong, Bangladesh</t>
  </si>
  <si>
    <t>22.322872</t>
  </si>
  <si>
    <t xml:space="preserve">
91.79722</t>
  </si>
  <si>
    <t>320.95 Km</t>
  </si>
  <si>
    <t>3.74 km</t>
  </si>
  <si>
    <t>734, CDA Road No. 26, Ward-27, Double Mooring, Chittagong, Chittagong 4100, Bangladesh</t>
  </si>
  <si>
    <t>22.326347</t>
  </si>
  <si>
    <t xml:space="preserve">
91.801384</t>
  </si>
  <si>
    <t>South Middle Halishahar, Halishahar, Chattogram, Ward-38, Bandar, Chittagong, Bangladesh</t>
  </si>
  <si>
    <t>22.298141</t>
  </si>
  <si>
    <t xml:space="preserve">
91.78162</t>
  </si>
  <si>
    <t>322.47 Km</t>
  </si>
  <si>
    <t>1.95 km</t>
  </si>
  <si>
    <t>SMWT, Nambihin Rasta, Halishahar, Ward No-39 (Part), Bandar, Chittagong, Chittagong, Bangladesh</t>
  </si>
  <si>
    <t>22.282867</t>
  </si>
  <si>
    <t xml:space="preserve">
91.79304</t>
  </si>
  <si>
    <t>325.55 Km</t>
  </si>
  <si>
    <t>1.84 km</t>
  </si>
  <si>
    <t>Sector 4, Halishahar, Chattogram, Ward No-39 (Part), Bandar, Chittagong, Bangladesh</t>
  </si>
  <si>
    <t>22.282887</t>
  </si>
  <si>
    <t xml:space="preserve">
91.77513</t>
  </si>
  <si>
    <t>323.75 Km</t>
  </si>
  <si>
    <t>1.48 km</t>
  </si>
  <si>
    <t>F.M Sawdagar Road, Ali Shapara, Halishahar, Ward No-39 (Part), Bandar, Chittagong, Chittagong, Bangladesh</t>
  </si>
  <si>
    <t>22.292887</t>
  </si>
  <si>
    <t xml:space="preserve">
91.783585</t>
  </si>
  <si>
    <t>আকমল আলী রোড, Sandwip Para, 39 No. South Halishahar Ward, Ward No-39 (Part), Bandar, Chittagong, Chittagong, Bangladesh</t>
  </si>
  <si>
    <t>22.278936</t>
  </si>
  <si>
    <t xml:space="preserve">
91.78119</t>
  </si>
  <si>
    <t>324.86 Km</t>
  </si>
  <si>
    <t>415, Fulbaria road, Paurashava, Jamalpur Sadar, Jamalpur, Mymensingh 2000, Bangladesh</t>
  </si>
  <si>
    <t>24.909113</t>
  </si>
  <si>
    <t xml:space="preserve">
89.946106</t>
  </si>
  <si>
    <t>202.53 Km</t>
  </si>
  <si>
    <t>31, R460, জামালপুর, Paurashava, Jamalpur Sadar, জামালপুর জেলা, ময়মনসিংহ বিভাগ 2000, Bangladesh</t>
  </si>
  <si>
    <t>24.911922</t>
  </si>
  <si>
    <t xml:space="preserve">
89.95862</t>
  </si>
  <si>
    <t>202.31 Km</t>
  </si>
  <si>
    <t>1.68 km</t>
  </si>
  <si>
    <t>Maya Kanon Road, Paurashava, Jamalpur Sadar, Jamalpur, Mymensingh, Bangladesh</t>
  </si>
  <si>
    <t>24.913393</t>
  </si>
  <si>
    <t xml:space="preserve">
89.94206</t>
  </si>
  <si>
    <t>203.41 Km</t>
  </si>
  <si>
    <t>Medical Road, Paurashava, Jamalpur Sadar, Jamalpur, Mymensingh 2000, Bangladesh</t>
  </si>
  <si>
    <t>24.926884</t>
  </si>
  <si>
    <t xml:space="preserve">
89.94782</t>
  </si>
  <si>
    <t>205.21 Km</t>
  </si>
  <si>
    <t>Char Pakshimari, Char Pakshimari, Sherpur Sadar Upazila, Sherpur District, Mymensingh Division, Bangladesh</t>
  </si>
  <si>
    <t>24.931974</t>
  </si>
  <si>
    <t xml:space="preserve">
89.95083</t>
  </si>
  <si>
    <t>205.85 Km</t>
  </si>
  <si>
    <t>Monirajpur - Bottola Road, Paurashava, Jamalpur Sadar, Jamalpur, Mymensingh, Bangladesh</t>
  </si>
  <si>
    <t>24.920462</t>
  </si>
  <si>
    <t xml:space="preserve">
89.93966</t>
  </si>
  <si>
    <t>204.64 Km</t>
  </si>
  <si>
    <t>College Road, Paurashava, Jamalpur Sadar, Jamalpur, Mymensingh, Bangladesh</t>
  </si>
  <si>
    <t>24.934576</t>
  </si>
  <si>
    <t xml:space="preserve">
89.93791</t>
  </si>
  <si>
    <t>206.94 Km</t>
  </si>
  <si>
    <t>shohid harun shorok, Paurashava, Jamalpur Sadar, Jamalpur, Mymensingh 2000, Bangladesh</t>
  </si>
  <si>
    <t>24.917</t>
  </si>
  <si>
    <t xml:space="preserve">
89.93564</t>
  </si>
  <si>
    <t>204.32 Km</t>
  </si>
  <si>
    <t>Mukondobari Road, Paurashava, Jamalpur Sadar, Jamalpur, Mymensingh, Bangladesh</t>
  </si>
  <si>
    <t>24.918608</t>
  </si>
  <si>
    <t xml:space="preserve">
89.95546</t>
  </si>
  <si>
    <t>203.52 Km</t>
  </si>
  <si>
    <t>R460, Char Pakshimari, Char Pakshimari, Sherpur Sadar Upazila, Sherpur District, Mymensingh Division, Bangladesh</t>
  </si>
  <si>
    <t>24.91698</t>
  </si>
  <si>
    <t xml:space="preserve">
89.97378</t>
  </si>
  <si>
    <t>202.32 Km</t>
  </si>
  <si>
    <t>24.930368</t>
  </si>
  <si>
    <t xml:space="preserve">
89.97082</t>
  </si>
  <si>
    <t>204.57 Km</t>
  </si>
  <si>
    <t>1, Fishery Road, Paurashava, Jamalpur Sadar, Jamalpur, Mymensingh, Bangladesh</t>
  </si>
  <si>
    <t>24.915937</t>
  </si>
  <si>
    <t xml:space="preserve">
89.94687</t>
  </si>
  <si>
    <t>203.55 Km</t>
  </si>
  <si>
    <t>1, Palpara Road, Paurashava, Jamalpur Sadar, Jamalpur, Mymensingh 2000, Bangladesh</t>
  </si>
  <si>
    <t>24.924162</t>
  </si>
  <si>
    <t xml:space="preserve">
89.956665</t>
  </si>
  <si>
    <t>903.65 m</t>
  </si>
  <si>
    <t>Nambihin Rasta, Jamalpur, Char Pakshimari, Sherpur Sadar, Sherpur, Mymensingh, Bangladesh</t>
  </si>
  <si>
    <t>24.935051</t>
  </si>
  <si>
    <t xml:space="preserve">
89.95305</t>
  </si>
  <si>
    <t>206.22 Km</t>
  </si>
  <si>
    <t>1, Sokal Bazar Road, Paurashava, Jamalpur Sadar, Jamalpur, Mymensingh 2000, Bangladesh</t>
  </si>
  <si>
    <t>24.93</t>
  </si>
  <si>
    <t xml:space="preserve">
89.94603</t>
  </si>
  <si>
    <t>205.79 Km</t>
  </si>
  <si>
    <t>Nambihin Rasta, Paurashava, Jamalpur Sadar, Jamalpur, Mymensingh, Bangladesh</t>
  </si>
  <si>
    <t>24.919739</t>
  </si>
  <si>
    <t xml:space="preserve">
89.95574</t>
  </si>
  <si>
    <t>203.68 Km</t>
  </si>
  <si>
    <t>2.36 km</t>
  </si>
  <si>
    <t>কাব্য স্টোর, ছনকান্দা রোড, জামালপুর, Muktagacha - Jamalpur Road, Jamalpur, Paurashava, Dhaka Division, Bangladesh</t>
  </si>
  <si>
    <t>Janata Bank Limited, Jamalpur, Char Pakshimari, Char Pakshimari, Sherpur Sadar Upazila, Dhaka Division, Bangladesh</t>
  </si>
  <si>
    <t>3.46 km</t>
  </si>
  <si>
    <t>বলাইচর পাইকের তলা সরকারি প্রাথমিক বিদ্যালয়, Jamalpur, Char Pakshimari, Char Pakshimari, Sherpur Sadar Upazila, Dhaka Division, Bangladesh</t>
  </si>
  <si>
    <t>Dhaka - Ashulia Highway, Baipayl, Baipail, Yearpur, Savar, Dhaka, Bangladesh</t>
  </si>
  <si>
    <t>23.93836</t>
  </si>
  <si>
    <t xml:space="preserve">
90.28414</t>
  </si>
  <si>
    <t>34.18 Km</t>
  </si>
  <si>
    <t>215.15 m</t>
  </si>
  <si>
    <t>550.64 m</t>
  </si>
  <si>
    <t>Dhaka - Ashulia Highway, Jamgara Bus Stand, Jamgora, Diakhali, Yearpur, Savar, Dhaka, Bangladesh</t>
  </si>
  <si>
    <t>23.936356</t>
  </si>
  <si>
    <t xml:space="preserve">
90.29043</t>
  </si>
  <si>
    <t>33.35 Km</t>
  </si>
  <si>
    <t>274.36 m</t>
  </si>
  <si>
    <t>Dhaka - Ashulia Highway, Ashulia, Baipail, Yearpur, Savar, Dhaka 1349, Bangladesh</t>
  </si>
  <si>
    <t>23.937017</t>
  </si>
  <si>
    <t xml:space="preserve">
90.287674</t>
  </si>
  <si>
    <t>33.68 Km</t>
  </si>
  <si>
    <t>2, Bagbari Road, Jamgora, Diakhali, Yearpur, Savar, Dhaka 7700, Bangladesh</t>
  </si>
  <si>
    <t>23.9408</t>
  </si>
  <si>
    <t xml:space="preserve">
90.29211</t>
  </si>
  <si>
    <t>33.81 Km</t>
  </si>
  <si>
    <t>647.48 m</t>
  </si>
  <si>
    <t>Vadail Road, Baipayl, Diakhali, Yearpur, Savar, Dhaka, Bangladesh</t>
  </si>
  <si>
    <t>23.945417</t>
  </si>
  <si>
    <t xml:space="preserve">
90.29599</t>
  </si>
  <si>
    <t>34.13 Km</t>
  </si>
  <si>
    <t>Kathgora - mollabari Road, Noyapara, Dhananjoypur, Ashulia, Savar, Dhaka, Bangladesh</t>
  </si>
  <si>
    <t>23.923405</t>
  </si>
  <si>
    <t xml:space="preserve">
90.29844</t>
  </si>
  <si>
    <t>30.88 Km</t>
  </si>
  <si>
    <t>Kathgora - Mridhabari Road, Noyapara, Dhananjoypur, Ashulia, Savar, Dhaka, Bangladesh</t>
  </si>
  <si>
    <t>23.914093</t>
  </si>
  <si>
    <t xml:space="preserve">
90.29937</t>
  </si>
  <si>
    <t>29.55 Km</t>
  </si>
  <si>
    <t>Zirabo, Sreekaundia, Ashulia, Savar, Dhaka, Bangladesh</t>
  </si>
  <si>
    <t>23.905092</t>
  </si>
  <si>
    <t xml:space="preserve">
90.31388</t>
  </si>
  <si>
    <t>27.03 Km</t>
  </si>
  <si>
    <t>686.22 m</t>
  </si>
  <si>
    <t>D.E, P.Z Road, Tonga Bari, Tongabari, Bara Ashulia, Ashulia, Savar, Dhaka, Bangladesh</t>
  </si>
  <si>
    <t>23.903389</t>
  </si>
  <si>
    <t xml:space="preserve">
90.32528</t>
  </si>
  <si>
    <t>25.82 Km</t>
  </si>
  <si>
    <t>SSK Singapore Skill Training Center Road, Tongabari, Gauripur, Ashulia, Savar, Dhaka, Bangladesh</t>
  </si>
  <si>
    <t>23.899912</t>
  </si>
  <si>
    <t xml:space="preserve">
90.3197</t>
  </si>
  <si>
    <t>25.81 Km</t>
  </si>
  <si>
    <t>264.46 m</t>
  </si>
  <si>
    <t>Nambihin Rasta, Bara Ashulia, Ashulia, Savar, Dhaka, Bangladesh</t>
  </si>
  <si>
    <t>23.896236</t>
  </si>
  <si>
    <t xml:space="preserve">
90.33089</t>
  </si>
  <si>
    <t>24.35 Km</t>
  </si>
  <si>
    <t>1341, Access Road to Ashulia Bazar Ghat, Bara Ashulia, Ashulia, Savar, Dhaka, Dhaka, Bangladesh</t>
  </si>
  <si>
    <t>23.894274</t>
  </si>
  <si>
    <t xml:space="preserve">
90.329414</t>
  </si>
  <si>
    <t>24.2 Km</t>
  </si>
  <si>
    <t>Bara Ashulia, Ashulia, Savar, Dhaka, Bangladesh</t>
  </si>
  <si>
    <t>629.12 m</t>
  </si>
  <si>
    <t>Anwar Jang Sarak, Amtola, Bara Ashulia, Ashulia, Savar, Dhaka 1341, Bangladesh</t>
  </si>
  <si>
    <t>23.888079</t>
  </si>
  <si>
    <t xml:space="preserve">
90.32592</t>
  </si>
  <si>
    <t>23.65 Km</t>
  </si>
  <si>
    <t>1341, Anwar Jang Sarak, Bara Ashulia, Ashulia, Savar, Dhaka, Bangladesh</t>
  </si>
  <si>
    <t>23.892841</t>
  </si>
  <si>
    <t xml:space="preserve">
90.329254</t>
  </si>
  <si>
    <t>24.01 Km</t>
  </si>
  <si>
    <t>790.41 m</t>
  </si>
  <si>
    <t>Chandgaon, Ashulia, Savar, Dhaka, Bangladesh</t>
  </si>
  <si>
    <t>23.8849</t>
  </si>
  <si>
    <t xml:space="preserve">
90.32681</t>
  </si>
  <si>
    <t>23.14 Km</t>
  </si>
  <si>
    <t>Nambihin Rasta, Bara Paragaon, Ashulia, Savar, Dhaka, Bangladesh</t>
  </si>
  <si>
    <t>23.87998</t>
  </si>
  <si>
    <t xml:space="preserve">
90.33243</t>
  </si>
  <si>
    <t>21.97 Km</t>
  </si>
  <si>
    <t>5.98 km</t>
  </si>
  <si>
    <t>3, Road Number 1/A, Palashbari, Dhamsana, Savar, Dhaka 1344, Bangladesh</t>
  </si>
  <si>
    <t>23.92262</t>
  </si>
  <si>
    <t xml:space="preserve">
90.261284</t>
  </si>
  <si>
    <t>34.4 Km</t>
  </si>
  <si>
    <t>Dhaka - Aricha Highway, Savar, Savar, Dhaka, Bangladesh</t>
  </si>
  <si>
    <t>23.86987</t>
  </si>
  <si>
    <t xml:space="preserve">
90.27293</t>
  </si>
  <si>
    <t>27.21 Km</t>
  </si>
  <si>
    <t>48, Savar Bazar Road, Savar-Paurashava, Savar, Dhaka, Dhaka 1340, Bangladesh</t>
  </si>
  <si>
    <t>23.84662</t>
  </si>
  <si>
    <t xml:space="preserve">
90.25524</t>
  </si>
  <si>
    <t>27.49 Km</t>
  </si>
  <si>
    <t>292.25 m</t>
  </si>
  <si>
    <t>Modina Rd, Savar-Paurashava, Savar, Dhaka 1340, Bangladesh</t>
  </si>
  <si>
    <t>23.849234</t>
  </si>
  <si>
    <t xml:space="preserve">
90.255554</t>
  </si>
  <si>
    <t>27.65 Km</t>
  </si>
  <si>
    <t>548.33 m</t>
  </si>
  <si>
    <t>3a, Vatpara, Jaleshwar, Savar-Paurashava, Savar, Dhaka 1340, Bangladesh</t>
  </si>
  <si>
    <t>23.859777</t>
  </si>
  <si>
    <t xml:space="preserve">
90.25804</t>
  </si>
  <si>
    <t>28.17 Km</t>
  </si>
  <si>
    <t>1.42 km</t>
  </si>
  <si>
    <t>Jamsing Road, Jamshing, Savar Union, Savar-Paurashava, Savar, Dhaka, Bangladesh</t>
  </si>
  <si>
    <t>23.864258</t>
  </si>
  <si>
    <t xml:space="preserve">
90.26029</t>
  </si>
  <si>
    <t>28.27 Km</t>
  </si>
  <si>
    <t>863.52 m</t>
  </si>
  <si>
    <t>Gerua Road, Gerua, Savar Union, Mirertek, Pathalia, Savar, Dhaka, Bangladesh</t>
  </si>
  <si>
    <t>23.876482</t>
  </si>
  <si>
    <t xml:space="preserve">
90.2561</t>
  </si>
  <si>
    <t>29.94 Km</t>
  </si>
  <si>
    <t>Kalabagan Road, Sailen manna sarani, Kalabagan, Sundrip, Pathalia, Savar, Dhaka 1342, Bangladesh</t>
  </si>
  <si>
    <t>23.882116</t>
  </si>
  <si>
    <t xml:space="preserve">
90.26195</t>
  </si>
  <si>
    <t>29.78 Km</t>
  </si>
  <si>
    <t>836.92 m</t>
  </si>
  <si>
    <t>Nambihin Rasta, Sundrip, Pathalia, Savar, Dhaka, Bangladesh</t>
  </si>
  <si>
    <t>23.881113</t>
  </si>
  <si>
    <t xml:space="preserve">
90.25622</t>
  </si>
  <si>
    <t>30.38 Km</t>
  </si>
  <si>
    <t>SSB Hall House Tutor's Res, Teacher's Quarter Road, Jahangirnagar University, Garua, Pathalia, Savar, Dhaka 1342, Bangladesh</t>
  </si>
  <si>
    <t>23.881979</t>
  </si>
  <si>
    <t xml:space="preserve">
90.2644</t>
  </si>
  <si>
    <t>29.47 Km</t>
  </si>
  <si>
    <t>House 23, Ambagan Bazar Road, Islamnagar, Bara Oalia, Pathalia, Savar, Dhaka, Bangladesh</t>
  </si>
  <si>
    <t>23.888418</t>
  </si>
  <si>
    <t xml:space="preserve">
90.26495</t>
  </si>
  <si>
    <t>30.08 Km</t>
  </si>
  <si>
    <t>6.49 km</t>
  </si>
  <si>
    <t>8, Dhaka - Aricha Highway, Kulla, Kulla, Dhamrai, Dhaka, Bangladesh</t>
  </si>
  <si>
    <t>23.909733</t>
  </si>
  <si>
    <t xml:space="preserve">
90.19367</t>
  </si>
  <si>
    <t>40.93 Km</t>
  </si>
  <si>
    <t>2.01 km</t>
  </si>
  <si>
    <t>3, Kalampur Bazar Road, Kalampur, Baratia, Suti Para, Dhamrai, Dhaka, Bangladesh</t>
  </si>
  <si>
    <t>23.92626</t>
  </si>
  <si>
    <t xml:space="preserve">
90.14706</t>
  </si>
  <si>
    <t>48.4 Km</t>
  </si>
  <si>
    <t>Gualdi Road, Kalampur, Chhota Kalampur, Sombhag, Dhamrai, Dhaka, Bangladesh</t>
  </si>
  <si>
    <t>23.938496</t>
  </si>
  <si>
    <t xml:space="preserve">
90.16167</t>
  </si>
  <si>
    <t>47.67 Km</t>
  </si>
  <si>
    <t>Dhamrai - Kalampur Road., Kalampur, Dautia, Sombhag, Dhamrai, Dhaka, Bangladesh</t>
  </si>
  <si>
    <t>23.925955</t>
  </si>
  <si>
    <t xml:space="preserve">
90.175385</t>
  </si>
  <si>
    <t>44.76 Km</t>
  </si>
  <si>
    <t>565.35 m</t>
  </si>
  <si>
    <t>Dhamrai - Kalampur Road., Kalampur, Depasai, Sombhag, Dhamrai, Dhaka, Dist:Dhaka, Bangladesh</t>
  </si>
  <si>
    <t>23.92595</t>
  </si>
  <si>
    <t xml:space="preserve">
90.18095</t>
  </si>
  <si>
    <t>44.06 Km</t>
  </si>
  <si>
    <t>541.77 m</t>
  </si>
  <si>
    <t>Dhamrai - Kalampur Road., Kahet Para, Dhamrai Paurashava, Dhamrai, Dhaka, Bangladesh</t>
  </si>
  <si>
    <t>23.922544</t>
  </si>
  <si>
    <t xml:space="preserve">
90.2074</t>
  </si>
  <si>
    <t>40.49 Km</t>
  </si>
  <si>
    <t>Mawna - Fulbaria - Kaliakair - Dhamrai - Dulivita Road, Sharifbag Bazar, Suribagh, Dhamrai, Dhaka, Bangladesh</t>
  </si>
  <si>
    <t>23.927164</t>
  </si>
  <si>
    <t xml:space="preserve">
90.20909</t>
  </si>
  <si>
    <t>40.77 Km</t>
  </si>
  <si>
    <t>3.63 km</t>
  </si>
  <si>
    <t>Mawna - Fulbaria - Kaliakair - Dhamrai - Dulivita Road, Demran, Chanda Para, Dhamrai, Dhaka, Bangladesh</t>
  </si>
  <si>
    <t>23.946619</t>
  </si>
  <si>
    <t xml:space="preserve">
90.20261</t>
  </si>
  <si>
    <t>43.62 Km</t>
  </si>
  <si>
    <t>A1001, Ashulia, Sait Para, Shimulia, Savar, Dhaka, Bangladesh</t>
  </si>
  <si>
    <t>23.978045</t>
  </si>
  <si>
    <t xml:space="preserve">
90.19291</t>
  </si>
  <si>
    <t>48.29 Km</t>
  </si>
  <si>
    <t>Bautia, Chandishwar, Baisakanda, Dhamrai, Dhaka, Bangladesh</t>
  </si>
  <si>
    <t>24.003017</t>
  </si>
  <si>
    <t xml:space="preserve">
90.16256</t>
  </si>
  <si>
    <t>54.51 Km</t>
  </si>
  <si>
    <t>587.18 m</t>
  </si>
  <si>
    <t>Nambihin Rasta, Dhantara, Jadabpur, Dhamrai, Dhaka, Bangladesh</t>
  </si>
  <si>
    <t>24.018726</t>
  </si>
  <si>
    <t xml:space="preserve">
90.14215</t>
  </si>
  <si>
    <t>58.56 Km</t>
  </si>
  <si>
    <t>Baishakanda Road, Dhantara, Jadabpur, Dhamrai, Dhaka 1345, Bangladesh</t>
  </si>
  <si>
    <t>24.015158</t>
  </si>
  <si>
    <t xml:space="preserve">
90.137886</t>
  </si>
  <si>
    <t>58.62 Km</t>
  </si>
  <si>
    <t>Bautia, Bil Bautia, Baisakanda, Dhamrai, Dhaka, Bangladesh</t>
  </si>
  <si>
    <t>23.99776</t>
  </si>
  <si>
    <t xml:space="preserve">
90.15982</t>
  </si>
  <si>
    <t>54.2 Km</t>
  </si>
  <si>
    <t>R 326142009, Sakrail, Jadabpur, Dhamrai, Dhaka, Bangladesh</t>
  </si>
  <si>
    <t>24.008156</t>
  </si>
  <si>
    <t xml:space="preserve">
90.1165</t>
  </si>
  <si>
    <t>60.26 Km</t>
  </si>
  <si>
    <t>Kusuria Bazar Road, Kantahati Central Pond, Atigaon, Amchhimair, Kushura, Dhamrai, Dhaka, Bangladesh</t>
  </si>
  <si>
    <t>23.979183</t>
  </si>
  <si>
    <t xml:space="preserve">
90.11576</t>
  </si>
  <si>
    <t>57.32 Km</t>
  </si>
  <si>
    <t>Koni Kusura Road, Bekigarail, Kushura, Dhamrai, Dhaka, Bangladesh</t>
  </si>
  <si>
    <t>23.958761</t>
  </si>
  <si>
    <t xml:space="preserve">
90.113716</t>
  </si>
  <si>
    <t>55.61 Km</t>
  </si>
  <si>
    <t>Akran Road, Birulia, Samair, Biralia, Savar, Dhaka, Bangladesh</t>
  </si>
  <si>
    <t>23.856249</t>
  </si>
  <si>
    <t xml:space="preserve">
90.319145</t>
  </si>
  <si>
    <t>20.33 Km</t>
  </si>
  <si>
    <t>4.7 km</t>
  </si>
  <si>
    <t>Nambihin Rasta, Mirpur Cantonment, Ward-06, Pallabi, Dhaka, Dhaka, Bangladesh</t>
  </si>
  <si>
    <t>23.840834</t>
  </si>
  <si>
    <t xml:space="preserve">
90.35556</t>
  </si>
  <si>
    <t>14.64 Km</t>
  </si>
  <si>
    <t>2.6 km</t>
  </si>
  <si>
    <t>Mirpur Road, Section 1, Ward-08, Pallabi, Dhaka, Dhaka, Bangladesh</t>
  </si>
  <si>
    <t>23.7999</t>
  </si>
  <si>
    <t xml:space="preserve">
90.344154</t>
  </si>
  <si>
    <t>11.91 Km</t>
  </si>
  <si>
    <t>Block-A, House 2, Road Number 4, Section 6, Mirpur, Ward-07, Pallabi, Dhaka, Dhaka 1216, Bangladesh</t>
  </si>
  <si>
    <t>23.809517</t>
  </si>
  <si>
    <t xml:space="preserve">
90.36744</t>
  </si>
  <si>
    <t>9.65 Km</t>
  </si>
  <si>
    <t>Bir Uttom Major General Azizur Rahman Road, Bijoy Sarani, Sher-E-Bangla Nagar, Ward-16, Kafrul, Dhaka, Dhaka, Bangladesh</t>
  </si>
  <si>
    <t>23.76709</t>
  </si>
  <si>
    <t xml:space="preserve">
90.38326</t>
  </si>
  <si>
    <t>5.16 Km</t>
  </si>
  <si>
    <t>98, Bir Uttam Ziaur Rahman Road, Jahangir Gate, Kafrul, Ward No-38 (Part), Tejgaon, Dhaka, Dhaka, Bangladesh</t>
  </si>
  <si>
    <t>23.775293</t>
  </si>
  <si>
    <t xml:space="preserve">
90.390305</t>
  </si>
  <si>
    <t>4.01 Km</t>
  </si>
  <si>
    <t>404, Channel 24 Road, Tejgaon I/A, Ward-37, Tejgaon, Dhaka, Dhaka 1208, Bangladesh</t>
  </si>
  <si>
    <t>23.758593</t>
  </si>
  <si>
    <t xml:space="preserve">
90.39612</t>
  </si>
  <si>
    <t>3.92 Km</t>
  </si>
  <si>
    <t>2.06 km</t>
  </si>
  <si>
    <t>Dhaka Elevated Expressway, Arjatpara, Ward No-38 (Part), Tejgaon, Dhaka, Dhaka 1212, Bangladesh</t>
  </si>
  <si>
    <t>23.7759</t>
  </si>
  <si>
    <t xml:space="preserve">
90.39721</t>
  </si>
  <si>
    <t>2.97 Km</t>
  </si>
  <si>
    <t>তালতলা সরকারি কলোনি সড়ক, Agargaon, Sher-E-Bangla Nagar, Ward-41, Kafrul, Dhaka, Dhaka, Bangladesh</t>
  </si>
  <si>
    <t>23.782637</t>
  </si>
  <si>
    <t xml:space="preserve">
90.3783</t>
  </si>
  <si>
    <t>6.04 Km</t>
  </si>
  <si>
    <t>319.04 m</t>
  </si>
  <si>
    <t>15, Road No. 10, Section 11, Mirpur, Ward No-03, Pallabi, Dhaka, Dhaka 1216, Bangladesh</t>
  </si>
  <si>
    <t>23.81426</t>
  </si>
  <si>
    <t xml:space="preserve">
90.3713</t>
  </si>
  <si>
    <t>9.74 Km</t>
  </si>
  <si>
    <t>186.4 m</t>
  </si>
  <si>
    <t>1, Lane-12, Section 10, Mirpur, Ward No-03, Pallabi, Dhaka, Dhaka 1216, Bangladesh</t>
  </si>
  <si>
    <t>23.812342</t>
  </si>
  <si>
    <t xml:space="preserve">
90.368965</t>
  </si>
  <si>
    <t>9.78 Km</t>
  </si>
  <si>
    <t>151.91 m</t>
  </si>
  <si>
    <t>Parise Road, Section 11, Mirpur, Ward No-05, Pallabi, Dhaka, Dhaka 1216, Bangladesh</t>
  </si>
  <si>
    <t>23.813784</t>
  </si>
  <si>
    <t xml:space="preserve">
90.369896</t>
  </si>
  <si>
    <t>9.84 Km</t>
  </si>
  <si>
    <t>2, College Avenue, Mirpur Cantonment, Ward-06, Pallabi, Dhaka, Dhaka 1216, Bangladesh</t>
  </si>
  <si>
    <t>23.84251</t>
  </si>
  <si>
    <t xml:space="preserve">
90.36018</t>
  </si>
  <si>
    <t>14.43 Km</t>
  </si>
  <si>
    <t>Nambihin Rasta, Birulia, Biralia, Savar, Dhaka, Bangladesh</t>
  </si>
  <si>
    <t>23.851534</t>
  </si>
  <si>
    <t xml:space="preserve">
90.33431</t>
  </si>
  <si>
    <t>18.13 Km</t>
  </si>
  <si>
    <t>Birulia-Akran Road, Birulia, Akran, Biralia, Savar, Dhaka, Bangladesh</t>
  </si>
  <si>
    <t>23.857964</t>
  </si>
  <si>
    <t xml:space="preserve">
90.31217</t>
  </si>
  <si>
    <t>21.31 Km</t>
  </si>
  <si>
    <t>2.38 km</t>
  </si>
  <si>
    <t>Nambihin Rasta, Khagan, Biralia, Savar, Dhaka, Bangladesh</t>
  </si>
  <si>
    <t>23.874369</t>
  </si>
  <si>
    <t xml:space="preserve">
90.308</t>
  </si>
  <si>
    <t>23.66 Km</t>
  </si>
  <si>
    <t>35.11 Km</t>
  </si>
  <si>
    <t>University Main Road, Bismail Savar, গেটের, Uttar Kril (Krok), Pathalia, Savar, Dhaka, Bangladesh</t>
  </si>
  <si>
    <t>23.895489</t>
  </si>
  <si>
    <t xml:space="preserve">
90.271164</t>
  </si>
  <si>
    <t>30.64 Km</t>
  </si>
  <si>
    <t>2.86 km</t>
  </si>
  <si>
    <t>110a, MMH Hall Road, Jahangirnagar University, Savar, Savar, Dhaka, Bangladesh</t>
  </si>
  <si>
    <t>23.874168</t>
  </si>
  <si>
    <t xml:space="preserve">
90.27019</t>
  </si>
  <si>
    <t>28.12 Km</t>
  </si>
  <si>
    <t>286.57 m</t>
  </si>
  <si>
    <t>National Mushroom Development and Extension Center, 44, Shaheed Moznu Road, Dhaka, Savar-Paurashava, Savar Upazila, Bangladesh</t>
  </si>
  <si>
    <t>23.851326</t>
  </si>
  <si>
    <t xml:space="preserve">
90.2572</t>
  </si>
  <si>
    <t>27.16 Km</t>
  </si>
  <si>
    <t>Modina Rd, Savar Union, Savar-Paurashava, Savar, Dhaka 1340, Bangladesh</t>
  </si>
  <si>
    <t>N5, Savar Union, Savar-Paurashava, Savar Upazila, Dhaka District, Dhaka Division, Bangladesh, 1340</t>
  </si>
  <si>
    <t>23.850113</t>
  </si>
  <si>
    <t xml:space="preserve">
90.25772</t>
  </si>
  <si>
    <t>26.98 Km</t>
  </si>
  <si>
    <t>2.88 km</t>
  </si>
  <si>
    <t>Adorsho Nagar Road, Adorsho Nagar, Savar, Savar, Dhaka, Bangladesh</t>
  </si>
  <si>
    <t>23.872477</t>
  </si>
  <si>
    <t xml:space="preserve">
90.28476</t>
  </si>
  <si>
    <t>26.38 Km</t>
  </si>
  <si>
    <t>মেট্রো গার্মেন্টস লিমিটেড, Birulia-Akran Road, Basaid, Ashulia, Savar, Dhaka, Bangladesh</t>
  </si>
  <si>
    <t>23.884365</t>
  </si>
  <si>
    <t xml:space="preserve">
90.30996</t>
  </si>
  <si>
    <t>25.61 Km</t>
  </si>
  <si>
    <t>25.41 Km</t>
  </si>
  <si>
    <t>251.78 m</t>
  </si>
  <si>
    <t xml:space="preserve">
90.32801</t>
  </si>
  <si>
    <t>25.79 Km</t>
  </si>
  <si>
    <t>24.92 Km</t>
  </si>
  <si>
    <t>160.15 m</t>
  </si>
  <si>
    <t>360.55 m</t>
  </si>
  <si>
    <t>Tagore Para Helal Master Road No 1, Bara Ashulia, Ashulia, Savar, Dhaka, Bangladesh</t>
  </si>
  <si>
    <t>23.895624</t>
  </si>
  <si>
    <t xml:space="preserve">
90.326195</t>
  </si>
  <si>
    <t>26.03 Km</t>
  </si>
  <si>
    <t>Paurashava, Manikganj Sadar, Manikganj, Dhaka, Bangladesh</t>
  </si>
  <si>
    <t>23.866005</t>
  </si>
  <si>
    <t xml:space="preserve">
90.00392</t>
  </si>
  <si>
    <t>63.34 Km</t>
  </si>
  <si>
    <t>Carlcare Service, Manikganj, Paurashava, Dhaka Division, Bangladesh</t>
  </si>
  <si>
    <t>23.866364</t>
  </si>
  <si>
    <t xml:space="preserve">
89.989426</t>
  </si>
  <si>
    <t>65.47 Km</t>
  </si>
  <si>
    <t>Nambihin Rasta, Sakrail, Garpara, Manikganj Sadar, Manikganj, Dhaka, Bangladesh</t>
  </si>
  <si>
    <t>23.910065</t>
  </si>
  <si>
    <t xml:space="preserve">
89.9948</t>
  </si>
  <si>
    <t>67.13 Km</t>
  </si>
  <si>
    <t>3.67 km</t>
  </si>
  <si>
    <t>Manikganj - Saturia Road, Char Fukurhati, Fukurhati, Saturia, Manikganj, Dhaka, Bangladesh</t>
  </si>
  <si>
    <t>23.931225</t>
  </si>
  <si>
    <t xml:space="preserve">
90.02637</t>
  </si>
  <si>
    <t>64.24 Km</t>
  </si>
  <si>
    <t>Nambihin Rasta, Bil Baraid, Saturia, Saturia, Manikganj, Dhaka, Bangladesh</t>
  </si>
  <si>
    <t>23.962177</t>
  </si>
  <si>
    <t xml:space="preserve">
90.03896</t>
  </si>
  <si>
    <t>65.11 Km</t>
  </si>
  <si>
    <t>Kalibankhari, Saturia, Saturia, Manikganj, Dhaka, Bangladesh</t>
  </si>
  <si>
    <t>23.965662</t>
  </si>
  <si>
    <t xml:space="preserve">
90.02943</t>
  </si>
  <si>
    <t>66.65 Km</t>
  </si>
  <si>
    <t>Saturia, Radhanagar, Amta, Dhamrai, Dhaka, Bangladesh</t>
  </si>
  <si>
    <t>23.96709</t>
  </si>
  <si>
    <t xml:space="preserve">
90.04599</t>
  </si>
  <si>
    <t>64.65 Km</t>
  </si>
  <si>
    <t>899.37 m</t>
  </si>
  <si>
    <t>Nambihin Rasta, Kandapara, Hargaz, Fukurhati, Saturia, Manikganj, Dhaka, Bangladesh</t>
  </si>
  <si>
    <t>23.943462</t>
  </si>
  <si>
    <t xml:space="preserve">
90.02704</t>
  </si>
  <si>
    <t>65.1 Km</t>
  </si>
  <si>
    <t>Nambihin Rasta, Garpara, Ukhiara, Jaigir, Manikganj Sadar, Manikganj, Dhaka, Bangladesh</t>
  </si>
  <si>
    <t>23.903938</t>
  </si>
  <si>
    <t xml:space="preserve">
90.0107</t>
  </si>
  <si>
    <t>64.5 Km</t>
  </si>
  <si>
    <t>891.33 m</t>
  </si>
  <si>
    <t>Narangay NPI Road, Joyra, Jaigir, Manikganj Sadar, Manikganj, Dhaka, Bangladesh</t>
  </si>
  <si>
    <t>23.878227</t>
  </si>
  <si>
    <t xml:space="preserve">
90.003746</t>
  </si>
  <si>
    <t>63.98 Km</t>
  </si>
  <si>
    <t>Manikganj Zonal Office, MPBS, Dhaka - Aricha Highway, Manikganj, Paurashava, Dhaka Division, Bangladesh</t>
  </si>
  <si>
    <t>23.871414</t>
  </si>
  <si>
    <t xml:space="preserve">
90.00836</t>
  </si>
  <si>
    <t>62.96 Km</t>
  </si>
  <si>
    <t>85/2, Gongadhorpotti Road, Paurashava, Manikganj Sadar, Manikganj, Dhaka, Bangladesh</t>
  </si>
  <si>
    <t>23.863104</t>
  </si>
  <si>
    <t xml:space="preserve">
90.00403</t>
  </si>
  <si>
    <t>63.18 Km</t>
  </si>
  <si>
    <t>145, Z5064, মানিকগঞ্জ, Paurashava, Manikganj Sadar, মানিকগঞ্জ জেলা, ঢাকা বিভাগ 1800, Bangladesh</t>
  </si>
  <si>
    <t>23.85597</t>
  </si>
  <si>
    <t xml:space="preserve">
89.99376</t>
  </si>
  <si>
    <t>64.37 Km</t>
  </si>
  <si>
    <t>Darbar Shorif Road, Paurashava, Manikganj Sadar, Manikganj, Dhaka, Bangladesh</t>
  </si>
  <si>
    <t>23.855947</t>
  </si>
  <si>
    <t xml:space="preserve">
90.01134</t>
  </si>
  <si>
    <t>61.78 Km</t>
  </si>
  <si>
    <t>23.864119</t>
  </si>
  <si>
    <t xml:space="preserve">
90.015945</t>
  </si>
  <si>
    <t>61.49 Km</t>
  </si>
  <si>
    <t>387.44 m</t>
  </si>
  <si>
    <t>Khan Bahadur Awlad Hosen Road, Paurashava, Manikganj Sadar, Manikganj, Dhaka, Bangladesh</t>
  </si>
  <si>
    <t>23.865911</t>
  </si>
  <si>
    <t xml:space="preserve">
90.01268</t>
  </si>
  <si>
    <t>62.05 Km</t>
  </si>
  <si>
    <t>230, Shahid Rafique Sarak, Paurashava, Manikganj Sadar, Manikganj, Dhaka 1800, Bangladesh</t>
  </si>
  <si>
    <t>23.86046</t>
  </si>
  <si>
    <t xml:space="preserve">
90.00354</t>
  </si>
  <si>
    <t>63.13 Km</t>
  </si>
  <si>
    <t>Dhamrai - Kalampur Road., Kolia, Dhamrai Paurashava, Dhamrai, Dhaka, Bangladesh</t>
  </si>
  <si>
    <t>23.918747</t>
  </si>
  <si>
    <t xml:space="preserve">
90.20163</t>
  </si>
  <si>
    <t>40.84 Km</t>
  </si>
  <si>
    <t>649.33 m</t>
  </si>
  <si>
    <t>Dhaka - Aricha Highway, Dakshinpara, Dhamrai Paurashava, Dhamrai, Dhaka, Bangladesh</t>
  </si>
  <si>
    <t>23.908731</t>
  </si>
  <si>
    <t xml:space="preserve">
90.21765</t>
  </si>
  <si>
    <t>37.9 Km</t>
  </si>
  <si>
    <t>2.49 km</t>
  </si>
  <si>
    <t>বাজার রোড, ঢাকা।, Lakaria Para, Dhamrai Paurashava, Dhamrai, Dhaka, Bangladesh</t>
  </si>
  <si>
    <t>23.912779</t>
  </si>
  <si>
    <t xml:space="preserve">
90.21304</t>
  </si>
  <si>
    <t>38.88 Km</t>
  </si>
  <si>
    <t>142, Dhaka-Aricha Hw, Ramarbagh, Nayarhat, Bagdhania, Pathalia, Savar, Dhaka, Bangladesh</t>
  </si>
  <si>
    <t>23.91743</t>
  </si>
  <si>
    <t xml:space="preserve">
90.23696</t>
  </si>
  <si>
    <t>36.84 Km</t>
  </si>
  <si>
    <t>Dendabor North Para Road, Dendabor, Banshbari, Dhamsana, Savar, Dhaka, Bangladesh</t>
  </si>
  <si>
    <t>23.930138</t>
  </si>
  <si>
    <t xml:space="preserve">
90.25523</t>
  </si>
  <si>
    <t>36.66 Km</t>
  </si>
  <si>
    <t>5.09 km</t>
  </si>
  <si>
    <t>Suvandi - Sreepur Road, Shimuliya, Maijhail, Dhamsana, Savar, Dhaka, Bangladesh</t>
  </si>
  <si>
    <t>23.960648</t>
  </si>
  <si>
    <t xml:space="preserve">
90.22796</t>
  </si>
  <si>
    <t>43.23 Km</t>
  </si>
  <si>
    <t>592.05 m</t>
  </si>
  <si>
    <t>Dendabor North Para Road, Dendabor, Palashbari, Dhamsana, Savar Upazila, Dhaka District, Dhaka Division, Bangladesh</t>
  </si>
  <si>
    <t>23.9258</t>
  </si>
  <si>
    <t xml:space="preserve">
90.260414</t>
  </si>
  <si>
    <t>35.61 Km</t>
  </si>
  <si>
    <t>914.12 m</t>
  </si>
  <si>
    <t>হাজী সোনা মিয়া রোড, Dendabor, Palashbari, Dhamsana, Savar, Dhaka, Bangladesh</t>
  </si>
  <si>
    <t>23.9263</t>
  </si>
  <si>
    <t xml:space="preserve">
90.26621</t>
  </si>
  <si>
    <t>35.15 Km</t>
  </si>
  <si>
    <t>334.5 m</t>
  </si>
  <si>
    <t>Palash Bari Road, Ashulia, Palashbari, Dhamsana, Savar, Dhaka, Bangladesh</t>
  </si>
  <si>
    <t>23.934332</t>
  </si>
  <si>
    <t xml:space="preserve">
90.264305</t>
  </si>
  <si>
    <t>36.41 Km</t>
  </si>
  <si>
    <t>527.58 m</t>
  </si>
  <si>
    <t>Pallibidut - Kaichaibari Road, Palashbari, Dhamsana, Savar, Dhaka, Bangladesh</t>
  </si>
  <si>
    <t>23.934614</t>
  </si>
  <si>
    <t xml:space="preserve">
90.261024</t>
  </si>
  <si>
    <t>36.74 Km</t>
  </si>
  <si>
    <t>Nambihin Rasta, Banshbari, Dhamsana, Savar, Dhaka, Dhaka, Bangladesh</t>
  </si>
  <si>
    <t>23.938377</t>
  </si>
  <si>
    <t xml:space="preserve">
90.26419</t>
  </si>
  <si>
    <t>36.98 Km</t>
  </si>
  <si>
    <t>595.52 m</t>
  </si>
  <si>
    <t>637.68 m</t>
  </si>
  <si>
    <t>Dhaka - Ashulia Highway, Dendabor, Palashbari, Dhamsana, Savar, Dhaka, Bangladesh</t>
  </si>
  <si>
    <t>23.9331</t>
  </si>
  <si>
    <t xml:space="preserve">
90.26665</t>
  </si>
  <si>
    <t>36.04 Km</t>
  </si>
  <si>
    <t>643.15 m</t>
  </si>
  <si>
    <t>823.84 m</t>
  </si>
  <si>
    <t>Omar Ali Road, Dendabor, Palashbari, Dhamsana, Savar, Dhaka, Bangladesh</t>
  </si>
  <si>
    <t>23.930029</t>
  </si>
  <si>
    <t>36.1 Km</t>
  </si>
  <si>
    <t>Nambihin Rasta, Shimuliya, Uttar Dangabari, Bhararia, Dhamrai, Dhaka, Bangladesh</t>
  </si>
  <si>
    <t>23.961374</t>
  </si>
  <si>
    <t xml:space="preserve">
90.20111</t>
  </si>
  <si>
    <t>45.94 Km</t>
  </si>
  <si>
    <t>1.05 km</t>
  </si>
  <si>
    <t>Dhaka - Ashulia Highway, Baipayl, Palashbari, Dhamsana, Savar, Dhaka, Bangladesh</t>
  </si>
  <si>
    <t>23.93565</t>
  </si>
  <si>
    <t xml:space="preserve">
90.2691</t>
  </si>
  <si>
    <t>36.18 Km</t>
  </si>
  <si>
    <t>732.97 m</t>
  </si>
  <si>
    <t>Nambihin Rasta, Baipayl, Baipail, Dhamsana, Savar, Jessore, Dhaka, Bangladesh</t>
  </si>
  <si>
    <t>23.939209</t>
  </si>
  <si>
    <t xml:space="preserve">
90.27863</t>
  </si>
  <si>
    <t>35.9 Km</t>
  </si>
  <si>
    <t>675.16 m</t>
  </si>
  <si>
    <t>Gazirchat High School Road, Gazirchat, Baipail, Dhamsana, Savar, Dhaka, Bangladesh</t>
  </si>
  <si>
    <t>23.932993</t>
  </si>
  <si>
    <t xml:space="preserve">
90.28104</t>
  </si>
  <si>
    <t>34.82 Km</t>
  </si>
  <si>
    <t>35.03 Km</t>
  </si>
  <si>
    <t>515.04 m</t>
  </si>
  <si>
    <t>Kurgao Road, Savar Union, Pathalia, Savar, Dhaka, Bangladesh</t>
  </si>
  <si>
    <t>23.912066</t>
  </si>
  <si>
    <t xml:space="preserve">
90.25894</t>
  </si>
  <si>
    <t>33.95 Km</t>
  </si>
  <si>
    <t>167.51 m</t>
  </si>
  <si>
    <t>Dhaka - Aricha Highway, Senoalia, Pathalia, Savar, Dhaka, Bangladesh</t>
  </si>
  <si>
    <t>23.909634</t>
  </si>
  <si>
    <t xml:space="preserve">
90.26325</t>
  </si>
  <si>
    <t>33.22 Km</t>
  </si>
  <si>
    <t>23.908245</t>
  </si>
  <si>
    <t xml:space="preserve">
90.26389</t>
  </si>
  <si>
    <t>32.98 Km</t>
  </si>
  <si>
    <t>1.08 km</t>
  </si>
  <si>
    <t>583.64 m</t>
  </si>
  <si>
    <t>377.36 m</t>
  </si>
  <si>
    <t>690.47 m</t>
  </si>
  <si>
    <t>Savar Cantonment, Savar Union, Pathalia, Dhamsana, Savar, Dhaka, Bangladesh</t>
  </si>
  <si>
    <t>23.916828</t>
  </si>
  <si>
    <t xml:space="preserve">
90.26228</t>
  </si>
  <si>
    <t>34.25 Km</t>
  </si>
  <si>
    <t>371.39 m</t>
  </si>
  <si>
    <t>34.14 Km</t>
  </si>
  <si>
    <t>Srity Soudho forest, Kurgao, Uttar Ramchandrapur(Nirib, Pathalia, Savar, Dhaka, Bangladesh</t>
  </si>
  <si>
    <t>23.912338</t>
  </si>
  <si>
    <t xml:space="preserve">
90.25383</t>
  </si>
  <si>
    <t>Monno Ceramics Limited, Dhaka - Aricha Highway, Dakshinpara, Dhamrai Paurashava, Dhamrai, Dhaka, Bangladesh</t>
  </si>
  <si>
    <t xml:space="preserve">
90.22331</t>
  </si>
  <si>
    <t>37.74 Km</t>
  </si>
  <si>
    <t>623.6 m</t>
  </si>
  <si>
    <t>251/3, Amzad Hossain Road, Dhamrai Paurashava, Dhamrai, Dhaka, Dhaka 1206, Bangladesh</t>
  </si>
  <si>
    <t>23.91888</t>
  </si>
  <si>
    <t xml:space="preserve">
90.21468</t>
  </si>
  <si>
    <t>39.39 Km</t>
  </si>
  <si>
    <t>Nambihin Rasta, Lakaria Para, Dhamrai Paurashava, Dhamrai, Dhaka, Bangladesh</t>
  </si>
  <si>
    <t>23.918089</t>
  </si>
  <si>
    <t xml:space="preserve">
90.20861</t>
  </si>
  <si>
    <t>39.98 Km</t>
  </si>
  <si>
    <t>894.38 m</t>
  </si>
  <si>
    <t>23.9117</t>
  </si>
  <si>
    <t xml:space="preserve">
90.21072</t>
  </si>
  <si>
    <t>39.02 Km</t>
  </si>
  <si>
    <t>2.74 km</t>
  </si>
  <si>
    <t>23.924662</t>
  </si>
  <si>
    <t xml:space="preserve">
90.26086</t>
  </si>
  <si>
    <t>35.42 Km</t>
  </si>
  <si>
    <t>231.16 m</t>
  </si>
  <si>
    <t>436.05 m</t>
  </si>
  <si>
    <t>479.27 m</t>
  </si>
  <si>
    <t>23.93017</t>
  </si>
  <si>
    <t xml:space="preserve">
90.26553</t>
  </si>
  <si>
    <t>35.74 Km</t>
  </si>
  <si>
    <t>274.8 m</t>
  </si>
  <si>
    <t>Road, Char Ishwardia, Mymensingh Sadar, Mymensingh, Mymensingh, Bangladesh</t>
  </si>
  <si>
    <t>24.73742</t>
  </si>
  <si>
    <t xml:space="preserve">
90.429535</t>
  </si>
  <si>
    <t>160.87 Km</t>
  </si>
  <si>
    <t>Bolashpur Bylane, Maskanda, Paurashava, Mymensingh Sadar, Mymensingh, Mymensingh, Bangladesh</t>
  </si>
  <si>
    <t>24.738337</t>
  </si>
  <si>
    <t xml:space="preserve">
90.41606</t>
  </si>
  <si>
    <t>161.01 Km</t>
  </si>
  <si>
    <t>22, Mymensingh Railway Station Road, Paurashava, Mymensingh Sadar, Mymensingh, Mymensingh, Bangladesh</t>
  </si>
  <si>
    <t>24.756838</t>
  </si>
  <si>
    <t xml:space="preserve">
90.40903</t>
  </si>
  <si>
    <t>164.1 Km</t>
  </si>
  <si>
    <t>31, Alia Madrasa Bypass, Kistopur, Paurashava, Mymensingh Sadar, Mymensingh, Mymensingh, Bangladesh</t>
  </si>
  <si>
    <t>24.74124</t>
  </si>
  <si>
    <t>161.5 Km</t>
  </si>
  <si>
    <t>Sonali Bank Limited ATM, 22, Mymensingh Railway Station Road, Mymensingh, Paurashava, Bangladesh</t>
  </si>
  <si>
    <t>2.53 km</t>
  </si>
  <si>
    <t>নতুন বাজার সড়ক, বাংলাদেশ মাদানি কোরআন শিক্ষাবোর্ড, Paurashava, Mymensingh Sadar, Mymensingh, Mymensingh, Bangladesh</t>
  </si>
  <si>
    <t>24.733078</t>
  </si>
  <si>
    <t xml:space="preserve">
90.400696</t>
  </si>
  <si>
    <t>160.15 Km</t>
  </si>
  <si>
    <t>BFRI Prawn Hatchery, BFRI Road, Mymensingh, Paurashava, Bangladesh</t>
  </si>
  <si>
    <t>24.71981</t>
  </si>
  <si>
    <t>157.93 Km</t>
  </si>
  <si>
    <t>Nambihin Rasta, Char Ishwardia, Mymensingh Sadar, Mymensingh, Mymensingh, Bangladesh</t>
  </si>
  <si>
    <t>24.734282</t>
  </si>
  <si>
    <t xml:space="preserve">
90.43208</t>
  </si>
  <si>
    <t>160.36 Km</t>
  </si>
  <si>
    <t>BAU Residential Area Road, Char Ishwardia, Mymensingh Sadar, Mymensingh, Mymensingh, Bangladesh</t>
  </si>
  <si>
    <t>24.734129</t>
  </si>
  <si>
    <t xml:space="preserve">
90.433846</t>
  </si>
  <si>
    <t>160.33 Km</t>
  </si>
  <si>
    <t>24.74584</t>
  </si>
  <si>
    <t xml:space="preserve">
90.425285</t>
  </si>
  <si>
    <t>162.27 Km</t>
  </si>
  <si>
    <t>9.15 km</t>
  </si>
  <si>
    <t>Dhaka-Mymensingh Road, Paurashava, Mymensingh Sadar, Mymensingh, Mymensingh, Bangladesh</t>
  </si>
  <si>
    <t>24.719316</t>
  </si>
  <si>
    <t xml:space="preserve">
90.410576</t>
  </si>
  <si>
    <t>157.84 Km</t>
  </si>
  <si>
    <t>6.56 km</t>
  </si>
  <si>
    <t>Dhaka - Mymensingh Road, Bailar, Bailar, Trishal, Mymensingh, Bangladesh</t>
  </si>
  <si>
    <t>24.637796</t>
  </si>
  <si>
    <t xml:space="preserve">
90.39828</t>
  </si>
  <si>
    <t>144.27 Km</t>
  </si>
  <si>
    <t>10.31 km</t>
  </si>
  <si>
    <t>Nambihin Rasta, Trishal, Trishal, Trishal, Mymensingh, Bangladesh</t>
  </si>
  <si>
    <t>24.579348</t>
  </si>
  <si>
    <t xml:space="preserve">
90.38922</t>
  </si>
  <si>
    <t>134.56 Km</t>
  </si>
  <si>
    <t>9.51 km</t>
  </si>
  <si>
    <t>Bogar, Guziam, Amirabari, Trishal, Mymensingh, Bangladesh</t>
  </si>
  <si>
    <t>24.48669</t>
  </si>
  <si>
    <t xml:space="preserve">
90.385445</t>
  </si>
  <si>
    <t>119.13 Km</t>
  </si>
  <si>
    <t>Bhaluka, Bhaluka Paurashava, Bhaluka, Mymensingh, Bangladesh</t>
  </si>
  <si>
    <t>24.4018</t>
  </si>
  <si>
    <t xml:space="preserve">
90.39671</t>
  </si>
  <si>
    <t>104.93 Km</t>
  </si>
  <si>
    <t>Nambihin Rasta, Bhandabo, Mallikbari, Bhaluka, Mymensingh, Bangladesh</t>
  </si>
  <si>
    <t>24.410368</t>
  </si>
  <si>
    <t xml:space="preserve">
90.37841</t>
  </si>
  <si>
    <t>106.47 Km</t>
  </si>
  <si>
    <t>Master Vita, Bhandabo, Mallikbari, Bhaluka, Mymensingh, Bangladesh</t>
  </si>
  <si>
    <t>24.408642</t>
  </si>
  <si>
    <t xml:space="preserve">
90.37794</t>
  </si>
  <si>
    <t>106.19 Km</t>
  </si>
  <si>
    <t>7.33 km</t>
  </si>
  <si>
    <t>Nambihin Rasta, Bashil, Kathuli, Bhaluka, Mymensingh, Bangladesh</t>
  </si>
  <si>
    <t>24.381054</t>
  </si>
  <si>
    <t xml:space="preserve">
90.38038</t>
  </si>
  <si>
    <t>101.57 Km</t>
  </si>
  <si>
    <t>1.63 km</t>
  </si>
  <si>
    <t>Amtoli, Habirbari, Bhaluka, Mymensingh, Bangladesh</t>
  </si>
  <si>
    <t>24.315771</t>
  </si>
  <si>
    <t xml:space="preserve">
90.39038</t>
  </si>
  <si>
    <t>90.62 Km</t>
  </si>
  <si>
    <t>Amtoli, Jamirdia, Habirbari, Bhaluka, Mymensingh, Bangladesh</t>
  </si>
  <si>
    <t>24.302145</t>
  </si>
  <si>
    <t xml:space="preserve">
90.3964</t>
  </si>
  <si>
    <t>88.31 Km</t>
  </si>
  <si>
    <t>24.292152</t>
  </si>
  <si>
    <t xml:space="preserve">
90.39463</t>
  </si>
  <si>
    <t>86.66 Km</t>
  </si>
  <si>
    <t>Dhanua, Sreepur, Gazipur, Dhaka, Bangladesh</t>
  </si>
  <si>
    <t>24.284712</t>
  </si>
  <si>
    <t xml:space="preserve">
90.38544</t>
  </si>
  <si>
    <t>85.48 Km</t>
  </si>
  <si>
    <t>3 km</t>
  </si>
  <si>
    <t>1702, Dhaka - Mymensingh Highway, Jaina, Dhanua, Sreepur, Gazipur, Dhaka, Bangladesh</t>
  </si>
  <si>
    <t>24.272415</t>
  </si>
  <si>
    <t xml:space="preserve">
90.39529</t>
  </si>
  <si>
    <t>83.36 Km</t>
  </si>
  <si>
    <t>Zaber Mills Road, Mawna Union, Maona, Sreepur, Gazipur, Dhaka, Bangladesh</t>
  </si>
  <si>
    <t>24.245708</t>
  </si>
  <si>
    <t xml:space="preserve">
90.39961</t>
  </si>
  <si>
    <t>78.89 Km</t>
  </si>
  <si>
    <t>800.01 m</t>
  </si>
  <si>
    <t>Dhaka - Mymensingh Highway, Mawna Union, Maona, Sreepur, Gazipur, Dhaka, Bangladesh</t>
  </si>
  <si>
    <t>24.255157</t>
  </si>
  <si>
    <t xml:space="preserve">
90.4005</t>
  </si>
  <si>
    <t>80.46 Km</t>
  </si>
  <si>
    <t>3.12 km</t>
  </si>
  <si>
    <t>1740, Dhaka - Mymensingh Road, Mawna, Maona, Sreepur, Gazipur, Dhaka, Bangladesh</t>
  </si>
  <si>
    <t>24.248138</t>
  </si>
  <si>
    <t xml:space="preserve">
90.40223</t>
  </si>
  <si>
    <t>79.28 Km</t>
  </si>
  <si>
    <t>3.43 km</t>
  </si>
  <si>
    <t>Nambihin Rasta, Mawna, Kewa, Sreepur, Gazipur, Dhaka, Bangladesh</t>
  </si>
  <si>
    <t>24.220062</t>
  </si>
  <si>
    <t xml:space="preserve">
90.40088</t>
  </si>
  <si>
    <t>74.61 Km</t>
  </si>
  <si>
    <t>250, Bairagirchala - Sreepur Road, Mawna, Kewa, Sreepur, Gazipur, Dhaka, Bangladesh</t>
  </si>
  <si>
    <t>24.197954</t>
  </si>
  <si>
    <t xml:space="preserve">
90.4245</t>
  </si>
  <si>
    <t>70.89 Km</t>
  </si>
  <si>
    <t>668.32 m</t>
  </si>
  <si>
    <t>6no, Brammopolly Road, Mymensingh, Paurashava, Mymensingh Sadar, Mymensingh, Mymensingh, Bangladesh</t>
  </si>
  <si>
    <t>24.750828</t>
  </si>
  <si>
    <t xml:space="preserve">
90.409</t>
  </si>
  <si>
    <t>163.1 Km</t>
  </si>
  <si>
    <t>22, Mymensingh Railway Station Road, Mymensingh, Paurashava, Bangladesh</t>
  </si>
  <si>
    <t>1.01 km</t>
  </si>
  <si>
    <t>Pach Tara Restaurant, Brammopolly Road, Mymensingh, Paurashava, Bangladesh</t>
  </si>
  <si>
    <t>24.747711</t>
  </si>
  <si>
    <t>162.58 Km</t>
  </si>
  <si>
    <t>791.63 m</t>
  </si>
  <si>
    <t>Charpara Road, Paurashava, Mymensingh Sadar, Mymensingh, Mymensingh, 2200, Bangladesh</t>
  </si>
  <si>
    <t>24.742414</t>
  </si>
  <si>
    <t xml:space="preserve">
90.40963</t>
  </si>
  <si>
    <t>161.7 Km</t>
  </si>
  <si>
    <t>Kewatkhali Road, Paurashava, Mymensingh Sadar, Mymensingh, Mymensingh 2200, Bangladesh</t>
  </si>
  <si>
    <t>24.740438</t>
  </si>
  <si>
    <t xml:space="preserve">
90.42332</t>
  </si>
  <si>
    <t>161.37 Km</t>
  </si>
  <si>
    <t>জেলা প্রাণীসম্পদ কর্মকর্তার কার্যালয়, 178, Kali Bari Road, Mymensingh, Paurashava, Bangladesh, 2200</t>
  </si>
  <si>
    <t>24.755062</t>
  </si>
  <si>
    <t xml:space="preserve">
90.416336</t>
  </si>
  <si>
    <t>163.8 Km</t>
  </si>
  <si>
    <t>3.79 km</t>
  </si>
  <si>
    <t>Power Station Road, Char Ishwardia, Mymensingh Sadar, Mymensingh, Mymensingh, Bangladesh</t>
  </si>
  <si>
    <t>24.754744</t>
  </si>
  <si>
    <t xml:space="preserve">
90.42237</t>
  </si>
  <si>
    <t>163.75 Km</t>
  </si>
  <si>
    <t>9.32 km</t>
  </si>
  <si>
    <t>Mymensingh - Kishoreganj Highway, Shomvugang, Phaliamarir Char, Char Nilakshmia, Mymensingh Sadar, Mymensingh 2203, Bangladesh</t>
  </si>
  <si>
    <t>24.757004</t>
  </si>
  <si>
    <t xml:space="preserve">
90.45981</t>
  </si>
  <si>
    <t>164.26 Km</t>
  </si>
  <si>
    <t>6.59 km</t>
  </si>
  <si>
    <t>Nambihin Rasta, Madhupur, Tarakanda, Tarakanda, Mymensingh, Bangladesh</t>
  </si>
  <si>
    <t>24.837404</t>
  </si>
  <si>
    <t xml:space="preserve">
90.43357</t>
  </si>
  <si>
    <t>177.56 Km</t>
  </si>
  <si>
    <t>7.67 km</t>
  </si>
  <si>
    <t>Guatala, Kakni, Tarakanda, Mymensingh, Bangladesh</t>
  </si>
  <si>
    <t>24.892214</t>
  </si>
  <si>
    <t xml:space="preserve">
90.408745</t>
  </si>
  <si>
    <t>186.68 Km</t>
  </si>
  <si>
    <t>6.24 km</t>
  </si>
  <si>
    <t>College Road, Deu, Payari, Phulpur, Mymensingh, Bangladesh</t>
  </si>
  <si>
    <t>24.95056</t>
  </si>
  <si>
    <t xml:space="preserve">
90.36818</t>
  </si>
  <si>
    <t>196.55 Km</t>
  </si>
  <si>
    <t>Gazipur, Swadeshi, Haluaghat Upazila, Mymensingh District, Mymensingh Division, Bangladesh</t>
  </si>
  <si>
    <t>25.006111</t>
  </si>
  <si>
    <t xml:space="preserve">
90.35961</t>
  </si>
  <si>
    <t>205.86 Km</t>
  </si>
  <si>
    <t>Haluaghat - Phulpur Road, Nagla, Dhopa Guchhina, Amtail, Haluaghat Upazila, Mymensingh District, Mymensingh Division, Bangladesh</t>
  </si>
  <si>
    <t>25.03235</t>
  </si>
  <si>
    <t xml:space="preserve">
90.34748</t>
  </si>
  <si>
    <t>210.31 Km</t>
  </si>
  <si>
    <t>Nagla, Gati, Amtail, Haluaghat Upazila, Mymensingh District, Mymensingh Division, Bangladesh</t>
  </si>
  <si>
    <t>25.017128</t>
  </si>
  <si>
    <t xml:space="preserve">
90.35626</t>
  </si>
  <si>
    <t>207.72 Km</t>
  </si>
  <si>
    <t>Nagla, Bade Bahir Shimul, Amtail, Haluaghat Upazila, Mymensingh District, Mymensingh Division, Bangladesh</t>
  </si>
  <si>
    <t>25.017149</t>
  </si>
  <si>
    <t xml:space="preserve">
90.33869</t>
  </si>
  <si>
    <t>207.85 Km</t>
  </si>
  <si>
    <t>Alakdi, Sarchapur, Amtail, Haluaghat, Mymensingh, Bangladesh</t>
  </si>
  <si>
    <t>24.994223</t>
  </si>
  <si>
    <t xml:space="preserve">
90.34962</t>
  </si>
  <si>
    <t>203.95 Km</t>
  </si>
  <si>
    <t>Daisy Road, Kaziakanda, Phulpur Paurashava, Phulpur, Mymensingh, Bangladesh</t>
  </si>
  <si>
    <t>24.96186</t>
  </si>
  <si>
    <t xml:space="preserve">
90.36166</t>
  </si>
  <si>
    <t>198.47 Km</t>
  </si>
  <si>
    <t>6.88 km</t>
  </si>
  <si>
    <t>56, Sweet Road, Amuakanda, Payari, Phulpur, Mymensingh, Mymensingh, Bangladesh</t>
  </si>
  <si>
    <t>24.943459</t>
  </si>
  <si>
    <t xml:space="preserve">
90.37058</t>
  </si>
  <si>
    <t>195.35 Km</t>
  </si>
  <si>
    <t>4.49 km</t>
  </si>
  <si>
    <t>6.79 km</t>
  </si>
  <si>
    <t>Sherpur - Mymensingh Highway, Madhupur, Tarakanda, Tarakanda, Mymensingh, Bangladesh</t>
  </si>
  <si>
    <t>24.855766</t>
  </si>
  <si>
    <t xml:space="preserve">
90.42792</t>
  </si>
  <si>
    <t>180.61 Km</t>
  </si>
  <si>
    <t>Nambihin Rasta, Char Barabila, Char Haripur, Char Ishwardia, Mymensingh Sadar, Mymensingh, Bangladesh</t>
  </si>
  <si>
    <t>24.795193</t>
  </si>
  <si>
    <t xml:space="preserve">
90.43629</t>
  </si>
  <si>
    <t>170.52 Km</t>
  </si>
  <si>
    <t>541, char Kalibari, Char Ishwardia, Mymensingh Sadar, Mymensingh, Mymensingh 2200, Bangladesh</t>
  </si>
  <si>
    <t>24.75468</t>
  </si>
  <si>
    <t xml:space="preserve">
90.43738</t>
  </si>
  <si>
    <t>163.77 Km</t>
  </si>
  <si>
    <t>880.41 m</t>
  </si>
  <si>
    <t>Road, Railway Quarter, Char Ishwardia, Mymensingh Sadar, Mymensingh, Mymensingh 2200, Bangladesh</t>
  </si>
  <si>
    <t>24.740158</t>
  </si>
  <si>
    <t xml:space="preserve">
90.4266</t>
  </si>
  <si>
    <t>161.33 Km</t>
  </si>
  <si>
    <t>16, Mymensingh - Sunamganj Road, Paurashava, Mymensingh Sadar, Mymensingh, Mymensingh 2200, Bangladesh</t>
  </si>
  <si>
    <t>24.743217</t>
  </si>
  <si>
    <t xml:space="preserve">
90.41856</t>
  </si>
  <si>
    <t>161.83 Km</t>
  </si>
  <si>
    <t>Bolashpur Bylane, Paurashava, Mymensingh Sadar, Mymensingh, Mymensingh, Bangladesh</t>
  </si>
  <si>
    <t>24.740887</t>
  </si>
  <si>
    <t xml:space="preserve">
90.41705</t>
  </si>
  <si>
    <t>161.44 Km</t>
  </si>
  <si>
    <t>1.61 km</t>
  </si>
  <si>
    <t>কাজীবাড়ি সড়ক, Jhilwanja, Cox's Bazar Sadar, Cox's Bazar, Chittagong, Bangladesh</t>
  </si>
  <si>
    <t>21.430178</t>
  </si>
  <si>
    <t xml:space="preserve">
91.98547</t>
  </si>
  <si>
    <t>459.41 Km</t>
  </si>
  <si>
    <t>North Romalirchara (Brick fireld road), Jhilwanja, Cox's Bazar Sadar, Cox's Bazar, Chittagong, Bangladesh</t>
  </si>
  <si>
    <t>21.44317</t>
  </si>
  <si>
    <t xml:space="preserve">
91.99156</t>
  </si>
  <si>
    <t>458.05 Km</t>
  </si>
  <si>
    <t>3.05 km</t>
  </si>
  <si>
    <t>Konarpara, Jhilwanja, Cox's Bazar Sadar, Cox's Bazar, Chittagong, Bangladesh</t>
  </si>
  <si>
    <t>21.442116</t>
  </si>
  <si>
    <t xml:space="preserve">
92.00361</t>
  </si>
  <si>
    <t>459.19 Km</t>
  </si>
  <si>
    <t>Cox's Bazar - Teknaf Highway, Mohori Para, Samader Bazar, Jhilwanja, Cox's Bazar Sadar, Cox's Bazar, Chittagong, Bangladesh</t>
  </si>
  <si>
    <t>21.423443</t>
  </si>
  <si>
    <t xml:space="preserve">
92.025246</t>
  </si>
  <si>
    <t>463.61 Km</t>
  </si>
  <si>
    <t>Alhaz Kalim Road, Patali Machhuakhali, Cox's Bazar Sadar, Cox's Bazar, Chittagong, Bangladesh</t>
  </si>
  <si>
    <t>21.438644</t>
  </si>
  <si>
    <t xml:space="preserve">
92.03404</t>
  </si>
  <si>
    <t>462.19 Km</t>
  </si>
  <si>
    <t>Dhaka - Cox's Bazar Highway, Khurulia, Joarianala, Ramu, Cox's Bazar, Chittagong, Bangladesh</t>
  </si>
  <si>
    <t>21.42899</t>
  </si>
  <si>
    <t xml:space="preserve">
92.06963</t>
  </si>
  <si>
    <t>466.52 Km</t>
  </si>
  <si>
    <t>MD Tayabul Khan poultry farm, Merangloa, Fatekharkul, Ramu Upazila, Coxs Bazar District, Chittagong Division, Bangladesh</t>
  </si>
  <si>
    <t>21.427275</t>
  </si>
  <si>
    <t xml:space="preserve">
92.09615</t>
  </si>
  <si>
    <t>469 Km</t>
  </si>
  <si>
    <t>Nambihin Rasta, Ashkarkhil, Patali Machhuakhali, Chakmarkul, Ramu, Cox's Bazar, Chittagong, Bangladesh</t>
  </si>
  <si>
    <t>21.459204</t>
  </si>
  <si>
    <t xml:space="preserve">
92.06702</t>
  </si>
  <si>
    <t>462.07 Km</t>
  </si>
  <si>
    <t>Bharua Khali, Dhalichhara, Rashid Nagar, Ramu, Cox's Bazar, Chittagong, Bangladesh</t>
  </si>
  <si>
    <t>21.51288</t>
  </si>
  <si>
    <t xml:space="preserve">
92.06347</t>
  </si>
  <si>
    <t>454.28 Km</t>
  </si>
  <si>
    <t>6.82 km</t>
  </si>
  <si>
    <t>Idgaon Road, Eidgaon, Bhomariaghona, Idgaon, Cox's Bazar Sadar, Cox's Bazar, Chittagong, Bangladesh</t>
  </si>
  <si>
    <t>21.55472</t>
  </si>
  <si>
    <t xml:space="preserve">
92.06351</t>
  </si>
  <si>
    <t>448.49 Km</t>
  </si>
  <si>
    <t>under construction, Fulchhari, Khuntakhali, Chakaria, Cox's Bazar, Chittagong, Bangladesh</t>
  </si>
  <si>
    <t>21.615992</t>
  </si>
  <si>
    <t xml:space="preserve">
92.05991</t>
  </si>
  <si>
    <t>439.75 Km</t>
  </si>
  <si>
    <t>N1, Chabagan, Dulahazara, Chakaria, Cox's Bazar, Chittagong, Bangladesh</t>
  </si>
  <si>
    <t>21.671583</t>
  </si>
  <si>
    <t xml:space="preserve">
92.07633</t>
  </si>
  <si>
    <t>433.65 Km</t>
  </si>
  <si>
    <t>Dhaka - Cox's Bazar Highway, Fasiakhali, Fasiakhali, Chakaria, Cox's Bazar, Chittagong, Bangladesh</t>
  </si>
  <si>
    <t>21.731173</t>
  </si>
  <si>
    <t xml:space="preserve">
92.08391</t>
  </si>
  <si>
    <t>426.32 Km</t>
  </si>
  <si>
    <t>চকরিয়া প্রধান সড়ক, Nij Pankhali, Fasiakhali, Chakaria, Cox's Bazar, Chittagong, Bangladesh</t>
  </si>
  <si>
    <t>21.749893</t>
  </si>
  <si>
    <t xml:space="preserve">
92.079285</t>
  </si>
  <si>
    <t>423.39 Km</t>
  </si>
  <si>
    <t>6.35 km</t>
  </si>
  <si>
    <t>Shikalghat Road, Kakara, Chiringa, Lakhyarchar, Chakaria, Cox's Bazar, Chittagong, Bangladesh</t>
  </si>
  <si>
    <t>21.772978</t>
  </si>
  <si>
    <t xml:space="preserve">
92.080826</t>
  </si>
  <si>
    <t>420.46 Km</t>
  </si>
  <si>
    <t>6.46 km</t>
  </si>
  <si>
    <t>Nambihin Rasta, Baraitali Union, Baraitali, Chakaria, Cox's Bazar, Chittagong, Bangladesh</t>
  </si>
  <si>
    <t>21.83002</t>
  </si>
  <si>
    <t xml:space="preserve">
92.079</t>
  </si>
  <si>
    <t>412.75 Km</t>
  </si>
  <si>
    <t>4.5 km</t>
  </si>
  <si>
    <t>N1, Reserve Harbang, Harbang, Chakaria, Cox's Bazar, Chittagong, Bangladesh</t>
  </si>
  <si>
    <t>21.885374</t>
  </si>
  <si>
    <t xml:space="preserve">
92.05992</t>
  </si>
  <si>
    <t>403.66 Km</t>
  </si>
  <si>
    <t>4.12 km</t>
  </si>
  <si>
    <t>Chittagong - Cox's Bazar Highway, Harbang, Jangle Rashiderghona, Chunati, Lohagara, Cox's Bazar, Chittagong, Bangladesh</t>
  </si>
  <si>
    <t>21.9258</t>
  </si>
  <si>
    <t xml:space="preserve">
92.06107</t>
  </si>
  <si>
    <t>398.52 Km</t>
  </si>
  <si>
    <t>Chittagong - Cox's Bazar Highway, Chunati, Lohagara, Chittagong, Bangladesh</t>
  </si>
  <si>
    <t>21.962538</t>
  </si>
  <si>
    <t xml:space="preserve">
92.06617</t>
  </si>
  <si>
    <t>394.28 Km</t>
  </si>
  <si>
    <t>Chunati, Chunati, Lohagara, Chittagong, Bangladesh</t>
  </si>
  <si>
    <t>21.971468</t>
  </si>
  <si>
    <t xml:space="preserve">
92.0587</t>
  </si>
  <si>
    <t>392.4 Km</t>
  </si>
  <si>
    <t>3.82 km</t>
  </si>
  <si>
    <t>Cox's Bazar - Chittagong Road, N 1, Lohagara, Lohagara, Lohagara, Chittagong, 4396, Bangladesh</t>
  </si>
  <si>
    <t>22.011593</t>
  </si>
  <si>
    <t xml:space="preserve">
92.09489</t>
  </si>
  <si>
    <t>390.92 Km</t>
  </si>
  <si>
    <t>Mojidia Road, Amirabad, Lohagara, Chittagong, Bangladesh</t>
  </si>
  <si>
    <t>22.045582</t>
  </si>
  <si>
    <t xml:space="preserve">
92.1001</t>
  </si>
  <si>
    <t>387.19 Km</t>
  </si>
  <si>
    <t>3.9 km</t>
  </si>
  <si>
    <t>Nambihin Rasta, Lohagara, Karaianagar, Sadaha, Satkania, Chittagong, Bangladesh</t>
  </si>
  <si>
    <t>22.071722</t>
  </si>
  <si>
    <t xml:space="preserve">
92.09768</t>
  </si>
  <si>
    <t>383.69 Km</t>
  </si>
  <si>
    <t>Nambihin Rasta, Dakshin Dhemsa, Purba Dhemsa, Satkania, Chittagong, Bangladesh</t>
  </si>
  <si>
    <t>22.094015</t>
  </si>
  <si>
    <t xml:space="preserve">
92.06844</t>
  </si>
  <si>
    <t>377.9 Km</t>
  </si>
  <si>
    <t>Chittagong - Cox's Bazar Highway, Uttar Dhemsa, Purba Dhemsa, Satkania, Chittagong, Bangladesh</t>
  </si>
  <si>
    <t>22.111582</t>
  </si>
  <si>
    <t xml:space="preserve">
92.07237</t>
  </si>
  <si>
    <t>376.13 Km</t>
  </si>
  <si>
    <t>Cox's Bazar - Chittagong Road, Dakshin Dhemsa, Keochia, Satkania, Chittagong, Bangladesh</t>
  </si>
  <si>
    <t>22.097155</t>
  </si>
  <si>
    <t xml:space="preserve">
92.077934</t>
  </si>
  <si>
    <t>378.49 Km</t>
  </si>
  <si>
    <t>5.29 km</t>
  </si>
  <si>
    <t>Cox's Bazar - Chittagong Road, Temohini, Dhemsa, Satkania, Chittagong, Bangladesh</t>
  </si>
  <si>
    <t>22.114443</t>
  </si>
  <si>
    <t xml:space="preserve">
92.069916</t>
  </si>
  <si>
    <t>375.52 Km</t>
  </si>
  <si>
    <t>4.77 km</t>
  </si>
  <si>
    <t>মাদরাসা বাইপাস, Chagachar, Dohazari, Chandanaish, Chittagong, Bangladesh</t>
  </si>
  <si>
    <t>22.160528</t>
  </si>
  <si>
    <t xml:space="preserve">
92.057014</t>
  </si>
  <si>
    <t>368.51 Km</t>
  </si>
  <si>
    <t>Khanzir Para Road, Khanzir Para, Hashimpur, Hashimpur, Chandanaish Upazila, Chittagong District, Chittagong Division, Bangladesh</t>
  </si>
  <si>
    <t>22.202435</t>
  </si>
  <si>
    <t xml:space="preserve">
92.047264</t>
  </si>
  <si>
    <t>362.38 Km</t>
  </si>
  <si>
    <t>2 No. Jalalabad Ward, Ward-02, Baizid Bostami, Chittagong, Chittagong, Bangladesh</t>
  </si>
  <si>
    <t>22.384117</t>
  </si>
  <si>
    <t xml:space="preserve">
91.803696</t>
  </si>
  <si>
    <t>314.6 Km</t>
  </si>
  <si>
    <t>23, লেইন - ১১, Jalalabad Housing Society, 9 No. North Pahartali Ward, Ward-09, CCC (Khulshi), Chittagong, Chittagong, Bangladesh</t>
  </si>
  <si>
    <t>22.36965</t>
  </si>
  <si>
    <t xml:space="preserve">
91.79986</t>
  </si>
  <si>
    <t>315.99 Km</t>
  </si>
  <si>
    <t>4.19 km</t>
  </si>
  <si>
    <t>Bayezid Link Road, 9 No. North Pahartali Ward, Ward No-09 (Part), Khulshi, Chittagong, Chittagong, Bangladesh</t>
  </si>
  <si>
    <t>22.383173</t>
  </si>
  <si>
    <t xml:space="preserve">
91.79343</t>
  </si>
  <si>
    <t>313.65 Km</t>
  </si>
  <si>
    <t>Dhaka - Chittagong Highway, Faujdarhat, Uttar Salimpur, Salimpur, Sitakund, Chittagong, Bangladesh</t>
  </si>
  <si>
    <t>22.400898</t>
  </si>
  <si>
    <t xml:space="preserve">
91.757454</t>
  </si>
  <si>
    <t>307.74 Km</t>
  </si>
  <si>
    <t>Dakshin Bhatiari, Jungle Bhatiari, Chattogram, Bhatiari, Sitakund, Chittagong, Bangladesh</t>
  </si>
  <si>
    <t>22.422453</t>
  </si>
  <si>
    <t xml:space="preserve">
91.75582</t>
  </si>
  <si>
    <t>304.9 Km</t>
  </si>
  <si>
    <t>Khadempara, Khadeam Para, Bhatiari, Sitakund, Chittagong, Bangladesh</t>
  </si>
  <si>
    <t>22.43967</t>
  </si>
  <si>
    <t xml:space="preserve">
91.74535</t>
  </si>
  <si>
    <t>301.69 Km</t>
  </si>
  <si>
    <t>8.77 km</t>
  </si>
  <si>
    <t>Sonaichhari, Bara Kumira, Kumira, Sitakund, Chittagong, Bangladesh</t>
  </si>
  <si>
    <t>22.500933</t>
  </si>
  <si>
    <t xml:space="preserve">
91.72187</t>
  </si>
  <si>
    <t>291.72 Km</t>
  </si>
  <si>
    <t>Dhaka - Chittagong Highway, Barabkunda, Nayakhali, Barakunda, Sitakund, Chittagong, Bangladesh</t>
  </si>
  <si>
    <t>22.571407</t>
  </si>
  <si>
    <t xml:space="preserve">
91.6836</t>
  </si>
  <si>
    <t>279.14 Km</t>
  </si>
  <si>
    <t>2.81 km</t>
  </si>
  <si>
    <t>Sitakund - Golabaria Road, Muradpur, Shibpur, Sitakunda, Sitakund, Chittagong, Bangladesh</t>
  </si>
  <si>
    <t>22.61486</t>
  </si>
  <si>
    <t xml:space="preserve">
91.6489</t>
  </si>
  <si>
    <t>270.21 Km</t>
  </si>
  <si>
    <t>8.07 km</t>
  </si>
  <si>
    <t>Nambihin Rasta, কেদারখিল ভান্ডারী পুল, Saidpur, Saidpur, Sitakund, Chittagong, Bangladesh</t>
  </si>
  <si>
    <t>22.638062</t>
  </si>
  <si>
    <t xml:space="preserve">
91.63798</t>
  </si>
  <si>
    <t>266.27 Km</t>
  </si>
  <si>
    <t>7.14 km</t>
  </si>
  <si>
    <t>35, Middle Wahedpur Road, Wahedpur, Mirsharai, Chittagong, Chittagong, Bangladesh</t>
  </si>
  <si>
    <t>22.708355</t>
  </si>
  <si>
    <t xml:space="preserve">
91.61825</t>
  </si>
  <si>
    <t>255.84 Km</t>
  </si>
  <si>
    <t>Dhaka - Chittagong Highway, Minsarai, Purba Maghadia, Mirsharai, Chittagong, Bangladesh</t>
  </si>
  <si>
    <t>22.762987</t>
  </si>
  <si>
    <t xml:space="preserve">
91.58168</t>
  </si>
  <si>
    <t>245.47 Km</t>
  </si>
  <si>
    <t>7.77 km</t>
  </si>
  <si>
    <t>4320, N1, Mithachara, Purba Mithanala, Mirsharai, Chittagong, Bangladesh</t>
  </si>
  <si>
    <t>22.801533</t>
  </si>
  <si>
    <t xml:space="preserve">
91.56</t>
  </si>
  <si>
    <t>238.64 Km</t>
  </si>
  <si>
    <t>4.04 km</t>
  </si>
  <si>
    <t>Dhaka - Chittagong Highway, Zorargonj, Sonapahar, Zorwarganj, Mirsharai, Chittagong, Bangladesh</t>
  </si>
  <si>
    <t>22.86895</t>
  </si>
  <si>
    <t xml:space="preserve">
91.540085</t>
  </si>
  <si>
    <t>228.81 Km</t>
  </si>
  <si>
    <t>Nambihin Rasta, Baraiyarhat, Azamnagar, Hinguli, Mirsharai, Chittagong, Bangladesh</t>
  </si>
  <si>
    <t>22.904924</t>
  </si>
  <si>
    <t xml:space="preserve">
91.53478</t>
  </si>
  <si>
    <t>224.26 Km</t>
  </si>
  <si>
    <t>6.61 km</t>
  </si>
  <si>
    <t>Dhaka - Cox's Bazar Highway, Gopal Union, Daulatpur, Gopal, Chhagalnaiya, Feni, Chittagong, Bangladesh</t>
  </si>
  <si>
    <t>22.933672</t>
  </si>
  <si>
    <t xml:space="preserve">
91.51875</t>
  </si>
  <si>
    <t>219.29 Km</t>
  </si>
  <si>
    <t>8.69 km</t>
  </si>
  <si>
    <t>Neazpur, Sanua, Feni Sadar, Feni, Chittagong, Bangladesh</t>
  </si>
  <si>
    <t>22.959017</t>
  </si>
  <si>
    <t xml:space="preserve">
91.46031</t>
  </si>
  <si>
    <t>209.71 Km</t>
  </si>
  <si>
    <t>2.43 km</t>
  </si>
  <si>
    <t>14, West rampur Road, Purba Bijoysingh, Barahipur, Feni Sadar, Feni, Chittagong, Bangladesh</t>
  </si>
  <si>
    <t>22.997446</t>
  </si>
  <si>
    <t xml:space="preserve">
91.38637</t>
  </si>
  <si>
    <t>196.93 Km</t>
  </si>
  <si>
    <t>Feni - Noakhali Highway, পাছগাচিয়া, Mathiara, Panchgachhiya, Feni Sadar, Feni, Chittagong, Bangladesh</t>
  </si>
  <si>
    <t>23.008146</t>
  </si>
  <si>
    <t xml:space="preserve">
91.36565</t>
  </si>
  <si>
    <t>193.36 Km</t>
  </si>
  <si>
    <t>6.05 km</t>
  </si>
  <si>
    <t>855, N104, Dakshin Masimpur, Jailashkara, Daganbhuiyan, Feni, Chittagong, Bangladesh</t>
  </si>
  <si>
    <t>22.970879</t>
  </si>
  <si>
    <t xml:space="preserve">
91.33493</t>
  </si>
  <si>
    <t>194.1 Km</t>
  </si>
  <si>
    <t>খান পাড়া রোড, Kadra, Mohammadpur, Mohammadpur, Senbag, Noakhali, Chittagong, Bangladesh</t>
  </si>
  <si>
    <t>22.953148</t>
  </si>
  <si>
    <t xml:space="preserve">
91.24935</t>
  </si>
  <si>
    <t>186.98 Km</t>
  </si>
  <si>
    <t>7.13 km</t>
  </si>
  <si>
    <t>Feni - Noakhali Highway, BUS STOP, Shibpur, Kabilpur, Senbag, Noakhali, Chittagong, Bangladesh</t>
  </si>
  <si>
    <t>22.953423</t>
  </si>
  <si>
    <t xml:space="preserve">
91.19249</t>
  </si>
  <si>
    <t>181.12 Km</t>
  </si>
  <si>
    <t>Road No 11, Mir Warishpur, Mir Warishpur, Begumganj, Noakhali, Chittagong, Bangladesh</t>
  </si>
  <si>
    <t>22.954554</t>
  </si>
  <si>
    <t xml:space="preserve">
91.10282</t>
  </si>
  <si>
    <t>172.28 Km</t>
  </si>
  <si>
    <t>5.87 km</t>
  </si>
  <si>
    <t>A085, Barahinagar, Bazra, Sonaimuri, Noakhali, Chittagong, Bangladesh</t>
  </si>
  <si>
    <t>22.98661</t>
  </si>
  <si>
    <t xml:space="preserve">
91.09015</t>
  </si>
  <si>
    <t>166.86 Km</t>
  </si>
  <si>
    <t>A078, Papua, Sonaimuri Paurashava, Sonaimuri, Noakhali, Chittagong, Bangladesh</t>
  </si>
  <si>
    <t>23.03936</t>
  </si>
  <si>
    <t xml:space="preserve">
91.08741</t>
  </si>
  <si>
    <t>159.75 Km</t>
  </si>
  <si>
    <t>2.77 km</t>
  </si>
  <si>
    <t>A193, Panch Baria, Nadana, Sonaimuri, Noakhali, Chittagong, Bangladesh</t>
  </si>
  <si>
    <t>23.060007</t>
  </si>
  <si>
    <t xml:space="preserve">
91.06642</t>
  </si>
  <si>
    <t>155.04 Km</t>
  </si>
  <si>
    <t>5.35 km</t>
  </si>
  <si>
    <t>জুনদপুর বাজার সড়ক, Junadpur, Jayag, Sonaimuri, Noakhali, Chittagong, Bangladesh</t>
  </si>
  <si>
    <t>23.059763</t>
  </si>
  <si>
    <t xml:space="preserve">
91.03938</t>
  </si>
  <si>
    <t>152.45 Km</t>
  </si>
  <si>
    <t>Chatkhil-Chandraganj Road, ব্রিজ, Daulatpur, Chatkhil, Chatkhil, Noakhali, Chittagong, Bangladesh</t>
  </si>
  <si>
    <t>23.050106</t>
  </si>
  <si>
    <t xml:space="preserve">
90.98818</t>
  </si>
  <si>
    <t>148.98 Km</t>
  </si>
  <si>
    <t>Tabga, Chatkhil, Chatkhil, Chatkhil, Noakhali, Chittagong, Bangladesh</t>
  </si>
  <si>
    <t>23.057682</t>
  </si>
  <si>
    <t xml:space="preserve">
90.96476</t>
  </si>
  <si>
    <t>145.87 Km</t>
  </si>
  <si>
    <t>4.82 km</t>
  </si>
  <si>
    <t>Dashgharia, Dakshin Ramdebpur, Parkote, Chatkhil, Noakhali, Chittagong, Bangladesh</t>
  </si>
  <si>
    <t>23.058424</t>
  </si>
  <si>
    <t xml:space="preserve">
90.93442</t>
  </si>
  <si>
    <t>143.14 Km</t>
  </si>
  <si>
    <t>Maijdi - Ramgonj Road, Hanubaish, Paurashava, Ramganj, Lakshmipur, Chittagong, Bangladesh</t>
  </si>
  <si>
    <t>23.08392</t>
  </si>
  <si>
    <t xml:space="preserve">
90.89637</t>
  </si>
  <si>
    <t>136.39 Km</t>
  </si>
  <si>
    <t>Lakshmipur - Ramganj - Haziganj Road, Paurashava, Ramganj, Lakshmipur, Chittagong, Bangladesh</t>
  </si>
  <si>
    <t>23.109255</t>
  </si>
  <si>
    <t xml:space="preserve">
90.86025</t>
  </si>
  <si>
    <t>129.88 Km</t>
  </si>
  <si>
    <t>23.115034</t>
  </si>
  <si>
    <t xml:space="preserve">
90.86048</t>
  </si>
  <si>
    <t>129.07 Km</t>
  </si>
  <si>
    <t>Muddafarganj - Chitosi - Ramganj Road, Nagraj Rampur, Bholakot, Ramganj, Lakshmipur, Chittagong, Bangladesh</t>
  </si>
  <si>
    <t>23.118471</t>
  </si>
  <si>
    <t xml:space="preserve">
90.892845</t>
  </si>
  <si>
    <t>131.27 Km</t>
  </si>
  <si>
    <t>Hotatia, Noapara, Bholakot, Ramganj, Lakshmipur, Chittagong, Bangladesh</t>
  </si>
  <si>
    <t>23.128</t>
  </si>
  <si>
    <t xml:space="preserve">
90.89624</t>
  </si>
  <si>
    <t>130.24 Km</t>
  </si>
  <si>
    <t>Muddafarganj - Chitosi - Ramganj Road, Paschim Bhadur, Bhadur, Ramganj, Lakshmipur, Chittagong, Bangladesh</t>
  </si>
  <si>
    <t>23.112436</t>
  </si>
  <si>
    <t xml:space="preserve">
90.87507</t>
  </si>
  <si>
    <t>130.63 Km</t>
  </si>
  <si>
    <t>2.61 km</t>
  </si>
  <si>
    <t>2.02 km</t>
  </si>
  <si>
    <t>R142, Paurashava, Ramganj, Lakshmipur, Chittagong, Bangladesh</t>
  </si>
  <si>
    <t>23.092583</t>
  </si>
  <si>
    <t xml:space="preserve">
90.86801</t>
  </si>
  <si>
    <t>132.87 Km</t>
  </si>
  <si>
    <t>643.01 m</t>
  </si>
  <si>
    <t>2.79 km</t>
  </si>
  <si>
    <t>Muddafarganj - Chitosi - Ramganj Road, Paurashava, Ramganj, Lakshmipur, Chittagong, Bangladesh</t>
  </si>
  <si>
    <t>23.112661</t>
  </si>
  <si>
    <t xml:space="preserve">
90.86633</t>
  </si>
  <si>
    <t>4.96 km</t>
  </si>
  <si>
    <t>B228, Bhadur, Ramganj, Lakshmipur, Chittagong, Bangladesh</t>
  </si>
  <si>
    <t>23.103836</t>
  </si>
  <si>
    <t xml:space="preserve">
90.8712</t>
  </si>
  <si>
    <t>131.53 Km</t>
  </si>
  <si>
    <t>A355, Ramgonj, Alipur, Darbeshpur(2), Ramganj, Lakshmipur, Chittagong, Bangladesh</t>
  </si>
  <si>
    <t>23.077682</t>
  </si>
  <si>
    <t xml:space="preserve">
90.91048</t>
  </si>
  <si>
    <t>138.44 Km</t>
  </si>
  <si>
    <t>2.66 km</t>
  </si>
  <si>
    <t>Maijdi - Ramgonj Road, Dashgharia, Parkote, Chatkhil, Noakhali, Chittagong, Bangladesh</t>
  </si>
  <si>
    <t>23.067385</t>
  </si>
  <si>
    <t xml:space="preserve">
90.94102</t>
  </si>
  <si>
    <t>142.47 Km</t>
  </si>
  <si>
    <t>3.72 km</t>
  </si>
  <si>
    <t>5.47 km</t>
  </si>
  <si>
    <t>Dhaka - Chatkhil Highway, Kachari Bazar, Barai Para, Jayag, Sonaimuri, Noakhali, Chittagong, Bangladesh</t>
  </si>
  <si>
    <t>23.061447</t>
  </si>
  <si>
    <t xml:space="preserve">
91.00085</t>
  </si>
  <si>
    <t>148.61 Km</t>
  </si>
  <si>
    <t>5.46 km</t>
  </si>
  <si>
    <t>Panch Baria, Nadana, Sonaimuri, Noakhali, Chittagong, Bangladesh</t>
  </si>
  <si>
    <t>23.071644</t>
  </si>
  <si>
    <t xml:space="preserve">
91.05316</t>
  </si>
  <si>
    <t>152.25 Km</t>
  </si>
  <si>
    <t>3.29 km</t>
  </si>
  <si>
    <t>A078, Maijdi-Ramgonj Rd A095, Shimulia, Sonaimuri Paurashava, Sonaimuri, Noakhali, Chittagong, Bangladesh</t>
  </si>
  <si>
    <t>23.04318</t>
  </si>
  <si>
    <t xml:space="preserve">
91.096664</t>
  </si>
  <si>
    <t>160.18 Km</t>
  </si>
  <si>
    <t>6.6 km</t>
  </si>
  <si>
    <t>B266, Rashidpur, Bazra, Sonaimuri, Noakhali, Chittagong, Bangladesh</t>
  </si>
  <si>
    <t>23.01386</t>
  </si>
  <si>
    <t xml:space="preserve">
91.100845</t>
  </si>
  <si>
    <t>164.34 Km</t>
  </si>
  <si>
    <t>Mia Khan Road, Kalamia Bazar Bus Stop, Purbo Bakalia, Chattogram, Ward No-18, Bakalia, Chittagong 4000, Bangladesh</t>
  </si>
  <si>
    <t>22.347342</t>
  </si>
  <si>
    <t xml:space="preserve">
91.85224</t>
  </si>
  <si>
    <t>324.18 Km</t>
  </si>
  <si>
    <t>Nambihin Rasta, Shikalbaha, Dwip Kalamoral, Sikalbaha, Patiya, Chittagong, Bangladesh</t>
  </si>
  <si>
    <t>22.320936</t>
  </si>
  <si>
    <t xml:space="preserve">
91.86297</t>
  </si>
  <si>
    <t>328.54 Km</t>
  </si>
  <si>
    <t>6.21 km</t>
  </si>
  <si>
    <t>Dhaka - Chittagong Highway, Bella Para, Daulatpur, Sikalbaha, Patiya, Chittagong, Bangladesh</t>
  </si>
  <si>
    <t>22.291529</t>
  </si>
  <si>
    <t xml:space="preserve">
91.87179</t>
  </si>
  <si>
    <t>333.1 Km</t>
  </si>
  <si>
    <t>Chittagong - Cox's Bazar Highway, Larihara, Yakubdangi, Janglukhain(1), Patiya, Chittagong, Bangladesh</t>
  </si>
  <si>
    <t>22.31283</t>
  </si>
  <si>
    <t xml:space="preserve">
91.92759</t>
  </si>
  <si>
    <t>336.31 Km</t>
  </si>
  <si>
    <t>Union Krishi School, Naikhain, Janglukhain(1), Patiya Upazila, Chittagong District, Chittagong Division, Bangladesh</t>
  </si>
  <si>
    <t>22.301092</t>
  </si>
  <si>
    <t xml:space="preserve">
91.96038</t>
  </si>
  <si>
    <t>341.21 Km</t>
  </si>
  <si>
    <t>Azimpur, Kachuai, Patiya, Chittagong, Bangladesh</t>
  </si>
  <si>
    <t>22.277899</t>
  </si>
  <si>
    <t xml:space="preserve">
91.99862</t>
  </si>
  <si>
    <t>348.09 Km</t>
  </si>
  <si>
    <t>5.02 km</t>
  </si>
  <si>
    <t>Shuvondandi - Rowshan Hat Road, Rawshan Hat Bus Stop, Paschim Elahabad, Kanchanabad, Chandanaish, Chittagong, Bangladesh</t>
  </si>
  <si>
    <t>22.241165</t>
  </si>
  <si>
    <t xml:space="preserve">
92.02223</t>
  </si>
  <si>
    <t>355.03 Km</t>
  </si>
  <si>
    <t>406.98 m</t>
  </si>
  <si>
    <t>5.64 km</t>
  </si>
  <si>
    <t>Sadaha, Padua, Lohagara, Chittagong, Bangladesh</t>
  </si>
  <si>
    <t>22.073996</t>
  </si>
  <si>
    <t xml:space="preserve">
92.109116</t>
  </si>
  <si>
    <t>384.59 Km</t>
  </si>
  <si>
    <t>3.02 km</t>
  </si>
  <si>
    <t>Nambihin Rasta, Amirabad, Lohagara, Chittagong, Bangladesh</t>
  </si>
  <si>
    <t>22.038944</t>
  </si>
  <si>
    <t xml:space="preserve">
92.1069</t>
  </si>
  <si>
    <t>388.71 Km</t>
  </si>
  <si>
    <t>3.51 km</t>
  </si>
  <si>
    <t>Alorghat Road, Amirabad, Lohagara, Lohagara, Chittagong, Bangladesh</t>
  </si>
  <si>
    <t>22.017668</t>
  </si>
  <si>
    <t xml:space="preserve">
92.08872</t>
  </si>
  <si>
    <t>389.53 Km</t>
  </si>
  <si>
    <t>7.1 km</t>
  </si>
  <si>
    <t>Pal Para Road, Gorjania Para, Petan Para, Adhunagar, Lohagara, Chittagong, Bangladesh</t>
  </si>
  <si>
    <t>21.987007</t>
  </si>
  <si>
    <t xml:space="preserve">
92.08072</t>
  </si>
  <si>
    <t>392.6 Km</t>
  </si>
  <si>
    <t>4.84 km</t>
  </si>
  <si>
    <t>Nambihin Rasta, Reserve Harbang, Harbang, Chakaria, Cox's Bazar, Chittagong, Bangladesh</t>
  </si>
  <si>
    <t>21.882298</t>
  </si>
  <si>
    <t xml:space="preserve">
92.062744</t>
  </si>
  <si>
    <t>404.34 Km</t>
  </si>
  <si>
    <t>8.16 km</t>
  </si>
  <si>
    <t>1, Cox's Bazar - Chittagong Road, Baraitali, Harbang, Chakaria, Cox's Bazar, Chittagong, Bangladesh</t>
  </si>
  <si>
    <t>21.83957</t>
  </si>
  <si>
    <t xml:space="preserve">
92.065414</t>
  </si>
  <si>
    <t>410.2 Km</t>
  </si>
  <si>
    <t>Manikpur Road, Kakara, Lotani, Kakhara, Chakaria, Cox's Bazar, Chittagong, Bangladesh</t>
  </si>
  <si>
    <t>21.77006</t>
  </si>
  <si>
    <t xml:space="preserve">
92.090614</t>
  </si>
  <si>
    <t>421.77 Km</t>
  </si>
  <si>
    <t>513.29 m</t>
  </si>
  <si>
    <t>Chittagong - Cox's Bazar Highway, Binamara, Fasiakhali, Chakaria, Cox's Bazar, Chittagong, Bangladesh</t>
  </si>
  <si>
    <t>21.754202</t>
  </si>
  <si>
    <t xml:space="preserve">
92.0775</t>
  </si>
  <si>
    <t>422.65 Km</t>
  </si>
  <si>
    <t>চকরিয়া প্রধান সড়ক, Kakara, Nij Pankhali, Fasiakhali, Chakaria, Cox's Bazar, Chittagong, Bangladesh</t>
  </si>
  <si>
    <t>131.32 Km</t>
  </si>
  <si>
    <t>7.11 km</t>
  </si>
  <si>
    <t>Nambihin Rasta, Lalmai, Bara Dharmapur, Bara Para, Comilla Sadar Dakshin, Comilla, Chittagong, Bangladesh</t>
  </si>
  <si>
    <t>23.377817</t>
  </si>
  <si>
    <t xml:space="preserve">
91.150276</t>
  </si>
  <si>
    <t>130.72 Km</t>
  </si>
  <si>
    <t>8.54 km</t>
  </si>
  <si>
    <t>Fazor Ali Market, Cumilla Road, Changahata, Kapastola, Chengahata, Baghmara, Comilla Sadar Dakshin, Comilla, Chittagong, Bangladesh</t>
  </si>
  <si>
    <t>23.329767</t>
  </si>
  <si>
    <t xml:space="preserve">
91.10427</t>
  </si>
  <si>
    <t>128.86 Km</t>
  </si>
  <si>
    <t>Laksam - Muddafarganj Road, Muddafarganj, Mudafarganj, Laksam, Comilla, Chittagong, Bangladesh</t>
  </si>
  <si>
    <t>23.26806</t>
  </si>
  <si>
    <t xml:space="preserve">
91.054436</t>
  </si>
  <si>
    <t>128.82 Km</t>
  </si>
  <si>
    <t>127.74 Km</t>
  </si>
  <si>
    <t>120.46 Km</t>
  </si>
  <si>
    <t>6.89 km</t>
  </si>
  <si>
    <t>120.23 Km</t>
  </si>
  <si>
    <t>Kongaish, Hatila, Haziganj, Chandpur, Chittagong, Bangladesh</t>
  </si>
  <si>
    <t>23.256275</t>
  </si>
  <si>
    <t xml:space="preserve">
90.88875</t>
  </si>
  <si>
    <t>111.78 Km</t>
  </si>
  <si>
    <t>523.83 m</t>
  </si>
  <si>
    <t>1, Comilla - Chandpur Highway, Paurashava, Haziganj, Chandpur, Chittagong, Bangladesh</t>
  </si>
  <si>
    <t>23.251272</t>
  </si>
  <si>
    <t xml:space="preserve">
90.86692</t>
  </si>
  <si>
    <t>110.22 Km</t>
  </si>
  <si>
    <t>3.87 km</t>
  </si>
  <si>
    <t>109.8 Km</t>
  </si>
  <si>
    <t>4.97 km</t>
  </si>
  <si>
    <t>R140, Paurashava, Haziganj, Chandpur, Chittagong, Bangladesh</t>
  </si>
  <si>
    <t>23.250744</t>
  </si>
  <si>
    <t xml:space="preserve">
90.823975</t>
  </si>
  <si>
    <t>106.16 Km</t>
  </si>
  <si>
    <t>Bara Sundar, Rampur, Chandpur Sadar, Chandpur, Chittagong, Bangladesh</t>
  </si>
  <si>
    <t>23.245415</t>
  </si>
  <si>
    <t xml:space="preserve">
90.7757</t>
  </si>
  <si>
    <t>102.56 Km</t>
  </si>
  <si>
    <t>Comilla - Chandpur Highway, Ashikati, Ashikati, Chandpur Sadar, Chandpur, Chittagong, Bangladesh</t>
  </si>
  <si>
    <t>23.26067</t>
  </si>
  <si>
    <t xml:space="preserve">
90.70767</t>
  </si>
  <si>
    <t>94.91 Km</t>
  </si>
  <si>
    <t>Comilla - Chandpur Highway, Moishadi, Tarpur Chandi, Maishadi, Chandpur Sadar, Chandpur, Chittagong, Bangladesh</t>
  </si>
  <si>
    <t>23.2441</t>
  </si>
  <si>
    <t xml:space="preserve">
90.686134</t>
  </si>
  <si>
    <t>95.78 Km</t>
  </si>
  <si>
    <t>23.240496</t>
  </si>
  <si>
    <t xml:space="preserve">
90.66758</t>
  </si>
  <si>
    <t>95.07 Km</t>
  </si>
  <si>
    <t>97.73 Km</t>
  </si>
  <si>
    <t>97.68 Km</t>
  </si>
  <si>
    <t>Ghat Road Number 5, Paurashava, Chandpur Sadar, Chandpur, Chittagong, Bangladesh</t>
  </si>
  <si>
    <t>23.225256</t>
  </si>
  <si>
    <t xml:space="preserve">
90.64981</t>
  </si>
  <si>
    <t>96.26 Km</t>
  </si>
  <si>
    <t>23.229092</t>
  </si>
  <si>
    <t xml:space="preserve">
90.67797</t>
  </si>
  <si>
    <t>97.47 Km</t>
  </si>
  <si>
    <t>4.3 km</t>
  </si>
  <si>
    <t>Tarpur, Tarpur Chandi, Kalyanpur, Chandpur Sadar, Chandpur, Chittagong, Bangladesh</t>
  </si>
  <si>
    <t>23.25527</t>
  </si>
  <si>
    <t xml:space="preserve">
90.68516</t>
  </si>
  <si>
    <t>94.06 Km</t>
  </si>
  <si>
    <t>Comilla - Chandpur Highway, Kumardugi, Ashikati, Chandpur Sadar, Chandpur, Chittagong, Bangladesh</t>
  </si>
  <si>
    <t>23.259802</t>
  </si>
  <si>
    <t xml:space="preserve">
90.727005</t>
  </si>
  <si>
    <t>96.53 Km</t>
  </si>
  <si>
    <t>6.26 km</t>
  </si>
  <si>
    <t>Comilla - Chandpur Highway, Char Bakila, Rampur, Chandpur Sadar, Chandpur, Chittagong, Bangladesh</t>
  </si>
  <si>
    <t>23.251776</t>
  </si>
  <si>
    <t xml:space="preserve">
90.76269</t>
  </si>
  <si>
    <t>100.58 Km</t>
  </si>
  <si>
    <t>589.9 m</t>
  </si>
  <si>
    <t>Randhanimura, Paurashava, Haziganj, Chandpur, Chittagong, Bangladesh</t>
  </si>
  <si>
    <t>23.24561</t>
  </si>
  <si>
    <t xml:space="preserve">
90.8429</t>
  </si>
  <si>
    <t>108.62 Km</t>
  </si>
  <si>
    <t>4.35 km</t>
  </si>
  <si>
    <t>B278, Randhanimura, Paurashava, Haziganj, Chandpur, Chittagong, Bangladesh</t>
  </si>
  <si>
    <t>23.249535</t>
  </si>
  <si>
    <t xml:space="preserve">
90.84679</t>
  </si>
  <si>
    <t>108.48 Km</t>
  </si>
  <si>
    <t>9.22 km</t>
  </si>
  <si>
    <t>5.95 km</t>
  </si>
  <si>
    <t>বাউকসার রোড, Galimpur, Galimpur, Barura, Comilla, Chittagong, Bangladesh</t>
  </si>
  <si>
    <t>23.310038</t>
  </si>
  <si>
    <t xml:space="preserve">
91.07586</t>
  </si>
  <si>
    <t>127.15 Km</t>
  </si>
  <si>
    <t>8.9 km</t>
  </si>
  <si>
    <t>Shilmori, Lagnasar, Dakshin Shilmuri, Barura, Comilla, Chittagong, Bangladesh</t>
  </si>
  <si>
    <t>23.346226</t>
  </si>
  <si>
    <t xml:space="preserve">
91.11878</t>
  </si>
  <si>
    <t>129.24 Km</t>
  </si>
  <si>
    <t>1, Government Women College Road, Paurashava, Comilla Adarsha Sadar, Comilla, Chittagong 3500, Bangladesh</t>
  </si>
  <si>
    <t>23.458117</t>
  </si>
  <si>
    <t xml:space="preserve">
91.183235</t>
  </si>
  <si>
    <t>129.43 Km</t>
  </si>
  <si>
    <t>Nambihin Rasta, কুমিল্লা, Paurashava, Comilla Adarsha Sadar, কুমিল্লা জেলা, চট্টগ্রাম বিভাগ, Bangladesh</t>
  </si>
  <si>
    <t>23.458748</t>
  </si>
  <si>
    <t xml:space="preserve">
91.172356</t>
  </si>
  <si>
    <t>127.85 Km</t>
  </si>
  <si>
    <t>ইসলামপুর রোড, Cumilla, Paurashava, Comilla Adarsha Sadar, Comilla, Chittagong, Bangladesh</t>
  </si>
  <si>
    <t>23.470596</t>
  </si>
  <si>
    <t>128.64 Km</t>
  </si>
  <si>
    <t>662.1 m</t>
  </si>
  <si>
    <t>786, আব্দুর রহমান খন্দকার রোড, South Chartha, Cumilla, Paurashava, Comilla Adarsha Sadar, Comilla, Chittagong 3500, Bangladesh</t>
  </si>
  <si>
    <t>23.452185</t>
  </si>
  <si>
    <t xml:space="preserve">
91.182686</t>
  </si>
  <si>
    <t>129.74 Km</t>
  </si>
  <si>
    <t>স্কুল রোড, Badur Tola, Paurashava, Comilla Adarsha Sadar, Comilla, Chittagong, Bangladesh</t>
  </si>
  <si>
    <t>23.462416</t>
  </si>
  <si>
    <t xml:space="preserve">
91.177124</t>
  </si>
  <si>
    <t>128.29 Km</t>
  </si>
  <si>
    <t>2.04 km</t>
  </si>
  <si>
    <t>Nambihin Rasta, Cumilla, Unaisar, Chouara, Comilla Sadar Dakshin, Comilla, Chittagong, Bangladesh</t>
  </si>
  <si>
    <t>23.438324</t>
  </si>
  <si>
    <t xml:space="preserve">
91.184425</t>
  </si>
  <si>
    <t>130.9 Km</t>
  </si>
  <si>
    <t>2.57 km</t>
  </si>
  <si>
    <t>বেলতলী রোড, Cumilla, Joypur, Bijoypur, Comilla Sadar Dakshin, Comilla, Chittagong, Bangladesh</t>
  </si>
  <si>
    <t>23.434877</t>
  </si>
  <si>
    <t xml:space="preserve">
91.16474</t>
  </si>
  <si>
    <t>128.4 Km</t>
  </si>
  <si>
    <t>131.84 Km</t>
  </si>
  <si>
    <t>কিসমত - হোসেনপুর রোড, Paduar Bazar Bishwa Road, Bara Durgapur, Bijoypur, Comilla Sadar Dakshin, Comilla, Chittagong, Bangladesh</t>
  </si>
  <si>
    <t>23.419325</t>
  </si>
  <si>
    <t xml:space="preserve">
91.160355</t>
  </si>
  <si>
    <t>128.9 Km</t>
  </si>
  <si>
    <t>Cumilla - Laksam - Sonaimuri - Chowmohani - Noakhali Highway, Bagmara, Pohankucha, Baghmara, Comilla Sadar Dakshin, Comilla, Chittagong, Bangladesh</t>
  </si>
  <si>
    <t>23.327253</t>
  </si>
  <si>
    <t xml:space="preserve">
91.14203</t>
  </si>
  <si>
    <t>133.94 Km</t>
  </si>
  <si>
    <t>Nambihin Rasta, Chengahata, Lolai, Baghmara, Comilla Sadar Dakshin, Comilla, Chittagong, Bangladesh</t>
  </si>
  <si>
    <t>23.335037</t>
  </si>
  <si>
    <t xml:space="preserve">
91.13551</t>
  </si>
  <si>
    <t>132.4 Km</t>
  </si>
  <si>
    <t>M142, Chengahata, Bara Chengahata, Baghmara, Comilla Sadar Dakshin, Comilla, Chittagong, Bangladesh</t>
  </si>
  <si>
    <t>23.346926</t>
  </si>
  <si>
    <t xml:space="preserve">
91.14551</t>
  </si>
  <si>
    <t>132.66 Km</t>
  </si>
  <si>
    <t>130.6 Km</t>
  </si>
  <si>
    <t>Cumilla Road, Lalmai, Bara Dharmapur, Bara Para, Comilla Sadar Dakshin, Comilla, Chittagong, Bangladesh</t>
  </si>
  <si>
    <t>23.365313</t>
  </si>
  <si>
    <t xml:space="preserve">
91.15135</t>
  </si>
  <si>
    <t>131.89 Km</t>
  </si>
  <si>
    <t>2.13 km</t>
  </si>
  <si>
    <t>Lalmai, Dakshin Bijoypur, Bara Para, Comilla Sadar Dakshin Upazila, Comilla District, Chittagong Division, Bangladesh</t>
  </si>
  <si>
    <t>23.38011</t>
  </si>
  <si>
    <t xml:space="preserve">
91.15285</t>
  </si>
  <si>
    <t>130.88 Km</t>
  </si>
  <si>
    <t>Cumilla, Madhyam Bijoypur, Bara Para, Comilla Sadar Dakshin, Comilla, Chittagong, Bangladesh</t>
  </si>
  <si>
    <t>23.395275</t>
  </si>
  <si>
    <t xml:space="preserve">
91.16078</t>
  </si>
  <si>
    <t>130.76 Km</t>
  </si>
  <si>
    <t>131.85 Km</t>
  </si>
  <si>
    <t>11.14 km</t>
  </si>
  <si>
    <t>ঘোষ্পারোড, Bankara, Galimpur, Barura, Comilla, Chittagong, Bangladesh</t>
  </si>
  <si>
    <t>23.321321</t>
  </si>
  <si>
    <t xml:space="preserve">
91.082405</t>
  </si>
  <si>
    <t>126.88 Km</t>
  </si>
  <si>
    <t>Unkila, Bogra, Ashrafpur, Kachua, Chandpur, Chittagong, Bangladesh</t>
  </si>
  <si>
    <t>23.254488</t>
  </si>
  <si>
    <t xml:space="preserve">
91.0012</t>
  </si>
  <si>
    <t>124.13 Km</t>
  </si>
  <si>
    <t>Comilla - Chandpur Highway, Dohabanga Bus Stop, Dohabanga Bazar, Upalata, Shahrasti Paurashava, Shahrasti, Chandpur, Chittagong, Bangladesh</t>
  </si>
  <si>
    <t>23.249046</t>
  </si>
  <si>
    <t xml:space="preserve">
90.94783</t>
  </si>
  <si>
    <t>118.86 Km</t>
  </si>
  <si>
    <t>Kaliapara - Kachua Road, Kaliapara Bazar, Suara, Tamta, Shahrasti Upazila, Chandpur District, Chittagong Division, Bangladesh</t>
  </si>
  <si>
    <t>23.259172</t>
  </si>
  <si>
    <t xml:space="preserve">
90.95797</t>
  </si>
  <si>
    <t>118.77 Km</t>
  </si>
  <si>
    <t>Kaliapara - Kachua Road, Rajapur, Hussainpur, Tamta Purba, Shahrasti, Chandpur, Chittagong, Bangladesh</t>
  </si>
  <si>
    <t>23.272367</t>
  </si>
  <si>
    <t xml:space="preserve">
90.95311</t>
  </si>
  <si>
    <t>116.71 Km</t>
  </si>
  <si>
    <t>Rahimanagar, Naula, Uttar Gohat, Kachua Upazila, Chandpur District, Chittagong Division, Bangladesh</t>
  </si>
  <si>
    <t>23.311367</t>
  </si>
  <si>
    <t xml:space="preserve">
90.949196</t>
  </si>
  <si>
    <t>111.86 Km</t>
  </si>
  <si>
    <t>Kaliapara - Kachua Road, Nowagon, Dakshin Noagaon, Karaia, Kachua, Chandpur, Chittagong, Bangladesh</t>
  </si>
  <si>
    <t>23.32259</t>
  </si>
  <si>
    <t xml:space="preserve">
90.92009</t>
  </si>
  <si>
    <t>107.29 Km</t>
  </si>
  <si>
    <t>Polytechnic Institute Road, Karaia, Kachua, Chandpur, Chittagong, Bangladesh</t>
  </si>
  <si>
    <t>23.336712</t>
  </si>
  <si>
    <t xml:space="preserve">
90.90198</t>
  </si>
  <si>
    <t>103.65 Km</t>
  </si>
  <si>
    <t>Kachua-Tetaiya, Tetoiya, Masimpur, Kachua Paurashava, Kachua, Chandpur, Chittagong, Bangladesh</t>
  </si>
  <si>
    <t>23.355173</t>
  </si>
  <si>
    <t xml:space="preserve">
90.896164</t>
  </si>
  <si>
    <t>100.93 Km</t>
  </si>
  <si>
    <t>পলিটেকনিক ইনস্টিটিউট রোড, Karaia, Kachua, Chandpur, Chittagong, Bangladesh</t>
  </si>
  <si>
    <t>930.46 m</t>
  </si>
  <si>
    <t>Kachua Government Hospital Road, Kachua, KOA, Kadla, Chandpur District, Chittagong Division, Bangladesh</t>
  </si>
  <si>
    <t>23.339972</t>
  </si>
  <si>
    <t xml:space="preserve">
90.887375</t>
  </si>
  <si>
    <t>101.64 Km</t>
  </si>
  <si>
    <t>Gauripur - Kachua Road, Baliatali, Kachua Paurashava, Kachua, Chandpur, Chittagong, Bangladesh</t>
  </si>
  <si>
    <t>23.347944</t>
  </si>
  <si>
    <t xml:space="preserve">
90.89014</t>
  </si>
  <si>
    <t>101.05 Km</t>
  </si>
  <si>
    <t>1.82 km</t>
  </si>
  <si>
    <t>Kandirpar Road, Islampur, Chanpatali, Dakshin Gohat, Kachua, Chandpur, Chittagong, Bangladesh</t>
  </si>
  <si>
    <t>23.310179</t>
  </si>
  <si>
    <t xml:space="preserve">
90.93138</t>
  </si>
  <si>
    <t>109.96 Km</t>
  </si>
  <si>
    <t>2.51 km</t>
  </si>
  <si>
    <t>Sharpar, Saharpar, Dakshin Gohat, Kachua, Chandpur, Chittagong, Bangladesh</t>
  </si>
  <si>
    <t>23.294695</t>
  </si>
  <si>
    <t xml:space="preserve">
90.95696</t>
  </si>
  <si>
    <t>114.6 Km</t>
  </si>
  <si>
    <t>5.99 km</t>
  </si>
  <si>
    <t>Sahapur, Shahrasti Paurashava, Shahrasti, Chandpur, Chittagong, Bangladesh</t>
  </si>
  <si>
    <t>23.246395</t>
  </si>
  <si>
    <t xml:space="preserve">
90.967766</t>
  </si>
  <si>
    <t>121.34 Km</t>
  </si>
  <si>
    <t>4.24 km</t>
  </si>
  <si>
    <t>Bishnupur, Ashtadona, Dakshin Payalgachha, Barura, Comilla, Chittagong, Bangladesh</t>
  </si>
  <si>
    <t>23.27377</t>
  </si>
  <si>
    <t xml:space="preserve">
91.01831</t>
  </si>
  <si>
    <t>123.96 Km</t>
  </si>
  <si>
    <t>Comilla Road, Koitra, Uttar Satbaria, Uttar Payalgachha, Barura, Comilla, Chittagong, Bangladesh</t>
  </si>
  <si>
    <t>23.277527</t>
  </si>
  <si>
    <t xml:space="preserve">
91.05957</t>
  </si>
  <si>
    <t>128.44 Km</t>
  </si>
  <si>
    <t>5.48 km</t>
  </si>
  <si>
    <t>129.68 Km</t>
  </si>
  <si>
    <t>Jillur Rahman Government Women College Road, Ghora Kanda, Paurashava, Bhairab, Kishoreganj, Dhaka, Bangladesh</t>
  </si>
  <si>
    <t>24.045338</t>
  </si>
  <si>
    <t xml:space="preserve">
90.9827</t>
  </si>
  <si>
    <t>101.04 Km</t>
  </si>
  <si>
    <t>Vision Emporium - Bhairab, Bhairab, Paurashava, Kishoreganj District, Dhaka Division, Bangladesh</t>
  </si>
  <si>
    <t>24.057545</t>
  </si>
  <si>
    <t xml:space="preserve">
90.9795</t>
  </si>
  <si>
    <t>101.6 Km</t>
  </si>
  <si>
    <t>921.77 m</t>
  </si>
  <si>
    <t>Tatarkandi Road, Jogonnath Pur, Paurashava, Bhairab Upazila, Kishoreganj District, Dhaka Division, Bangladesh</t>
  </si>
  <si>
    <t>24.051146</t>
  </si>
  <si>
    <t xml:space="preserve">
90.97373</t>
  </si>
  <si>
    <t>100.31 Km</t>
  </si>
  <si>
    <t>01, খাদ্য গুদাম রোড, Bhairab Bazar boat dock, Paurashava, Bhairab, Kishoreganj, Dhaka 2350, Bangladesh</t>
  </si>
  <si>
    <t>24.045631</t>
  </si>
  <si>
    <t xml:space="preserve">
90.98949</t>
  </si>
  <si>
    <t>101.97 Km</t>
  </si>
  <si>
    <t>Gachtola Ghat Road, Bhairab, Paurashava, Kishoreganj District, Dhaka Division, Bangladesh</t>
  </si>
  <si>
    <t>24.063034</t>
  </si>
  <si>
    <t xml:space="preserve">
90.98372</t>
  </si>
  <si>
    <t>102.61 Km</t>
  </si>
  <si>
    <t>Bhairab - Ashugonj Railway Bridge, Bangladesh UK Friendship Bridge, Ashuganj, Char Chartala, Kishoreganj District, Dhaka Division, Bangladesh, 2350</t>
  </si>
  <si>
    <t>24.042753</t>
  </si>
  <si>
    <t xml:space="preserve">
90.99631</t>
  </si>
  <si>
    <t>102.66 Km</t>
  </si>
  <si>
    <t>Golden Gym, Bhairab, Paurashava, Kishoreganj District, Dhaka Division, Bangladesh</t>
  </si>
  <si>
    <t>24.041325</t>
  </si>
  <si>
    <t xml:space="preserve">
90.979744</t>
  </si>
  <si>
    <t>100.32 Km</t>
  </si>
  <si>
    <t>Chandiber Road, Chondiber, Paurashava, Bhairab, Kishoreganj, Dhaka, Bangladesh</t>
  </si>
  <si>
    <t>24.053047</t>
  </si>
  <si>
    <t xml:space="preserve">
90.990234</t>
  </si>
  <si>
    <t>765.02 m</t>
  </si>
  <si>
    <t>1699, New Town Road, Paurashava, Bhairab, Kishoreganj, Dhaka, Bangladesh</t>
  </si>
  <si>
    <t>24.052502</t>
  </si>
  <si>
    <t xml:space="preserve">
90.98112</t>
  </si>
  <si>
    <t>101.4 Km</t>
  </si>
  <si>
    <t>Upazila Parishad Pond 2, Bhairab, Paurashava, Kishoreganj District, Dhaka Division, Bangladesh</t>
  </si>
  <si>
    <t>1167, Paurashava Upojella hospital road, Paurashava, Bhairab, Kishoreganj, Dhaka 2350, Bangladesh</t>
  </si>
  <si>
    <t>24.054531</t>
  </si>
  <si>
    <t xml:space="preserve">
90.99359</t>
  </si>
  <si>
    <t>103.23 Km</t>
  </si>
  <si>
    <t>01, Beri Dam Road, Bhairab, Paurashava, Kishoreganj District, Dhaka Division, Bangladesh, 2350</t>
  </si>
  <si>
    <t>24.044573</t>
  </si>
  <si>
    <t xml:space="preserve">
90.98953</t>
  </si>
  <si>
    <t>101.89 Km</t>
  </si>
  <si>
    <t>877.64 m</t>
  </si>
  <si>
    <t>24.043623</t>
  </si>
  <si>
    <t xml:space="preserve">
90.988014</t>
  </si>
  <si>
    <t>101.61 Km</t>
  </si>
  <si>
    <t>927.63 m</t>
  </si>
  <si>
    <t>805.36 m</t>
  </si>
  <si>
    <t>South Jagannath Pur Mosque, New Town Road, Bhairab, Paurashava, Kishoreganj District, Dhaka Division, Bangladesh</t>
  </si>
  <si>
    <t>24.05247</t>
  </si>
  <si>
    <t xml:space="preserve">
90.98132</t>
  </si>
  <si>
    <t>101.43 Km</t>
  </si>
  <si>
    <t>Chor, Char Chartala, Ashuganj, Brahmanbaria, Chittagong, Bangladesh</t>
  </si>
  <si>
    <t>24.047321</t>
  </si>
  <si>
    <t xml:space="preserve">
91.001884</t>
  </si>
  <si>
    <t>103.77 Km</t>
  </si>
  <si>
    <t>Asian Highway 1, Kamaura, Paschim Talsahar, Ashuganj, Brahmanbaria, Chittagong, Bangladesh</t>
  </si>
  <si>
    <t>24.043186</t>
  </si>
  <si>
    <t xml:space="preserve">
91.05439</t>
  </si>
  <si>
    <t>110.6 Km</t>
  </si>
  <si>
    <t>কুট্টাপাড়া সেতু, Kuttapara Field Road, Sarail, Sarail, Sarail, Brahmanbaria, Chittagong 3430, Bangladesh</t>
  </si>
  <si>
    <t>24.05969</t>
  </si>
  <si>
    <t xml:space="preserve">
91.11044</t>
  </si>
  <si>
    <t>119.5 Km</t>
  </si>
  <si>
    <t>696.06 m</t>
  </si>
  <si>
    <t>Islamabad, Sarail, Sarail, Brahmanbaria, Chittagong, Bangladesh</t>
  </si>
  <si>
    <t>24.061802</t>
  </si>
  <si>
    <t xml:space="preserve">
91.123085</t>
  </si>
  <si>
    <t>121.39 Km</t>
  </si>
  <si>
    <t>Sarail, Sarail, Sarail, Brahmanbaria, Chittagong, Bangladesh</t>
  </si>
  <si>
    <t>24.067896</t>
  </si>
  <si>
    <t xml:space="preserve">
91.12152</t>
  </si>
  <si>
    <t>121.61 Km</t>
  </si>
  <si>
    <t>910.91 m</t>
  </si>
  <si>
    <t>ফরহাদাবাদ - Farhadabad, Islamabad, Sarail, Uttar Shuhilpur, Brahamanbaria, Brahmanbaria, Chittagong, Bangladesh</t>
  </si>
  <si>
    <t>24.053616</t>
  </si>
  <si>
    <t xml:space="preserve">
91.12342</t>
  </si>
  <si>
    <t>120.88 Km</t>
  </si>
  <si>
    <t>Chhatian, Uttar Shuhilpur, Brahmanbaria Sadar, Brahmanbaria, Chittagong, Bangladesh</t>
  </si>
  <si>
    <t>24.033619</t>
  </si>
  <si>
    <t xml:space="preserve">
91.102455</t>
  </si>
  <si>
    <t>116.61 Km</t>
  </si>
  <si>
    <t>Dhaka - Sylhet Highway, Malihata, Uttar Shuhilpur, Brahmanbaria Sadar, Brahmanbaria, Chittagong, Bangladesh</t>
  </si>
  <si>
    <t>24.046526</t>
  </si>
  <si>
    <t xml:space="preserve">
91.10074</t>
  </si>
  <si>
    <t>117.24 Km</t>
  </si>
  <si>
    <t>868.97 m</t>
  </si>
  <si>
    <t>Bisic Shilpo Nagari Brahmanbaria, Malihata, Uttar Shuhilpur, Brahmanbaria Sadar, Brahmanbaria, Chittagong 3400, Bangladesh</t>
  </si>
  <si>
    <t>24.040836</t>
  </si>
  <si>
    <t xml:space="preserve">
91.109604</t>
  </si>
  <si>
    <t>118.09 Km</t>
  </si>
  <si>
    <t>Chhatian, Dakshin Shuhilpur, Brahmanbaria Sadar, Brahmanbaria, Chittagong, Bangladesh</t>
  </si>
  <si>
    <t>24.033611</t>
  </si>
  <si>
    <t xml:space="preserve">
91.10634</t>
  </si>
  <si>
    <t>117.15 Km</t>
  </si>
  <si>
    <t>Lohagara Road, Adhunagar, Lohagara, Lohagara, Chittagong, Bangladesh</t>
  </si>
  <si>
    <t>22.010498</t>
  </si>
  <si>
    <t xml:space="preserve">
92.08732</t>
  </si>
  <si>
    <t>390.29 Km</t>
  </si>
  <si>
    <t>N1, Dr. Haque's Nursery, Harbang, Reserve Harbang, Aziznagar, Lama, Bandarban, Chittagong, Bangladesh</t>
  </si>
  <si>
    <t>21.905506</t>
  </si>
  <si>
    <t xml:space="preserve">
92.06169</t>
  </si>
  <si>
    <t>401.21 Km</t>
  </si>
  <si>
    <t>North Harbang Sarbajaneen Nabaratna Buddhist Temple Harbang, Chakaria Upazila, Coxs Bazar District, Chittagong Division, Bangladesh</t>
  </si>
  <si>
    <t>21.847383</t>
  </si>
  <si>
    <t xml:space="preserve">
92.06578</t>
  </si>
  <si>
    <t>409.2 Km</t>
  </si>
  <si>
    <t>Chittagong - Cox's Bazar Highway, Baraitali Union, Lakhyarchar, Chakaria, Cox's Bazar, Chittagong, Bangladesh</t>
  </si>
  <si>
    <t>21.785133</t>
  </si>
  <si>
    <t xml:space="preserve">
92.08009</t>
  </si>
  <si>
    <t>418.78 Km</t>
  </si>
  <si>
    <t>9.16 km</t>
  </si>
  <si>
    <t>Kakara, Palakata, Chiringa, Chakaria, Cox's Bazar, Chittagong, Bangladesh</t>
  </si>
  <si>
    <t>21.727806</t>
  </si>
  <si>
    <t xml:space="preserve">
92.06791</t>
  </si>
  <si>
    <t>425.3 Km</t>
  </si>
  <si>
    <t>Dhaka - Cox's Bazar Highway, Cox's Bazar, Medakachhapia, Khuntakhali, Chakaria, কক্সবাজার জেলা, চট্টগ্রাম বিভাগ, Bangladesh</t>
  </si>
  <si>
    <t>21.645578</t>
  </si>
  <si>
    <t xml:space="preserve">
92.07279</t>
  </si>
  <si>
    <t>436.86 Km</t>
  </si>
  <si>
    <t>Napitkhali, Khuntakhali, Chakaria, Cox's Bazar, Chittagong, Bangladesh</t>
  </si>
  <si>
    <t>21.584213</t>
  </si>
  <si>
    <t xml:space="preserve">
92.072556</t>
  </si>
  <si>
    <t>445.22 Km</t>
  </si>
  <si>
    <t>7.41 km</t>
  </si>
  <si>
    <t>3.81 km</t>
  </si>
  <si>
    <t>Dhaka - Cox's Bazar Highway, Bharuakhali, Joarianala, Ramu, Cox's Bazar, Chittagong, Bangladesh</t>
  </si>
  <si>
    <t>21.490051</t>
  </si>
  <si>
    <t xml:space="preserve">
92.08094</t>
  </si>
  <si>
    <t>458.95 Km</t>
  </si>
  <si>
    <t>4.59 km</t>
  </si>
  <si>
    <t>Ashkarkhil, Uttar Mithachhari, Joarianala, Ramu, Cox's Bazar, Chittagong, Bangladesh</t>
  </si>
  <si>
    <t>21.460072</t>
  </si>
  <si>
    <t xml:space="preserve">
92.09881</t>
  </si>
  <si>
    <t>464.65 Km</t>
  </si>
  <si>
    <t>5.69 km</t>
  </si>
  <si>
    <t>Cox's Bazar Medical College Road, Samader Bazar, Jhilwanja, Cox's Bazar Sadar, Cox's Bazar, Chittagong, Bangladesh</t>
  </si>
  <si>
    <t>21.421347</t>
  </si>
  <si>
    <t xml:space="preserve">
92.015305</t>
  </si>
  <si>
    <t>463.09 Km</t>
  </si>
  <si>
    <t>6.93 km</t>
  </si>
  <si>
    <t>N1, Jhilwanja, Dakshin Mithachhari, Ramu, Cox's Bazar, Chittagong, Bangladesh</t>
  </si>
  <si>
    <t>21.41939</t>
  </si>
  <si>
    <t xml:space="preserve">
92.032074</t>
  </si>
  <si>
    <t>464.74 Km</t>
  </si>
  <si>
    <t>6.25 km</t>
  </si>
  <si>
    <t>Dhaka - Chittagong Highway, Dakshin Mithachhari, Ramu, Cox's Bazar, Chittagong, Bangladesh</t>
  </si>
  <si>
    <t>21.36849</t>
  </si>
  <si>
    <t xml:space="preserve">
92.07076</t>
  </si>
  <si>
    <t>475.13 Km</t>
  </si>
  <si>
    <t>3.52 km</t>
  </si>
  <si>
    <t>Cox's Bazar - Teknaf Highway, Rabeta, Dhechua Palong, Khuniapalong, Ramu, Cox's Bazar, Chittagong, Bangladesh</t>
  </si>
  <si>
    <t>21.316488</t>
  </si>
  <si>
    <t xml:space="preserve">
92.09365</t>
  </si>
  <si>
    <t>484.37 Km</t>
  </si>
  <si>
    <t>Rumkha Borobil Government Primary School, Rumkha Palong, Haldia Palong, Ukhiya Upazila, Coxs Bazar District, Chittagong Division, Bangladesh</t>
  </si>
  <si>
    <t>21.285744</t>
  </si>
  <si>
    <t xml:space="preserve">
92.10179</t>
  </si>
  <si>
    <t>489.39 Km</t>
  </si>
  <si>
    <t>4.6 km</t>
  </si>
  <si>
    <t>Ukhia, Uhala Palong, Raja Palong, Ukhiya, Cox's Bazar, Chittagong, Bangladesh</t>
  </si>
  <si>
    <t>21.256323</t>
  </si>
  <si>
    <t xml:space="preserve">
92.13834</t>
  </si>
  <si>
    <t>496.56 Km</t>
  </si>
  <si>
    <t>Cox's Bazar - Teknaf Highway, Kutupalong, Ukhia, Raja Palong, Ukhiya, Cox's Bazar, Chittagong, Bangladesh</t>
  </si>
  <si>
    <t>21.22054</t>
  </si>
  <si>
    <t xml:space="preserve">
92.16053</t>
  </si>
  <si>
    <t>503.45 Km</t>
  </si>
  <si>
    <t>2.96 km</t>
  </si>
  <si>
    <t>Nambihin Rasta, Ukhia, Ukhiarghat R.f., Palong Khali, Ukhiya, Cox's Bazar, Chittagong, Bangladesh</t>
  </si>
  <si>
    <t>21.203897</t>
  </si>
  <si>
    <t xml:space="preserve">
92.16739</t>
  </si>
  <si>
    <t>506.37 Km</t>
  </si>
  <si>
    <t>4.52 km</t>
  </si>
  <si>
    <t>Cox's Bazar - Teknaf Highway, Balukhali Bazar, Palong Khali, Ukhiya, Cox's Bazar, Chittagong, Bangladesh</t>
  </si>
  <si>
    <t>21.17908</t>
  </si>
  <si>
    <t xml:space="preserve">
92.1571</t>
  </si>
  <si>
    <t>509.05 Km</t>
  </si>
  <si>
    <t>Cox's Bazar - Teknaf Highway, Whaikhyang, Uttar Nhilla, Whykong, Teknaf, Cox's Bazar, Chittagong, Bangladesh</t>
  </si>
  <si>
    <t>21.139194</t>
  </si>
  <si>
    <t xml:space="preserve">
92.16566</t>
  </si>
  <si>
    <t>515.42 Km</t>
  </si>
  <si>
    <t>6.19 km</t>
  </si>
  <si>
    <t>Noapara, Uttar Nhilla, Whykong, Teknaf, Cox's Bazar, Chittagong, Bangladesh</t>
  </si>
  <si>
    <t>21.099638</t>
  </si>
  <si>
    <t xml:space="preserve">
92.204666</t>
  </si>
  <si>
    <t>524.22 Km</t>
  </si>
  <si>
    <t>Cox's Bazar - Teknaf Highway, Dakshin Nhila, Uttar Nhilla R.f., Nhilla, Teknaf Upazila, Cox's Bazar District, Chittagong Division, Bangladesh</t>
  </si>
  <si>
    <t>21.046804</t>
  </si>
  <si>
    <t xml:space="preserve">
92.22351</t>
  </si>
  <si>
    <t>533.27 Km</t>
  </si>
  <si>
    <t>3.3 km</t>
  </si>
  <si>
    <t>Chotapara, Dakshin Nhila, Dakshin Nhilla, Nhilla, Teknaf, Cox's Bazar, Chittagong, Bangladesh</t>
  </si>
  <si>
    <t>21.005346</t>
  </si>
  <si>
    <t xml:space="preserve">
92.24451</t>
  </si>
  <si>
    <t>540.88 Km</t>
  </si>
  <si>
    <t>5.44 km</t>
  </si>
  <si>
    <t>Dhaka - Chittagong Highway, Rangikhali, Dakshin Nhilla, Nhilla, Teknaf, Cox's Bazar, Chittagong, Bangladesh</t>
  </si>
  <si>
    <t>20.975805</t>
  </si>
  <si>
    <t xml:space="preserve">
92.24715</t>
  </si>
  <si>
    <t>545.32 Km</t>
  </si>
  <si>
    <t>6.75 km</t>
  </si>
  <si>
    <t>Cox's Bazar - Teknaf Highway, Jadipara, Teknaf R.f., Nhilla, Teknaf, Cox's Bazar, Chittagong, Bangladesh</t>
  </si>
  <si>
    <t>20.92968</t>
  </si>
  <si>
    <t xml:space="preserve">
92.26463</t>
  </si>
  <si>
    <t>553.32 Km</t>
  </si>
  <si>
    <t>Teknaf R.f., Teknaf, Teknaf, Cox's Bazar, Chittagong, Bangladesh</t>
  </si>
  <si>
    <t>20.874924</t>
  </si>
  <si>
    <t xml:space="preserve">
92.292694</t>
  </si>
  <si>
    <t>563.41 Km</t>
  </si>
  <si>
    <t>Teknaf - Shahparirdwip Road, Teknaf, Teknaf, Teknaf, Cox's Bazar, Chittagong, Bangladesh</t>
  </si>
  <si>
    <t>20.856995</t>
  </si>
  <si>
    <t xml:space="preserve">
92.29918</t>
  </si>
  <si>
    <t>566.5 Km</t>
  </si>
  <si>
    <t>Nambihin Rasta, Teknaf, Teknaf, Teknaf, Cox's Bazar, Chittagong, Bangladesh</t>
  </si>
  <si>
    <t>20.850435</t>
  </si>
  <si>
    <t xml:space="preserve">
92.295135</t>
  </si>
  <si>
    <t>567.12 Km</t>
  </si>
  <si>
    <t>9.19 km</t>
  </si>
  <si>
    <t>Cox's Bazar - Teknaf Marine Drive, Chandrakilla, Lengurbil, Teknaf, Cox's Bazar, Chittagong, Bangladesh</t>
  </si>
  <si>
    <t>20.872255</t>
  </si>
  <si>
    <t xml:space="preserve">
92.267166</t>
  </si>
  <si>
    <t>561.78 Km</t>
  </si>
  <si>
    <t>9.57 km</t>
  </si>
  <si>
    <t>Z1098, Dhumdumia, Baharchhara, Teknaf, Cox's Bazar, Chittagong, Bangladesh</t>
  </si>
  <si>
    <t>20.939196</t>
  </si>
  <si>
    <t xml:space="preserve">
92.21535</t>
  </si>
  <si>
    <t>548.07 Km</t>
  </si>
  <si>
    <t>Jahajpura Gorjan Bon Picnic Spot, Teknaf R.f., Teknaf, Teknaf Upazila, Coxs Bazar District, Chittagong Division, Bangladesh</t>
  </si>
  <si>
    <t>21.020632</t>
  </si>
  <si>
    <t xml:space="preserve">
92.18559</t>
  </si>
  <si>
    <t>534 Km</t>
  </si>
  <si>
    <t>Maa Bhobon, Health Complex Road, Bharamuhari, Chiringa, Chakaria, Cox's Bazar, Chittagong 4741, Bangladesh</t>
  </si>
  <si>
    <t>21.761366</t>
  </si>
  <si>
    <t xml:space="preserve">
92.07364</t>
  </si>
  <si>
    <t>421.34 Km</t>
  </si>
  <si>
    <t>150.63 m</t>
  </si>
  <si>
    <t>Chittagong - Cox's Bazar Highway, Kakara, Palakata, Fasiakhali, Chakaria, Cox's Bazar, Chittagong, Bangladesh</t>
  </si>
  <si>
    <t>21.749983</t>
  </si>
  <si>
    <t xml:space="preserve">
92.07783</t>
  </si>
  <si>
    <t>423.24 Km</t>
  </si>
  <si>
    <t>Police Station Road, Kahariaghona, Chiringa, Chakaria, Cox's Bazar, Chittagong, Bangladesh</t>
  </si>
  <si>
    <t>21.76074</t>
  </si>
  <si>
    <t xml:space="preserve">
92.06621</t>
  </si>
  <si>
    <t>420.73 Km</t>
  </si>
  <si>
    <t>Kaiarbil, Chiringa, Kakhara, Chakaria, Cox's Bazar, Chittagong, Bangladesh</t>
  </si>
  <si>
    <t>21.769838</t>
  </si>
  <si>
    <t xml:space="preserve">
92.07667</t>
  </si>
  <si>
    <t>420.49 Km</t>
  </si>
  <si>
    <t>344.62 m</t>
  </si>
  <si>
    <t>Chittagong - Cox's Bazar Highway, Nij Pankhali, Fasiakhali, Chakaria, Cox's Bazar, Chittagong, Bangladesh</t>
  </si>
  <si>
    <t>21.756758</t>
  </si>
  <si>
    <t xml:space="preserve">
92.079384</t>
  </si>
  <si>
    <t>422.49 Km</t>
  </si>
  <si>
    <t>Nambihin Rasta, Kahariaghona, Chiringa, Chakaria, Cox's Bazar, Chittagong, Bangladesh</t>
  </si>
  <si>
    <t>21.755423</t>
  </si>
  <si>
    <t xml:space="preserve">
92.06747</t>
  </si>
  <si>
    <t>421.56 Km</t>
  </si>
  <si>
    <t>Batakhali, Kakhara, Chakaria, Cox's Bazar, Chittagong, Bangladesh</t>
  </si>
  <si>
    <t>21.767868</t>
  </si>
  <si>
    <t xml:space="preserve">
92.07046</t>
  </si>
  <si>
    <t>420.17 Km</t>
  </si>
  <si>
    <t>Chittagong - Cox's Bazar Highway, Baraitali Union, Baraitali, Chakaria, Cox's Bazar, Chittagong, Bangladesh</t>
  </si>
  <si>
    <t>21.82083</t>
  </si>
  <si>
    <t xml:space="preserve">
92.073135</t>
  </si>
  <si>
    <t>413.4 Km</t>
  </si>
  <si>
    <t>হারবাং আদর্শ দাখিল মাদ্রাসা, Harbang, Chakaria Upazila, Cox's Bazar District, Chittagong Division, Bangladesh</t>
  </si>
  <si>
    <t>12.39 km</t>
  </si>
  <si>
    <t>Dhaka - Cox's Bazar Highway, Ringbhang, Dulahazara, Chakaria, Cox's Bazar, Chittagong, Bangladesh</t>
  </si>
  <si>
    <t>21.69047</t>
  </si>
  <si>
    <t xml:space="preserve">
92.08056</t>
  </si>
  <si>
    <t>431.48 Km</t>
  </si>
  <si>
    <t>Napitkhali, Boalkhali, Islamabad, Chakaria, Cox's Bazar, Chittagong, Bangladesh</t>
  </si>
  <si>
    <t>21.579592</t>
  </si>
  <si>
    <t xml:space="preserve">
92.06859</t>
  </si>
  <si>
    <t>445.51 Km</t>
  </si>
  <si>
    <t>Nambihin Rasta, Bharua Khali, Dhalichhara, Rashid Nagar, Ramu, Cox's Bazar, Chittagong, Bangladesh</t>
  </si>
  <si>
    <t>21.51775</t>
  </si>
  <si>
    <t>453.54 Km</t>
  </si>
  <si>
    <t>Dhaka - Cox's Bazar Highway, Dhalichhara, Rashid Nagar, Ramu, Cox's Bazar, Chittagong, Bangladesh</t>
  </si>
  <si>
    <t>21.507368</t>
  </si>
  <si>
    <t xml:space="preserve">
92.07098</t>
  </si>
  <si>
    <t>455.69 Km</t>
  </si>
  <si>
    <t>4.02 km</t>
  </si>
  <si>
    <t>West Joaria nala government primary school, Joarianala, Joarianala, Ramu Upazila, Coxs Bazar District, Chittagong Division, Bangladesh</t>
  </si>
  <si>
    <t>21.462852</t>
  </si>
  <si>
    <t xml:space="preserve">
92.102875</t>
  </si>
  <si>
    <t>464.62 Km</t>
  </si>
  <si>
    <t>5.54 km</t>
  </si>
  <si>
    <t>Chittagong - Cox's Bazar Highway, Fatekharkul, Ramu, Cox's Bazar, Chittagong, Bangladesh</t>
  </si>
  <si>
    <t>ফজল করিম সিকদার সড়ক, Chainda, Dakshin Mithachhari, Ramu, Cox's Bazar, Chittagong, Bangladesh</t>
  </si>
  <si>
    <t>21.42342</t>
  </si>
  <si>
    <t xml:space="preserve">
92.04282</t>
  </si>
  <si>
    <t>465.06 Km</t>
  </si>
  <si>
    <t>Cox's Bazar - Teknaf Highway, Samader Bazar, Jhilwanja, Dakshin Mithachhari, Ramu, Cox's Bazar, Chittagong, Bangladesh</t>
  </si>
  <si>
    <t>21.418627</t>
  </si>
  <si>
    <t xml:space="preserve">
92.03061</t>
  </si>
  <si>
    <t>464.73 Km</t>
  </si>
  <si>
    <t>Barmese Market Road, Paurashava, Cox's Bazar Sadar, Cox's Bazar, Chittagong, Bangladesh</t>
  </si>
  <si>
    <t>21.442144</t>
  </si>
  <si>
    <t xml:space="preserve">
91.98282</t>
  </si>
  <si>
    <t>457.49 Km</t>
  </si>
  <si>
    <t>Romalirchara Main Road, Jhilwanja, Cox's Bazar Sadar, Cox's Bazar, Chittagong, Bangladesh</t>
  </si>
  <si>
    <t>21.439339</t>
  </si>
  <si>
    <t xml:space="preserve">
91.992516</t>
  </si>
  <si>
    <t>458.68 Km</t>
  </si>
  <si>
    <t>934.77 m</t>
  </si>
  <si>
    <t>around Palm Riviera, Khurushkul, CoxS Bazar Sadar Thana, CoxS Bazar, Bangladesh</t>
  </si>
  <si>
    <t>21.441784</t>
  </si>
  <si>
    <t xml:space="preserve">
91.97028</t>
  </si>
  <si>
    <t>456.53 Km</t>
  </si>
  <si>
    <t>171.45 m</t>
  </si>
  <si>
    <t>Badar Mokam Jaame Masjid, IBP Road, Cox's Bazar, Paurashava, Chittagong Division, Bangladesh</t>
  </si>
  <si>
    <t>21.443333</t>
  </si>
  <si>
    <t xml:space="preserve">
91.979164</t>
  </si>
  <si>
    <t>457.02 Km</t>
  </si>
  <si>
    <t>842.61 m</t>
  </si>
  <si>
    <t>Badar Mokam Jaame Masjid, Garir Mart Road, Cox's Bazar, Paurashava, Chittagong Division, Bangladesh</t>
  </si>
  <si>
    <t>21.441954</t>
  </si>
  <si>
    <t xml:space="preserve">
91.978424</t>
  </si>
  <si>
    <t>457.16 Km</t>
  </si>
  <si>
    <t>5.06 km</t>
  </si>
  <si>
    <t>Jhawban Restaurant, Hotel Sayeman Road, Cox's Bazar, Paurashava, Chittagong Division, Bangladesh</t>
  </si>
  <si>
    <t>269.92 m</t>
  </si>
  <si>
    <t>Coxs Bazar, Jhilwanja, Jhilwanja, Chittagong Division, Bangladesh</t>
  </si>
  <si>
    <t>21.423773</t>
  </si>
  <si>
    <t xml:space="preserve">
92.01523</t>
  </si>
  <si>
    <t>462.74 Km</t>
  </si>
  <si>
    <t>291.53 m</t>
  </si>
  <si>
    <t>21.44005</t>
  </si>
  <si>
    <t xml:space="preserve">
91.98981</t>
  </si>
  <si>
    <t>458.35 Km</t>
  </si>
  <si>
    <t>Paurashava, Cox's Bazar Sadar, Cox's Bazar, Chittagong, Bangladesh</t>
  </si>
  <si>
    <t>21.449574</t>
  </si>
  <si>
    <t xml:space="preserve">
91.985275</t>
  </si>
  <si>
    <t>456.63 Km</t>
  </si>
  <si>
    <t>Gorakghata Municipality, Jhilwanja, Cox's Bazar Sadar, Cox's Bazar, Chittagong, Bangladesh</t>
  </si>
  <si>
    <t>21.433674</t>
  </si>
  <si>
    <t xml:space="preserve">
92.000916</t>
  </si>
  <si>
    <t>460.17 Km</t>
  </si>
  <si>
    <t>মাষ্টার অমৃত সদন ঝিলংজা পূর্ব বড়ুয়া পাড়া, Cox's Bazar, Jhilwanja, Jhilwanja, Chittagong Division, Bangladesh</t>
  </si>
  <si>
    <t>21.436033</t>
  </si>
  <si>
    <t xml:space="preserve">
92.01077</t>
  </si>
  <si>
    <t>460.64 Km</t>
  </si>
  <si>
    <t>Dhaka - Chittagong Highway, Mohori Para, Jhilwanja, Cox's Bazar Sadar, Cox's Bazar, Chittagong, Bangladesh</t>
  </si>
  <si>
    <t>21.42484</t>
  </si>
  <si>
    <t xml:space="preserve">
92.02738</t>
  </si>
  <si>
    <t>463.59 Km</t>
  </si>
  <si>
    <t>5.59 km</t>
  </si>
  <si>
    <t>Cox's Bazar - Teknaf Highway, Dakshin Mithachhari, Ramu, Cox's Bazar, Chittagong, Bangladesh</t>
  </si>
  <si>
    <t>21.409374</t>
  </si>
  <si>
    <t xml:space="preserve">
92.04936</t>
  </si>
  <si>
    <t>467.59 Km</t>
  </si>
  <si>
    <t>21.368093</t>
  </si>
  <si>
    <t xml:space="preserve">
92.080246</t>
  </si>
  <si>
    <t>475.97 Km</t>
  </si>
  <si>
    <t>4.79 km</t>
  </si>
  <si>
    <t>Ramu-Maricha Road, Dhechuapalong, Dariar Dighi, Khuniapalong, Ramu, Cox's Bazar, Chittagong, Bangladesh</t>
  </si>
  <si>
    <t>21.328558</t>
  </si>
  <si>
    <t xml:space="preserve">
92.09639</t>
  </si>
  <si>
    <t>482.89 Km</t>
  </si>
  <si>
    <t>2.93 km</t>
  </si>
  <si>
    <t>4.26 km</t>
  </si>
  <si>
    <t>Nambihin Rasta, Courtbazar, Raja Palong, Ukhiya, Cox's Bazar, Chittagong, Bangladesh</t>
  </si>
  <si>
    <t>21.260464</t>
  </si>
  <si>
    <t xml:space="preserve">
92.109634</t>
  </si>
  <si>
    <t>493.62 Km</t>
  </si>
  <si>
    <t>Ukhia, Raja Palong, Ukhiya, Cox's Bazar, Chittagong, Bangladesh</t>
  </si>
  <si>
    <t>21.242857</t>
  </si>
  <si>
    <t xml:space="preserve">
92.14611</t>
  </si>
  <si>
    <t>499.1 Km</t>
  </si>
  <si>
    <t>3.28 km</t>
  </si>
  <si>
    <t>Balukhali Bazar, Ukhiarghat R.f., Palong Khali, Ukhiya, Cox's Bazar, Chittagong, Bangladesh</t>
  </si>
  <si>
    <t>21.162771</t>
  </si>
  <si>
    <t xml:space="preserve">
92.14669</t>
  </si>
  <si>
    <t>510.53 Km</t>
  </si>
  <si>
    <t>949.67 m</t>
  </si>
  <si>
    <t>Nambihin Rasta, Balukhali Bazar, Ukhiarghat R.f., Palong Khali, Ukhiya, Cox's Bazar, Chittagong, Bangladesh</t>
  </si>
  <si>
    <t>21.17106</t>
  </si>
  <si>
    <t xml:space="preserve">
92.144485</t>
  </si>
  <si>
    <t>509.17 Km</t>
  </si>
  <si>
    <t>Nambihin Rasta, Gundum, Ukhiarghat R.f., Palong Khali, Ukhiya, Cox's Bazar, Chittagong, Bangladesh</t>
  </si>
  <si>
    <t>21.196669</t>
  </si>
  <si>
    <t xml:space="preserve">
92.15937</t>
  </si>
  <si>
    <t>506.74 Km</t>
  </si>
  <si>
    <t>21.206242</t>
  </si>
  <si>
    <t xml:space="preserve">
92.16176</t>
  </si>
  <si>
    <t>505.57 Km</t>
  </si>
  <si>
    <t>Cox's Bazar - Teknaf Highway, Ukhia, Raja Palong, Ukhiya, Cox's Bazar, Chittagong, Bangladesh</t>
  </si>
  <si>
    <t>21.229853</t>
  </si>
  <si>
    <t xml:space="preserve">
92.16016</t>
  </si>
  <si>
    <t>502.1 Km</t>
  </si>
  <si>
    <t>5.92 km</t>
  </si>
  <si>
    <t>রত্নাপালং সেতু, কক্সবাজার - টেকনাফ মহাসড়ক, Rajapalong, Raja Palong, Ukhiya, কক্সবাজার জেলা, চট্টগ্রাম বিভাগ, Bangladesh</t>
  </si>
  <si>
    <t>21.266214</t>
  </si>
  <si>
    <t xml:space="preserve">
92.10699</t>
  </si>
  <si>
    <t>492.59 Km</t>
  </si>
  <si>
    <t>Cox's Bazar - Teknaf Highway, Moricha, Dhechua Palong, Khuniapalong, Ramu, Cox's Bazar, Chittagong, Bangladesh</t>
  </si>
  <si>
    <t>21.318546</t>
  </si>
  <si>
    <t xml:space="preserve">
92.09645</t>
  </si>
  <si>
    <t>484.31 Km</t>
  </si>
  <si>
    <t>Cox's Bazar - Teknaf Highway, Rabita, Khunia Palong, Khuniapalong, Ramu, Cox's Bazar, Chittagong, Bangladesh</t>
  </si>
  <si>
    <t>21.339615</t>
  </si>
  <si>
    <t xml:space="preserve">
92.08053</t>
  </si>
  <si>
    <t>480.02 Km</t>
  </si>
  <si>
    <t>4.73 km</t>
  </si>
  <si>
    <t>A.B.M Poultry &amp; Agro Farm, Cox's Bazar, Dakshin Mithachhari, Dakshin Mithachhari, Ramu Upazila, Chittagong Division, Bangladesh</t>
  </si>
  <si>
    <t>21.395857</t>
  </si>
  <si>
    <t xml:space="preserve">
92.06002</t>
  </si>
  <si>
    <t>470.38 Km</t>
  </si>
  <si>
    <t>57/12, Cox's Bazar - Himchari Road, Kolatoli, Jhilwanja, Cox's Bazar Sadar, Cox's Bazar, Chittagong, Bangladesh</t>
  </si>
  <si>
    <t>21.41364</t>
  </si>
  <si>
    <t xml:space="preserve">
91.986336</t>
  </si>
  <si>
    <t>461.83 Km</t>
  </si>
  <si>
    <t>Nambihin Rasta, Cox's Bazar, Chittagong, Bangladesh</t>
  </si>
  <si>
    <t>21.412447</t>
  </si>
  <si>
    <t xml:space="preserve">
91.97456</t>
  </si>
  <si>
    <t>461.06 Km</t>
  </si>
  <si>
    <t>57, Cox's Bazar Marine Drive, Jhilwanja, Cox's Bazar, Chittagong, Bangladesh</t>
  </si>
  <si>
    <t>21.412157</t>
  </si>
  <si>
    <t xml:space="preserve">
91.98429</t>
  </si>
  <si>
    <t>461.88 Km</t>
  </si>
  <si>
    <t>10, Chittagong - Cox's Bazar Highway, Kolatoli, Jhilwanja, Cox's Bazar Sadar, Cox's Bazar, Chittagong, Bangladesh</t>
  </si>
  <si>
    <t>21.420374</t>
  </si>
  <si>
    <t xml:space="preserve">
91.99351</t>
  </si>
  <si>
    <t>461.45 Km</t>
  </si>
  <si>
    <t>Nambihin Rasta, Kolatoli, Jhilwanja, Cox's Bazar Sadar, Cox's Bazar, Chittagong, Bangladesh</t>
  </si>
  <si>
    <t>21.412472</t>
  </si>
  <si>
    <t xml:space="preserve">
91.991295</t>
  </si>
  <si>
    <t>462.4 Km</t>
  </si>
  <si>
    <t>Sughandha Beach Road, Jhilwanja, Cox's Bazar Sadar, Cox's Bazar, Chittagong 4700, Bangladesh</t>
  </si>
  <si>
    <t>21.42363</t>
  </si>
  <si>
    <t xml:space="preserve">
91.97892</t>
  </si>
  <si>
    <t>459.81 Km</t>
  </si>
  <si>
    <t>21.414368</t>
  </si>
  <si>
    <t xml:space="preserve">
91.98677</t>
  </si>
  <si>
    <t>461.76 Km</t>
  </si>
  <si>
    <t>559.18 m</t>
  </si>
  <si>
    <t>South Romalirchara Road, Cox Bazar, Jhilwanja, Jhilwanja, Coxs Bazar Sadar Upazila, Chittagong Division , Bangladesh</t>
  </si>
  <si>
    <t>21.428541</t>
  </si>
  <si>
    <t xml:space="preserve">
91.98008</t>
  </si>
  <si>
    <t>459.2 Km</t>
  </si>
  <si>
    <t>Nambihin Rasta, Jhilwanja, Cox's Bazar Sadar, Cox's Bazar, Chittagong, Bangladesh</t>
  </si>
  <si>
    <t>21.432364</t>
  </si>
  <si>
    <t xml:space="preserve">
91.98095</t>
  </si>
  <si>
    <t>458.73 Km</t>
  </si>
  <si>
    <t>Diabatic Point Beach Road, Cox's Bazar Airport, Khurushkul, Cox's Bazar Sadar, Cox's Bazar, Chittagong, Bangladesh</t>
  </si>
  <si>
    <t>21.443075</t>
  </si>
  <si>
    <t xml:space="preserve">
91.967354</t>
  </si>
  <si>
    <t>456.11 Km</t>
  </si>
  <si>
    <t>Coxs Bazar, Khurushkul, Khurushkul, Chittagong Division, Bangladesh</t>
  </si>
  <si>
    <t>Baimail Nodir Par Road, Baimail Nodir Par, Baimail, Basan, Gazipur Sadar, Gazipur, Dhaka, Bangladesh</t>
  </si>
  <si>
    <t>24.003319</t>
  </si>
  <si>
    <t xml:space="preserve">
90.34592</t>
  </si>
  <si>
    <t>39.9 Km</t>
  </si>
  <si>
    <t>737, Horinachala Road, Parijat, Mirpur, Konabari, Gazipur Sadar, Gazipur, Dhaka 1346, Bangladesh</t>
  </si>
  <si>
    <t>24.00992</t>
  </si>
  <si>
    <t xml:space="preserve">
90.31625</t>
  </si>
  <si>
    <t>42.37 Km</t>
  </si>
  <si>
    <t>181, Mouchak - Fulbaria Road, Helicopter, Konabari, Kauchakuri, Mouchak, Kaliakair, Gazipur, Dhaka 1751, Bangladesh</t>
  </si>
  <si>
    <t>24.021584</t>
  </si>
  <si>
    <t xml:space="preserve">
90.299706</t>
  </si>
  <si>
    <t>45.12 Km</t>
  </si>
  <si>
    <t>N4, Jamuna Group, Shafipur, Kauchakuri, Mouchak, Kaliakair, Gazipur, Dhaka, Bangladesh</t>
  </si>
  <si>
    <t>24.01811</t>
  </si>
  <si>
    <t xml:space="preserve">
90.27816</t>
  </si>
  <si>
    <t>46 Km</t>
  </si>
  <si>
    <t>Shafipur, Safipur, Mouchat, Kaliakair, Gazipur, Dhaka, Bangladesh</t>
  </si>
  <si>
    <t>24.027086</t>
  </si>
  <si>
    <t xml:space="preserve">
90.27845</t>
  </si>
  <si>
    <t>47.31 Km</t>
  </si>
  <si>
    <t>2.56 km</t>
  </si>
  <si>
    <t>Joydebpur - Tangail Hwy, Konabari, Kauchakuri, Mouchak, Kaliakair, Gazipur, Dhaka, Bangladesh</t>
  </si>
  <si>
    <t>24.01848</t>
  </si>
  <si>
    <t xml:space="preserve">
90.30333</t>
  </si>
  <si>
    <t>44.43 Km</t>
  </si>
  <si>
    <t>Mirpur, Konabari, Gazipur Sadar, Gazipur, Dhaka, Bangladesh</t>
  </si>
  <si>
    <t>24.007751</t>
  </si>
  <si>
    <t xml:space="preserve">
90.308075</t>
  </si>
  <si>
    <t>42.5 Km</t>
  </si>
  <si>
    <t>1.88 km</t>
  </si>
  <si>
    <t>1346, Masjid Road, Mirpur, Konabari, Gazipur Sadar, Gazipur, Dhaka, Bangladesh</t>
  </si>
  <si>
    <t>24.012491</t>
  </si>
  <si>
    <t xml:space="preserve">
90.32585</t>
  </si>
  <si>
    <t>42.27 Km</t>
  </si>
  <si>
    <t>Dhalai Factory To Muchipara Road, Ambag, Kauchakuri, Konabari, Gazipur Sadar, Gazipur, Dhaka, Bangladesh</t>
  </si>
  <si>
    <t>24.018826</t>
  </si>
  <si>
    <t xml:space="preserve">
90.31564</t>
  </si>
  <si>
    <t>43.79 Km</t>
  </si>
  <si>
    <t>কাসেম কটন রোড, Jarun, Baimail, Konabari, Gazipur Sadar, Gazipur, Dhaka, Bangladesh</t>
  </si>
  <si>
    <t>23.999987</t>
  </si>
  <si>
    <t xml:space="preserve">
90.336266</t>
  </si>
  <si>
    <t>39.79 Km</t>
  </si>
  <si>
    <t>Road, Jarun, Gobindabari, Kashimpur, Gazipur Sadar, Gazipur, Dhaka, Bangladesh</t>
  </si>
  <si>
    <t>23.996113</t>
  </si>
  <si>
    <t xml:space="preserve">
90.31869</t>
  </si>
  <si>
    <t>40.09 Km</t>
  </si>
  <si>
    <t>Nambihin Rasta, Barenda, Kashimpur, Gazipur Sadar, Gazipur, Dhaka, Bangladesh</t>
  </si>
  <si>
    <t>23.985107</t>
  </si>
  <si>
    <t xml:space="preserve">
90.310715</t>
  </si>
  <si>
    <t>Kashimpur nodir par Road, Surabari, Kashimpur, Gazipur Sadar, Gazipur, Dhaka, Bangladesh</t>
  </si>
  <si>
    <t>23.982033</t>
  </si>
  <si>
    <t xml:space="preserve">
90.32802</t>
  </si>
  <si>
    <t>37.38 Km</t>
  </si>
  <si>
    <t>Nambihin Rasta, Jarun, Mirpur, Konabari, Gazipur Sadar, Gazipur, Dhaka, Bangladesh</t>
  </si>
  <si>
    <t>23.998093</t>
  </si>
  <si>
    <t xml:space="preserve">
90.32372</t>
  </si>
  <si>
    <t>40.12 Km</t>
  </si>
  <si>
    <t>Jarun Road, Jarun, Gobindabari, Konabari, Gazipur Sadar, Gazipur, Dhaka, Bangladesh</t>
  </si>
  <si>
    <t>23.997997</t>
  </si>
  <si>
    <t xml:space="preserve">
90.31509</t>
  </si>
  <si>
    <t>40.59 Km</t>
  </si>
  <si>
    <t>23.985106</t>
  </si>
  <si>
    <t xml:space="preserve">
90.313225</t>
  </si>
  <si>
    <t>38.72 Km</t>
  </si>
  <si>
    <t>1215, Zirani Kashimpur Road, Barenda, Basan, Gazipur Sadar, Gazipur, Dhaka, Bangladesh</t>
  </si>
  <si>
    <t>23.986412</t>
  </si>
  <si>
    <t xml:space="preserve">
90.3196</t>
  </si>
  <si>
    <t>38.54 Km</t>
  </si>
  <si>
    <t>933.42 m</t>
  </si>
  <si>
    <t>Narsinghapur Kashimpur Road, সুরাবাড়ি নেট, কাশিমপুর, Surabari, Kashimpur, Gazipur Sadar, গাজীপুর জেলা, ঢাকা বিভাগ, Bangladesh</t>
  </si>
  <si>
    <t>23.974821</t>
  </si>
  <si>
    <t xml:space="preserve">
90.32034</t>
  </si>
  <si>
    <t>36.71 Km</t>
  </si>
  <si>
    <t>285.11 m</t>
  </si>
  <si>
    <t>Nambihin Rasta, Kashimpur, Islampur, Basan, Gazipur Sadar, Gazipur, Dhaka, Bangladesh</t>
  </si>
  <si>
    <t>23.983213</t>
  </si>
  <si>
    <t xml:space="preserve">
90.32046</t>
  </si>
  <si>
    <t>38 Km</t>
  </si>
  <si>
    <t>Nambihin Rasta, Kashimpur, Barenda, Basan, Gazipur Sadar, Gazipur, Dhaka, Bangladesh</t>
  </si>
  <si>
    <t>23.983704</t>
  </si>
  <si>
    <t xml:space="preserve">
90.3177</t>
  </si>
  <si>
    <t>38.23 Km</t>
  </si>
  <si>
    <t>357.66 m</t>
  </si>
  <si>
    <t>765.86 m</t>
  </si>
  <si>
    <t>SAJALS PALACE, 926, 𝙎𝙖𝙟𝙖𝙡𝙎 𝙍𝙤𝙖𝘿, Barenda, Kashimpur, Gazipur Sadar, Gazipur, Dhaka 1346, Bangladesh</t>
  </si>
  <si>
    <t>23.980118</t>
  </si>
  <si>
    <t xml:space="preserve">
90.31654</t>
  </si>
  <si>
    <t>37.76 Km</t>
  </si>
  <si>
    <t>Kashimpur nodir par Road, Kasimpur, Kashimpur, Gazipur Sadar, Gazipur, Dhaka, Bangladesh</t>
  </si>
  <si>
    <t>23.977043</t>
  </si>
  <si>
    <t xml:space="preserve">
90.33385</t>
  </si>
  <si>
    <t>36.29 Km</t>
  </si>
  <si>
    <t>কডডা বিদ্যুত কেন্দ্র সড়ক, Hamiduzzaman Sculpture Park, Jarun, Islampur, Basan, Gazipur Sadar, Gazipur, Dhaka, Bangladesh</t>
  </si>
  <si>
    <t>23.98872</t>
  </si>
  <si>
    <t xml:space="preserve">
90.34057</t>
  </si>
  <si>
    <t>37.8 Km</t>
  </si>
  <si>
    <t>Bason, Basan, Gazipur Sadar, Gazipur, Dhaka, Bangladesh</t>
  </si>
  <si>
    <t>23.971167</t>
  </si>
  <si>
    <t xml:space="preserve">
90.35019</t>
  </si>
  <si>
    <t>34.57 Km</t>
  </si>
  <si>
    <t>966.67 m</t>
  </si>
  <si>
    <t>Mollapara Road, Kadda Nandul, Basan, Gazipur Sadar, Gazipur, Dhaka, Bangladesh</t>
  </si>
  <si>
    <t>23.979542</t>
  </si>
  <si>
    <t xml:space="preserve">
90.36019</t>
  </si>
  <si>
    <t>35.51 Km</t>
  </si>
  <si>
    <t>Islampur.ward 14, Islampur, Basan, Gazipur Sadar, Gazipur, Dhaka, Bangladesh</t>
  </si>
  <si>
    <t>23.983532</t>
  </si>
  <si>
    <t xml:space="preserve">
90.35174</t>
  </si>
  <si>
    <t>36.48 Km</t>
  </si>
  <si>
    <t>613.53 m</t>
  </si>
  <si>
    <t>853.66 m</t>
  </si>
  <si>
    <t>132.44 m</t>
  </si>
  <si>
    <t>300.05 m</t>
  </si>
  <si>
    <t>1.72 Km</t>
  </si>
  <si>
    <t>410.1 m</t>
  </si>
  <si>
    <t>House 47, Road 134, Gulshan 1, Ward-19, Gulshan, Dhaka, Dhaka 1212, Bangladesh</t>
  </si>
  <si>
    <t>23.780401</t>
  </si>
  <si>
    <t>1.27 Km</t>
  </si>
  <si>
    <t>996.68 m</t>
  </si>
  <si>
    <t>13/A, Road 13, Gulshan, Dhaka, Ward-19, Dcc (Gulshan), Bangladesh, 1212</t>
  </si>
  <si>
    <t>23.783947</t>
  </si>
  <si>
    <t xml:space="preserve">
90.41656</t>
  </si>
  <si>
    <t>1.84 Km</t>
  </si>
  <si>
    <t>307.79 m</t>
  </si>
  <si>
    <t>10, Road Number 1/A, Police Plaza, Ward-19, Gulshan, Dhaka, Dhaka 1212, Bangladesh</t>
  </si>
  <si>
    <t>23.77532</t>
  </si>
  <si>
    <t xml:space="preserve">
90.413895</t>
  </si>
  <si>
    <t>532.8 m</t>
  </si>
  <si>
    <t>72.71 m</t>
  </si>
  <si>
    <t>857.44 m</t>
  </si>
  <si>
    <t>486.76 m</t>
  </si>
  <si>
    <t>7, Road 141, Ward-19, Gulshan, Dhaka, Dhaka 1212, Bangladesh</t>
  </si>
  <si>
    <t>23.775173</t>
  </si>
  <si>
    <t xml:space="preserve">
90.41868</t>
  </si>
  <si>
    <t>537.55 m</t>
  </si>
  <si>
    <t>649.76 m</t>
  </si>
  <si>
    <t>1.41 Km</t>
  </si>
  <si>
    <t>91, Gulshan Avenue, Gulshan 1, Ward-19, Gulshan, Dhaka, Dhaka 1212, Bangladesh</t>
  </si>
  <si>
    <t>23.78719</t>
  </si>
  <si>
    <t xml:space="preserve">
90.416306</t>
  </si>
  <si>
    <t>2.38 Km</t>
  </si>
  <si>
    <t>794.24 m</t>
  </si>
  <si>
    <t>Karail Road, Ward No. 19, Ward-19, Gulshan, Dhaka, Dhaka 1212, Bangladesh</t>
  </si>
  <si>
    <t>23.786732</t>
  </si>
  <si>
    <t>2.77 Km</t>
  </si>
  <si>
    <t>4.67 km</t>
  </si>
  <si>
    <t>মিয়াবাড়ী রোড, গজারিয়াপাড়া, Ara-Isa Prasad, Kayaltia, Gazipur Sadar, Gazipur, Dhaka, Bangladesh</t>
  </si>
  <si>
    <t>24.089132</t>
  </si>
  <si>
    <t xml:space="preserve">
90.39352</t>
  </si>
  <si>
    <t>52.86 Km</t>
  </si>
  <si>
    <t>1.83 km</t>
  </si>
  <si>
    <t>Nambihin Rasta, Rajendrapur Cantonment, রক্ষিত পাড়া, Atlora, Barui Para, Mirzapur, Gazipur Sadar, Gazipur, Dhaka, Bangladesh</t>
  </si>
  <si>
    <t>24.089157</t>
  </si>
  <si>
    <t xml:space="preserve">
90.439476</t>
  </si>
  <si>
    <t>52.87 Km</t>
  </si>
  <si>
    <t>Rajendrapur-Faugan Bazar Road, Atlora, Noagaon, Rajabari, Sreepur, Gazipur, Dhaka, Bangladesh</t>
  </si>
  <si>
    <t>24.093523</t>
  </si>
  <si>
    <t xml:space="preserve">
90.45682</t>
  </si>
  <si>
    <t>53.83 Km</t>
  </si>
  <si>
    <t>রাজেন্দ্রপুর - কাপাসিয়া - টোক সড়ক, Rajendrapur Cantonment, রক্ষিত পাড়া, Atlora, Barui Para, Mirzapur, Gazipur Sadar, Gazipur, Dhaka, Bangladesh</t>
  </si>
  <si>
    <t>24.093542</t>
  </si>
  <si>
    <t xml:space="preserve">
90.44127</t>
  </si>
  <si>
    <t>53.62 Km</t>
  </si>
  <si>
    <t>642.18 m</t>
  </si>
  <si>
    <t>Rajendrapur Cantonment, রক্ষিত পাড়া, Janakur, Barui Para, Mirzapur, Gazipur Sadar, Gazipur, Dhaka, Bangladesh</t>
  </si>
  <si>
    <t>24.094711</t>
  </si>
  <si>
    <t xml:space="preserve">
90.437744</t>
  </si>
  <si>
    <t>53.78 Km</t>
  </si>
  <si>
    <t>Dhaladia, Rajabari, Sreepur, Gazipur, Dhaka, Bangladesh</t>
  </si>
  <si>
    <t>24.09656</t>
  </si>
  <si>
    <t xml:space="preserve">
90.483505</t>
  </si>
  <si>
    <t>54.95 Km</t>
  </si>
  <si>
    <t>Faugan - Dholadia Road, Dhaladia, Gidharia, Rajabari, Sreepur, Gazipur, Dhaka, Bangladesh</t>
  </si>
  <si>
    <t>24.091494</t>
  </si>
  <si>
    <t xml:space="preserve">
90.47471</t>
  </si>
  <si>
    <t>53.88 Km</t>
  </si>
  <si>
    <t>RiDoY, Satiabari, Rajabari, Sreepur, Gazipur, Dhaka, Bangladesh</t>
  </si>
  <si>
    <t>24.098186</t>
  </si>
  <si>
    <t xml:space="preserve">
90.46519</t>
  </si>
  <si>
    <t>54.77 Km</t>
  </si>
  <si>
    <t>Rajendrapur - Kapasia - Toke Road, Dhaladia, Rajabari, Sreepur, Gazipur, Dhaka, Bangladesh</t>
  </si>
  <si>
    <t>24.10833</t>
  </si>
  <si>
    <t xml:space="preserve">
90.466965</t>
  </si>
  <si>
    <t>56.48 Km</t>
  </si>
  <si>
    <t>995.24 m</t>
  </si>
  <si>
    <t>Sardi Road, Chandna (Part), Basan, Gazipur Sadar, Gazipur, Dhaka, Bangladesh</t>
  </si>
  <si>
    <t>23.984901</t>
  </si>
  <si>
    <t xml:space="preserve">
90.39958</t>
  </si>
  <si>
    <t>35.45 Km</t>
  </si>
  <si>
    <t>শহীদ বরকত সরণী, Naljani, Basan, Gazipur Sadar, Gazipur, Dhaka, Bangladesh</t>
  </si>
  <si>
    <t>23.991041</t>
  </si>
  <si>
    <t xml:space="preserve">
90.391716</t>
  </si>
  <si>
    <t>36.57 Km</t>
  </si>
  <si>
    <t>1702, BTCL Road, Telipara, Tek Nagpara, Basan, Gazipur Sadar, Gazipur, Dhaka, Bangladesh</t>
  </si>
  <si>
    <t>24.00084</t>
  </si>
  <si>
    <t xml:space="preserve">
90.38764</t>
  </si>
  <si>
    <t>38.27 Km</t>
  </si>
  <si>
    <t>Degerchala Road, Choidana, Chhaydana, Gachha, Gazipur Sadar, Gazipur, Dhaka 1704, Bangladesh</t>
  </si>
  <si>
    <t>23.963892</t>
  </si>
  <si>
    <t xml:space="preserve">
90.38453</t>
  </si>
  <si>
    <t>32.22 Km</t>
  </si>
  <si>
    <t>Nambihin Rasta, Board Bazar, Kalmeshwar, Kalemeshwar, Gachha, Gazipur Sadar, Gazipur, Dhaka, Bangladesh</t>
  </si>
  <si>
    <t>23.944302</t>
  </si>
  <si>
    <t>29.18 Km</t>
  </si>
  <si>
    <t>2.48 km</t>
  </si>
  <si>
    <t>dhaka khet Road, Bhogra, Basan, Gazipur Sadar, Gazipur, Dhaka, Bangladesh</t>
  </si>
  <si>
    <t>23.984913</t>
  </si>
  <si>
    <t xml:space="preserve">
90.37513</t>
  </si>
  <si>
    <t>35.91 Km</t>
  </si>
  <si>
    <t>902.25 m</t>
  </si>
  <si>
    <t>Ibrahim Tower, Joydebpur - Tangail Highway, Naljani, Basan, Gazipur Sadar, Gazipur, Dhaka 1702, Bangladesh</t>
  </si>
  <si>
    <t>23.991642</t>
  </si>
  <si>
    <t xml:space="preserve">
90.39464</t>
  </si>
  <si>
    <t>36.63 Km</t>
  </si>
  <si>
    <t>568.03 m</t>
  </si>
  <si>
    <t>2, Joydebpur Road, Bhogra, Basan, Gazipur Sadar, Gazipur, Dhaka, Bangladesh</t>
  </si>
  <si>
    <t>23.98445</t>
  </si>
  <si>
    <t xml:space="preserve">
90.38069</t>
  </si>
  <si>
    <t>35.7 Km</t>
  </si>
  <si>
    <t>23.979399</t>
  </si>
  <si>
    <t xml:space="preserve">
90.36099</t>
  </si>
  <si>
    <t>35.46 Km</t>
  </si>
  <si>
    <t>বাসন সড়ক, Ojhar Para, Basan, Gazipur Sadar, Gazipur, Dhaka, Bangladesh</t>
  </si>
  <si>
    <t>23.96679</t>
  </si>
  <si>
    <t xml:space="preserve">
90.365295</t>
  </si>
  <si>
    <t>33.26 Km</t>
  </si>
  <si>
    <t>999.28 m</t>
  </si>
  <si>
    <t>কলাবাগান - ইটাহাটা সড়ক, Itahata, Basan, Gazipur Sadar, Gazipur, Dhaka, Bangladesh</t>
  </si>
  <si>
    <t>23.995384</t>
  </si>
  <si>
    <t xml:space="preserve">
90.3699</t>
  </si>
  <si>
    <t>37.77 Km</t>
  </si>
  <si>
    <t>1702, N4, Naojuri, Basan, Gazipur Sadar, Gazipur, Dhaka, Bangladesh</t>
  </si>
  <si>
    <t>23.988144</t>
  </si>
  <si>
    <t xml:space="preserve">
90.364075</t>
  </si>
  <si>
    <t>36.77 Km</t>
  </si>
  <si>
    <t>BAU Main Road, Bangladesh Agriculture University Campus Area, Paurashava, Mymensingh Sadar, Mymensingh, Mymensingh, Bangladesh</t>
  </si>
  <si>
    <t>24.726715</t>
  </si>
  <si>
    <t xml:space="preserve">
90.43286</t>
  </si>
  <si>
    <t>159.1 Km</t>
  </si>
  <si>
    <t>Mymensingh-Gafargaon Highway, BAU Residential Area, Char Ishwardia, Mymensingh Sadar, Mymensingh, Mymensingh, Bangladesh</t>
  </si>
  <si>
    <t>24.732628</t>
  </si>
  <si>
    <t xml:space="preserve">
90.43167</t>
  </si>
  <si>
    <t>160.08 Km</t>
  </si>
  <si>
    <t>86, Santinagor Santinagor, Paurashava, Mymensingh Sadar, Mymensingh, Mymensingh 2200, Bangladesh</t>
  </si>
  <si>
    <t>24.726582</t>
  </si>
  <si>
    <t xml:space="preserve">
90.406845</t>
  </si>
  <si>
    <t>159.06 Km</t>
  </si>
  <si>
    <t>Noton Bazzer Connecting Road, Akua (Part), Akua, Mymensingh Sadar, Mymensingh, Mymensingh, Bangladesh</t>
  </si>
  <si>
    <t>24.741636</t>
  </si>
  <si>
    <t xml:space="preserve">
90.40023</t>
  </si>
  <si>
    <t>161.58 Km</t>
  </si>
  <si>
    <t>334.85 m</t>
  </si>
  <si>
    <t>2.5 km</t>
  </si>
  <si>
    <t>Nambihin Rasta, Paurashava, Mymensingh Sadar, Mymensingh, Mymensingh, Bangladesh</t>
  </si>
  <si>
    <t>24.741783</t>
  </si>
  <si>
    <t xml:space="preserve">
90.41564</t>
  </si>
  <si>
    <t>161.59 Km</t>
  </si>
  <si>
    <t>BFRI Main Road, Paurashava, Mymensingh Sadar, Mymensingh, Mymensingh, Bangladesh</t>
  </si>
  <si>
    <t>24.71536</t>
  </si>
  <si>
    <t xml:space="preserve">
90.426994</t>
  </si>
  <si>
    <t>157.19 Km</t>
  </si>
  <si>
    <t>324.66 m</t>
  </si>
  <si>
    <t>24.741222</t>
  </si>
  <si>
    <t xml:space="preserve">
90.429596</t>
  </si>
  <si>
    <t>161.51 Km</t>
  </si>
  <si>
    <t>Mymensingh - Bhairab Road, Char Nilakshmia, Mymensingh Sadar, Mymensingh, Mymensingh, Bangladesh</t>
  </si>
  <si>
    <t>24.746473</t>
  </si>
  <si>
    <t xml:space="preserve">
90.47877</t>
  </si>
  <si>
    <t>162.65 Km</t>
  </si>
  <si>
    <t>Nambihin Rasta, Koltapara, Nandigaon, Dhakakhala, Gouripur, Mymensingh, Bangladesh</t>
  </si>
  <si>
    <t>24.733852</t>
  </si>
  <si>
    <t xml:space="preserve">
90.530846</t>
  </si>
  <si>
    <t>161.21 Km</t>
  </si>
  <si>
    <t>Ishwargonj - Tarundia Road, Datta Para, Ishwarganj Paurashava, Ishwarganj, Mymensingh, Bangladesh</t>
  </si>
  <si>
    <t>24.683302</t>
  </si>
  <si>
    <t xml:space="preserve">
90.58818</t>
  </si>
  <si>
    <t>154.07 Km</t>
  </si>
  <si>
    <t>Nambihin Rasta, Harua, Jatia, Ishwarganj, Mymensingh, Bangladesh</t>
  </si>
  <si>
    <t>24.649895</t>
  </si>
  <si>
    <t xml:space="preserve">
90.61912</t>
  </si>
  <si>
    <t>149.48 Km</t>
  </si>
  <si>
    <t>Nambihin Rasta, Ballabhpur, Sadhurgola, Maijbagh, Ishwarganj, Mymensingh, Bangladesh</t>
  </si>
  <si>
    <t>24.608982</t>
  </si>
  <si>
    <t xml:space="preserve">
90.61222</t>
  </si>
  <si>
    <t>142.58 Km</t>
  </si>
  <si>
    <t>Nambihin Rasta, Ballabhpur, Maijbagh, Ishwarganj, Mymensingh, Bangladesh</t>
  </si>
  <si>
    <t>24.59536</t>
  </si>
  <si>
    <t xml:space="preserve">
90.62175</t>
  </si>
  <si>
    <t>140.68 Km</t>
  </si>
  <si>
    <t>5.24 km</t>
  </si>
  <si>
    <t>Mymensingh - Bhairab Road, Jatia, Harua, Maijbagh, Ishwarganj, Mymensingh, Bangladesh</t>
  </si>
  <si>
    <t>24.641485</t>
  </si>
  <si>
    <t xml:space="preserve">
90.61297</t>
  </si>
  <si>
    <t>147.91 Km</t>
  </si>
  <si>
    <t>7, Dhamdi Road, Dhamdi, Ishwarganj, Ishwarganj, Mymensingh, Bangladesh</t>
  </si>
  <si>
    <t>24.688354</t>
  </si>
  <si>
    <t xml:space="preserve">
90.60712</t>
  </si>
  <si>
    <t>155.41 Km</t>
  </si>
  <si>
    <t>Nambihin Rasta, Char Nikla, Ishwarganj Paurashava, Ishwarganj, Mymensingh, Bangladesh</t>
  </si>
  <si>
    <t>24.698503</t>
  </si>
  <si>
    <t xml:space="preserve">
90.59698</t>
  </si>
  <si>
    <t>156.79 Km</t>
  </si>
  <si>
    <t>Pumbail, Ishwarganj Paurashava, Ishwarganj, Mymensingh, Bangladesh</t>
  </si>
  <si>
    <t>24.690865</t>
  </si>
  <si>
    <t xml:space="preserve">
90.580574</t>
  </si>
  <si>
    <t>155.12 Km</t>
  </si>
  <si>
    <t>Mymensingh - Kishoreganj Highway, Shomvugang, Jhaugai, Dhakakhala, Gouripur, Mymensingh, Bangladesh</t>
  </si>
  <si>
    <t>24.737844</t>
  </si>
  <si>
    <t xml:space="preserve">
90.514404</t>
  </si>
  <si>
    <t>161.62 Km</t>
  </si>
  <si>
    <t>24.75109</t>
  </si>
  <si>
    <t xml:space="preserve">
90.42586</t>
  </si>
  <si>
    <t>163.15 Km</t>
  </si>
  <si>
    <t>Charpara By Lane, Akua (Part), Paurashava, Mymensingh Sadar, Mymensingh, Mymensingh, 2200, Bangladesh</t>
  </si>
  <si>
    <t>24.739323</t>
  </si>
  <si>
    <t xml:space="preserve">
90.401794</t>
  </si>
  <si>
    <t>161.19 Km</t>
  </si>
  <si>
    <t>2, Kewatkhali Power House Rd, Maskanda, Paurashava, Mymensingh Sadar, Mymensingh, Mymensingh, Bangladesh</t>
  </si>
  <si>
    <t>24.732048</t>
  </si>
  <si>
    <t xml:space="preserve">
90.41229</t>
  </si>
  <si>
    <t>159.97 Km</t>
  </si>
  <si>
    <t>3.64 km</t>
  </si>
  <si>
    <t>Akua Morolpara Road, Sarinda sobari, Akua (Part), Akua, Mymensingh Sadar, Mymensingh, Mymensingh, Bangladesh</t>
  </si>
  <si>
    <t>24.736835</t>
  </si>
  <si>
    <t xml:space="preserve">
90.393105</t>
  </si>
  <si>
    <t>160.8 Km</t>
  </si>
  <si>
    <t>Nambihin Rasta, Sasyamala, Dapunia, Mymensingh Sadar, Mymensingh, Bangladesh</t>
  </si>
  <si>
    <t>24.732046</t>
  </si>
  <si>
    <t xml:space="preserve">
90.35747</t>
  </si>
  <si>
    <t>160.22 Km</t>
  </si>
  <si>
    <t>975.1 m</t>
  </si>
  <si>
    <t>Mymensingh - Fulbaria Highway, Dapunia, Dapunia, Mymensingh Sadar, Mymensingh, Bangladesh</t>
  </si>
  <si>
    <t>24.727009</t>
  </si>
  <si>
    <t xml:space="preserve">
90.365364</t>
  </si>
  <si>
    <t>159.31 Km</t>
  </si>
  <si>
    <t>Nambihin Rasta, Ghagra, Barera, Akua, Mymensingh Sadar, Mymensingh, Bangladesh</t>
  </si>
  <si>
    <t>24.728136</t>
  </si>
  <si>
    <t xml:space="preserve">
90.38304</t>
  </si>
  <si>
    <t>159.39 Km</t>
  </si>
  <si>
    <t>2.69 km</t>
  </si>
  <si>
    <t>Nambihin Rasta, Akua (Part), Akua, Mymensingh Sadar, Mymensingh, Mymensingh, Bangladesh</t>
  </si>
  <si>
    <t>24.752422</t>
  </si>
  <si>
    <t xml:space="preserve">
90.39063</t>
  </si>
  <si>
    <t>163.41 Km</t>
  </si>
  <si>
    <t>2.23 km</t>
  </si>
  <si>
    <t>2200, Kalibari Road, Char Ishwardia, Mymensingh Sadar, Mymensingh, Mymensingh, Bangladesh</t>
  </si>
  <si>
    <t>24.753542</t>
  </si>
  <si>
    <t xml:space="preserve">
90.4172</t>
  </si>
  <si>
    <t>163.55 Km</t>
  </si>
  <si>
    <t>72, Phulbaria Road, আকুয়া জুবলি কোয়াটার, Naumahal, Akua (Part), Akua, Mymensingh Sadar, Mymensingh, Mymensingh, Bangladesh</t>
  </si>
  <si>
    <t>24.748886</t>
  </si>
  <si>
    <t xml:space="preserve">
90.39577</t>
  </si>
  <si>
    <t>162.8 Km</t>
  </si>
  <si>
    <t>21, Tikkapara Bylane, Mymensingh, Paurashava, Mymensingh Sadar, Mymensingh, Mymensingh 2200, Bangladesh</t>
  </si>
  <si>
    <t>24.754395</t>
  </si>
  <si>
    <t xml:space="preserve">
90.411354</t>
  </si>
  <si>
    <t>163.69 Km</t>
  </si>
  <si>
    <t>1.39 km</t>
  </si>
  <si>
    <t>Digharkanda Primary School Road, Maskanda, Paurashava, Mymensingh Sadar, Mymensingh, Mymensingh, Bangladesh</t>
  </si>
  <si>
    <t>24.727413</t>
  </si>
  <si>
    <t xml:space="preserve">
90.4101</t>
  </si>
  <si>
    <t>159.19 Km</t>
  </si>
  <si>
    <t>37, Bolashpur Bylane, Mymensingh, Paurashava, Bangladesh</t>
  </si>
  <si>
    <t>474.07 m</t>
  </si>
  <si>
    <t>31, Kali Bari Road, Char Ishwardia, Mymensingh Sadar, Mymensingh, Mymensingh 2200, Bangladesh</t>
  </si>
  <si>
    <t>24.751001</t>
  </si>
  <si>
    <t xml:space="preserve">
90.41776</t>
  </si>
  <si>
    <t>163.13 Km</t>
  </si>
  <si>
    <t>Eastern Bypass, Kewatkhali Moinar Mor Bus Stop, Paurashava, Mymensingh Sadar, Mymensingh, Mymensingh, Bangladesh</t>
  </si>
  <si>
    <t>24.73075</t>
  </si>
  <si>
    <t>Dhaka - Mymensingh Road, Barera, Akua, Mymensingh Sadar, Mymensingh, Mymensingh, Bangladesh</t>
  </si>
  <si>
    <t>24.704124</t>
  </si>
  <si>
    <t xml:space="preserve">
90.40998</t>
  </si>
  <si>
    <t>155.31 Km</t>
  </si>
  <si>
    <t>Churkhai, Ghagra, Bhabkhali, Mymensingh Sadar, Mymensingh, Bangladesh</t>
  </si>
  <si>
    <t>24.676249</t>
  </si>
  <si>
    <t xml:space="preserve">
90.39486</t>
  </si>
  <si>
    <t>150.69 Km</t>
  </si>
  <si>
    <t>Barera Road, Barera, Akua, Mymensingh Sadar, Mymensingh, Mymensingh, Bangladesh</t>
  </si>
  <si>
    <t>24.71221</t>
  </si>
  <si>
    <t xml:space="preserve">
90.401306</t>
  </si>
  <si>
    <t>156.67 Km</t>
  </si>
  <si>
    <t>3.01 km</t>
  </si>
  <si>
    <t>487.94 m</t>
  </si>
  <si>
    <t>50, Borobazar Road, Mymensingh, Paurashava, Bangladesh, 2200</t>
  </si>
  <si>
    <t>24.745285</t>
  </si>
  <si>
    <t xml:space="preserve">
90.39755</t>
  </si>
  <si>
    <t>162.2 Km</t>
  </si>
  <si>
    <t>Power Station Road, Char Ishwardia, Paurashava, Mymensingh Sadar, Mymensingh, Mymensingh, Bangladesh</t>
  </si>
  <si>
    <t>24.757654</t>
  </si>
  <si>
    <t xml:space="preserve">
90.41753</t>
  </si>
  <si>
    <t>164.24 Km</t>
  </si>
  <si>
    <t>639.72 m</t>
  </si>
  <si>
    <t>Ryans Computers- Mymensingh, 66, Choto Bazar Road, Mymensingh, Paurashava, Bangladesh</t>
  </si>
  <si>
    <t>24.75787</t>
  </si>
  <si>
    <t>164.27 Km</t>
  </si>
  <si>
    <t>92, Ram Krishna Mission Road, Naumahal, Akua, Mymensingh Sadar, Mymensingh, Mymensingh 2200, Bangladesh</t>
  </si>
  <si>
    <t>24.75277</t>
  </si>
  <si>
    <t xml:space="preserve">
90.40217</t>
  </si>
  <si>
    <t>163.44 Km</t>
  </si>
  <si>
    <t>Patgudam Road, Char Ishwardia, Mymensingh Sadar, Mymensingh, Mymensingh, Bangladesh</t>
  </si>
  <si>
    <t>24.751656</t>
  </si>
  <si>
    <t xml:space="preserve">
90.419975</t>
  </si>
  <si>
    <t>163.24 Km</t>
  </si>
  <si>
    <t>Rishipara, Jubilee Road, Paurashava, Mymensingh Sadar, Mymensingh, Mymensingh, Bangladesh</t>
  </si>
  <si>
    <t>24.764927</t>
  </si>
  <si>
    <t xml:space="preserve">
90.41032</t>
  </si>
  <si>
    <t>165.45 Km</t>
  </si>
  <si>
    <t>Kachari Road, Paurashava, Mymensingh Sadar, Mymensingh, Mymensingh, Bangladesh</t>
  </si>
  <si>
    <t>24.764877</t>
  </si>
  <si>
    <t xml:space="preserve">
90.40393</t>
  </si>
  <si>
    <t>Station Road, Kamargari Bus Stop, Jahurul Nagar, Bogura, Nishindara (Part-B), Paurashava, Bogra Sadar, Bogra, Rajshahi 5800, Bangladesh</t>
  </si>
  <si>
    <t>24.849964</t>
  </si>
  <si>
    <t xml:space="preserve">
89.36124</t>
  </si>
  <si>
    <t>240.8 Km</t>
  </si>
  <si>
    <t>Bogura, Malgram (Part-B), Fapore, Bogra Sadar, Bogra, Rajshahi, Bangladesh</t>
  </si>
  <si>
    <t>24.839617</t>
  </si>
  <si>
    <t xml:space="preserve">
89.36001</t>
  </si>
  <si>
    <t>239.64 Km</t>
  </si>
  <si>
    <t>278, Thanthania First Lane, Kanuchgari, Bogura, Paurashava, Bogra Sadar, Bogra, Rajshahi 5800, Bangladesh</t>
  </si>
  <si>
    <t>24.840698</t>
  </si>
  <si>
    <t xml:space="preserve">
89.37167</t>
  </si>
  <si>
    <t>238.59 Km</t>
  </si>
  <si>
    <t>670.38 m</t>
  </si>
  <si>
    <t>933.78 m</t>
  </si>
  <si>
    <t>নামাজগড় রোড, Namazgarh, Bogura, Nishindara (Part-B), Nishindara, Bogra Sadar, Bogra, Rajshahi 5800, Bangladesh</t>
  </si>
  <si>
    <t>24.853672</t>
  </si>
  <si>
    <t xml:space="preserve">
89.36647</t>
  </si>
  <si>
    <t>240.73 Km</t>
  </si>
  <si>
    <t>424.05 m</t>
  </si>
  <si>
    <t>Fateh Ali Bridge, Chadni Bazaar, Shabgram, Bogra Sadar, Bogra, Rajshahi 5800, Bangladesh</t>
  </si>
  <si>
    <t>24.850801</t>
  </si>
  <si>
    <t xml:space="preserve">
89.37517</t>
  </si>
  <si>
    <t>239.5 Km</t>
  </si>
  <si>
    <t>683, Modhubon Road, Natai Para, Natai Para (Part-B), Shabgram, Bogra Sadar, Bogra, Rajshahi 151-8580, Bangladesh</t>
  </si>
  <si>
    <t>24.848907</t>
  </si>
  <si>
    <t xml:space="preserve">
89.378815</t>
  </si>
  <si>
    <t>238.9 Km</t>
  </si>
  <si>
    <t>Chondon - Baisha Road, Narali, Shabgram, Bogra Sadar, Bogra, Rajshahi 5800, Bangladesh</t>
  </si>
  <si>
    <t>24.848347</t>
  </si>
  <si>
    <t xml:space="preserve">
89.39061</t>
  </si>
  <si>
    <t>237.65 Km</t>
  </si>
  <si>
    <t>Matidali - Banani Eastern Bypass, Shabgram Bus Stop, Rajapur, Sabgram, Shabgram, Bogra Sadar, Bogra, Rajshahi, Bangladesh</t>
  </si>
  <si>
    <t>24.860235</t>
  </si>
  <si>
    <t xml:space="preserve">
89.4006</t>
  </si>
  <si>
    <t>238.15 Km</t>
  </si>
  <si>
    <t>Bhatkandi Road, Bhatkandi, Barkuti, Shabgram, Bogra Sadar, Bogra, Rajshahi, Bangladesh</t>
  </si>
  <si>
    <t>24.841583</t>
  </si>
  <si>
    <t xml:space="preserve">
89.39212</t>
  </si>
  <si>
    <t>236.65 Km</t>
  </si>
  <si>
    <t>Aziz Ahmed Taki Road, Shabgram, Bogra Sadar, Bogra, Rajshahi, 5800, Bangladesh</t>
  </si>
  <si>
    <t>24.84424</t>
  </si>
  <si>
    <t xml:space="preserve">
89.38251</t>
  </si>
  <si>
    <t>237.94 Km</t>
  </si>
  <si>
    <t>258, Doctor Issahaq Lane, Khandar, Bogura, Malgram (Part-B), Paurashava, Bogra Sadar, Bogra, Rajshahi, Bangladesh</t>
  </si>
  <si>
    <t>24.842613</t>
  </si>
  <si>
    <t xml:space="preserve">
89.36757</t>
  </si>
  <si>
    <t>239.25 Km</t>
  </si>
  <si>
    <t>Naz Complex, 236, Merina Road, Sathmatha, Paurashava, Bogra Sadar, Bogra, Rajshahi 5800, Bangladesh</t>
  </si>
  <si>
    <t>24.848717</t>
  </si>
  <si>
    <t xml:space="preserve">
89.373474</t>
  </si>
  <si>
    <t>239.41 Km</t>
  </si>
  <si>
    <t>389.93 m</t>
  </si>
  <si>
    <t>1, Sherpur Road, Thanthania, Paurashava, Bogra Sadar, Bogra, Rajshahi 5800, Bangladesh</t>
  </si>
  <si>
    <t>24.834637</t>
  </si>
  <si>
    <t xml:space="preserve">
89.375305</t>
  </si>
  <si>
    <t>237.47 Km</t>
  </si>
  <si>
    <t>Road 15, Anantapur, Eklashpur, Begumganj, Noakhali, Chittagong 3801, Bangladesh</t>
  </si>
  <si>
    <t>22.892471</t>
  </si>
  <si>
    <t xml:space="preserve">
91.09235</t>
  </si>
  <si>
    <t>179.69 Km</t>
  </si>
  <si>
    <t>B206, Paschim Sujapur, Kadir Hanif, Noakhali Sadar, Noakhali, Chittagong, Bangladesh</t>
  </si>
  <si>
    <t>22.879555</t>
  </si>
  <si>
    <t xml:space="preserve">
91.080414</t>
  </si>
  <si>
    <t>180.42 Km</t>
  </si>
  <si>
    <t>1.28 km</t>
  </si>
  <si>
    <t>Choiani Road, Monpura Bus Stop, Monpura, Manpur, Rajganj, Begumganj, Noakhali, Chittagong, Bangladesh</t>
  </si>
  <si>
    <t>22.88751</t>
  </si>
  <si>
    <t xml:space="preserve">
91.07132</t>
  </si>
  <si>
    <t>178.54 Km</t>
  </si>
  <si>
    <t>Station Road, Court, Maijdee, Maijdi (Part-B), Paurashava, Noakhali Sadar, Noakhali, Chittagong, Bangladesh</t>
  </si>
  <si>
    <t>22.865532</t>
  </si>
  <si>
    <t xml:space="preserve">
91.09923</t>
  </si>
  <si>
    <t>183.98 Km</t>
  </si>
  <si>
    <t>মাইজদী বাজার, Police Lines Road, মাইজদী, Maijdi (Part-B), Kadir Hanif, Noakhali Sadar, নোয়াখালী জেলা, চট্টগ্রাম বিভাগ, Bangladesh</t>
  </si>
  <si>
    <t>22.880606</t>
  </si>
  <si>
    <t xml:space="preserve">
91.08871</t>
  </si>
  <si>
    <t>181 Km</t>
  </si>
  <si>
    <t>Krishnarampur, Z1429, Maijdi, Paschim Bahadurpur, Kadir Hanif, Noakhali Sadar, Noakhali, Chittagong, Bangladesh</t>
  </si>
  <si>
    <t>22.867159</t>
  </si>
  <si>
    <t xml:space="preserve">
91.0809</t>
  </si>
  <si>
    <t>182.18 Km</t>
  </si>
  <si>
    <t>182.56 Km</t>
  </si>
  <si>
    <t>Z1441, Upazila Council Bus Stop, Binodpur, Paurashava, Noakhali Sadar, Noakhali, Chittagong, Bangladesh</t>
  </si>
  <si>
    <t>22.850023</t>
  </si>
  <si>
    <t xml:space="preserve">
91.09671</t>
  </si>
  <si>
    <t>185.9 Km</t>
  </si>
  <si>
    <t>181.96 Km</t>
  </si>
  <si>
    <t>Monowara Monjil, Abdur Rahman Road, Maijdi, Maijdi (Part-B), Kadir Hanif, Noakhali Sadar, Noakhali, Chittagong, Bangladesh</t>
  </si>
  <si>
    <t>22.88538</t>
  </si>
  <si>
    <t xml:space="preserve">
91.09857</t>
  </si>
  <si>
    <t>181.21 Km</t>
  </si>
  <si>
    <t>N104, Anantapur, Eklashpur, Begumganj, Noakhali, Chittagong 3801, Bangladesh</t>
  </si>
  <si>
    <t>22.892221</t>
  </si>
  <si>
    <t xml:space="preserve">
91.09791</t>
  </si>
  <si>
    <t>180.22 Km</t>
  </si>
  <si>
    <t>178.06 Km</t>
  </si>
  <si>
    <t>172.29 Km</t>
  </si>
  <si>
    <t>B389, Bazra, Mir Alipur, Narottampur, Begumganj, Noakhali, Chittagong, Bangladesh</t>
  </si>
  <si>
    <t>22.976435</t>
  </si>
  <si>
    <t xml:space="preserve">
91.101524</t>
  </si>
  <si>
    <t>169.28 Km</t>
  </si>
  <si>
    <t>9.01 km</t>
  </si>
  <si>
    <t>B248, Sonaimuri, Sonaimuri Paurashava, Sonaimuri, Noakhali, Chittagong, Bangladesh</t>
  </si>
  <si>
    <t>23.033377</t>
  </si>
  <si>
    <t xml:space="preserve">
91.10629</t>
  </si>
  <si>
    <t>162.4 Km</t>
  </si>
  <si>
    <t>12.59 km</t>
  </si>
  <si>
    <t>Road No1, Natherpetua, Binoyghar, Nather Petua, Manoharganj, Comilla, Chittagong, Bangladesh</t>
  </si>
  <si>
    <t>23.112442</t>
  </si>
  <si>
    <t xml:space="preserve">
91.12538</t>
  </si>
  <si>
    <t>154.64 Km</t>
  </si>
  <si>
    <t>South Bypass, BUS STOP, Paurashava, Laksam, Comilla, Chittagong, Bangladesh</t>
  </si>
  <si>
    <t>23.225704</t>
  </si>
  <si>
    <t xml:space="preserve">
91.123985</t>
  </si>
  <si>
    <t>141.6 Km</t>
  </si>
  <si>
    <t>10.25 km</t>
  </si>
  <si>
    <t>Nambihin Rasta, Dakshin Ashwathatala, Paschimgaon, Laksam, Comilla, Chittagong, Bangladesh</t>
  </si>
  <si>
    <t>23.251387</t>
  </si>
  <si>
    <t xml:space="preserve">
91.113754</t>
  </si>
  <si>
    <t>137.66 Km</t>
  </si>
  <si>
    <t>4.62 km</t>
  </si>
  <si>
    <t>Nambihin Rasta, Chengahata, Lolai, Baghmara, Comilla Sadar Dakshin, Comilla, Chittagong 3570, Bangladesh</t>
  </si>
  <si>
    <t>23.339651</t>
  </si>
  <si>
    <t xml:space="preserve">
91.14276</t>
  </si>
  <si>
    <t>132.52 Km</t>
  </si>
  <si>
    <t>130.28 Km</t>
  </si>
  <si>
    <t>Joypur Road, Math Puskarini, Dakshin Durgapur, Comilla Adarsha Sadar, Comilla, Chittagong, Bangladesh</t>
  </si>
  <si>
    <t>23.44482</t>
  </si>
  <si>
    <t xml:space="preserve">
91.156746</t>
  </si>
  <si>
    <t>125.72 Km</t>
  </si>
  <si>
    <t>N1, Syedpur, Saha Daulatpur, Mainamati, Burichang, Comilla, Chittagong, Bangladesh</t>
  </si>
  <si>
    <t>23.475866</t>
  </si>
  <si>
    <t xml:space="preserve">
91.1055</t>
  </si>
  <si>
    <t>116.41 Km</t>
  </si>
  <si>
    <t>8.96 km</t>
  </si>
  <si>
    <t>Jute Office Road, Chandina, Chandina, Chandina Paurashava, Chandina, Comilla, Chittagong, Bangladesh</t>
  </si>
  <si>
    <t>23.490206</t>
  </si>
  <si>
    <t xml:space="preserve">
91.01058</t>
  </si>
  <si>
    <t>102.34 Km</t>
  </si>
  <si>
    <t>9.78 km</t>
  </si>
  <si>
    <t>Nawtala - Fultoly Road, Bhani, Surjyapur, Dakshin Rajamehar, Debidwar, Comilla, Chittagong, Bangladesh</t>
  </si>
  <si>
    <t>23.511776</t>
  </si>
  <si>
    <t xml:space="preserve">
90.92589</t>
  </si>
  <si>
    <t>89.23 Km</t>
  </si>
  <si>
    <t>10.17 km</t>
  </si>
  <si>
    <t>Singula, Malikhil, Dakshin Elliotganj, Daudkandi, Comilla, Chittagong, Bangladesh</t>
  </si>
  <si>
    <t>23.516994</t>
  </si>
  <si>
    <t xml:space="preserve">
90.83016</t>
  </si>
  <si>
    <t>76.31 Km</t>
  </si>
  <si>
    <t>7.91 km</t>
  </si>
  <si>
    <t>Nambihin Rasta, Dighirpar, Dakshin Daudkandi, Daudkandi, Comilla, Chittagong, Bangladesh</t>
  </si>
  <si>
    <t>23.527534</t>
  </si>
  <si>
    <t xml:space="preserve">
90.7311</t>
  </si>
  <si>
    <t>63.17 Km</t>
  </si>
  <si>
    <t>8.59 km</t>
  </si>
  <si>
    <t>Sorkar Mohammad Alli Road, Lakshmipur (Madhya Bausia), Bausia, Gazaria, Munshiganj, Dhaka, Bangladesh</t>
  </si>
  <si>
    <t>23.556013</t>
  </si>
  <si>
    <t xml:space="preserve">
90.66005</t>
  </si>
  <si>
    <t>51.93 Km</t>
  </si>
  <si>
    <t>Bashundhara Paper Mills Ltd. (Unit -1), N1, Meghna Bridge Toll Plaza, Meghna Ghat, Ashariar Char, Asharia Char, Pirijpur, Sonargaon, Narayanganj, Dhaka, Bangladesh</t>
  </si>
  <si>
    <t>23.617405</t>
  </si>
  <si>
    <t xml:space="preserve">
90.6089</t>
  </si>
  <si>
    <t>39.23 Km</t>
  </si>
  <si>
    <t>Nambihin Rasta, Keodhala (Part), Madanpur, Bandar, Narayanganj, Dhaka 1411, Bangladesh</t>
  </si>
  <si>
    <t>23.681133</t>
  </si>
  <si>
    <t xml:space="preserve">
90.558586</t>
  </si>
  <si>
    <t>26.59 Km</t>
  </si>
  <si>
    <t>5.84 km</t>
  </si>
  <si>
    <t>17.22 Km</t>
  </si>
  <si>
    <t>Mayor Hanif Flyover, রুপগঞ্জ, West Jatrabari, নোওয়াগাও, Rupshi, Ward-86, Dcc (Sutrapur), Narayanganj, Dhaka, Bangladesh</t>
  </si>
  <si>
    <t>23.71136</t>
  </si>
  <si>
    <t xml:space="preserve">
90.42967</t>
  </si>
  <si>
    <t>10.47 Km</t>
  </si>
  <si>
    <t>80, Atish Deepankar Road, T.T. Para Circle, Kamlapur, Mugdapara, Maniknagar, Ward-31, Motijheel, Dhaka 1000, Bangladesh</t>
  </si>
  <si>
    <t>23.725418</t>
  </si>
  <si>
    <t xml:space="preserve">
90.427925</t>
  </si>
  <si>
    <t>8.12 Km</t>
  </si>
  <si>
    <t>24/B, Doctor Goli, Shohag Paribahan, Mogbazar, Ward-53, Ramna, Dhaka, Dhaka 1217, Bangladesh</t>
  </si>
  <si>
    <t>23.748812</t>
  </si>
  <si>
    <t xml:space="preserve">
90.41125</t>
  </si>
  <si>
    <t>4.09 Km</t>
  </si>
  <si>
    <t>464/3/3, Ulon Road, Rampura, Dhaka, Ward-22, Khilgaon, Bangladesh, 1219</t>
  </si>
  <si>
    <t>23.766148</t>
  </si>
  <si>
    <t xml:space="preserve">
90.42085</t>
  </si>
  <si>
    <t>1.33 Km</t>
  </si>
  <si>
    <t>2.09 km</t>
  </si>
  <si>
    <t>93/3, Gupipara Road, Badda, Ward-18, Gulshan, Dhaka, Dhaka 1212, Bangladesh</t>
  </si>
  <si>
    <t>23.78752</t>
  </si>
  <si>
    <t xml:space="preserve">
90.42438</t>
  </si>
  <si>
    <t>2.74 Km</t>
  </si>
  <si>
    <t>KA-71, Pragati Avenue, Baridhara, ঢাকা, Vatara, Badda, ঢাকা জেলা, ঢাকা বিভাগ 1212, Bangladesh</t>
  </si>
  <si>
    <t>23.806227</t>
  </si>
  <si>
    <t>5.64 Km</t>
  </si>
  <si>
    <t>5, Lake Drive Road, Kuril Bishwa Road, Joar Shahara, Ward No-17 (Part), Badda, Dhaka, Dhaka 1229, Bangladesh</t>
  </si>
  <si>
    <t>23.819973</t>
  </si>
  <si>
    <t xml:space="preserve">
90.41809</t>
  </si>
  <si>
    <t>7.86 Km</t>
  </si>
  <si>
    <t>To Roof Top Parking, Hazrat Shahjalal International Airport, Kurmitola, Ward No-98 (Rest. Area), Cantonment, Dcc (Cantonment &amp; Airport), Dhaka, Dhaka 1229, Bangladesh</t>
  </si>
  <si>
    <t>23.850138</t>
  </si>
  <si>
    <t xml:space="preserve">
90.405975</t>
  </si>
  <si>
    <t>12.98 Km</t>
  </si>
  <si>
    <t>483.19 m</t>
  </si>
  <si>
    <t>house 21, Road - 8, Azampur Local Bus Stop, Sector 7, Ward-01, Uttara, Dhaka, Dhaka 1230, Bangladesh</t>
  </si>
  <si>
    <t xml:space="preserve">
90.39934</t>
  </si>
  <si>
    <t>16.38 Km</t>
  </si>
  <si>
    <t>Plot-19, Road 15, Rajlakshmi, Sector 4, Ward-01, Uttara, Dhaka, Dhaka 1230, Bangladesh</t>
  </si>
  <si>
    <t>23.866484</t>
  </si>
  <si>
    <t xml:space="preserve">
90.40232</t>
  </si>
  <si>
    <t>15.75 Km</t>
  </si>
  <si>
    <t>Bon-Bivag Quarters, 10, Dhaka - Mymensingh Road, Abdullahpur Bus Stand, Sector 8, Ward-01, Uttara, Dhaka, Dhaka 1230, Bangladesh</t>
  </si>
  <si>
    <t>23.878252</t>
  </si>
  <si>
    <t xml:space="preserve">
90.40375</t>
  </si>
  <si>
    <t>17.67 Km</t>
  </si>
  <si>
    <t>no 1, 2, Road No 11, Sector 9, Uttara, Ward No-01, Dakshin Khan, Dhaka, Dhaka 1230, Bangladesh</t>
  </si>
  <si>
    <t>23.879456</t>
  </si>
  <si>
    <t xml:space="preserve">
90.398636</t>
  </si>
  <si>
    <t>17.97 Km</t>
  </si>
  <si>
    <t>19.34 Km</t>
  </si>
  <si>
    <t>24.29 Km</t>
  </si>
  <si>
    <t>375, Shahid Siddique Road, Kalemeshwar, Gachha, Gazipur Sadar, Gazipur, Dhaka, Bangladesh</t>
  </si>
  <si>
    <t>23.943003</t>
  </si>
  <si>
    <t xml:space="preserve">
90.390594</t>
  </si>
  <si>
    <t>28.64 Km</t>
  </si>
  <si>
    <t>5.18 km</t>
  </si>
  <si>
    <t>শরীফপুর খাল পাড় রোড, Ojhar Para, Gachha, Gazipur Sadar, Gazipur, Dhaka, Bangladesh</t>
  </si>
  <si>
    <t>23.963568</t>
  </si>
  <si>
    <t xml:space="preserve">
90.370804</t>
  </si>
  <si>
    <t>32.55 Km</t>
  </si>
  <si>
    <t>7.82 km</t>
  </si>
  <si>
    <t>Joydevpur - Tangail Highway, Baimail Nodir Par, Baimail, Konabari, Gazipur Sadar, Gazipur, Dhaka, Bangladesh</t>
  </si>
  <si>
    <t>24.001451</t>
  </si>
  <si>
    <t xml:space="preserve">
90.3411</t>
  </si>
  <si>
    <t>39.8 Km</t>
  </si>
  <si>
    <t>8.87 km</t>
  </si>
  <si>
    <t>Shafipur Ansar Academy Bridge, Dhaka - Tangail Highway, Shafipur, Chandara, Mouchat, Kaliakair, Gazipur, Dhaka, Bangladesh</t>
  </si>
  <si>
    <t>24.028727</t>
  </si>
  <si>
    <t xml:space="preserve">
90.27014</t>
  </si>
  <si>
    <t>48.13 Km</t>
  </si>
  <si>
    <t>road, on, Dakshin Hijaltali, Sutrapur, Kaliakair, Gazipur, Dhaka, Bangladesh</t>
  </si>
  <si>
    <t>24.075417</t>
  </si>
  <si>
    <t xml:space="preserve">
90.199265</t>
  </si>
  <si>
    <t>60.33 Km</t>
  </si>
  <si>
    <t>10.43 km</t>
  </si>
  <si>
    <t>Kodalia Road, Kodalia, Gorai, Mirzapur, Tangail, Dhaka, Bangladesh</t>
  </si>
  <si>
    <t>24.098114</t>
  </si>
  <si>
    <t xml:space="preserve">
90.14335</t>
  </si>
  <si>
    <t>68.35 Km</t>
  </si>
  <si>
    <t>Nambihin Rasta, Korail, Ag Dhalla, Jamurki, Mirzapur, Tangail, Dhaka, Bangladesh</t>
  </si>
  <si>
    <t>24.119955</t>
  </si>
  <si>
    <t xml:space="preserve">
90.04346</t>
  </si>
  <si>
    <t>81.11 Km</t>
  </si>
  <si>
    <t>Nambihin Rasta, JS Nahali, Nahali, Habla, Basail, Tangail, Dhaka, Bangladesh</t>
  </si>
  <si>
    <t>24.191767</t>
  </si>
  <si>
    <t xml:space="preserve">
89.98784</t>
  </si>
  <si>
    <t>95.61 Km</t>
  </si>
  <si>
    <t>4.23 km</t>
  </si>
  <si>
    <t>জয়দেবপুর - টাঙ্গাইল - জামালপুর মহাসড়ক, Char Jana, Gharinda, Tangail Sadar, Tangail, Dhaka, Bangladesh</t>
  </si>
  <si>
    <t>24.26206</t>
  </si>
  <si>
    <t xml:space="preserve">
89.94178</t>
  </si>
  <si>
    <t>109 Km</t>
  </si>
  <si>
    <t>Lacchi house, Joydevpur - Tangail - Jamalpur Highway, Tangail, Sadullapur, Gala, Dhaka Division, Bangladesh</t>
  </si>
  <si>
    <t>24.29349</t>
  </si>
  <si>
    <t xml:space="preserve">
89.918335</t>
  </si>
  <si>
    <t>115.29 Km</t>
  </si>
  <si>
    <t>3.23 km</t>
  </si>
  <si>
    <t>243.45 Km</t>
  </si>
  <si>
    <t>N5, Shakharia, Bogra Sadar, Bogra, Rajshahi 5800, Bangladesh</t>
  </si>
  <si>
    <t>24.888973</t>
  </si>
  <si>
    <t xml:space="preserve">
89.36973</t>
  </si>
  <si>
    <t>244.84 Km</t>
  </si>
  <si>
    <t>7.47 km</t>
  </si>
  <si>
    <t>Bogura - Rangpur Highway, Gokul, Gokul, Bogra Sadar, Bogra, Rajshahi, Bangladesh</t>
  </si>
  <si>
    <t>24.942902</t>
  </si>
  <si>
    <t xml:space="preserve">
89.34839</t>
  </si>
  <si>
    <t>253.78 Km</t>
  </si>
  <si>
    <t>259.66 Km</t>
  </si>
  <si>
    <t>3.66 km</t>
  </si>
  <si>
    <t>Nambihin Rasta, Rahabol, Rahabal, Deuli, Shibganj, Bogra, Rajshahi, Bangladesh</t>
  </si>
  <si>
    <t>25.05174</t>
  </si>
  <si>
    <t xml:space="preserve">
89.37679</t>
  </si>
  <si>
    <t>265.36 Km</t>
  </si>
  <si>
    <t>25.084328</t>
  </si>
  <si>
    <t xml:space="preserve">
89.37181</t>
  </si>
  <si>
    <t>270.18 Km</t>
  </si>
  <si>
    <t>Nambihin Rasta, Daridaha, Mahabat Nandipur, Maidanhata, Shibganj, Bogra, Rajshahi, Bangladesh</t>
  </si>
  <si>
    <t>25.088203</t>
  </si>
  <si>
    <t xml:space="preserve">
89.34016</t>
  </si>
  <si>
    <t>273.55 Km</t>
  </si>
  <si>
    <t>Daridaha, Niamatpur, Maidanhata, Shibganj, Bogra, Rajshahi, Bangladesh</t>
  </si>
  <si>
    <t>25.094685</t>
  </si>
  <si>
    <t xml:space="preserve">
89.34856</t>
  </si>
  <si>
    <t>273.65 Km</t>
  </si>
  <si>
    <t>3.42 km</t>
  </si>
  <si>
    <t>Bogura - Rangpur Highway, Gobindogonj, Pantha Para, Kamardaha, Gobindaganj, Gaibandha, Rangpur, Bangladesh</t>
  </si>
  <si>
    <t>25.118929</t>
  </si>
  <si>
    <t xml:space="preserve">
89.38553</t>
  </si>
  <si>
    <t>273.66 Km</t>
  </si>
  <si>
    <t>R585, Gobindogonj, Khalsi, Gumaniganj, Gobindaganj, Gaibandha, Rangpur, Bangladesh</t>
  </si>
  <si>
    <t>25.143324</t>
  </si>
  <si>
    <t xml:space="preserve">
89.36482</t>
  </si>
  <si>
    <t>278.79 Km</t>
  </si>
  <si>
    <t>Dinajpur - Gobindaganj Highway, Balia, Bogdaha, Katabari, Gobindaganj, Gaibandha, Rangpur, Bangladesh</t>
  </si>
  <si>
    <t>25.186354</t>
  </si>
  <si>
    <t xml:space="preserve">
89.31967</t>
  </si>
  <si>
    <t>288.59 Km</t>
  </si>
  <si>
    <t>Nambihin Rasta, Balia, Bera Bisalia, Katabari, Gobindaganj, Gaibandha, Rangpur, Bangladesh</t>
  </si>
  <si>
    <t>25.189074</t>
  </si>
  <si>
    <t xml:space="preserve">
89.30437</t>
  </si>
  <si>
    <t>290.3 Km</t>
  </si>
  <si>
    <t>3.89 km</t>
  </si>
  <si>
    <t>Nambihin Rasta, Noyapara, Ghoraghat, Paurashava, Gobindaganj, Gaibandha, Rangpur, Bangladesh</t>
  </si>
  <si>
    <t>25.229292</t>
  </si>
  <si>
    <t xml:space="preserve">
89.27855</t>
  </si>
  <si>
    <t>Osman Pur, Khodatpur, Paurashava, Ghoraghat Upazila, Dinajpur District, Rangpur Division, Bangladesh</t>
  </si>
  <si>
    <t>25.249626</t>
  </si>
  <si>
    <t xml:space="preserve">
89.247055</t>
  </si>
  <si>
    <t>303.55 Km</t>
  </si>
  <si>
    <t>Nambihin Rasta, Tulat, Kamdia, Gobindaganj, Gaibandha, Rangpur, Bangladesh</t>
  </si>
  <si>
    <t>25.21624</t>
  </si>
  <si>
    <t xml:space="preserve">
89.23533</t>
  </si>
  <si>
    <t>300.13 Km</t>
  </si>
  <si>
    <t>Sura Masjid Road, Nayapara, Chhatianchura, Kamdia, Gobindaganj, Gaibandha, Rangpur, Bangladesh</t>
  </si>
  <si>
    <t>25.221828</t>
  </si>
  <si>
    <t xml:space="preserve">
89.215065</t>
  </si>
  <si>
    <t>302.71 Km</t>
  </si>
  <si>
    <t>Nambihin Rasta, Paka, Kamdia, Gobindaganj, Gaibandha, Rangpur, Bangladesh</t>
  </si>
  <si>
    <t>25.206604</t>
  </si>
  <si>
    <t>299.89 Km</t>
  </si>
  <si>
    <t>Baragaon, Chiargaon, Kamdia, Gobindaganj, Gaibandha, Rangpur, Bangladesh</t>
  </si>
  <si>
    <t>25.199156</t>
  </si>
  <si>
    <t xml:space="preserve">
89.25933</t>
  </si>
  <si>
    <t>295.67 Km</t>
  </si>
  <si>
    <t>7 km</t>
  </si>
  <si>
    <t>purbopara, Balia, Kogaria, Sapmara, Gobindaganj, Gaibandha, Rangpur, Bangladesh</t>
  </si>
  <si>
    <t>25.175913</t>
  </si>
  <si>
    <t xml:space="preserve">
89.28505</t>
  </si>
  <si>
    <t>290.25 Km</t>
  </si>
  <si>
    <t>Fulpukuria, Alipur, Gumaniganj, Gobindaganj, Gaibandha, Rangpur, Bangladesh</t>
  </si>
  <si>
    <t>25.123726</t>
  </si>
  <si>
    <t xml:space="preserve">
89.323975</t>
  </si>
  <si>
    <t>279.76 Km</t>
  </si>
  <si>
    <t>Khuthibabi Road, Gobindogonj, Arazi Khalsi, Paurashava, Gobindaganj, Gaibandha, Rangpur, Bangladesh</t>
  </si>
  <si>
    <t>25.13234</t>
  </si>
  <si>
    <t xml:space="preserve">
89.38063</t>
  </si>
  <si>
    <t>275.92 Km</t>
  </si>
  <si>
    <t>Pantha Para Road, Gobindogonj, Pantha Para, Paurashava, Gobindaganj, Gaibandha, Rangpur, Bangladesh</t>
  </si>
  <si>
    <t>25.12603</t>
  </si>
  <si>
    <t xml:space="preserve">
89.39149</t>
  </si>
  <si>
    <t>274.12 Km</t>
  </si>
  <si>
    <t>8.37 km</t>
  </si>
  <si>
    <t>Nambihin Rasta, Gobindogonj, Pantha Para, Kamardaha, Gobindaganj, Gaibandha, Rangpur, Bangladesh</t>
  </si>
  <si>
    <t>25.119722</t>
  </si>
  <si>
    <t xml:space="preserve">
89.382484</t>
  </si>
  <si>
    <t>274.04 Km</t>
  </si>
  <si>
    <t>8.26 km</t>
  </si>
  <si>
    <t>Bogura - Rangpur Highway, Rahabol, Rahabal, Deuli, Shibganj, Bogra, Rajshahi, Bangladesh</t>
  </si>
  <si>
    <t>25.045815</t>
  </si>
  <si>
    <t xml:space="preserve">
89.3668</t>
  </si>
  <si>
    <t>265.48 Km</t>
  </si>
  <si>
    <t>Koali Para, Lahiri Para, Bogra Sadar, Bogra, Rajshahi, Bangladesh</t>
  </si>
  <si>
    <t>24.972303</t>
  </si>
  <si>
    <t xml:space="preserve">
89.378654</t>
  </si>
  <si>
    <t>254.69 Km</t>
  </si>
  <si>
    <t>Nambihin Rasta, Bogura, Barbakpur, Nishindara, Bogra Sadar, Bogra, Rajshahi, Bangladesh</t>
  </si>
  <si>
    <t>24.893333</t>
  </si>
  <si>
    <t xml:space="preserve">
89.356155</t>
  </si>
  <si>
    <t>246.73 Km</t>
  </si>
  <si>
    <t>333.03 m</t>
  </si>
  <si>
    <t>BbuySell, Jail Bridge, Bogra, Shabgram, Rajshahi Division, Bangladesh, 5800</t>
  </si>
  <si>
    <t>24.84584</t>
  </si>
  <si>
    <t xml:space="preserve">
89.37972</t>
  </si>
  <si>
    <t>238.42 Km</t>
  </si>
  <si>
    <t>956.43 m</t>
  </si>
  <si>
    <t>1, Nawabbari Road, Sathmatha, Paurashava, Bogra Sadar, Bogra, Rajshahi 5800, Bangladesh</t>
  </si>
  <si>
    <t>24.848125</t>
  </si>
  <si>
    <t xml:space="preserve">
89.374054</t>
  </si>
  <si>
    <t>239.28 Km</t>
  </si>
  <si>
    <t>355.93 m</t>
  </si>
  <si>
    <t>Bangladesh Freelancer It Solution, Jessore - Jhenaidah Highway, Jhenaidah, Paurashava, Khulna Division, Bangladesh</t>
  </si>
  <si>
    <t>23.552452</t>
  </si>
  <si>
    <t xml:space="preserve">
89.17233</t>
  </si>
  <si>
    <t>193.59 Km</t>
  </si>
  <si>
    <t>Sonapakhi Mow, Abdur Razzak Super Market, Khajura Road, Jhenaidah, Paurashava, Khulna Division, Bangladesh</t>
  </si>
  <si>
    <t>23.555504</t>
  </si>
  <si>
    <t xml:space="preserve">
89.17128</t>
  </si>
  <si>
    <t>193.65 Km</t>
  </si>
  <si>
    <t>484.99 m</t>
  </si>
  <si>
    <t>203, H.S.S Road, Jhenaidah, Paurashava, Khulna Division, Bangladesh, 7300</t>
  </si>
  <si>
    <t>23.545212</t>
  </si>
  <si>
    <t xml:space="preserve">
89.17409</t>
  </si>
  <si>
    <t>193.56 Km</t>
  </si>
  <si>
    <t>Near uao jhenaidah , G5RG+Q6R, Jhenaidah, Khulna Division, Bangladesh</t>
  </si>
  <si>
    <t>23.540854</t>
  </si>
  <si>
    <t xml:space="preserve">
89.1739</t>
  </si>
  <si>
    <t>193.74 Km</t>
  </si>
  <si>
    <t>617.05 m</t>
  </si>
  <si>
    <t>Jhenidah Somobai Somity, Jessore - Jhenaidah Highway, Jhenaidah, , Paurashava, Jhenaidah Sadar Upazila, Khulna Division, Bangladesh</t>
  </si>
  <si>
    <t>23.540062</t>
  </si>
  <si>
    <t xml:space="preserve">
89.17183</t>
  </si>
  <si>
    <t>194.07 Km</t>
  </si>
  <si>
    <t>Harinarayanpur Girls High School, Harinarayanpur - Laxmipur Road, Harinarayanpur, Kustia Sadar Upazila, Kushtia District, Khulna Division, Bangladesh</t>
  </si>
  <si>
    <t>23.75225</t>
  </si>
  <si>
    <t xml:space="preserve">
89.13332</t>
  </si>
  <si>
    <t>195.9 Km</t>
  </si>
  <si>
    <t>Mohishadanga Road, Harinarayanpur, Harinarayanpur, Kustia Sadar, Kushtia, Khulna, Bangladesh</t>
  </si>
  <si>
    <t>23.768677</t>
  </si>
  <si>
    <t xml:space="preserve">
89.1249</t>
  </si>
  <si>
    <t>197.14 Km</t>
  </si>
  <si>
    <t>10.02 km</t>
  </si>
  <si>
    <t>Uzangram, Madhupur, Ujangram, Kustia Sadar, Kushtia, Khulna, Bangladesh</t>
  </si>
  <si>
    <t>23.786009</t>
  </si>
  <si>
    <t xml:space="preserve">
89.11841</t>
  </si>
  <si>
    <t>198.13 Km</t>
  </si>
  <si>
    <t>Kushtia - Jhenaidah Highway, Battail, Kaburhat, Jagati, Kustia Sadar, Kushtia, Khulna, Bangladesh</t>
  </si>
  <si>
    <t>23.872877</t>
  </si>
  <si>
    <t xml:space="preserve">
89.09216</t>
  </si>
  <si>
    <t>202.74 Km</t>
  </si>
  <si>
    <t>684.93 m</t>
  </si>
  <si>
    <t>Islamic University Bus Stoppage, Kushtia - Jhenaidah Highway, Kushtia, Paurashava, Kustia Sadar Upazila, Khulna Division, Bangladesh</t>
  </si>
  <si>
    <t>23.903013</t>
  </si>
  <si>
    <t xml:space="preserve">
89.118675</t>
  </si>
  <si>
    <t>199.17 Km</t>
  </si>
  <si>
    <t>Kushtia - Jhenaidah Highway, Kushtia, Mazampur, Kustia Sadar Upazila, Khulna Division, Bangladesh, 7000</t>
  </si>
  <si>
    <t>23.90904</t>
  </si>
  <si>
    <t xml:space="preserve">
89.12006</t>
  </si>
  <si>
    <t>199.07 Km</t>
  </si>
  <si>
    <t>Mongol Baria Bazar Jame Mosque, Kushtia - Jhenaidah Highway, Kushtia, Baradi, Barakhada, Kustia Sadar Upazila, Khulna Division, Bangladesh</t>
  </si>
  <si>
    <t xml:space="preserve">
89.112785</t>
  </si>
  <si>
    <t>200.25 Km</t>
  </si>
  <si>
    <t>5.34 km</t>
  </si>
  <si>
    <t>Kushtia Bypass Road, Gobindapur, Barakhada, Kustia Sadar, Kushtia, Khulna, Bangladesh</t>
  </si>
  <si>
    <t>23.930717</t>
  </si>
  <si>
    <t xml:space="preserve">
89.08513</t>
  </si>
  <si>
    <t>204.78 Km</t>
  </si>
  <si>
    <t>6.16 km</t>
  </si>
  <si>
    <t>Rajshahi - Kushtia Highway, Bahalbaria, Barui Para, Mirpur Upazila, Kushtia District, Khulna Division, Bangladesh</t>
  </si>
  <si>
    <t>23.962795</t>
  </si>
  <si>
    <t xml:space="preserve">
89.046</t>
  </si>
  <si>
    <t>211.41 Km</t>
  </si>
  <si>
    <t>5.39 km</t>
  </si>
  <si>
    <t>24.014942</t>
  </si>
  <si>
    <t xml:space="preserve">
89.02559</t>
  </si>
  <si>
    <t>215.91 Km</t>
  </si>
  <si>
    <t>Nambihin Rasta, দক্ষিণ ঈশ্বরদী চরাঞ্চল, Ruppur, Char Ruppur, Pakshi, Ishwardi, Pabna, Rajshahi, Bangladesh</t>
  </si>
  <si>
    <t>24.062508</t>
  </si>
  <si>
    <t xml:space="preserve">
89.03606</t>
  </si>
  <si>
    <t>215.93 Km</t>
  </si>
  <si>
    <t>4.11 km</t>
  </si>
  <si>
    <t>Rajshahi - Kushtia Highway, Joy Nagar, Mirkamari, Char Silimpur, Silimpur, Ishwardi, Pabna, Rajshahi, Bangladesh</t>
  </si>
  <si>
    <t>24.089443</t>
  </si>
  <si>
    <t xml:space="preserve">
89.08665</t>
  </si>
  <si>
    <t>209.49 Km</t>
  </si>
  <si>
    <t>623.67 m</t>
  </si>
  <si>
    <t>N705, Ramchandrapur, Dashuria, Ishwardi Upazila, Pabna District, Rajshahi Division, Bangladesh</t>
  </si>
  <si>
    <t>24.113173</t>
  </si>
  <si>
    <t xml:space="preserve">
89.117714</t>
  </si>
  <si>
    <t>205.95 Km</t>
  </si>
  <si>
    <t>7.83 km</t>
  </si>
  <si>
    <t>Road, Saraikandi, Muladuli, Ishwardi Upazila, Pabna District, Rajshahi Division, Bangladesh</t>
  </si>
  <si>
    <t>24.118696</t>
  </si>
  <si>
    <t xml:space="preserve">
89.118774</t>
  </si>
  <si>
    <t>206.04 Km</t>
  </si>
  <si>
    <t>Rajshahi - Pabna Highway, Narayanpur, Gopalpur, Baraigram, Natore, Rajshahi, Bangladesh</t>
  </si>
  <si>
    <t>24.186655</t>
  </si>
  <si>
    <t xml:space="preserve">
89.13916</t>
  </si>
  <si>
    <t>206.52 Km</t>
  </si>
  <si>
    <t>6.02 km</t>
  </si>
  <si>
    <t>Madhaimuri, Majgaon, Baraigram, Natore District, Rajshahi Division, Bangladesh</t>
  </si>
  <si>
    <t>24.255463</t>
  </si>
  <si>
    <t xml:space="preserve">
89.10183</t>
  </si>
  <si>
    <t>215.85 Km</t>
  </si>
  <si>
    <t>24.30509</t>
  </si>
  <si>
    <t xml:space="preserve">
89.07807</t>
  </si>
  <si>
    <t>222.35 Km</t>
  </si>
  <si>
    <t>6.57 km</t>
  </si>
  <si>
    <t>Nambihin Rasta, Joari, Tirail, Baraigram Paurashava, Baraigram, Natore, Rajshahi, Bangladesh</t>
  </si>
  <si>
    <t>24.323456</t>
  </si>
  <si>
    <t xml:space="preserve">
89.11758</t>
  </si>
  <si>
    <t>218.1 Km</t>
  </si>
  <si>
    <t>Z6015, Royna, Baraigram Paurashava, Baraigram, Natore, Rajshahi, Bangladesh</t>
  </si>
  <si>
    <t>24.3185</t>
  </si>
  <si>
    <t xml:space="preserve">
89.18216</t>
  </si>
  <si>
    <t>208.86 Km</t>
  </si>
  <si>
    <t>Dhaka - Rajshahi Highway, Baraigram, Sidhuli, Dharabarisha, Gurudaspur, Natore, Rajshahi, Bangladesh</t>
  </si>
  <si>
    <t>24.33218</t>
  </si>
  <si>
    <t xml:space="preserve">
89.23394</t>
  </si>
  <si>
    <t>202.82 Km</t>
  </si>
  <si>
    <t>Kachikata - Ishwarpur Road, Masinda, Moshinda, Gurudaspur Upazila, Natore District, Rajshahi Division, Bangladesh</t>
  </si>
  <si>
    <t>24.354933</t>
  </si>
  <si>
    <t xml:space="preserve">
89.29376</t>
  </si>
  <si>
    <t>196.61 Km</t>
  </si>
  <si>
    <t>7.61 km</t>
  </si>
  <si>
    <t>Natore - Dhaka Highway, Humkuria, Hamkuria, Magura Binod, Tarash, Sirajganj, Rajshahi, Bangladesh</t>
  </si>
  <si>
    <t>24.364294</t>
  </si>
  <si>
    <t xml:space="preserve">
89.353516</t>
  </si>
  <si>
    <t>189.55 Km</t>
  </si>
  <si>
    <t>Khalkula, Bangala, Ullapara, Sirajganj, Rajshahi, Bangladesh</t>
  </si>
  <si>
    <t>24.378242</t>
  </si>
  <si>
    <t xml:space="preserve">
89.42705</t>
  </si>
  <si>
    <t>181.36 Km</t>
  </si>
  <si>
    <t>Dhaka - Rajshahi Highway, Sholi, Alidaha, Salanga, Ullapara, Sirajganj, Rajshahi, Bangladesh</t>
  </si>
  <si>
    <t>24.394255</t>
  </si>
  <si>
    <t xml:space="preserve">
89.4778</t>
  </si>
  <si>
    <t>176.54 Km</t>
  </si>
  <si>
    <t>Road, Hatikumrul, Hatikumrul, Ullapara, Sirajganj, Rajshahi, Bangladesh</t>
  </si>
  <si>
    <t>24.429012</t>
  </si>
  <si>
    <t xml:space="preserve">
89.55699</t>
  </si>
  <si>
    <t>170.57 Km</t>
  </si>
  <si>
    <t>Dhaka - Rangpur Highway, ঢাকা বগুড়া হাইওয়ে রোড রয়হাটি সলংগা সিরাজগঞ্জ, Royhati, Ghurka, Raiganj, Sirajganj, Rajshahi, Bangladesh</t>
  </si>
  <si>
    <t>24.47545</t>
  </si>
  <si>
    <t xml:space="preserve">
89.5259</t>
  </si>
  <si>
    <t>179.18 Km</t>
  </si>
  <si>
    <t>Sirajganj - Chandaikona Road, Kodla Digar, Chandaikona, Raiganj, Sirajganj, Rajshahi, Bangladesh</t>
  </si>
  <si>
    <t>24.539661</t>
  </si>
  <si>
    <t xml:space="preserve">
89.51496</t>
  </si>
  <si>
    <t>187.55 Km</t>
  </si>
  <si>
    <t>Takadupuria Road, Raroa (Gohalpur Gopalpur), Shimabari, Sherpur, Bogra, Rajshahi, Bangladesh</t>
  </si>
  <si>
    <t>24.562704</t>
  </si>
  <si>
    <t xml:space="preserve">
89.49887</t>
  </si>
  <si>
    <t>191.95 Km</t>
  </si>
  <si>
    <t>Dhaka - Rangpur Highway, Raroa (Gohalpur Gopalpur), Shimabari, Sherpur, Bogra, Rajshahi, Bangladesh</t>
  </si>
  <si>
    <t>24.561623</t>
  </si>
  <si>
    <t xml:space="preserve">
89.493065</t>
  </si>
  <si>
    <t>192.47 Km</t>
  </si>
  <si>
    <t>Dhanghara Road, Simla, Chandaikona, Raiganj, Sirajganj, Rajshahi, Bangladesh</t>
  </si>
  <si>
    <t>24.53227</t>
  </si>
  <si>
    <t xml:space="preserve">
89.52696</t>
  </si>
  <si>
    <t>185.37 Km</t>
  </si>
  <si>
    <t>Nambihin Rasta, Hasil Raghunathpur, Pangashi, Raiganj, Sirajganj, Rajshahi, Bangladesh</t>
  </si>
  <si>
    <t>24.495901</t>
  </si>
  <si>
    <t xml:space="preserve">
89.56146</t>
  </si>
  <si>
    <t>177.41 Km</t>
  </si>
  <si>
    <t>Nambihin Rasta, Baraibhag, Pangashi, Raiganj, Sirajganj, Rajshahi, Bangladesh</t>
  </si>
  <si>
    <t>24.49386</t>
  </si>
  <si>
    <t xml:space="preserve">
89.61143</t>
  </si>
  <si>
    <t>171.67 Km</t>
  </si>
  <si>
    <t>Bekhoir Road, Betkhair (Nandiar Para), Shimabari, Sherpur, Bogra, Rajshahi, Bangladesh</t>
  </si>
  <si>
    <t>24.562685</t>
  </si>
  <si>
    <t xml:space="preserve">
89.51072</t>
  </si>
  <si>
    <t>190.64 Km</t>
  </si>
  <si>
    <t>599.18 m</t>
  </si>
  <si>
    <t>Chandaikona, Chandaikona, Raiganj, Sirajganj, Rajshahi, Bangladesh</t>
  </si>
  <si>
    <t>24.547634</t>
  </si>
  <si>
    <t xml:space="preserve">
89.495575</t>
  </si>
  <si>
    <t>190.61 Km</t>
  </si>
  <si>
    <t>Central Laboratory Road, Krishna Nagar, Krishnanagar, Jalma, Batiaghata, Khulna, Khulna, Bangladesh</t>
  </si>
  <si>
    <t>22.80402</t>
  </si>
  <si>
    <t xml:space="preserve">
89.530365</t>
  </si>
  <si>
    <t>211.06 Km</t>
  </si>
  <si>
    <t>9.31 km</t>
  </si>
  <si>
    <t>Khulna Polli Bidduit Head Office, Khulna - Satkhira Road, Khulna, Thikrabanda, Jalma, Batiaghata Upazila, Bangladesh</t>
  </si>
  <si>
    <t>22.796076</t>
  </si>
  <si>
    <t xml:space="preserve">
89.51809</t>
  </si>
  <si>
    <t>213.29 Km</t>
  </si>
  <si>
    <t>5.52 km</t>
  </si>
  <si>
    <t>Khulna - Satkhira Road, Gutudia, Gutudia, Dumuria Upazila, Khulna District, Khulna Division, Bangladesh</t>
  </si>
  <si>
    <t>22.805862</t>
  </si>
  <si>
    <t xml:space="preserve">
89.42789</t>
  </si>
  <si>
    <t>221.26 Km</t>
  </si>
  <si>
    <t>8.66 km</t>
  </si>
  <si>
    <t>Khulna - Satkhira Road, Tipna, Kharnia, Dumuria Upazila, Khulna District, Khulna Division, Bangladesh</t>
  </si>
  <si>
    <t>22.81954</t>
  </si>
  <si>
    <t xml:space="preserve">
89.37613</t>
  </si>
  <si>
    <t>225.14 Km</t>
  </si>
  <si>
    <t>Nambihin Rasta, Chuknagar, Maltia, Atlia, Dumuria, Khulna, Bangladesh</t>
  </si>
  <si>
    <t>22.824203</t>
  </si>
  <si>
    <t xml:space="preserve">
89.29178</t>
  </si>
  <si>
    <t>233.93 Km</t>
  </si>
  <si>
    <t>Dhaka-Jessore-Khulna Road, Chuknagar, Narnia, Atlia, Dumuria, Khulna, Bangladesh</t>
  </si>
  <si>
    <t>22.843777</t>
  </si>
  <si>
    <t xml:space="preserve">
89.28988</t>
  </si>
  <si>
    <t>231.94 Km</t>
  </si>
  <si>
    <t>Jessore - Rajarhat - Monirampur - Keshabpur - Chuknagar Road, Chuknagar, Narnia, Atlia, Dumuria, Khulna, Bangladesh</t>
  </si>
  <si>
    <t>22.844875</t>
  </si>
  <si>
    <t xml:space="preserve">
89.28573</t>
  </si>
  <si>
    <t>232.3 Km</t>
  </si>
  <si>
    <t>Manikpol Govt. Primary School, Barenga, Mangalkot, Keshabpur Upazila, Jessore District, Khulna Division, Bangladesh</t>
  </si>
  <si>
    <t>22.872889</t>
  </si>
  <si>
    <t xml:space="preserve">
89.25806</t>
  </si>
  <si>
    <t>232.41 Km</t>
  </si>
  <si>
    <t>877.59 m</t>
  </si>
  <si>
    <t>Keshabpur-Verchi Road, Kesabpur, Altapol, Keshabpur, Keshabpur Upazila, Jessore District, Khulna Division, Bangladesh</t>
  </si>
  <si>
    <t>22.905855</t>
  </si>
  <si>
    <t xml:space="preserve">
89.2247</t>
  </si>
  <si>
    <t>232.86 Km</t>
  </si>
  <si>
    <t>Hazi Ismail Morol Road, Kesabpur, Sabdia, Keshabpur, Keshabpur Upazila, Jessore District, Khulna Division, Bangladesh</t>
  </si>
  <si>
    <t>22.904951</t>
  </si>
  <si>
    <t xml:space="preserve">
89.21619</t>
  </si>
  <si>
    <t>233.98 Km</t>
  </si>
  <si>
    <t>7.95 km</t>
  </si>
  <si>
    <t>School Road, Chuknagar, Atlia, Dumuria, Khulna, Bangladesh</t>
  </si>
  <si>
    <t>22.838232</t>
  </si>
  <si>
    <t xml:space="preserve">
89.30763</t>
  </si>
  <si>
    <t>230.55 Km</t>
  </si>
  <si>
    <t>Tipana Daspara universal Mother Temple, Tipna, Kharnia, Dumuria Upazila, Khulna District, Khulna Division, Bangladesh</t>
  </si>
  <si>
    <t>22.820047</t>
  </si>
  <si>
    <t xml:space="preserve">
89.38269</t>
  </si>
  <si>
    <t>224.37 Km</t>
  </si>
  <si>
    <t>223, Gollamari Bridge, Mohammad Nagar, Krishnanagar, Ward-18, Sonadanga, Khulna, Khulna 9208, Bangladesh</t>
  </si>
  <si>
    <t>22.801144</t>
  </si>
  <si>
    <t xml:space="preserve">
89.54022</t>
  </si>
  <si>
    <t>210.46 Km</t>
  </si>
  <si>
    <t>2B, কেডিএ এভিনিউ, Khulna City, Ward-20, Sonadanga, Khulna, Khulna 9100, Bangladesh</t>
  </si>
  <si>
    <t>22.820528</t>
  </si>
  <si>
    <t xml:space="preserve">
89.55327</t>
  </si>
  <si>
    <t>206.69 Km</t>
  </si>
  <si>
    <t>369.42 m</t>
  </si>
  <si>
    <t>Hotel Jalico, 122, Sir Iqbal Road, Khulna, Ward-21, Kcc (Kotwali), Bangladesh</t>
  </si>
  <si>
    <t>22.817015</t>
  </si>
  <si>
    <t xml:space="preserve">
89.564186</t>
  </si>
  <si>
    <t>206.08 Km</t>
  </si>
  <si>
    <t>Hazi Hanif Complex, 102, Upper Jessore Road, Khulna, Ward-23, Kcc (Kotwali), Bangladesh, 9100</t>
  </si>
  <si>
    <t>22.816778</t>
  </si>
  <si>
    <t xml:space="preserve">
89.56059</t>
  </si>
  <si>
    <t>206.46 Km</t>
  </si>
  <si>
    <t>276.65 m</t>
  </si>
  <si>
    <t>67, Cemetery Road, Khulna City, Ward-23, Kotwali, Khulna, Khulna 9100, Bangladesh</t>
  </si>
  <si>
    <t>22.815285</t>
  </si>
  <si>
    <t xml:space="preserve">
89.56225</t>
  </si>
  <si>
    <t>206.49 Km</t>
  </si>
  <si>
    <t>10, Railway Hospital Road, Khulna, Ward-21, Kcc (Kotwali), Bangladesh, 9100</t>
  </si>
  <si>
    <t>22.81705</t>
  </si>
  <si>
    <t xml:space="preserve">
89.56288</t>
  </si>
  <si>
    <t>206.2 Km</t>
  </si>
  <si>
    <t>Atlia Road, Chuknagar, Atlia, Dumuria, Khulna, Bangladesh</t>
  </si>
  <si>
    <t>22.839333</t>
  </si>
  <si>
    <t xml:space="preserve">
89.282394</t>
  </si>
  <si>
    <t>233.29 Km</t>
  </si>
  <si>
    <t>889.17 m</t>
  </si>
  <si>
    <t>Khulna - Satkhira Road, Chuknagar, Maltia, Atlia, Dumuria, Khulna, Bangladesh</t>
  </si>
  <si>
    <t>22.835812</t>
  </si>
  <si>
    <t xml:space="preserve">
89.28911</t>
  </si>
  <si>
    <t>232.93 Km</t>
  </si>
  <si>
    <t>6.39 km</t>
  </si>
  <si>
    <t>4.48 km</t>
  </si>
  <si>
    <t>Abu Musa Plaza, Kharnia, Kharnia, Dumuria Upazila, Khulna District, Khulna Division, Bangladesh</t>
  </si>
  <si>
    <t>22.81817</t>
  </si>
  <si>
    <t xml:space="preserve">
89.353775</t>
  </si>
  <si>
    <t>227.73 Km</t>
  </si>
  <si>
    <t>Dhaka-Jessore-Khulna Road, Mechhaghuna, Kharnia, Dumuria, Khulna, Bangladesh</t>
  </si>
  <si>
    <t>22.814491</t>
  </si>
  <si>
    <t xml:space="preserve">
89.39732</t>
  </si>
  <si>
    <t>223.45 Km</t>
  </si>
  <si>
    <t>7.19 km</t>
  </si>
  <si>
    <t>Dhaka-Jessore-Khulna Road, Golna, Dumuria, Dumuria, Khulna, Bangladesh</t>
  </si>
  <si>
    <t>22.810688</t>
  </si>
  <si>
    <t xml:space="preserve">
89.408806</t>
  </si>
  <si>
    <t>222.69 Km</t>
  </si>
  <si>
    <t>Khulna - Satkhira Road, Tiabunia, Gutudia, Dumuria Upazila, Khulna District, Khulna Division, Bangladesh</t>
  </si>
  <si>
    <t>22.78559</t>
  </si>
  <si>
    <t xml:space="preserve">
89.473404</t>
  </si>
  <si>
    <t>219.08 Km</t>
  </si>
  <si>
    <t>Agrani Bank Town Road, Bania Khamar, Arambag, Krishnanagar, Ward-24, Kotwali, Khulna, Khulna 9208, Bangladesh</t>
  </si>
  <si>
    <t>22.80049</t>
  </si>
  <si>
    <t xml:space="preserve">
89.54294</t>
  </si>
  <si>
    <t>210.28 Km</t>
  </si>
  <si>
    <t>115, Road 16, Khulna, Ward-24, Kcc (Kotwali), Bangladesh, 9000</t>
  </si>
  <si>
    <t>22.800577</t>
  </si>
  <si>
    <t xml:space="preserve">
89.55284</t>
  </si>
  <si>
    <t>209.31 Km</t>
  </si>
  <si>
    <t>31, Roy Para Main Road, Khulna, Ward-24, Kcc (Kotwali), Bangladesh, 9100</t>
  </si>
  <si>
    <t>22.809464</t>
  </si>
  <si>
    <t xml:space="preserve">
89.55789</t>
  </si>
  <si>
    <t>207.67 Km</t>
  </si>
  <si>
    <t>203.39 m</t>
  </si>
  <si>
    <t>Nambihin Rasta, Khulna City, Ward-21, Kotwali, Khulna, Khulna, Bangladesh</t>
  </si>
  <si>
    <t>22.815823</t>
  </si>
  <si>
    <t xml:space="preserve">
89.5657</t>
  </si>
  <si>
    <t>206.09 Km</t>
  </si>
  <si>
    <t>634.37 m</t>
  </si>
  <si>
    <t>Khan Jahan Ali Road, Khulna City, Ward-24, Kotwali, Khulna, Khulna, Bangladesh</t>
  </si>
  <si>
    <t>22.812445</t>
  </si>
  <si>
    <t xml:space="preserve">
89.560486</t>
  </si>
  <si>
    <t>207.03 Km</t>
  </si>
  <si>
    <t>953.98 m</t>
  </si>
  <si>
    <t>Khulna City Bypass, Hogladanga Bahsbaria, Krishnanagar, Jalma, Batiaghata, Khulna, Khulna, Bangladesh</t>
  </si>
  <si>
    <t>22.795446</t>
  </si>
  <si>
    <t xml:space="preserve">
89.530014</t>
  </si>
  <si>
    <t>212.19 Km</t>
  </si>
  <si>
    <t>7.78 km</t>
  </si>
  <si>
    <t>Komolpur Jame Masjid, Banda, Gutudia, Dumuria Upazila, Khulna District, Khulna Division, Bangladesh</t>
  </si>
  <si>
    <t>22.790611</t>
  </si>
  <si>
    <t xml:space="preserve">
89.44244</t>
  </si>
  <si>
    <t>221.62 Km</t>
  </si>
  <si>
    <t>Sahas, Bhandar Para, Dumuria, Khulna, Bangladesh</t>
  </si>
  <si>
    <t>22.776474</t>
  </si>
  <si>
    <t xml:space="preserve">
89.42414</t>
  </si>
  <si>
    <t>225.26 Km</t>
  </si>
  <si>
    <t>Sahas, Sahas, Dumuria, Khulna, Bangladesh</t>
  </si>
  <si>
    <t>22.755285</t>
  </si>
  <si>
    <t xml:space="preserve">
89.408936</t>
  </si>
  <si>
    <t>229.45 Km</t>
  </si>
  <si>
    <t>4 km</t>
  </si>
  <si>
    <t>Nambihin Rasta, Kapalidanga, Kukhia, Bhandar Para, Dumuria, Khulna, Bangladesh</t>
  </si>
  <si>
    <t>22.736736</t>
  </si>
  <si>
    <t xml:space="preserve">
89.42014</t>
  </si>
  <si>
    <t>230.61 Km</t>
  </si>
  <si>
    <t>Nambihin Rasta, Gajendrapur, Kalikapur, Sarappur, Dumuria, Khulna, Bangladesh</t>
  </si>
  <si>
    <t>22.70131</t>
  </si>
  <si>
    <t xml:space="preserve">
89.42669</t>
  </si>
  <si>
    <t>234.43 Km</t>
  </si>
  <si>
    <t>5.76 km</t>
  </si>
  <si>
    <t>Charcharia Bridge, Chachcharia Bridge, Ahladipur, Shibnagar, Sarappur, Dumuria, Khulna, Bangladesh</t>
  </si>
  <si>
    <t>22.71292</t>
  </si>
  <si>
    <t xml:space="preserve">
89.40213</t>
  </si>
  <si>
    <t>7.4 km</t>
  </si>
  <si>
    <t>Hori Mondir Shri Shri Guru Chand Temple, Chinamala, Kapilmuni, Paikgachha Upazila, Khulna District, Khulna Division, Bangladesh</t>
  </si>
  <si>
    <t>22.691948</t>
  </si>
  <si>
    <t xml:space="preserve">
89.350784</t>
  </si>
  <si>
    <t>243.28 Km</t>
  </si>
  <si>
    <t>Nambihin Rasta, Madertala, Paschim Badurgachha, Sobhana, Dumuria, Khulna, Bangladesh</t>
  </si>
  <si>
    <t>22.758217</t>
  </si>
  <si>
    <t xml:space="preserve">
89.35764</t>
  </si>
  <si>
    <t>234.45 Km</t>
  </si>
  <si>
    <t>Paikgacha Road, Kapilmuni, Uttar Salua, Haridhali, Paikgachha, Khulna, Bangladesh</t>
  </si>
  <si>
    <t>22.679518</t>
  </si>
  <si>
    <t xml:space="preserve">
89.30474</t>
  </si>
  <si>
    <t>249.59 Km</t>
  </si>
  <si>
    <t>Mamudkati Uttar daspara Road, Kapilmuni, Mamudkati, Haridhali, Paikgachha, Khulna, Bangladesh</t>
  </si>
  <si>
    <t>22.666521</t>
  </si>
  <si>
    <t xml:space="preserve">
89.29045</t>
  </si>
  <si>
    <t>252.68 Km</t>
  </si>
  <si>
    <t>5.17 km</t>
  </si>
  <si>
    <t>Kazi Musa Western Jame Mosque Road, Agorghata, Ramnathpur, Kapilmuni, Paikgachha, Khulna, Bangladesh</t>
  </si>
  <si>
    <t>22.659863</t>
  </si>
  <si>
    <t xml:space="preserve">
89.306694</t>
  </si>
  <si>
    <t>251.8 Km</t>
  </si>
  <si>
    <t>Sumon Enterprise, Britti Gopalpur, Gadaipur, Paikgachha Upazila, Khulna District, Khulna Division, Bangladesh</t>
  </si>
  <si>
    <t>22.615044</t>
  </si>
  <si>
    <t xml:space="preserve">
89.29341</t>
  </si>
  <si>
    <t>258.73 Km</t>
  </si>
  <si>
    <t>510.87 m</t>
  </si>
  <si>
    <t>Sreekanthopur, Krishnanagar, Chandkhali, Paikgachha, Khulna, Bangladesh</t>
  </si>
  <si>
    <t>22.562922</t>
  </si>
  <si>
    <t xml:space="preserve">
89.26049</t>
  </si>
  <si>
    <t>268.61 Km</t>
  </si>
  <si>
    <t>7.12 km</t>
  </si>
  <si>
    <t>Chayon foundation, Krishnanagar, Chandkhali, Paikgachha Upazila, Khulna District, Khulna Division, Bangladesh</t>
  </si>
  <si>
    <t>22.564804</t>
  </si>
  <si>
    <t xml:space="preserve">
89.26503</t>
  </si>
  <si>
    <t>267.92 Km</t>
  </si>
  <si>
    <t>Z7604, Kinukity, Maukhali, Amadi Union, Koyra, Khulna, Bangladesh</t>
  </si>
  <si>
    <t>22.508425</t>
  </si>
  <si>
    <t xml:space="preserve">
89.29781</t>
  </si>
  <si>
    <t>271.88 Km</t>
  </si>
  <si>
    <t>3.19 km</t>
  </si>
  <si>
    <t>Paikgachha-Koyra Road, Khajra, Masjikkur, Amadi Union, Koyra, Khulna, Bangladesh</t>
  </si>
  <si>
    <t>22.481003</t>
  </si>
  <si>
    <t xml:space="preserve">
89.28747</t>
  </si>
  <si>
    <t>276.45 Km</t>
  </si>
  <si>
    <t>Ghugrakati, Amadi, Amadi Union, Koyra, Khulna, Bangladesh</t>
  </si>
  <si>
    <t>22.456133</t>
  </si>
  <si>
    <t xml:space="preserve">
89.27194</t>
  </si>
  <si>
    <t>281.18 Km</t>
  </si>
  <si>
    <t>Matherbaria Hafizia madrasa, Dakshin Deara, Maharajpur, Koyra Upazila, Khulna District, Khulna Division, Bangladesh</t>
  </si>
  <si>
    <t>22.412611</t>
  </si>
  <si>
    <t xml:space="preserve">
89.28662</t>
  </si>
  <si>
    <t>285.53 Km</t>
  </si>
  <si>
    <t>Woapda Road, Magharite, Megherait, Maharajpur, Koyra, Khulna, 9290, Bangladesh</t>
  </si>
  <si>
    <t>22.379866</t>
  </si>
  <si>
    <t xml:space="preserve">
89.27016</t>
  </si>
  <si>
    <t>291.42 Km</t>
  </si>
  <si>
    <t>Monipur, Lalua, Bagali, Koyra, Khulna, Bangladesh</t>
  </si>
  <si>
    <t>22.435194</t>
  </si>
  <si>
    <t xml:space="preserve">
89.25627</t>
  </si>
  <si>
    <t>285.42 Km</t>
  </si>
  <si>
    <t>Nambihin Rasta, Khajra, Amadi, Amadi Union, Koyra, Khulna, Bangladesh</t>
  </si>
  <si>
    <t>22.468458</t>
  </si>
  <si>
    <t xml:space="preserve">
89.27767</t>
  </si>
  <si>
    <t>279.02 Km</t>
  </si>
  <si>
    <t>Narayanpur, Bagali, Koyra, Khulna, Bangladesh</t>
  </si>
  <si>
    <t>22.455008</t>
  </si>
  <si>
    <t xml:space="preserve">
89.298386</t>
  </si>
  <si>
    <t>278.82 Km</t>
  </si>
  <si>
    <t>7.05 km</t>
  </si>
  <si>
    <t>Paikgachha-Koyra Road, Ghugrakati, Bamia, Bagali, Koyra, Khulna, Bangladesh</t>
  </si>
  <si>
    <t>22.442698</t>
  </si>
  <si>
    <t xml:space="preserve">
89.27947</t>
  </si>
  <si>
    <t>282.23 Km</t>
  </si>
  <si>
    <t>3.06 km</t>
  </si>
  <si>
    <t>Koyra Gilabari Road, Madinarabad, Koyra, Koyra Upazila, Khulna District, Khulna Division, Bangladesh</t>
  </si>
  <si>
    <t>22.360777</t>
  </si>
  <si>
    <t xml:space="preserve">
89.29153</t>
  </si>
  <si>
    <t>292.02 Km</t>
  </si>
  <si>
    <t>Koyra Ainjibi Shomiti, Paikgachha-Koyra Road, Koyra, Madinarabad, Khulna District, Khulna Division, Bangladesh</t>
  </si>
  <si>
    <t>22.347631</t>
  </si>
  <si>
    <t xml:space="preserve">
89.28722</t>
  </si>
  <si>
    <t>294.19 Km</t>
  </si>
  <si>
    <t>Moth Bari, Kharia Mathbari, Maharajpur, Koyra Upazila, Khulna District, Khulna Division, Bangladesh</t>
  </si>
  <si>
    <t>22.374336</t>
  </si>
  <si>
    <t xml:space="preserve">
89.30101</t>
  </si>
  <si>
    <t>289.34 Km</t>
  </si>
  <si>
    <t>Padma Pukur, Ghar Kumarpur, Pratap Nagar, Assasuni Upazila, Satkhira District, Khulna Division, Bangladesh</t>
  </si>
  <si>
    <t>22.36621</t>
  </si>
  <si>
    <t xml:space="preserve">
89.23652</t>
  </si>
  <si>
    <t>296.37 Km</t>
  </si>
  <si>
    <t>4.09 km</t>
  </si>
  <si>
    <t>SANA TALECOM BD, Gadaipur, Paikgachha Upazila, Khulna District, Khulna Division, Bangladesh</t>
  </si>
  <si>
    <t>22.627811</t>
  </si>
  <si>
    <t xml:space="preserve">
89.30578</t>
  </si>
  <si>
    <t>255.88 Km</t>
  </si>
  <si>
    <t>Paikgacha Road, Agorghata, Dakshin Salua, Kapilmuni, Paikgachha, Khulna, Bangladesh</t>
  </si>
  <si>
    <t>22.664427</t>
  </si>
  <si>
    <t xml:space="preserve">
89.30161</t>
  </si>
  <si>
    <t>251.77 Km</t>
  </si>
  <si>
    <t>Paikgacha Road, Kanaidia, Kapilmuni, Paikgachha, Khulna, Bangladesh</t>
  </si>
  <si>
    <t>22.689707</t>
  </si>
  <si>
    <t xml:space="preserve">
89.307976</t>
  </si>
  <si>
    <t>248.01 Km</t>
  </si>
  <si>
    <t>5.94 km</t>
  </si>
  <si>
    <t>p b s kodomtola, Kadamtala, Sobhana, Dumuria Upazila, Khulna District, Khulna Division, Bangladesh</t>
  </si>
  <si>
    <t>22.754984</t>
  </si>
  <si>
    <t xml:space="preserve">
89.3665</t>
  </si>
  <si>
    <t>233.91 Km</t>
  </si>
  <si>
    <t>3.71 km</t>
  </si>
  <si>
    <t>22.788494</t>
  </si>
  <si>
    <t xml:space="preserve">
89.41289</t>
  </si>
  <si>
    <t>224.95 Km</t>
  </si>
  <si>
    <t>4.64 km</t>
  </si>
  <si>
    <t>Alaipur Road, Alaipur, Purba Badurgachha, Gutudia, Dumuria, Khulna, Bangladesh</t>
  </si>
  <si>
    <t>22.806667</t>
  </si>
  <si>
    <t xml:space="preserve">
89.48421</t>
  </si>
  <si>
    <t>215.34 Km</t>
  </si>
  <si>
    <t>Khulna City Bypass, Arongghata, Bil Pabla, Gutudia, Dumuria, Khulna, Khulna, Bangladesh</t>
  </si>
  <si>
    <t>22.83841</t>
  </si>
  <si>
    <t xml:space="preserve">
89.51115</t>
  </si>
  <si>
    <t>208.63 Km</t>
  </si>
  <si>
    <t>Ancher Uddin Road, Rayarmahal, Ward-14, Khalishpur, Khulna, Khulna, Bangladesh</t>
  </si>
  <si>
    <t>22.842012</t>
  </si>
  <si>
    <t xml:space="preserve">
89.526955</t>
  </si>
  <si>
    <t>206.58 Km</t>
  </si>
  <si>
    <t>Bastuhara Bypass Road, Daulatpur, Ward-09, Khalishpur, Khulna, Khulna, Bangladesh</t>
  </si>
  <si>
    <t>22.852242</t>
  </si>
  <si>
    <t xml:space="preserve">
89.521996</t>
  </si>
  <si>
    <t>205.8 Km</t>
  </si>
  <si>
    <t>Digholia Upazila Health Complex, Khulna, Daulatpur, Khulna, Ward-03, Kcc (Daulatpur), Bangladesh</t>
  </si>
  <si>
    <t>22.873974</t>
  </si>
  <si>
    <t xml:space="preserve">
89.525</t>
  </si>
  <si>
    <t>202.79 Km</t>
  </si>
  <si>
    <t>8, Old Jessore Road, Mirerdanga, Ward No-02 (Part), Daulatpur, Khulna, Khulna, Bangladesh</t>
  </si>
  <si>
    <t>22.895777</t>
  </si>
  <si>
    <t xml:space="preserve">
89.513054</t>
  </si>
  <si>
    <t>201.36 Km</t>
  </si>
  <si>
    <t>Sonali Jute Mill Road, Mirerdanga, Ward No-02 (Part), Daulatpur, Khulna, Khulna, Bangladesh</t>
  </si>
  <si>
    <t>22.906284</t>
  </si>
  <si>
    <t xml:space="preserve">
89.513405</t>
  </si>
  <si>
    <t>200.05 Km</t>
  </si>
  <si>
    <t>544, Khulna - Jessore - Dhaka Highway, Daulatpur, Khulna, Ward-03, Kcc (Daulatpur), Bangladesh, 9202</t>
  </si>
  <si>
    <t>22.877562</t>
  </si>
  <si>
    <t xml:space="preserve">
89.520164</t>
  </si>
  <si>
    <t>202.85 Km</t>
  </si>
  <si>
    <t>B.L. College Road, Daulatpur, Ward-06, Khalishpur, Khulna, Khulna, Bangladesh</t>
  </si>
  <si>
    <t>22.8683</t>
  </si>
  <si>
    <t xml:space="preserve">
89.52917</t>
  </si>
  <si>
    <t>203.07 Km</t>
  </si>
  <si>
    <t>Sharif Amjad Road, Daulatpur, Ward-06, Khalishpur, Khulna, Khulna, Bangladesh</t>
  </si>
  <si>
    <t>22.86513</t>
  </si>
  <si>
    <t xml:space="preserve">
89.52688</t>
  </si>
  <si>
    <t>203.7 Km</t>
  </si>
  <si>
    <t>82, M A Bari Street, Sonadanga, Khulna, Ward-16, Kcc (Sonadanga), Bangladesh, 9100</t>
  </si>
  <si>
    <t>22.8341</t>
  </si>
  <si>
    <t xml:space="preserve">
89.532326</t>
  </si>
  <si>
    <t>207.04 Km</t>
  </si>
  <si>
    <t>Gollamari - Sonadanga Bypass Road, Chak Mathurabad, Ward-17, Sonadanga, Khulna, Khulna, Bangladesh</t>
  </si>
  <si>
    <t>22.819025</t>
  </si>
  <si>
    <t xml:space="preserve">
89.53329</t>
  </si>
  <si>
    <t>208.85 Km</t>
  </si>
  <si>
    <t>1, Sher-E-Bangla Road, Ward-26, Sonadanga, Khulna, Khulna, Bangladesh</t>
  </si>
  <si>
    <t>22.801361</t>
  </si>
  <si>
    <t xml:space="preserve">
89.54756</t>
  </si>
  <si>
    <t>209.72 Km</t>
  </si>
  <si>
    <t>675.67 m</t>
  </si>
  <si>
    <t>Khulna Circle, Agrani Bank Limited, 45, KDA Avenue, Khulna, Ward-20, Kcc (Sonadanga), Bangladesh</t>
  </si>
  <si>
    <t>22.814222</t>
  </si>
  <si>
    <t xml:space="preserve">
89.55576</t>
  </si>
  <si>
    <t>207.26 Km</t>
  </si>
  <si>
    <t>3.17 km</t>
  </si>
  <si>
    <t>5.7 km</t>
  </si>
  <si>
    <t>North Hazipur, Hazipur, Hajipur (Part), Durgapur, Begumganj, Noakhali, Chittagong, Bangladesh</t>
  </si>
  <si>
    <t>22.940699</t>
  </si>
  <si>
    <t xml:space="preserve">
91.142365</t>
  </si>
  <si>
    <t>177.84 Km</t>
  </si>
  <si>
    <t>MP Road, BUS STOP, Shibpur, Kabilpur, Senbag, Noakhali, Chittagong, Bangladesh</t>
  </si>
  <si>
    <t>22.953247</t>
  </si>
  <si>
    <t xml:space="preserve">
91.19636</t>
  </si>
  <si>
    <t>181.53 Km</t>
  </si>
  <si>
    <t>7.45 km</t>
  </si>
  <si>
    <t>N104, Kaylandi Bridge, South Mohammadpur, Kabilpur, Dakshin Sahapur, Mohammadpur, Senbag, Noakhali, Chittagong, Bangladesh</t>
  </si>
  <si>
    <t>22.956366</t>
  </si>
  <si>
    <t xml:space="preserve">
91.23124</t>
  </si>
  <si>
    <t>184.71 Km</t>
  </si>
  <si>
    <t>5.75 km</t>
  </si>
  <si>
    <t>সিলোনীয়া - ওমরপুর রোড, South Neaz Pur, Newazpur, Jailashkara, Daganbhuiyan, Feni, Chittagong, Bangladesh</t>
  </si>
  <si>
    <t>22.976246</t>
  </si>
  <si>
    <t xml:space="preserve">
91.3306</t>
  </si>
  <si>
    <t>193 Km</t>
  </si>
  <si>
    <t>2.41 km</t>
  </si>
  <si>
    <t>Fishery Road, Mohipal, Charipur, Barahipur, Feni Sadar, Feni, Chittagong, Bangladesh</t>
  </si>
  <si>
    <t>23.01206</t>
  </si>
  <si>
    <t xml:space="preserve">
91.38079</t>
  </si>
  <si>
    <t>194.68 Km</t>
  </si>
  <si>
    <t>762.85 m</t>
  </si>
  <si>
    <t>150, Z1034, Rampur (Part), Paurashava, Feni Sadar, Feni, Chittagong, Bangladesh</t>
  </si>
  <si>
    <t>23.004604</t>
  </si>
  <si>
    <t xml:space="preserve">
91.40288</t>
  </si>
  <si>
    <t>198.06 Km</t>
  </si>
  <si>
    <t>380, Grand Trunk Road, Rampur (Part), Paurashava, Feni Sadar, Feni, Chittagong 3900, Bangladesh</t>
  </si>
  <si>
    <t>23.010136</t>
  </si>
  <si>
    <t xml:space="preserve">
91.39847</t>
  </si>
  <si>
    <t>196.95 Km</t>
  </si>
  <si>
    <t>Patowari Bari Road, Rampur (Part), Barahipur, Feni Sadar, Feni, Chittagong, Bangladesh</t>
  </si>
  <si>
    <t>23.000494</t>
  </si>
  <si>
    <t xml:space="preserve">
91.39846</t>
  </si>
  <si>
    <t>197.99 Km</t>
  </si>
  <si>
    <t>কলেজ রোড, Barahipur (Part), Barahipur, Feni Sadar, Feni, Chittagong, Bangladesh</t>
  </si>
  <si>
    <t>23.01791</t>
  </si>
  <si>
    <t xml:space="preserve">
91.39968</t>
  </si>
  <si>
    <t>196.25 Km</t>
  </si>
  <si>
    <t>পেট্রোবাংলা রোড়, Rampur (Part), Kalidah, Feni Sadar, Feni, Chittagong, Bangladesh</t>
  </si>
  <si>
    <t>23.00411</t>
  </si>
  <si>
    <t xml:space="preserve">
91.406235</t>
  </si>
  <si>
    <t>198.51 Km</t>
  </si>
  <si>
    <t>পেট্রোবাংলা রোড়, Rampur (Part), Paurashava, Feni Sadar, Feni, Chittagong, Bangladesh</t>
  </si>
  <si>
    <t>23.001392</t>
  </si>
  <si>
    <t xml:space="preserve">
91.405685</t>
  </si>
  <si>
    <t>198.74 Km</t>
  </si>
  <si>
    <t>Sowdagor Bari Road, Charipur, Barahipur, Feni Sadar, Feni, Chittagong, Bangladesh</t>
  </si>
  <si>
    <t>23.018408</t>
  </si>
  <si>
    <t xml:space="preserve">
91.377144</t>
  </si>
  <si>
    <t>Feni - Noakhali Highway, Jailashkara, Kashimpur, Panchgachhiya, Feni Sadar, Feni, Chittagong, Bangladesh</t>
  </si>
  <si>
    <t>23.00027</t>
  </si>
  <si>
    <t xml:space="preserve">
91.35158</t>
  </si>
  <si>
    <t>192.63 Km</t>
  </si>
  <si>
    <t>8.71 km</t>
  </si>
  <si>
    <t>Poler Road, Matu Bhuiyan, Mamarizpur, Mathu Bhuiyan, Daganbhuiyan, Feni, Chittagong, Bangladesh</t>
  </si>
  <si>
    <t>22.950901</t>
  </si>
  <si>
    <t xml:space="preserve">
91.33139</t>
  </si>
  <si>
    <t>196.03 Km</t>
  </si>
  <si>
    <t>7.7 km</t>
  </si>
  <si>
    <t>1, South Mohammad Pur Road, Dakshin Rajarampur, Kabilpur, Rajarampur, Mohammadpur, Senbag, Noakhali, Chittagong, Bangladesh</t>
  </si>
  <si>
    <t>22.940498</t>
  </si>
  <si>
    <t xml:space="preserve">
91.24704</t>
  </si>
  <si>
    <t>188.3 Km</t>
  </si>
  <si>
    <t>840 m</t>
  </si>
  <si>
    <t>Road No 5, Chowmuhani, Chaumohani Paurashava, Begumganj, Noakhali, Chittagong, Bangladesh</t>
  </si>
  <si>
    <t>22.948063</t>
  </si>
  <si>
    <t>295, Bejpara Main Road, Paurashava, Jessore Sadar, Jessore, Khulna, Bangladesh</t>
  </si>
  <si>
    <t>23.160463</t>
  </si>
  <si>
    <t xml:space="preserve">
89.21533</t>
  </si>
  <si>
    <t>210.25 Km</t>
  </si>
  <si>
    <t>Kapuria Potti, Jashore, Paurashava, Jessore Sadar, Jessore, Khulna 7400, Bangladesh</t>
  </si>
  <si>
    <t>23.165693</t>
  </si>
  <si>
    <t xml:space="preserve">
89.21385</t>
  </si>
  <si>
    <t>210.03 Km</t>
  </si>
  <si>
    <t>250.8 m</t>
  </si>
  <si>
    <t>Road Number. 1, Jashore, Paurashava, Jessore Sadar, Jessore, Khulna, Bangladesh</t>
  </si>
  <si>
    <t>23.175602</t>
  </si>
  <si>
    <t xml:space="preserve">
89.21296</t>
  </si>
  <si>
    <t>209.35 Km</t>
  </si>
  <si>
    <t>Nambihin Rasta, Jashore, Kismat Nowa Para (Part), Paurashava, Jessore Sadar, Jessore, Khulna, Bangladesh</t>
  </si>
  <si>
    <t>23.177773</t>
  </si>
  <si>
    <t xml:space="preserve">
89.21229</t>
  </si>
  <si>
    <t>209.26 Km</t>
  </si>
  <si>
    <t>39, MMC Stadium Road, Jessore, Paurashava, Khulna Division, Bangladesh, 7400</t>
  </si>
  <si>
    <t>23.16388</t>
  </si>
  <si>
    <t xml:space="preserve">
89.20243</t>
  </si>
  <si>
    <t>211.7 Km</t>
  </si>
  <si>
    <t>Jessore-Ganganandapur Road, Jashore, Kaemkola, Magura, Jhikargachha, Jessore, Khulna, Bangladesh</t>
  </si>
  <si>
    <t>23.165924</t>
  </si>
  <si>
    <t xml:space="preserve">
89.09136</t>
  </si>
  <si>
    <t>226.61 Km</t>
  </si>
  <si>
    <t>Nambihin Rasta, Burindia, Manoharpur, Magura, Jhikargachha, Jessore, Khulna, Bangladesh</t>
  </si>
  <si>
    <t>23.168297</t>
  </si>
  <si>
    <t xml:space="preserve">
89.07352</t>
  </si>
  <si>
    <t>228.87 Km</t>
  </si>
  <si>
    <t>3.69 km</t>
  </si>
  <si>
    <t>Burindia, Chanda, Magura, Jhikargachha, Jessore, Khulna, Bangladesh</t>
  </si>
  <si>
    <t>23.161606</t>
  </si>
  <si>
    <t xml:space="preserve">
89.083046</t>
  </si>
  <si>
    <t>228.07 Km</t>
  </si>
  <si>
    <t>Jashore, Arijpur, Diara, Jessore Sadar, Jessore, Khulna, Bangladesh</t>
  </si>
  <si>
    <t>23.17947</t>
  </si>
  <si>
    <t xml:space="preserve">
89.11349</t>
  </si>
  <si>
    <t>222.56 Km</t>
  </si>
  <si>
    <t>Jessore-Ganganandapur Road, Jashore, Erenda, Diara, Jessore Sadar, Jessore, Khulna, Bangladesh</t>
  </si>
  <si>
    <t>23.151438</t>
  </si>
  <si>
    <t xml:space="preserve">
89.15606</t>
  </si>
  <si>
    <t>218.94 Km</t>
  </si>
  <si>
    <t>Suzalpur Zamtola Bus Stop, Chutipur Road, Jashore, Sujalpur, Arabpur, Jessore Sadar Upazila, Jessore District, Khulna Division, Bangladesh</t>
  </si>
  <si>
    <t>23.159409</t>
  </si>
  <si>
    <t xml:space="preserve">
89.1803</t>
  </si>
  <si>
    <t>215.04 Km</t>
  </si>
  <si>
    <t>Shahid Paru Manzil, 21, Kazi Para road, Kotwaki, Paurashava, Jessore Sadar, Jessore, Khulna 7400, Bangladesh</t>
  </si>
  <si>
    <t>23.17263</t>
  </si>
  <si>
    <t xml:space="preserve">
89.204834</t>
  </si>
  <si>
    <t>210.68 Km</t>
  </si>
  <si>
    <t>Bhuigor, Siddhirganj, Khurdaghosh Para(Sanarpar, Kutubpur, Narayanganj Sadar, Narayanganj, Dhaka, Bangladesh</t>
  </si>
  <si>
    <t>23.688452</t>
  </si>
  <si>
    <t xml:space="preserve">
90.48792</t>
  </si>
  <si>
    <t>17.83 Km</t>
  </si>
  <si>
    <t>5.67 km</t>
  </si>
  <si>
    <t>Nambihin Rasta, Kashipur, Kanchpur, Manohar Khanerbagh, Kachpur, Sonargaon, Narayanganj, Dhaka, Bangladesh</t>
  </si>
  <si>
    <t>23.701195</t>
  </si>
  <si>
    <t xml:space="preserve">
90.54488</t>
  </si>
  <si>
    <t>22.98 Km</t>
  </si>
  <si>
    <t>Nambihin Rasta, Madhya Majer Char, Sanmandi, Sonargaon, Narayanganj, Dhaka, Bangladesh</t>
  </si>
  <si>
    <t>23.65896</t>
  </si>
  <si>
    <t xml:space="preserve">
90.57615</t>
  </si>
  <si>
    <t>30.93 Km</t>
  </si>
  <si>
    <t>4.4 km</t>
  </si>
  <si>
    <t>Nambihin Rasta, Mugrapara, Kamargaon, Mugra Para, Sonargaon, Narayanganj, Dhaka, Bangladesh</t>
  </si>
  <si>
    <t>23.638533</t>
  </si>
  <si>
    <t xml:space="preserve">
90.584785</t>
  </si>
  <si>
    <t>34.12 Km</t>
  </si>
  <si>
    <t>8.08 km</t>
  </si>
  <si>
    <t>Jamaldi, Char Ramjan Sonaullah, Hossaindi, Gazaria, Narayanganj, Dhaka, Bangladesh</t>
  </si>
  <si>
    <t>23.606483</t>
  </si>
  <si>
    <t xml:space="preserve">
90.61016</t>
  </si>
  <si>
    <t>40.58 Km</t>
  </si>
  <si>
    <t>N1, Madhya Bausia, Bausia, Gazaria, Munshiganj, Dhaka 1510, Bangladesh</t>
  </si>
  <si>
    <t>23.552921</t>
  </si>
  <si>
    <t xml:space="preserve">
90.66373</t>
  </si>
  <si>
    <t>52.67 Km</t>
  </si>
  <si>
    <t>8.01 km</t>
  </si>
  <si>
    <t>Daudkandi (Noakandi), Dakshin Daudkandi, Daudkandi, Comilla, Chittagong, Bangladesh</t>
  </si>
  <si>
    <t>23.533075</t>
  </si>
  <si>
    <t xml:space="preserve">
90.71796</t>
  </si>
  <si>
    <t>61.02 Km</t>
  </si>
  <si>
    <t>7.6 km</t>
  </si>
  <si>
    <t>5.65 km</t>
  </si>
  <si>
    <t>Nambihin Rasta, Tamta, Birtala, Dakshin Paharpur, Muradnagar, Comilla, Chittagong, Bangladesh</t>
  </si>
  <si>
    <t>23.5226</t>
  </si>
  <si>
    <t xml:space="preserve">
90.87057</t>
  </si>
  <si>
    <t>80.98 Km</t>
  </si>
  <si>
    <t>3.76 km</t>
  </si>
  <si>
    <t>Dhaka - Chittagong Highway, Nowtola, Bakhrabad, Madhya (Mechachal Union), Chandina, Comilla, Chittagong, Bangladesh</t>
  </si>
  <si>
    <t>23.505148</t>
  </si>
  <si>
    <t xml:space="preserve">
90.92258</t>
  </si>
  <si>
    <t>89.31 Km</t>
  </si>
  <si>
    <t>Nambihin Rasta, Korerpar, Keramkhal, Uttar Barera, Chandina, Comilla, Chittagong, Bangladesh</t>
  </si>
  <si>
    <t>23.495892</t>
  </si>
  <si>
    <t xml:space="preserve">
90.95799</t>
  </si>
  <si>
    <t>94.78 Km</t>
  </si>
  <si>
    <t>7.52 km</t>
  </si>
  <si>
    <t>Dhaka - Chittagong Highway, Barkamta, Bara Gobindapur, Mokam, Burichang, Comilla, Chittagong, Bangladesh</t>
  </si>
  <si>
    <t>23.480854</t>
  </si>
  <si>
    <t xml:space="preserve">
91.031364</t>
  </si>
  <si>
    <t>105.85 Km</t>
  </si>
  <si>
    <t>5.83 km</t>
  </si>
  <si>
    <t>Power Plant Road, Jangalia, Bijoypur, Comilla Sadar Dakshin, Comilla, Chittagong, Bangladesh</t>
  </si>
  <si>
    <t>23.42941</t>
  </si>
  <si>
    <t xml:space="preserve">
91.17139</t>
  </si>
  <si>
    <t>128.83 Km</t>
  </si>
  <si>
    <t>Nambihin Rasta, Dakshin Rampur, Dakshin Comilla (Chouara), Comilla Sadar Dakshin, Comilla, Chittagong, Bangladesh</t>
  </si>
  <si>
    <t>23.396515</t>
  </si>
  <si>
    <t xml:space="preserve">
91.181755</t>
  </si>
  <si>
    <t>132.77 Km</t>
  </si>
  <si>
    <t>132.19 Km</t>
  </si>
  <si>
    <t>Perul, Perul (Dakshin), Comilla Sadar Dakshin, Comilla, Chittagong, Bangladesh</t>
  </si>
  <si>
    <t>23.273266</t>
  </si>
  <si>
    <t xml:space="preserve">
91.130615</t>
  </si>
  <si>
    <t>137.39 Km</t>
  </si>
  <si>
    <t>137.63 Km</t>
  </si>
  <si>
    <t>15, College Road, Paurashava, Laksam, Comilla, Chittagong, Bangladesh</t>
  </si>
  <si>
    <t>23.229893</t>
  </si>
  <si>
    <t xml:space="preserve">
91.11814</t>
  </si>
  <si>
    <t>140.45 Km</t>
  </si>
  <si>
    <t>Comilla - Noakhali Highway, Purbo Batabariya, Purba Batabaria, Khila, Manoharganj, Comilla, Chittagong, Bangladesh</t>
  </si>
  <si>
    <t>23.162983</t>
  </si>
  <si>
    <t xml:space="preserve">
91.12889</t>
  </si>
  <si>
    <t>149.11 Km</t>
  </si>
  <si>
    <t>14.71 km</t>
  </si>
  <si>
    <t>A177, Natherpetua, Nather Petua, Manoharganj, Comilla, Chittagong, Bangladesh</t>
  </si>
  <si>
    <t>23.10657</t>
  </si>
  <si>
    <t xml:space="preserve">
91.11323</t>
  </si>
  <si>
    <t>154.03 Km</t>
  </si>
  <si>
    <t>4.72 km</t>
  </si>
  <si>
    <t>Khezur Tola Road, Bazra, Narottampur (Part), Narottampur, Begumganj, Noakhali, Chittagong, Bangladesh</t>
  </si>
  <si>
    <t>22.974413</t>
  </si>
  <si>
    <t xml:space="preserve">
91.10742</t>
  </si>
  <si>
    <t>170.1 Km</t>
  </si>
  <si>
    <t>A203, Amanatpur, Chaumohani Paurashava, Begumganj, Noakhali, Chittagong, Bangladesh</t>
  </si>
  <si>
    <t>22.935385</t>
  </si>
  <si>
    <t xml:space="preserve">
91.08942</t>
  </si>
  <si>
    <t>173.6 Km</t>
  </si>
  <si>
    <t>B182, Fazilpur, Jirtali, Begumganj, Noakhali, Chittagong, Bangladesh</t>
  </si>
  <si>
    <t>22.943613</t>
  </si>
  <si>
    <t xml:space="preserve">
91.03661</t>
  </si>
  <si>
    <t>167.79 Km</t>
  </si>
  <si>
    <t>Maijdee - Chandraganj Road, Hadar Ghor Bus Stop, Alayarpur, Ramkrishnapur, Chandraganj, Lakshmipur Sadar, Lakshmipur, Chittagong, Bangladesh</t>
  </si>
  <si>
    <t>22.941309</t>
  </si>
  <si>
    <t xml:space="preserve">
90.98031</t>
  </si>
  <si>
    <t>163.39 Km</t>
  </si>
  <si>
    <t>3.27 km</t>
  </si>
  <si>
    <t>Battali, Matabi, Hajir Para, Lakshmipur Sadar, Lakshmipur, Chittagong, Bangladesh</t>
  </si>
  <si>
    <t>22.935911</t>
  </si>
  <si>
    <t xml:space="preserve">
90.93461</t>
  </si>
  <si>
    <t>160.59 Km</t>
  </si>
  <si>
    <t>M22, Samaspur, Mandari, Lakshmipur Sadar, Lakshmipur, Chittagong, Bangladesh</t>
  </si>
  <si>
    <t>22.940113</t>
  </si>
  <si>
    <t xml:space="preserve">
90.90297</t>
  </si>
  <si>
    <t>157.63 Km</t>
  </si>
  <si>
    <t>M22, Laharkandi, Lakshmipur Sadar, Lakshmipur, Chittagong, Bangladesh</t>
  </si>
  <si>
    <t>22.943632</t>
  </si>
  <si>
    <t xml:space="preserve">
90.85591</t>
  </si>
  <si>
    <t>153.83 Km</t>
  </si>
  <si>
    <t>4, Main Road, Paurashava, Lakshmipur Sadar, Lakshmipur, Chittagong, Bangladesh</t>
  </si>
  <si>
    <t>22.944635</t>
  </si>
  <si>
    <t xml:space="preserve">
90.82954</t>
  </si>
  <si>
    <t>151.95 Km</t>
  </si>
  <si>
    <t>3.2 km</t>
  </si>
  <si>
    <t>R140, Lakshmipur, Dalal Bazar, Lakshmipur Sadar, Lakshmipur, Chittagong, Bangladesh</t>
  </si>
  <si>
    <t>22.952509</t>
  </si>
  <si>
    <t xml:space="preserve">
90.81073</t>
  </si>
  <si>
    <t>149.57 Km</t>
  </si>
  <si>
    <t>4.37 km</t>
  </si>
  <si>
    <t>R140, Nandanpur, Mahadebpur, Dakshin Hamchadi, Lakshmipur Sadar, Lakshmipur, Chittagong, Bangladesh</t>
  </si>
  <si>
    <t>22.977852</t>
  </si>
  <si>
    <t xml:space="preserve">
90.79583</t>
  </si>
  <si>
    <t>144.78 Km</t>
  </si>
  <si>
    <t>R140, Bashabari Bazar, Baga Rakhalia, Sonapur, Raipur, Lakshmipur, Chittagong, Bangladesh</t>
  </si>
  <si>
    <t>23.00507</t>
  </si>
  <si>
    <t xml:space="preserve">
90.76501</t>
  </si>
  <si>
    <t>138.75 Km</t>
  </si>
  <si>
    <t>447.89 m</t>
  </si>
  <si>
    <t>Raipur - Haiderganj - Hajimara Road, Deyanatpur, Roypur Paurashava, Raipur, Lakshmipur, Chittagong, Bangladesh</t>
  </si>
  <si>
    <t>23.034012</t>
  </si>
  <si>
    <t xml:space="preserve">
90.76661</t>
  </si>
  <si>
    <t>134.4 Km</t>
  </si>
  <si>
    <t>23.037611</t>
  </si>
  <si>
    <t xml:space="preserve">
90.76464</t>
  </si>
  <si>
    <t>133.73 Km</t>
  </si>
  <si>
    <t>Debipur, Roypur Paurashava, Raipur, Lakshmipur, Chittagong, Bangladesh</t>
  </si>
  <si>
    <t>23.03744</t>
  </si>
  <si>
    <t xml:space="preserve">
90.75026</t>
  </si>
  <si>
    <t>132.9 Km</t>
  </si>
  <si>
    <t>4.18 km</t>
  </si>
  <si>
    <t>Raipur - Haiderganj - Hajimara Road, Birampur, Kazir Char, Char Ababil, Raipur, Lakshmipur, Chittagong, Bangladesh</t>
  </si>
  <si>
    <t>23.036465</t>
  </si>
  <si>
    <t xml:space="preserve">
90.72113</t>
  </si>
  <si>
    <t>131.4 Km</t>
  </si>
  <si>
    <t>Raipur - Haiderganj - Hajimara Road, Haiderganj, Char Ababil, North Char Ababil, Raipur, Lakshmipur, Chittagong, Bangladesh</t>
  </si>
  <si>
    <t>23.021715</t>
  </si>
  <si>
    <t xml:space="preserve">
90.68352</t>
  </si>
  <si>
    <t>131.81 Km</t>
  </si>
  <si>
    <t>Haiderganj, Char Ababil, North Char Ababil, Raipur, Lakshmipur, Chittagong, Bangladesh</t>
  </si>
  <si>
    <t>23.01412</t>
  </si>
  <si>
    <t xml:space="preserve">
90.68666</t>
  </si>
  <si>
    <t>133.16 Km</t>
  </si>
  <si>
    <t>23.025173</t>
  </si>
  <si>
    <t xml:space="preserve">
90.68552</t>
  </si>
  <si>
    <t>131.35 Km</t>
  </si>
  <si>
    <t>Birampur, Beacons Field, Char Mohana, Raipur, Lakshmipur, Chittagong, Bangladesh</t>
  </si>
  <si>
    <t>23.02823</t>
  </si>
  <si>
    <t xml:space="preserve">
90.7228</t>
  </si>
  <si>
    <t>132.78 Km</t>
  </si>
  <si>
    <t>Raipur - Haiderganj - Hajimara Road, Debipur, Royipur, Raipur, Lakshmipur, Chittagong, Bangladesh</t>
  </si>
  <si>
    <t>23.032423</t>
  </si>
  <si>
    <t xml:space="preserve">
90.74776</t>
  </si>
  <si>
    <t>133.53 Km</t>
  </si>
  <si>
    <t>Borobondor Road, Paurashava, Dinajpur Sadar, Dinajpur, Rangpur, Bangladesh</t>
  </si>
  <si>
    <t>25.636522</t>
  </si>
  <si>
    <t xml:space="preserve">
88.64165</t>
  </si>
  <si>
    <t>411 Km</t>
  </si>
  <si>
    <t>Dinajpur Hijra Polli, Bangibacha Bridge Road, Dinajpur, Chehelgazi, Rangpur Division, Bangladesh, 5200</t>
  </si>
  <si>
    <t>25.648445</t>
  </si>
  <si>
    <t xml:space="preserve">
88.63389</t>
  </si>
  <si>
    <t>413.27 Km</t>
  </si>
  <si>
    <t>859.56 m</t>
  </si>
  <si>
    <t>959 m</t>
  </si>
  <si>
    <t>Dinajpur Hijra Polli, Suihari Golapbag - Ramnagar Road, Dinajpur, Paurashava, Rangpur Division, Bangladesh</t>
  </si>
  <si>
    <t>25.63982</t>
  </si>
  <si>
    <t>412.18 Km</t>
  </si>
  <si>
    <t>LS Photography, Bangibacha Bridge Road, Dinajpur, Chehelgazi, Rangpur Division, Bangladesh, 5200</t>
  </si>
  <si>
    <t>724.68 m</t>
  </si>
  <si>
    <t>Road, Paurashava, Dinajpur Sadar, Dinajpur, Rangpur, Bangladesh</t>
  </si>
  <si>
    <t>25.64202</t>
  </si>
  <si>
    <t xml:space="preserve">
88.63511</t>
  </si>
  <si>
    <t>412.34 Km</t>
  </si>
  <si>
    <t>3, Choy Rastar More - Patuapara, Paurashava, Dinajpur Sadar, Dinajpur, Rangpur 5200, Bangladesh</t>
  </si>
  <si>
    <t>25.63784</t>
  </si>
  <si>
    <t xml:space="preserve">
88.62912</t>
  </si>
  <si>
    <t>412.41 Km</t>
  </si>
  <si>
    <t>928.84 m</t>
  </si>
  <si>
    <t>Beximco Pharmaceuticals Limited, Surihari Golapbag - Ramnagar Road, Dinajpur, Suihari Majhadanga, Chehelgazi, Rangpur Division, Bangladesh</t>
  </si>
  <si>
    <t>25.641346</t>
  </si>
  <si>
    <t xml:space="preserve">
88.64011</t>
  </si>
  <si>
    <t>411.76 Km</t>
  </si>
  <si>
    <t>Department of Botany, Ramnagar - Khatripara Link Road, Dinajpur, Paurashava, Rangpur Division, Bangladesh, 5200</t>
  </si>
  <si>
    <t>25.636852</t>
  </si>
  <si>
    <t xml:space="preserve">
88.63229</t>
  </si>
  <si>
    <t>411.97 Km</t>
  </si>
  <si>
    <t>896.38 m</t>
  </si>
  <si>
    <t>Ajay Hostel, Suihari to PTI Road, Dinajpur, Suihari Majhadanga, Chehelgazi, Rangpur Division, Bangladesh, 5200</t>
  </si>
  <si>
    <t>25.652054</t>
  </si>
  <si>
    <t xml:space="preserve">
88.64109</t>
  </si>
  <si>
    <t>413.01 Km</t>
  </si>
  <si>
    <t>Main Hostel, Dhaka - Dinjapur Hwy, Suihari - Sarkari College Road, Dinajpur, Suihari Majhadanga, Chehelgazi, Rangpur Division, Bangladesh, 5200</t>
  </si>
  <si>
    <t>Hospital Road, Paurashava, Dinajpur Sadar, Dinajpur, Rangpur, Bangladesh</t>
  </si>
  <si>
    <t>25.623</t>
  </si>
  <si>
    <t xml:space="preserve">
88.63489</t>
  </si>
  <si>
    <t>409.98 Km</t>
  </si>
  <si>
    <t>2, Shekpura to Housing More Road, Newtown, Hajipara, Sekhpura, Dinajpur Sadar, Dinajpur, Rangpur 5200, Bangladesh</t>
  </si>
  <si>
    <t>25.61636</t>
  </si>
  <si>
    <t xml:space="preserve">
88.65222</t>
  </si>
  <si>
    <t>407.43 Km</t>
  </si>
  <si>
    <t>Shepahipara Road, Fulbari Bus Stand, Paurashava, Dinajpur Sadar, Dinajpur, Rangpur, 5200, Bangladesh</t>
  </si>
  <si>
    <t>25.620125</t>
  </si>
  <si>
    <t xml:space="preserve">
88.64268</t>
  </si>
  <si>
    <t>408.85 Km</t>
  </si>
  <si>
    <t>Nambihin Rasta, Sekhpura, Dinajpur Sadar, Dinajpur, Rangpur, Bangladesh</t>
  </si>
  <si>
    <t>25.625578</t>
  </si>
  <si>
    <t xml:space="preserve">
88.651985</t>
  </si>
  <si>
    <t>408.6 Km</t>
  </si>
  <si>
    <t>Kalitola - Borabondor Road, Chehelgazi, Dinajpur Sadar, Dinajpur, Rangpur, Bangladesh</t>
  </si>
  <si>
    <t>25.640566</t>
  </si>
  <si>
    <t xml:space="preserve">
88.63882</t>
  </si>
  <si>
    <t>411.79 Km</t>
  </si>
  <si>
    <t>452.03 m</t>
  </si>
  <si>
    <t>Dinajpur - Parbatipur Road, Sekhpura, Dinajpur Sadar, Dinajpur, Rangpur, Bangladesh</t>
  </si>
  <si>
    <t>25.631508</t>
  </si>
  <si>
    <t xml:space="preserve">
88.64999</t>
  </si>
  <si>
    <t>409.55 Km</t>
  </si>
  <si>
    <t>917, Uttar Balubari - Borabandar Road, Balubari, Sekhpura, Dinajpur Sadar, Dinajpur, Rangpur 5210, Bangladesh</t>
  </si>
  <si>
    <t>25.629868</t>
  </si>
  <si>
    <t xml:space="preserve">
88.64586</t>
  </si>
  <si>
    <t>409.75 Km</t>
  </si>
  <si>
    <t>Chehelgazi, Dinajpur Sadar, Dinajpur, Rangpur, Bangladesh</t>
  </si>
  <si>
    <t>25.645802</t>
  </si>
  <si>
    <t xml:space="preserve">
88.636696</t>
  </si>
  <si>
    <t>412.66 Km</t>
  </si>
  <si>
    <t>746.45 m</t>
  </si>
  <si>
    <t>Nimtola Road, Paurashava, Dinajpur Sadar, Dinajpur, Rangpur 5200, Bangladesh</t>
  </si>
  <si>
    <t>25.63319</t>
  </si>
  <si>
    <t xml:space="preserve">
88.63939</t>
  </si>
  <si>
    <t>410.81 Km</t>
  </si>
  <si>
    <t>Bahadur Bazar - Hospital Road, দিনাজপুর, Paurashava, Dinajpur Sadar, দিনাজপুর জেলা, রংপুর বিভাগ, Bangladesh</t>
  </si>
  <si>
    <t>25.626379</t>
  </si>
  <si>
    <t xml:space="preserve">
88.63366</t>
  </si>
  <si>
    <t>410.53 Km</t>
  </si>
  <si>
    <t>Bypass Road, Sekhpura, Dinajpur Sadar, Dinajpur, Rangpur, Bangladesh</t>
  </si>
  <si>
    <t>25.6256</t>
  </si>
  <si>
    <t xml:space="preserve">
88.64548</t>
  </si>
  <si>
    <t>409.25 Km</t>
  </si>
  <si>
    <t>677.14 m</t>
  </si>
  <si>
    <t>Bancharampul - Law College More Road, Balubari, Paurashava, Dinajpur Sadar, Dinajpur, Rangpur, Bangladesh</t>
  </si>
  <si>
    <t>25.629892</t>
  </si>
  <si>
    <t xml:space="preserve">
88.64069</t>
  </si>
  <si>
    <t>410.27 Km</t>
  </si>
  <si>
    <t>Talent Search Residential School, Purnovaba Dam Road, Dinajpur, Paurashava, Rangpur Division, Bangladesh</t>
  </si>
  <si>
    <t>25.624456</t>
  </si>
  <si>
    <t xml:space="preserve">
88.62569</t>
  </si>
  <si>
    <t>411.08 Km</t>
  </si>
  <si>
    <t>Police Line-Faridpur Graveyard Road, Paurashava, Dinajpur Sadar, Dinajpur, Rangpur, Bangladesh</t>
  </si>
  <si>
    <t>25.62008</t>
  </si>
  <si>
    <t xml:space="preserve">
88.639244</t>
  </si>
  <si>
    <t>409.18 Km</t>
  </si>
  <si>
    <t>773.37 m</t>
  </si>
  <si>
    <t>BGB (BDR) Kuthibari - Mission Road, Paurashava, Dinajpur Sadar, Dinajpur, Rangpur 5200, Bangladesh</t>
  </si>
  <si>
    <t>25.620192</t>
  </si>
  <si>
    <t xml:space="preserve">
88.62863</t>
  </si>
  <si>
    <t>410.26 Km</t>
  </si>
  <si>
    <t>5200, T and T Road, Dinajpur, Paurashava, Rangpur Division, Bangladesh, 5200</t>
  </si>
  <si>
    <t>25.625284</t>
  </si>
  <si>
    <t>410.37 Km</t>
  </si>
  <si>
    <t>674.63 m</t>
  </si>
  <si>
    <t>145, Kalitola - Charubabaur Mor Road, Dinajpur, Paurashava, Rangpur Division, Bangladesh, 5200</t>
  </si>
  <si>
    <t>25.63619</t>
  </si>
  <si>
    <t xml:space="preserve">
88.63744</t>
  </si>
  <si>
    <t>411.38 Km</t>
  </si>
  <si>
    <t>715.14 m</t>
  </si>
  <si>
    <t>Nambihin Rasta, Paurashava, Dinajpur Sadar, Dinajpur, Rangpur, Bangladesh</t>
  </si>
  <si>
    <t>25.637445</t>
  </si>
  <si>
    <t xml:space="preserve">
88.63086</t>
  </si>
  <si>
    <t>412.19 Km</t>
  </si>
  <si>
    <t>Kanchan Bridge to Rail Bridge, Chak Kanchan, Farakkabad, Biral, Dinajpur, Rangpur, Bangladesh</t>
  </si>
  <si>
    <t>25.623535</t>
  </si>
  <si>
    <t xml:space="preserve">
88.61825</t>
  </si>
  <si>
    <t>411.71 Km</t>
  </si>
  <si>
    <t>Nambihin Rasta, Bhagabanpur, Bijora, Biral, Dinajpur, Rangpur, Bangladesh</t>
  </si>
  <si>
    <t>25.627335</t>
  </si>
  <si>
    <t xml:space="preserve">
88.60545</t>
  </si>
  <si>
    <t>413.47 Km</t>
  </si>
  <si>
    <t>Dogachhi, Bijora, Biral, Dinajpur, Rangpur, Bangladesh</t>
  </si>
  <si>
    <t>25.618753</t>
  </si>
  <si>
    <t xml:space="preserve">
88.58254</t>
  </si>
  <si>
    <t>414.72 Km</t>
  </si>
  <si>
    <t>Mota Pukur Jama Masjid, Dinajpur - Birol Road, Biral, Birol Upazila, Dinajpur District, Rangpur Division, Bangladesh</t>
  </si>
  <si>
    <t>25.634731</t>
  </si>
  <si>
    <t xml:space="preserve">
88.55982</t>
  </si>
  <si>
    <t>419 Km</t>
  </si>
  <si>
    <t>Nambihin Rasta, Bhat Para, Biral, Biral, Dinajpur, Rangpur, Bangladesh</t>
  </si>
  <si>
    <t>25.648043</t>
  </si>
  <si>
    <t xml:space="preserve">
88.56471</t>
  </si>
  <si>
    <t>420.14 Km</t>
  </si>
  <si>
    <t>Teghra Maheshpur, Farakkabad, Biral, Dinajpur, Rangpur, Bangladesh</t>
  </si>
  <si>
    <t>25.652287</t>
  </si>
  <si>
    <t xml:space="preserve">
88.612305</t>
  </si>
  <si>
    <t>415.89 Km</t>
  </si>
  <si>
    <t>860.71 m</t>
  </si>
  <si>
    <t>Sastitoal - Mission Road, Dinajpur, Paurashava, Rangpur Division, Bangladesh, 5200</t>
  </si>
  <si>
    <t>25.612614</t>
  </si>
  <si>
    <t xml:space="preserve">
88.63698</t>
  </si>
  <si>
    <t>408.48 Km</t>
  </si>
  <si>
    <t>210.05 m</t>
  </si>
  <si>
    <t>390, Mission Road, Dinajpur Railway Station, Paurashava, Dinajpur Sadar, Dinajpur, Rangpur 5200, Bangladesh</t>
  </si>
  <si>
    <t>25.624142</t>
  </si>
  <si>
    <t xml:space="preserve">
88.63222</t>
  </si>
  <si>
    <t>410.39 Km</t>
  </si>
  <si>
    <t>553.4 m</t>
  </si>
  <si>
    <t>688.97 m</t>
  </si>
  <si>
    <t>Lalbag - Ramnagar, Paurashava, Dinajpur Sadar, Dinajpur, Rangpur, Bangladesh</t>
  </si>
  <si>
    <t>25.638872</t>
  </si>
  <si>
    <t xml:space="preserve">
88.63004</t>
  </si>
  <si>
    <t>412.45 Km</t>
  </si>
  <si>
    <t>Puronovaba Dam Road, Dahagram Ramnagar, Paurashava, Dinajpur Sadar, Dinajpur, Rangpur 5200, Bangladesh</t>
  </si>
  <si>
    <t>25.637665</t>
  </si>
  <si>
    <t xml:space="preserve">
88.6233</t>
  </si>
  <si>
    <t>412.97 Km</t>
  </si>
  <si>
    <t>3, Baluadanga Road, Andho Hafez Moor, Paurashava, Dinajpur Sadar, Dinajpur, Rangpur 5200, Bangladesh</t>
  </si>
  <si>
    <t>25.627312</t>
  </si>
  <si>
    <t xml:space="preserve">
88.62303</t>
  </si>
  <si>
    <t>411.7 Km</t>
  </si>
  <si>
    <t>Thakurgaon - Dinajpur Road, Teghora, Teghra Maheshpur, Farakkabad, Biral, Dinajpur, Rangpur, Bangladesh</t>
  </si>
  <si>
    <t>25.643568</t>
  </si>
  <si>
    <t xml:space="preserve">
88.61058</t>
  </si>
  <si>
    <t>414.97 Km</t>
  </si>
  <si>
    <t>3.61 km</t>
  </si>
  <si>
    <t>Farakkabad, Biral, Dinajpur, Rangpur, Bangladesh</t>
  </si>
  <si>
    <t>25.660887</t>
  </si>
  <si>
    <t xml:space="preserve">
88.600624</t>
  </si>
  <si>
    <t>418.13 Km</t>
  </si>
  <si>
    <t>Dhukurjhari Hat - Khasidanga Hat, Dhukurjhari, Giridharpur, Dhamair, Biral, Dinajpur, Rangpur, Bangladesh</t>
  </si>
  <si>
    <t>25.683052</t>
  </si>
  <si>
    <t xml:space="preserve">
88.57437</t>
  </si>
  <si>
    <t>423.51 Km</t>
  </si>
  <si>
    <t>Madhupur, Kashidanga, Dhamair, Biral, Dinajpur, Rangpur, Bangladesh</t>
  </si>
  <si>
    <t>25.701935</t>
  </si>
  <si>
    <t xml:space="preserve">
88.58099</t>
  </si>
  <si>
    <t>425.22 Km</t>
  </si>
  <si>
    <t>5.21 km</t>
  </si>
  <si>
    <t>Madhupur, Ichhail, Targaon, Kaharole, Dinajpur, Rangpur, Bangladesh</t>
  </si>
  <si>
    <t>25.755026</t>
  </si>
  <si>
    <t xml:space="preserve">
88.5899</t>
  </si>
  <si>
    <t>431.05 Km</t>
  </si>
  <si>
    <t>Khosalpur, Mukundapur, Kaharole, Dinajpur, Rangpur, Bangladesh</t>
  </si>
  <si>
    <t>25.801691</t>
  </si>
  <si>
    <t xml:space="preserve">
88.59484</t>
  </si>
  <si>
    <t>436.54 Km</t>
  </si>
  <si>
    <t>Birganj - Kaharol Road, Deonaghata, Mukundapur, Kaharole, Dinajpur, Rangpur, Bangladesh</t>
  </si>
  <si>
    <t>25.797218</t>
  </si>
  <si>
    <t xml:space="preserve">
88.60708</t>
  </si>
  <si>
    <t>434.8 Km</t>
  </si>
  <si>
    <t>Kaharole - Kantaji Temple Road, Pauria, Mukundapur, Kaharole, Dinajpur, Rangpur, Bangladesh</t>
  </si>
  <si>
    <t>25.798132</t>
  </si>
  <si>
    <t xml:space="preserve">
88.62822</t>
  </si>
  <si>
    <t>432.91 Km</t>
  </si>
  <si>
    <t>4.13 km</t>
  </si>
  <si>
    <t>Beldanga, Nayabad, Ramchandrapur, Kaharole, Dinajpur, Rangpur, Bangladesh</t>
  </si>
  <si>
    <t>25.78712</t>
  </si>
  <si>
    <t xml:space="preserve">
88.66309</t>
  </si>
  <si>
    <t>428.19 Km</t>
  </si>
  <si>
    <t>Dhaka - Dinajpur Highway, Beldanga, Gar Nurpur, Sundarpur, Kaharole, Dinajpur, Rangpur, Bangladesh</t>
  </si>
  <si>
    <t>25.750994</t>
  </si>
  <si>
    <t xml:space="preserve">
88.67273</t>
  </si>
  <si>
    <t>422.59 Km</t>
  </si>
  <si>
    <t>Karnai, Mustafabad, Chehelgazi, Dinajpur Sadar, Dinajpur, Rangpur, Bangladesh</t>
  </si>
  <si>
    <t>25.705002</t>
  </si>
  <si>
    <t xml:space="preserve">
88.66661</t>
  </si>
  <si>
    <t>417.25 Km</t>
  </si>
  <si>
    <t>Nambihin Rasta, Karnai, Chehelgazi, Dinajpur Sadar, Dinajpur, Rangpur, Bangladesh</t>
  </si>
  <si>
    <t>25.7128</t>
  </si>
  <si>
    <t xml:space="preserve">
88.64995</t>
  </si>
  <si>
    <t>419.85 Km</t>
  </si>
  <si>
    <t>3.37 km</t>
  </si>
  <si>
    <t>Chandganj, Uttar Bhabanipur, Chehelgazi, Dinajpur Sadar Upazila, Dinajpur District, Rangpur Division, Bangladesh</t>
  </si>
  <si>
    <t>25.68231</t>
  </si>
  <si>
    <t xml:space="preserve">
88.66233</t>
  </si>
  <si>
    <t>414.76 Km</t>
  </si>
  <si>
    <t>UNO Office Building 1, Dhaka - Dinajpur Highway, Dinajpur, Uttar Gosainpur, Chehelgazi, Rangpur Division, Bangladesh</t>
  </si>
  <si>
    <t>25.655401</t>
  </si>
  <si>
    <t xml:space="preserve">
88.64688</t>
  </si>
  <si>
    <t>412.86 Km</t>
  </si>
  <si>
    <t>Bethel Int'l School &amp; College, Balubari Sahid Minar to Shahi Moszid Road, Dinajpur, Paurashava, Rangpur Division, Bangladesh, 5200</t>
  </si>
  <si>
    <t>25.628742</t>
  </si>
  <si>
    <t xml:space="preserve">
88.6422</t>
  </si>
  <si>
    <t>409.97 Km</t>
  </si>
  <si>
    <t>Bishwa Road, Mendibag, Sadipur 2nd Part, Ward No-23, Sylhet Sadar, Sylhet, Sylhet, Bangladesh</t>
  </si>
  <si>
    <t>24.884525</t>
  </si>
  <si>
    <t xml:space="preserve">
91.88054</t>
  </si>
  <si>
    <t>289.62 Km</t>
  </si>
  <si>
    <t>449.83 m</t>
  </si>
  <si>
    <t>41a, Shahjalal Upashahar Main Road, A Block, Tera Ratan, Sadipur 2nd Part, Ward No-22, Sylhet Sadar, Sylhet, Sylhet, Bangladesh</t>
  </si>
  <si>
    <t>24.888962</t>
  </si>
  <si>
    <t xml:space="preserve">
91.8904</t>
  </si>
  <si>
    <t>291.25 Km</t>
  </si>
  <si>
    <t>952.61 m</t>
  </si>
  <si>
    <t>Sadar Para Road, Golapbag, Sadipur 2nd Part, Ward No-24, Sylhet Sadar, Sylhet, Sylhet, Bangladesh</t>
  </si>
  <si>
    <t>24.88668</t>
  </si>
  <si>
    <t xml:space="preserve">
91.89409</t>
  </si>
  <si>
    <t>291.44 Km</t>
  </si>
  <si>
    <t>331.98 m</t>
  </si>
  <si>
    <t>17, Road No 14, Block D, Shahjalal Upashahar, Sadipur 2nd Part, Ward No-22, Sylhet Sadar, Sylhet, Sylhet, Bangladesh</t>
  </si>
  <si>
    <t>24.890434</t>
  </si>
  <si>
    <t xml:space="preserve">
91.885605</t>
  </si>
  <si>
    <t>290.84 Km</t>
  </si>
  <si>
    <t>House 41, Road No 14, B Block, Shahjalal Upashahar, Sadipur 2nd Part, Ward No-22, Sylhet Sadar, Sylhet, Sylhet 3100, Bangladesh</t>
  </si>
  <si>
    <t>24.889143</t>
  </si>
  <si>
    <t xml:space="preserve">
91.88857</t>
  </si>
  <si>
    <t>291.05 Km</t>
  </si>
  <si>
    <t>Sadar Para Road, Sadar Para, Golapbag, Sadipur 2nd Part, Ward No-24, Sylhet Sadar, Sylhet, Sylhet, Bangladesh</t>
  </si>
  <si>
    <t>24.885864</t>
  </si>
  <si>
    <t xml:space="preserve">
91.8935</t>
  </si>
  <si>
    <t>291.28 Km</t>
  </si>
  <si>
    <t>Nucleus Coaching Centre, Shibgonj, 105/1, Mojumdarpara Road, Mazumder Para, Sylhet, Ward No-20, Bangladesh</t>
  </si>
  <si>
    <t>24.897015</t>
  </si>
  <si>
    <t xml:space="preserve">
91.89083</t>
  </si>
  <si>
    <t>292.15 Km</t>
  </si>
  <si>
    <t>959.02 m</t>
  </si>
  <si>
    <t>616.97 m</t>
  </si>
  <si>
    <t>20, Road No. 8, A Block, Tera Ratan, Sadipur 2nd Part, Ward No-22, Sylhet Sadar, Sylhet, Sylhet, Bangladesh</t>
  </si>
  <si>
    <t>24.889181</t>
  </si>
  <si>
    <t xml:space="preserve">
91.89373</t>
  </si>
  <si>
    <t>291.66 Km</t>
  </si>
  <si>
    <t>965.17 m</t>
  </si>
  <si>
    <t>3100, Puranlane Road, The Biz Ghar, Near, Ward No-15, Sylhet Sadar, Sylhet, Sylhet, Bangladesh</t>
  </si>
  <si>
    <t>24.893324</t>
  </si>
  <si>
    <t xml:space="preserve">
91.869736</t>
  </si>
  <si>
    <t>289.3 Km</t>
  </si>
  <si>
    <t>Technical Road, Khojarkhala, Ward No-26, Sylhet Sadar, Sylhet, Sylhet 3100, Bangladesh</t>
  </si>
  <si>
    <t>24.885935</t>
  </si>
  <si>
    <t xml:space="preserve">
91.864716</t>
  </si>
  <si>
    <t>287.93 Km</t>
  </si>
  <si>
    <t>571.38 m</t>
  </si>
  <si>
    <t>Ali Amjad's Clock, 21c, Dhaka - Sylhet Highway, Sylhet, Ward No-26, Bangladesh</t>
  </si>
  <si>
    <t>24.888498</t>
  </si>
  <si>
    <t xml:space="preserve">
91.86801</t>
  </si>
  <si>
    <t>Puranlane Road, Zindabazar, Ward No-15, Sylhet Sadar, Sylhet, Sylhet, Bangladesh</t>
  </si>
  <si>
    <t>24.89337</t>
  </si>
  <si>
    <t xml:space="preserve">
91.86981</t>
  </si>
  <si>
    <t>289.32 Km</t>
  </si>
  <si>
    <t>Kazitula Road, Manikpir Tila, Sylhet, Bangladesh</t>
  </si>
  <si>
    <t>24.9037</t>
  </si>
  <si>
    <t xml:space="preserve">
91.87681</t>
  </si>
  <si>
    <t>291.24 Km</t>
  </si>
  <si>
    <t>369.53 m</t>
  </si>
  <si>
    <t>Darjiban Mosque Road, Brajanath Tila, Sylhet, Bangladesh</t>
  </si>
  <si>
    <t>Golapbag, Sadipur 2nd Part, Ward No-24, Sylhet Sadar, Sylhet, Sylhet 3100, Bangladesh</t>
  </si>
  <si>
    <t>24.888054</t>
  </si>
  <si>
    <t xml:space="preserve">
91.89935</t>
  </si>
  <si>
    <t>292.2 Km</t>
  </si>
  <si>
    <t>20, Baluchar-Shibgonj Bazar Road, Uttar Baluchar, Kasba Sylhet Roynagar, Ward No-20, Sylhet Sadar, Sylhet, Sylhet, Bangladesh</t>
  </si>
  <si>
    <t>24.902664</t>
  </si>
  <si>
    <t xml:space="preserve">
91.89404</t>
  </si>
  <si>
    <t>293.13 Km</t>
  </si>
  <si>
    <t>Kazitula Road, Shahi Eidgah, Ward No-18, Sylhet Sadar, Sylhet, Sylhet, Bangladesh</t>
  </si>
  <si>
    <t>24.903622</t>
  </si>
  <si>
    <t xml:space="preserve">
91.88102</t>
  </si>
  <si>
    <t>Shahjalal Uposhahar Jame Mosque, 35, Shahjalal Upashahar Main Road, Shahjalal Upashahar, Sylhet, Sadipur 2nd Part, Ward No-22, Bangladesh</t>
  </si>
  <si>
    <t>24.888475</t>
  </si>
  <si>
    <t xml:space="preserve">
91.88559</t>
  </si>
  <si>
    <t>290.63 Km</t>
  </si>
  <si>
    <t>21, Kazitula - Roynagar Road, Kumar Para, Sylhet, Bangladesh</t>
  </si>
  <si>
    <t>Tilagor - Ambarkhana Road, Shahi Eidgah, Ward No-18, Sylhet Sadar, Sylhet, Sylhet, Bangladesh</t>
  </si>
  <si>
    <t>24.90567</t>
  </si>
  <si>
    <t xml:space="preserve">
91.88207</t>
  </si>
  <si>
    <t>292.06 Km</t>
  </si>
  <si>
    <t>69a, Amjad Ali Road, Charar Par, Ward No-14, Sylhet Sadar, Sylhet, Sylhet 3100, Bangladesh</t>
  </si>
  <si>
    <t>24.88661</t>
  </si>
  <si>
    <t xml:space="preserve">
91.875114</t>
  </si>
  <si>
    <t>289.21 Km</t>
  </si>
  <si>
    <t>321.03 m</t>
  </si>
  <si>
    <t>Chubhani Ghat Road, Charar Par, Ward No-23, Sylhet Sadar, Sylhet, Sylhet, Bangladesh</t>
  </si>
  <si>
    <t>24.886261</t>
  </si>
  <si>
    <t xml:space="preserve">
91.878</t>
  </si>
  <si>
    <t>289.51 Km</t>
  </si>
  <si>
    <t>682.87 m</t>
  </si>
  <si>
    <t>Sylhet - Kanaighat Road, Kushi Ghat, Tultikar, Ward No-24, Sylhet Sadar, Sylhet, Sylhet, Bangladesh</t>
  </si>
  <si>
    <t>24.884504</t>
  </si>
  <si>
    <t xml:space="preserve">
91.89812</t>
  </si>
  <si>
    <t>291.68 Km</t>
  </si>
  <si>
    <t>769.99 m</t>
  </si>
  <si>
    <t>509 m</t>
  </si>
  <si>
    <t>Gulshan Complex Road, Laldighirpar, Ward No-14, Sylhet Sadar, Sylhet, Sylhet, Bangladesh</t>
  </si>
  <si>
    <t>24.890081</t>
  </si>
  <si>
    <t xml:space="preserve">
91.870834</t>
  </si>
  <si>
    <t>289.08 Km</t>
  </si>
  <si>
    <t>Hotel Dallas, 23, Jail Road, Barudkhana, Sylhet, Ward No-15, Bangladesh</t>
  </si>
  <si>
    <t>24.894117</t>
  </si>
  <si>
    <t xml:space="preserve">
91.873215</t>
  </si>
  <si>
    <t>289.79 Km</t>
  </si>
  <si>
    <t>Zitu.Tonmoy.Entreprise, 85, Bilpar Road, Lamabazar, Sylhet, Bangladesh</t>
  </si>
  <si>
    <t>24.895838</t>
  </si>
  <si>
    <t xml:space="preserve">
91.857254</t>
  </si>
  <si>
    <t>288.13 Km</t>
  </si>
  <si>
    <t>244.6 m</t>
  </si>
  <si>
    <t>Shahjalal Upashahar Main Road, E Block, Shahjalal Upashahar, Sadipur 2nd Part, Ward No-22, Sylhet Sadar, Sylhet, Sylhet, Bangladesh</t>
  </si>
  <si>
    <t>24.886198</t>
  </si>
  <si>
    <t xml:space="preserve">
91.88211</t>
  </si>
  <si>
    <t>289.99 Km</t>
  </si>
  <si>
    <t>509.91 m</t>
  </si>
  <si>
    <t>121, boishaki mojumdar para, Daptari Para, Ward No-19, Sylhet Sadar, Sylhet, Sylhet, Bangladesh</t>
  </si>
  <si>
    <t>24.899727</t>
  </si>
  <si>
    <t xml:space="preserve">
91.889336</t>
  </si>
  <si>
    <t>292.27 Km</t>
  </si>
  <si>
    <t>605.57 m</t>
  </si>
  <si>
    <t>SAARC International School, Darjiban Mosque Road, Mira Bazar, Sylhet, Ward No-18, Bangladesh</t>
  </si>
  <si>
    <t>24.897589</t>
  </si>
  <si>
    <t xml:space="preserve">
91.884865</t>
  </si>
  <si>
    <t>291.52 Km</t>
  </si>
  <si>
    <t>105/1, Mojumdarpara Road, Mazumder Para, Sylhet, Bangladesh</t>
  </si>
  <si>
    <t>R250, Gotatikar, Ward No-27, Sylhet Sadar, Sylhet, Sylhet, Bangladesh</t>
  </si>
  <si>
    <t>24.877377</t>
  </si>
  <si>
    <t xml:space="preserve">
91.88573</t>
  </si>
  <si>
    <t>289.48 Km</t>
  </si>
  <si>
    <t>Khararia Road, Muhammed Pur, Silam, Dakshin Surma, Sylhet, Bangladesh</t>
  </si>
  <si>
    <t>24.839365</t>
  </si>
  <si>
    <t>283.74 Km</t>
  </si>
  <si>
    <t>7.76 km</t>
  </si>
  <si>
    <t>Sylhet - Moulavibazar Highway, Khalmukh Bazar, Hara Gauri, Mogla Bazar, Dakshin Surma, Sylhet, Bangladesh</t>
  </si>
  <si>
    <t>24.80006</t>
  </si>
  <si>
    <t xml:space="preserve">
91.91047</t>
  </si>
  <si>
    <t>284.49 Km</t>
  </si>
  <si>
    <t>Sylhet - Moulavibazar Highway, Amirganj, Barua, Fenchuganj, Sylhet, Bangladesh</t>
  </si>
  <si>
    <t>24.7317</t>
  </si>
  <si>
    <t xml:space="preserve">
91.92572</t>
  </si>
  <si>
    <t>279.73 Km</t>
  </si>
  <si>
    <t>NOYAGAW, ফেঞ্চুগঞ্জ, Garulikona, Maijgaon, Fenchuganj, Sylhet 3116, Bangladesh</t>
  </si>
  <si>
    <t>24.692892</t>
  </si>
  <si>
    <t xml:space="preserve">
91.935585</t>
  </si>
  <si>
    <t>277.36 Km</t>
  </si>
  <si>
    <t>3116, Shohid Asaduzzaman Road, Chhattish, Fenchuganj, Fenchuganj, Sylhet, Bangladesh</t>
  </si>
  <si>
    <t>24.696312</t>
  </si>
  <si>
    <t xml:space="preserve">
91.951225</t>
  </si>
  <si>
    <t>279.65 Km</t>
  </si>
  <si>
    <t>Meravui Road, Islamnagar, Bhatera, Kulaura, Moulvi Bazar, Sylhet, Bangladesh</t>
  </si>
  <si>
    <t>24.642563</t>
  </si>
  <si>
    <t xml:space="preserve">
91.99449</t>
  </si>
  <si>
    <t>7.92 km</t>
  </si>
  <si>
    <t>Fenchugonj - Brahman Bazar Road, Rautgaon, Baramchal, Kulaura, Moulvi Bazar, Sylhet, Bangladesh</t>
  </si>
  <si>
    <t>24.598337</t>
  </si>
  <si>
    <t xml:space="preserve">
91.98386</t>
  </si>
  <si>
    <t>275.36 Km</t>
  </si>
  <si>
    <t>Brahmanbazar, Jalalabad, Brahman Bazar, Kulaura, Moulvi Bazar, Sylhet, Bangladesh</t>
  </si>
  <si>
    <t>24.528324</t>
  </si>
  <si>
    <t xml:space="preserve">
91.96936</t>
  </si>
  <si>
    <t>267.82 Km</t>
  </si>
  <si>
    <t>Kulaura Road, Khumia, Hingajia, Brahman Bazar, Kulaura, Moulvi Bazar, Sylhet, Bangladesh</t>
  </si>
  <si>
    <t>24.510738</t>
  </si>
  <si>
    <t xml:space="preserve">
91.99357</t>
  </si>
  <si>
    <t>Nambihin Rasta, Brahmanbazar, Northon, Routhgaon, Kulaura, Moulvi Bazar, Sylhet, Bangladesh</t>
  </si>
  <si>
    <t>24.492596</t>
  </si>
  <si>
    <t xml:space="preserve">
92.00885</t>
  </si>
  <si>
    <t>270.47 Km</t>
  </si>
  <si>
    <t>Robir Bazar, Bizli, Mahamudpur, Prithim Pasha, Kulaura, Moulvi Bazar, Sylhet, Bangladesh</t>
  </si>
  <si>
    <t>24.453283</t>
  </si>
  <si>
    <t xml:space="preserve">
91.991776</t>
  </si>
  <si>
    <t>265.31 Km</t>
  </si>
  <si>
    <t>2.67 km</t>
  </si>
  <si>
    <t>Bizli, Yusuf Sadar, Prithim Pasha, Kulaura, Moulvi Bazar, Sylhet, Bangladesh</t>
  </si>
  <si>
    <t>24.438082</t>
  </si>
  <si>
    <t xml:space="preserve">
91.98299</t>
  </si>
  <si>
    <t>263.04 Km</t>
  </si>
  <si>
    <t>7.07 km</t>
  </si>
  <si>
    <t>Shamsher Nagar Road, Bizli, Balia, Tilagaon, Kulaura, Moulvi Bazar, Sylhet, Bangladesh</t>
  </si>
  <si>
    <t>24.447927</t>
  </si>
  <si>
    <t xml:space="preserve">
91.95895</t>
  </si>
  <si>
    <t>260.42 Km</t>
  </si>
  <si>
    <t>Brahmanbazar, Hingajia T.e., Brahman Bazar, Kulaura, Moulvi Bazar, Sylhet, Bangladesh</t>
  </si>
  <si>
    <t>24.510216</t>
  </si>
  <si>
    <t xml:space="preserve">
91.97293</t>
  </si>
  <si>
    <t>266.91 Km</t>
  </si>
  <si>
    <t>Fenchugonj-Brahmanbazar Rd, Rautgaon, Baramchal, Kulaura, Moulvi Bazar, Sylhet, Bangladesh</t>
  </si>
  <si>
    <t>24.603346</t>
  </si>
  <si>
    <t xml:space="preserve">
91.98489</t>
  </si>
  <si>
    <t>275.91 Km</t>
  </si>
  <si>
    <t>6.17 km</t>
  </si>
  <si>
    <t>Fenchugonj-Brahmanbazar Rd, Maijgaon, Bhatera, Kulaura, Moulvi Bazar, Sylhet, Bangladesh</t>
  </si>
  <si>
    <t>24.623785</t>
  </si>
  <si>
    <t xml:space="preserve">
91.991165</t>
  </si>
  <si>
    <t>278.44 Km</t>
  </si>
  <si>
    <t>Nambihin Rasta, Bhatera, Kayestagram (Part), Maijgaon, Fenchuganj, Sylhet, Bangladesh</t>
  </si>
  <si>
    <t>24.672785</t>
  </si>
  <si>
    <t xml:space="preserve">
91.96254</t>
  </si>
  <si>
    <t>278.98 Km</t>
  </si>
  <si>
    <t>NGFFL Road, Brahmangram, Maijgaon, Fenchuganj, Sylhet, Bangladesh</t>
  </si>
  <si>
    <t>24.67964</t>
  </si>
  <si>
    <t xml:space="preserve">
91.958984</t>
  </si>
  <si>
    <t>279.13 Km</t>
  </si>
  <si>
    <t>1.46 km</t>
  </si>
  <si>
    <t>Near DAE Office, Funchugonj , MWWP+MWF, Fenchuganj, Sylhet Division, Bangladesh</t>
  </si>
  <si>
    <t>24.69738</t>
  </si>
  <si>
    <t xml:space="preserve">
91.93518</t>
  </si>
  <si>
    <t>277.72 Km</t>
  </si>
  <si>
    <t>Sylhet - Moulavibazar Highway, Narayanpur, Fenchuganj, Fenchuganj, Sylhet, Bangladesh</t>
  </si>
  <si>
    <t>24.708117</t>
  </si>
  <si>
    <t xml:space="preserve">
91.9268</t>
  </si>
  <si>
    <t>277.65 Km</t>
  </si>
  <si>
    <t>N208, Muhammad Pur, Barua, Fenchuganj, Sylhet, Bangladesh</t>
  </si>
  <si>
    <t>24.74948</t>
  </si>
  <si>
    <t xml:space="preserve">
91.917465</t>
  </si>
  <si>
    <t>280.4 Km</t>
  </si>
  <si>
    <t>3.53 km</t>
  </si>
  <si>
    <t>Sylhet - Moulavibazar Highway, Railway Bridge, Khalmukh Bazar, Purarkhal, Silam, Dakshin Surma, Sylhet, Bangladesh</t>
  </si>
  <si>
    <t>24.832716</t>
  </si>
  <si>
    <t xml:space="preserve">
91.89657</t>
  </si>
  <si>
    <t>286.12 Km</t>
  </si>
  <si>
    <t>N208, Gotatikar, Kuchai, Dakshin Surma, Sylhet, Sylhet, Bangladesh</t>
  </si>
  <si>
    <t>24.861639</t>
  </si>
  <si>
    <t xml:space="preserve">
91.88216</t>
  </si>
  <si>
    <t>287.4 Km</t>
  </si>
  <si>
    <t>897.2 m</t>
  </si>
  <si>
    <t>804.05 m</t>
  </si>
  <si>
    <t>Sonali Bank Limited, Trivedy House Road, Chalibandar, Sylhet, Ward No-14, Bangladesh, 3100</t>
  </si>
  <si>
    <t>24.887693</t>
  </si>
  <si>
    <t xml:space="preserve">
91.873375</t>
  </si>
  <si>
    <t>289.13 Km</t>
  </si>
  <si>
    <t>3, Electric Supply Road, Ambarkhana, Kazitula, Ward No-17, Sylhet Sadar, Sylhet, Sylhet, Bangladesh</t>
  </si>
  <si>
    <t>24.905132</t>
  </si>
  <si>
    <t xml:space="preserve">
91.87574</t>
  </si>
  <si>
    <t>291.27 Km</t>
  </si>
  <si>
    <t>349.58 m</t>
  </si>
  <si>
    <t>2, Farukia Mosque Cross Road, Sonadanga, Khulna, Ward-16, Sonadanga, Bangladesh</t>
  </si>
  <si>
    <t>22.834118</t>
  </si>
  <si>
    <t xml:space="preserve">
89.52952</t>
  </si>
  <si>
    <t>207.32 Km</t>
  </si>
  <si>
    <t>773.92 m</t>
  </si>
  <si>
    <t>4/2, Mallick Bari Road, Sonadanga, Khulna, Ward-16, Sonadanga, Bangladesh</t>
  </si>
  <si>
    <t>22.834528</t>
  </si>
  <si>
    <t xml:space="preserve">
89.52614</t>
  </si>
  <si>
    <t>207.6 Km</t>
  </si>
  <si>
    <t>728.63 m</t>
  </si>
  <si>
    <t>219, Boro Boyra Rayer Mahal School Road, Rayarmahal, Khulna, Ward-14, Khalishpur, Bangladesh</t>
  </si>
  <si>
    <t>22.840668</t>
  </si>
  <si>
    <t xml:space="preserve">
89.52969</t>
  </si>
  <si>
    <t>206.47 Km</t>
  </si>
  <si>
    <t>857.58 m</t>
  </si>
  <si>
    <t>Rayarmahal, Khulna, Ward-09, Khalishpur, Bangladesh</t>
  </si>
  <si>
    <t>514.82 m</t>
  </si>
  <si>
    <t>Dhaka-Jessore-Khulna Road, Rayarmahal, Khulna, Ward-14, Khalishpur, Bangladesh, 9000</t>
  </si>
  <si>
    <t>22.836277</t>
  </si>
  <si>
    <t xml:space="preserve">
89.521484</t>
  </si>
  <si>
    <t>Goalkhali Bus Stand, Mujgunni Mosque Road, Daulatpur, Khulna, Ward-09, Khalishpur, Bangladesh</t>
  </si>
  <si>
    <t>972.68 m</t>
  </si>
  <si>
    <t>নিউ ভিশন আবাসিক সিটি-১, Gollamari - Sonadanga Bypass Road, Khulna, Chak Ashankhali, Gutudia, Dumuria Upazila, Bangladesh</t>
  </si>
  <si>
    <t>22.829048</t>
  </si>
  <si>
    <t xml:space="preserve">
89.52333</t>
  </si>
  <si>
    <t>208.58 Km</t>
  </si>
  <si>
    <t>9000, Mujgunni Main Road, Boro Boyra, Khulna, Ward-09, Khalishpur, Bangladesh</t>
  </si>
  <si>
    <t>22.827778</t>
  </si>
  <si>
    <t xml:space="preserve">
89.53762</t>
  </si>
  <si>
    <t>207.31 Km</t>
  </si>
  <si>
    <t>3.93 km</t>
  </si>
  <si>
    <t>Coastal Wireless Office (BTCL), 50, Old Jessore Road, Khulna, Ward-15, Khalishpur, Bangladesh</t>
  </si>
  <si>
    <t>22.841328</t>
  </si>
  <si>
    <t xml:space="preserve">
89.54551</t>
  </si>
  <si>
    <t>204.8 Km</t>
  </si>
  <si>
    <t>Banglanews24.com Khulna Office, 12, Yusuf Row, Khulna, Ward-23, Kotwali, Bangladesh</t>
  </si>
  <si>
    <t>22.810976</t>
  </si>
  <si>
    <t xml:space="preserve">
89.5652</t>
  </si>
  <si>
    <t>206.76 Km</t>
  </si>
  <si>
    <t>631.68 m</t>
  </si>
  <si>
    <t>6, Shamsur Rahman Road, Khulna City, Ward-23, Kotwali, Khulna, Khulna, Bangladesh</t>
  </si>
  <si>
    <t>22.811945</t>
  </si>
  <si>
    <t xml:space="preserve">
89.56332</t>
  </si>
  <si>
    <t>206.82 Km</t>
  </si>
  <si>
    <t>10, Fire Brigade Road, Khulna, Ward-22, Kotwali, Bangladesh, 9100</t>
  </si>
  <si>
    <t>22.811094</t>
  </si>
  <si>
    <t xml:space="preserve">
89.56941</t>
  </si>
  <si>
    <t>206.34 Km</t>
  </si>
  <si>
    <t>BIWTA Launch Terminal, Railway Road, Khulna, Aijganti, Rupsha Upazila, Bangladesh</t>
  </si>
  <si>
    <t>22.825188</t>
  </si>
  <si>
    <t xml:space="preserve">
89.56285</t>
  </si>
  <si>
    <t>205.16 Km</t>
  </si>
  <si>
    <t>677.57 m</t>
  </si>
  <si>
    <t>21, Helatala Road, Khulna City, Ward-21, Kotwali, Khulna, Khulna 9100, Bangladesh</t>
  </si>
  <si>
    <t>22.81802</t>
  </si>
  <si>
    <t xml:space="preserve">
89.563835</t>
  </si>
  <si>
    <t>205.98 Km</t>
  </si>
  <si>
    <t>1, Haji Ismail Road, Ward-19, Sonadanga, Khulna, Khulna 9100, Bangladesh</t>
  </si>
  <si>
    <t>22.811954</t>
  </si>
  <si>
    <t xml:space="preserve">
89.55009</t>
  </si>
  <si>
    <t>208.11 Km</t>
  </si>
  <si>
    <t>803.38 m</t>
  </si>
  <si>
    <t>387.13 m</t>
  </si>
  <si>
    <t>783.45 m</t>
  </si>
  <si>
    <t>Khulna Mukti Seba Sangstha (KMSS), 320, Basupara Road, Khulna, Ward-19, Sonadanga, Bangladesh</t>
  </si>
  <si>
    <t>22.81127</t>
  </si>
  <si>
    <t xml:space="preserve">
89.55597</t>
  </si>
  <si>
    <t>207.62 Km</t>
  </si>
  <si>
    <t>970.89 m</t>
  </si>
  <si>
    <t>9000, Road No. 18, Boro Boyra, Khulna, Ward-09, Khalishpur, Bangladesh</t>
  </si>
  <si>
    <t>22.845354</t>
  </si>
  <si>
    <t xml:space="preserve">
89.53374</t>
  </si>
  <si>
    <t>205.48 Km</t>
  </si>
  <si>
    <t>83, Sattar Biswas Sarak, Arambag, Denarabad, Ward-18, Sonadanga, Khulna, Khulna, Bangladesh</t>
  </si>
  <si>
    <t>22.81591</t>
  </si>
  <si>
    <t xml:space="preserve">
89.545235</t>
  </si>
  <si>
    <t>208.07 Km</t>
  </si>
  <si>
    <t>58no, Roy Para Main Road, Ward-24, Kotwali, Khulna, Khulna 9100, Bangladesh</t>
  </si>
  <si>
    <t>22.8085</t>
  </si>
  <si>
    <t xml:space="preserve">
89.55907</t>
  </si>
  <si>
    <t>207.68 Km</t>
  </si>
  <si>
    <t>Road, Rajapur, Aijganti, Rupsha, Khulna, Khulna, Bangladesh</t>
  </si>
  <si>
    <t>22.824951</t>
  </si>
  <si>
    <t>204.91 Km</t>
  </si>
  <si>
    <t>20, Roy Para Main Road, Ward-24, Kotwali, Khulna, Khulna 9100, Bangladesh</t>
  </si>
  <si>
    <t>22.807644</t>
  </si>
  <si>
    <t xml:space="preserve">
89.55851</t>
  </si>
  <si>
    <t>207.84 Km</t>
  </si>
  <si>
    <t>79/2, Khan Jahan Ali Road, Khulna City, Ward-29, Kotwali, Khulna, Khulna 9100, Bangladesh</t>
  </si>
  <si>
    <t>22.806694</t>
  </si>
  <si>
    <t xml:space="preserve">
89.5689</t>
  </si>
  <si>
    <t>206.96 Km</t>
  </si>
  <si>
    <t>3, Nazirghat Cross Road, Ward-26, Sonadanga, Khulna, Khulna, Bangladesh</t>
  </si>
  <si>
    <t>22.805462</t>
  </si>
  <si>
    <t xml:space="preserve">
89.5546</t>
  </si>
  <si>
    <t>208.5 Km</t>
  </si>
  <si>
    <t>2.03 km</t>
  </si>
  <si>
    <t>7 Number Ghat Road, Khulna City, Khulna, Ward-21, Kotwali, Khulna, Khulna, Bangladesh</t>
  </si>
  <si>
    <t>22.823614</t>
  </si>
  <si>
    <t xml:space="preserve">
89.55669</t>
  </si>
  <si>
    <t>205.96 Km</t>
  </si>
  <si>
    <t>857.89 m</t>
  </si>
  <si>
    <t>110, Islampur Road, Khulna, Ward-24, Kcc (Kotwali), Bangladesh</t>
  </si>
  <si>
    <t>791.88 m</t>
  </si>
  <si>
    <t>209, Road 12, Nirala Residential Area, Ward-24, Kotwali, Khulna, Khulna, Bangladesh</t>
  </si>
  <si>
    <t>22.798723</t>
  </si>
  <si>
    <t xml:space="preserve">
89.55324</t>
  </si>
  <si>
    <t>209.51 Km</t>
  </si>
  <si>
    <t>Mistrypara Bazar, Ward-27, Kotwali, Khulna, Khulna 9100, Bangladesh</t>
  </si>
  <si>
    <t>22.801643</t>
  </si>
  <si>
    <t xml:space="preserve">
89.56028</t>
  </si>
  <si>
    <t>208.45 Km</t>
  </si>
  <si>
    <t>87, Haji Ismail Road, Khulna, Ward-20, Kcc (Sonadanga), Bangladesh</t>
  </si>
  <si>
    <t>22.801664</t>
  </si>
  <si>
    <t xml:space="preserve">
89.54271</t>
  </si>
  <si>
    <t>210.15 Km</t>
  </si>
  <si>
    <t>Outer Bypass Road, Rayarmahal, Khulna, Ward-09, Khalishpur, Bangladesh</t>
  </si>
  <si>
    <t>M/s Anju Traders, Choto Boyra Bazar Road, Sonadanga, Khulna, Ward-16, Sonadanga, Bangladesh</t>
  </si>
  <si>
    <t>22.834797</t>
  </si>
  <si>
    <t xml:space="preserve">
89.533615</t>
  </si>
  <si>
    <t>70, Haji Ismail Road, Arambag, Ward-25, Sonadanga, Khulna, Khulna 9100, Bangladesh</t>
  </si>
  <si>
    <t>22.804907</t>
  </si>
  <si>
    <t xml:space="preserve">
89.543594</t>
  </si>
  <si>
    <t>209.65 Km</t>
  </si>
  <si>
    <t>Gollamari - Sonadanga Bypass Road, Chak Mathurabad, Gutudia, Dumuria, Khulna, Khulna, Bangladesh</t>
  </si>
  <si>
    <t>22.81809</t>
  </si>
  <si>
    <t xml:space="preserve">
89.531975</t>
  </si>
  <si>
    <t>209.1 Km</t>
  </si>
  <si>
    <t>901.11 m</t>
  </si>
  <si>
    <t>Road 13, Alutala, Jalma, Batiaghata, Khulna, Khulna 9100, Bangladesh</t>
  </si>
  <si>
    <t>22.793516</t>
  </si>
  <si>
    <t xml:space="preserve">
89.54695</t>
  </si>
  <si>
    <t>210.79 Km</t>
  </si>
  <si>
    <t>ইসলামিয়া সড়ক, Alutala, Krishnanagar, Jalma, Batiaghata, Khulna, Khulna, Bangladesh</t>
  </si>
  <si>
    <t>22.79067</t>
  </si>
  <si>
    <t xml:space="preserve">
89.53872</t>
  </si>
  <si>
    <t>211.96 Km</t>
  </si>
  <si>
    <t>5.36 km</t>
  </si>
  <si>
    <t>Masterpara Main Road, Tootpara, Khulna, Ward-30, Kcc (Kotwali), Bangladesh</t>
  </si>
  <si>
    <t>22.782026</t>
  </si>
  <si>
    <t xml:space="preserve">
89.56218</t>
  </si>
  <si>
    <t>210.83 Km</t>
  </si>
  <si>
    <t>আমদাবাদ সরকারী প্রাথমিক বিদ্যালয়, Khulna - Mongla Road, Khulna, Amdabad, Naihati, Rupsha Upazila, Bangladesh</t>
  </si>
  <si>
    <t>22.785671</t>
  </si>
  <si>
    <t xml:space="preserve">
89.61428</t>
  </si>
  <si>
    <t>Lockpur Bus Stop, Khulna - Mongla Road, Ashoknagar Kalyangarh, Khajura, Lakhpur, Fakirhat Upazila, Bagerhat District, Khulna Division, Bangladesh</t>
  </si>
  <si>
    <t>22.739454</t>
  </si>
  <si>
    <t xml:space="preserve">
89.63818</t>
  </si>
  <si>
    <t>209.62 Km</t>
  </si>
  <si>
    <t>8.25 km</t>
  </si>
  <si>
    <t>Katakhali, Betaga, Noapara, Piljanga, Fakirhat, Bagerhat, Khulna, Bangladesh</t>
  </si>
  <si>
    <t>22.745548</t>
  </si>
  <si>
    <t xml:space="preserve">
89.64582</t>
  </si>
  <si>
    <t>Fakirhat kathaltala, kathaltala, Attaki, Fakirhat, Fakirhat, Bagerhat, Khulna, Bangladesh</t>
  </si>
  <si>
    <t>22.771046</t>
  </si>
  <si>
    <t xml:space="preserve">
89.72135</t>
  </si>
  <si>
    <t>198.17 Km</t>
  </si>
  <si>
    <t>Fakirhat Old Road, Pagla Shyamnagar, Fakirhat, Fakirhat, Bagerhat, Khulna, Bangladesh</t>
  </si>
  <si>
    <t>22.771069</t>
  </si>
  <si>
    <t xml:space="preserve">
89.70377</t>
  </si>
  <si>
    <t>199.62 Km</t>
  </si>
  <si>
    <t>Katakhali, Betaga, Shyam Bagat, Piljanga, Fakirhat, Bagerhat, Khulna, Bangladesh</t>
  </si>
  <si>
    <t>22.729221</t>
  </si>
  <si>
    <t xml:space="preserve">
89.65096</t>
  </si>
  <si>
    <t>209.92 Km</t>
  </si>
  <si>
    <t>Khulna - Mongla Road, Khudir Bot Tola Bus Stop, Ashoknagar Kalyangarh, Khajura, Lakhpur, Fakirhat, Bagerhat, Khulna, Bangladesh</t>
  </si>
  <si>
    <t>22.77332</t>
  </si>
  <si>
    <t xml:space="preserve">
89.617165</t>
  </si>
  <si>
    <t>206.88 Km</t>
  </si>
  <si>
    <t>Khulna City Bypass, Alutala, Jalma, Batiaghata, Khulna, Khulna, Bangladesh</t>
  </si>
  <si>
    <t>22.782415</t>
  </si>
  <si>
    <t>212.37 Km</t>
  </si>
  <si>
    <t>Nambihin Rasta, Jhardhanga, Krishnanagar, Jalma, Batiaghata, Khulna, Khulna, Bangladesh</t>
  </si>
  <si>
    <t>22.796501</t>
  </si>
  <si>
    <t xml:space="preserve">
89.53357</t>
  </si>
  <si>
    <t>211.71 Km</t>
  </si>
  <si>
    <t>2.35 km</t>
  </si>
  <si>
    <t>সুন্দরবন ট্যুর, Rajapur, Khulna, Milkey Deara, Aijganti, Rupsha Upazila, Bangladesh</t>
  </si>
  <si>
    <t>363.07 m</t>
  </si>
  <si>
    <t>10, Upper Jessore Road, খুলনা শহর, খুলনা, Ward-23, Kotwali, খুলনা জেলা, খুলনা বিভাগ, Bangladesh</t>
  </si>
  <si>
    <t>22.81502</t>
  </si>
  <si>
    <t xml:space="preserve">
89.56523</t>
  </si>
  <si>
    <t>206.24 Km</t>
  </si>
  <si>
    <t>Refugee Colony Road, Rayarmahal, Khulna, Ward-09, Khalishpur, Bangladesh</t>
  </si>
  <si>
    <t>22.829243</t>
  </si>
  <si>
    <t xml:space="preserve">
89.51663</t>
  </si>
  <si>
    <t>209.23 Km</t>
  </si>
  <si>
    <t>Soil Resource Development Institute (SRDI), Khulna, Bangladesh, Sonadanga, Khulna, Ward-16, Sonadanga, Bangladesh</t>
  </si>
  <si>
    <t>22.83197</t>
  </si>
  <si>
    <t xml:space="preserve">
89.53079</t>
  </si>
  <si>
    <t>207.46 Km</t>
  </si>
  <si>
    <t>498.05 m</t>
  </si>
  <si>
    <t>4, Ahsan Ahmed Road, Khulna City, Ward-23, Kotwali, Khulna, Khulna 9100, Bangladesh</t>
  </si>
  <si>
    <t>22.813427</t>
  </si>
  <si>
    <t xml:space="preserve">
89.56667</t>
  </si>
  <si>
    <t>206.3 Km</t>
  </si>
  <si>
    <t>Nambihin Rasta, Rajapur, Milkey Deara, Aijganti, Rupsha, Khulna, Khulna, Bangladesh</t>
  </si>
  <si>
    <t>22.823755</t>
  </si>
  <si>
    <t xml:space="preserve">
89.564445</t>
  </si>
  <si>
    <t>205.18 Km</t>
  </si>
  <si>
    <t>237, Haji Ismail Road, Ward-18, Sonadanga, Khulna, Khulna 9100, Bangladesh</t>
  </si>
  <si>
    <t>22.813213</t>
  </si>
  <si>
    <t xml:space="preserve">
89.54903</t>
  </si>
  <si>
    <t>208.05 Km</t>
  </si>
  <si>
    <t>Dhaka Jute Godown, Kadarnath Road, Daulatpur, Khulna, Ward-02, Daulatpur, Bangladesh, 9202</t>
  </si>
  <si>
    <t>22.882023</t>
  </si>
  <si>
    <t xml:space="preserve">
89.52023</t>
  </si>
  <si>
    <t>202.3 Km</t>
  </si>
  <si>
    <t>Nambihin Rasta, Gilatala, Atra Gilatala, Khan Jahan Ali, Khulna, Khulna, Bangladesh</t>
  </si>
  <si>
    <t>22.910782</t>
  </si>
  <si>
    <t xml:space="preserve">
89.51092</t>
  </si>
  <si>
    <t>199.78 Km</t>
  </si>
  <si>
    <t>Nambihin Rasta, Siddhipasha, Abhaynagar, Jessore, Khulna, Bangladesh</t>
  </si>
  <si>
    <t>22.948792</t>
  </si>
  <si>
    <t xml:space="preserve">
89.49046</t>
  </si>
  <si>
    <t>197.48 Km</t>
  </si>
  <si>
    <t>Nambihin Rasta, Alka, Damodarpur, Phultala, Khulna, Bangladesh</t>
  </si>
  <si>
    <t>22.969362</t>
  </si>
  <si>
    <t xml:space="preserve">
89.46741</t>
  </si>
  <si>
    <t>197.68 Km</t>
  </si>
  <si>
    <t>Garakhola, Phultala, Phultala, Khulna, Bangladesh</t>
  </si>
  <si>
    <t>22.976934</t>
  </si>
  <si>
    <t xml:space="preserve">
89.45987</t>
  </si>
  <si>
    <t>Phultala Jamira Road, Pothiabandha, Dhopakhola, Damodarpur, Phultala, Khulna, Bangladesh</t>
  </si>
  <si>
    <t>22.954939</t>
  </si>
  <si>
    <t xml:space="preserve">
89.43827</t>
  </si>
  <si>
    <t>202.6 Km</t>
  </si>
  <si>
    <t>860.56 m</t>
  </si>
  <si>
    <t>Barandi, Piprail, Jamira, Phultala, Khulna, Bangladesh</t>
  </si>
  <si>
    <t>22.934656</t>
  </si>
  <si>
    <t xml:space="preserve">
89.40605</t>
  </si>
  <si>
    <t>208.54 Km</t>
  </si>
  <si>
    <t>Daukona, Jamira, Phultala Upazila, Khulna District, Khulna Division, Bangladesh</t>
  </si>
  <si>
    <t>22.941227</t>
  </si>
  <si>
    <t xml:space="preserve">
89.40161</t>
  </si>
  <si>
    <t>208.31 Km</t>
  </si>
  <si>
    <t>Rangpur, Rangpur, Dumuria Upazila, Khulna District, Khulna Division, Bangladesh</t>
  </si>
  <si>
    <t>22.901222</t>
  </si>
  <si>
    <t xml:space="preserve">
89.45723</t>
  </si>
  <si>
    <t>Atra Gilatala, Khan Jahan Ali, Khulna, Khulna, Bangladesh</t>
  </si>
  <si>
    <t>22.927643</t>
  </si>
  <si>
    <t xml:space="preserve">
89.488945</t>
  </si>
  <si>
    <t>200.13 Km</t>
  </si>
  <si>
    <t>718, Khulna - Jessore - Dhaka Highway, Ward-05, Daulatpur, Khulna, Khulna, Bangladesh</t>
  </si>
  <si>
    <t>22.872667</t>
  </si>
  <si>
    <t xml:space="preserve">
89.52426</t>
  </si>
  <si>
    <t>203.03 Km</t>
  </si>
  <si>
    <t>নার্সারি, Refugee Colony Road, Daulatpur, Khulna, Ward-09, Khalishpur, Bangladesh</t>
  </si>
  <si>
    <t>22.853296</t>
  </si>
  <si>
    <t xml:space="preserve">
89.53298</t>
  </si>
  <si>
    <t>204.55 Km</t>
  </si>
  <si>
    <t>848.57 m</t>
  </si>
  <si>
    <t>Mujgunni Kajibari Road, Boro Boyra, Khulna, Ward-09, Khalishpur, Bangladesh</t>
  </si>
  <si>
    <t>Rajashon Road, Savar Union, Savar-Paurashava, Savar, Dhaka, Bangladesh</t>
  </si>
  <si>
    <t>23.847393</t>
  </si>
  <si>
    <t xml:space="preserve">
90.26818</t>
  </si>
  <si>
    <t>25.78 Km</t>
  </si>
  <si>
    <t>648.93 m</t>
  </si>
  <si>
    <t>35, Dhaka - Aricha Highway, Savar Bazar, Savar Union, Savar-Paurashava, Savar, Dhaka 1340, Bangladesh</t>
  </si>
  <si>
    <t>23.848999</t>
  </si>
  <si>
    <t xml:space="preserve">
90.25782</t>
  </si>
  <si>
    <t>27.3 Km</t>
  </si>
  <si>
    <t>11, Dhaka - Aricha Highway, Savar-Paurashava, Savar, Dhaka 1340, Bangladesh</t>
  </si>
  <si>
    <t>23.843248</t>
  </si>
  <si>
    <t xml:space="preserve">
90.25673</t>
  </si>
  <si>
    <t>27.01 Km</t>
  </si>
  <si>
    <t>593.86 m</t>
  </si>
  <si>
    <t>10, Bank Town Road, Natar Para, Tetuljhora, Savar, Dhaka, Bangladesh</t>
  </si>
  <si>
    <t>23.818855</t>
  </si>
  <si>
    <t xml:space="preserve">
90.25587</t>
  </si>
  <si>
    <t>25.64 Km</t>
  </si>
  <si>
    <t>Rajfulbaria, Tetuljhora, Savar, Dhaka, Bangladesh</t>
  </si>
  <si>
    <t>23.814734</t>
  </si>
  <si>
    <t xml:space="preserve">
90.25958</t>
  </si>
  <si>
    <t>24.9 Km</t>
  </si>
  <si>
    <t>Radio Colony Primary School, Radio Colony Road, Savar-Paurashava, Savar, Dhaka, Bangladesh</t>
  </si>
  <si>
    <t>23.859262</t>
  </si>
  <si>
    <t xml:space="preserve">
90.26384</t>
  </si>
  <si>
    <t>27.35 Km</t>
  </si>
  <si>
    <t>5.79 km</t>
  </si>
  <si>
    <t>Dhaka - Aricha Highway, Savar Union, Senoalia, Pathalia, Savar, Dhaka, Bangladesh</t>
  </si>
  <si>
    <t>23.904877</t>
  </si>
  <si>
    <t xml:space="preserve">
90.26723</t>
  </si>
  <si>
    <t>31.64 Km</t>
  </si>
  <si>
    <t>38.97 Km</t>
  </si>
  <si>
    <t>634.74 m</t>
  </si>
  <si>
    <t>44.04 Km</t>
  </si>
  <si>
    <t>Nambihin Rasta, Kulla, Joypura, Sombhag, Dhamrai, Dhaka, Bangladesh</t>
  </si>
  <si>
    <t>23.920769</t>
  </si>
  <si>
    <t xml:space="preserve">
90.18357</t>
  </si>
  <si>
    <t>43.21 Km</t>
  </si>
  <si>
    <t>44.73 Km</t>
  </si>
  <si>
    <t>47.65 Km</t>
  </si>
  <si>
    <t>40.9 Km</t>
  </si>
  <si>
    <t>5.51 km</t>
  </si>
  <si>
    <t>N5, Kalampur, Dautia, Sombhag, Dhamrai, Dhaka, 1351, Bangladesh</t>
  </si>
  <si>
    <t>23.918383</t>
  </si>
  <si>
    <t xml:space="preserve">
90.15865</t>
  </si>
  <si>
    <t>46.18 Km</t>
  </si>
  <si>
    <t>Abu Said, Belishwar, Suti Para, Dhamrai, Dhaka, Bangladesh</t>
  </si>
  <si>
    <t>23.923374</t>
  </si>
  <si>
    <t xml:space="preserve">
90.10474</t>
  </si>
  <si>
    <t>53.73 Km</t>
  </si>
  <si>
    <t>Bazar, Abu Said, Roykhola, Suti Para, Dhamrai, Dhaka, Bangladesh</t>
  </si>
  <si>
    <t>23.924372</t>
  </si>
  <si>
    <t xml:space="preserve">
90.11632</t>
  </si>
  <si>
    <t>52.26 Km</t>
  </si>
  <si>
    <t>Dhaka - Aricha Highway, Kalampur, Chhota Kalampur, Sombhag, Dhamrai, Dhaka, Bangladesh</t>
  </si>
  <si>
    <t>23.919022</t>
  </si>
  <si>
    <t xml:space="preserve">
90.15392</t>
  </si>
  <si>
    <t>46.85 Km</t>
  </si>
  <si>
    <t>4.22 km</t>
  </si>
  <si>
    <t>Shailan, Sailain, Sombhag, Dhamrai Upazila, Dhaka District, Dhaka Division, Bangladesh</t>
  </si>
  <si>
    <t>23.963036</t>
  </si>
  <si>
    <t xml:space="preserve">
90.16676</t>
  </si>
  <si>
    <t>49.53 Km</t>
  </si>
  <si>
    <t>Dhaka - Aricha Highway, Kalampur, Joypura, Sombhag, Dhamrai, Dhaka, Bangladesh</t>
  </si>
  <si>
    <t>23.913124</t>
  </si>
  <si>
    <t xml:space="preserve">
90.17817</t>
  </si>
  <si>
    <t>43.19 Km</t>
  </si>
  <si>
    <t>725.31 m</t>
  </si>
  <si>
    <t>R 326142005, Kalampur, Sreerampur, Suti Para, Dhamrai, Dhaka, Bangladesh</t>
  </si>
  <si>
    <t>23.919044</t>
  </si>
  <si>
    <t xml:space="preserve">
90.136345</t>
  </si>
  <si>
    <t>49.16 Km</t>
  </si>
  <si>
    <t>915, R 326142002, Kalampur, Sreerampur, Suti Para, Dhamrai, Dhaka, Bangladesh</t>
  </si>
  <si>
    <t>23.913378</t>
  </si>
  <si>
    <t xml:space="preserve">
90.13281</t>
  </si>
  <si>
    <t>49.17 Km</t>
  </si>
  <si>
    <t>R 326142002, Deldha, Suapur, Dhamrai, Dhaka, Bangladesh</t>
  </si>
  <si>
    <t>23.88687</t>
  </si>
  <si>
    <t xml:space="preserve">
90.129776</t>
  </si>
  <si>
    <t>32.63 Km</t>
  </si>
  <si>
    <t>977.94 m</t>
  </si>
  <si>
    <t>Dhaka-Aricha Hw, Islampur, Kazipur, Dhamrai Paurashava, Dhamrai, Dhaka, Bangladesh</t>
  </si>
  <si>
    <t>23.91032</t>
  </si>
  <si>
    <t xml:space="preserve">
90.22702</t>
  </si>
  <si>
    <t>36.85 Km</t>
  </si>
  <si>
    <t>Chondrail Road, Chaybaria, Chhota Chandrail, Dhamrai Paurashava, Dhamrai, Dhaka, Bangladesh</t>
  </si>
  <si>
    <t>23.903912</t>
  </si>
  <si>
    <t xml:space="preserve">
90.22043</t>
  </si>
  <si>
    <t>37 Km</t>
  </si>
  <si>
    <t>364.41 m</t>
  </si>
  <si>
    <t>Salauddin Mahmud Road, Chhota Chandrail, Kulla, Dhamrai, Dhaka, Bangladesh</t>
  </si>
  <si>
    <t>23.90501</t>
  </si>
  <si>
    <t xml:space="preserve">
90.21646</t>
  </si>
  <si>
    <t>37.6 Km</t>
  </si>
  <si>
    <t>583.33 m</t>
  </si>
  <si>
    <t>Dhaka - Aricha Highway, Chandrail, Chhota Chandrail, Dhamrai Paurashava, Dhamrai, Dhaka, Bangladesh</t>
  </si>
  <si>
    <t>23.9074</t>
  </si>
  <si>
    <t xml:space="preserve">
90.214005</t>
  </si>
  <si>
    <t>38.14 Km</t>
  </si>
  <si>
    <t>836.16 m</t>
  </si>
  <si>
    <t>736.18 m</t>
  </si>
  <si>
    <t>81, Pathantola Road, Dhamrai, Dhamrai Paurashava, Dhamrai, Dhaka 1350, Bangladesh</t>
  </si>
  <si>
    <t>23.917591</t>
  </si>
  <si>
    <t xml:space="preserve">
90.21583</t>
  </si>
  <si>
    <t>38.94 Km</t>
  </si>
  <si>
    <t>39.86 Km</t>
  </si>
  <si>
    <t>40.46 Km</t>
  </si>
  <si>
    <t>23.848175</t>
  </si>
  <si>
    <t xml:space="preserve">
90.2623</t>
  </si>
  <si>
    <t>26.63 Km</t>
  </si>
  <si>
    <t>2.99 km</t>
  </si>
  <si>
    <t>VC Residence, 28, Prantic Lane, Vice Chancellor &amp; Senior Teacher, Bara Oalia, Pathalia, Savar, Dhaka, Bangladesh</t>
  </si>
  <si>
    <t>23.888374</t>
  </si>
  <si>
    <t xml:space="preserve">
90.26822</t>
  </si>
  <si>
    <t>29.67 Km</t>
  </si>
  <si>
    <t>Savar Sena Auditorium, Bazaar, Nabinagar - Chandra Road, Nobinagar, Savar Cantonment, Pathalia, Savar, Dhaka 1340, Bangladesh</t>
  </si>
  <si>
    <t>23.91428</t>
  </si>
  <si>
    <t xml:space="preserve">
90.2604</t>
  </si>
  <si>
    <t>33.48 Km</t>
  </si>
  <si>
    <t>142, Dhaka-Aricha Hw, Kohinoor Mills Noyarhat, Nayarhat, Dhania, Pathalia, Savar, Dhaka, Bangladesh</t>
  </si>
  <si>
    <t>23.915064</t>
  </si>
  <si>
    <t xml:space="preserve">
90.238464</t>
  </si>
  <si>
    <t>36.02 Km</t>
  </si>
  <si>
    <t>605.16 m</t>
  </si>
  <si>
    <t>Kalampur, Depasai, Sombhag, Dhamrai, Dhaka, Bangladesh</t>
  </si>
  <si>
    <t>23.930767</t>
  </si>
  <si>
    <t>44.85 Km</t>
  </si>
  <si>
    <t>48.37 Km</t>
  </si>
  <si>
    <t>40.74 Km</t>
  </si>
  <si>
    <t>Shimuliya Road, Shimuliya, Chhota Bangal Para, Bhararia, Dhamrai, Dhaka, Bangladesh</t>
  </si>
  <si>
    <t>23.966457</t>
  </si>
  <si>
    <t xml:space="preserve">
90.199745</t>
  </si>
  <si>
    <t>46.17 Km</t>
  </si>
  <si>
    <t>TARA SARKER VILLA, Nambihin Rasta, Dhantara, Baikunthapur, Dhaljora, Kaliakair, Gazipur, Dhaka 1750, Bangladesh</t>
  </si>
  <si>
    <t>24.024702</t>
  </si>
  <si>
    <t xml:space="preserve">
90.15726</t>
  </si>
  <si>
    <t>57.64 Km</t>
  </si>
  <si>
    <t>58.54 Km</t>
  </si>
  <si>
    <t>58.6 Km</t>
  </si>
  <si>
    <t>Khagail Road, Khagail, Baisakanda, Dhamrai, Dhaka, Bangladesh</t>
  </si>
  <si>
    <t>23.994556</t>
  </si>
  <si>
    <t xml:space="preserve">
90.134605</t>
  </si>
  <si>
    <t>56.66 Km</t>
  </si>
  <si>
    <t>upazila parishad Road, Sakrail, Jadabpur, Dhamrai, ঢাকা জেলা, ঢাকা বিভাগ, Bangladesh</t>
  </si>
  <si>
    <t>24.008228</t>
  </si>
  <si>
    <t xml:space="preserve">
90.1163</t>
  </si>
  <si>
    <t>60.27 Km</t>
  </si>
  <si>
    <t>57.3 Km</t>
  </si>
  <si>
    <t>55.58 Km</t>
  </si>
  <si>
    <t>27.46 Km</t>
  </si>
  <si>
    <t>3.7 km</t>
  </si>
  <si>
    <t>27.19 Km</t>
  </si>
  <si>
    <t xml:space="preserve">
90.26716</t>
  </si>
  <si>
    <t>31.4 Km</t>
  </si>
  <si>
    <t>3.56 km</t>
  </si>
  <si>
    <t>Nabinagar - Chandra Road, Taksur, Pathalia, Savar, Dhaka, Bangladesh</t>
  </si>
  <si>
    <t>23.917965</t>
  </si>
  <si>
    <t xml:space="preserve">
90.25122</t>
  </si>
  <si>
    <t>34.91 Km</t>
  </si>
  <si>
    <t>37.82 Km</t>
  </si>
  <si>
    <t>379.42 m</t>
  </si>
  <si>
    <t>Shifat Road, Dhamrai, Kazipur, Pathalia, Savar Upazila, Dhaka District, Dhaka Division, Bangladesh</t>
  </si>
  <si>
    <t>23.913729</t>
  </si>
  <si>
    <t xml:space="preserve">
90.22687</t>
  </si>
  <si>
    <t>37.23 Km</t>
  </si>
  <si>
    <t>Gomosta Bari Road, Bara Nilakhi, Bayratala, Shibchar, Madaripur, Dhaka, Bangladesh</t>
  </si>
  <si>
    <t>23.337437</t>
  </si>
  <si>
    <t xml:space="preserve">
90.16577</t>
  </si>
  <si>
    <t>82.14 Km</t>
  </si>
  <si>
    <t>330.8 m</t>
  </si>
  <si>
    <t>Madaripur Road, Keranibat, Shib Char Paurashava, Shibchar, Madaripur, Dhaka, Bangladesh</t>
  </si>
  <si>
    <t>23.351198</t>
  </si>
  <si>
    <t xml:space="preserve">
90.16908</t>
  </si>
  <si>
    <t>79.87 Km</t>
  </si>
  <si>
    <t>Road, Thengamara, Shib Char, Shibchar, Madaripur, Dhaka, Bangladesh</t>
  </si>
  <si>
    <t>23.354172</t>
  </si>
  <si>
    <t xml:space="preserve">
90.16897</t>
  </si>
  <si>
    <t>79.44 Km</t>
  </si>
  <si>
    <t>Nambihin Rasta, Guatala, Shib Char Paurashava, Shibchar, Madaripur, Dhaka, Bangladesh</t>
  </si>
  <si>
    <t>23.34402</t>
  </si>
  <si>
    <t xml:space="preserve">
90.179115</t>
  </si>
  <si>
    <t>80.22 Km</t>
  </si>
  <si>
    <t>Madaripur Road, Shibchar, Keranibat, Shib Char, Madaripur District, Dhaka Division, Bangladesh</t>
  </si>
  <si>
    <t>23.3512</t>
  </si>
  <si>
    <t xml:space="preserve">
90.1695</t>
  </si>
  <si>
    <t>79.84 Km</t>
  </si>
  <si>
    <t>Madaripur Road, Boheratola Union, Bara Nilakhi, Bayratala, Shibchar, Madaripur, Dhaka, Bangladesh</t>
  </si>
  <si>
    <t>23.333748</t>
  </si>
  <si>
    <t xml:space="preserve">
90.16368</t>
  </si>
  <si>
    <t>82.83 Km</t>
  </si>
  <si>
    <t>5.4 km</t>
  </si>
  <si>
    <t>Mridha Kandi Road, Shibchar, Dhurail, Madaripur Sadar, Madaripur, Dhaka, Bangladesh</t>
  </si>
  <si>
    <t>23.266527</t>
  </si>
  <si>
    <t xml:space="preserve">
90.144485</t>
  </si>
  <si>
    <t>94.16 Km</t>
  </si>
  <si>
    <t>5.68 km</t>
  </si>
  <si>
    <t>Uttar Dudkhali, Dudkhali, Madaripur Sadar Upazila, Madaripur District, Dhaka Division, Bangladesh</t>
  </si>
  <si>
    <t>23.220753</t>
  </si>
  <si>
    <t xml:space="preserve">
90.16212</t>
  </si>
  <si>
    <t>99.99 Km</t>
  </si>
  <si>
    <t>Charmuguriya Eko Park Lake, Madaripur, Kumrakhali, Ghatmajhi, Dhaka Division, Bangladesh</t>
  </si>
  <si>
    <t>23.169643</t>
  </si>
  <si>
    <t xml:space="preserve">
90.16242</t>
  </si>
  <si>
    <t>107.88 Km</t>
  </si>
  <si>
    <t>Bhanga - Barisal Highway, Bara Mehair, Mustafapur, Madaripur Sadar, Madaripur, Dhaka, Bangladesh</t>
  </si>
  <si>
    <t>23.147099</t>
  </si>
  <si>
    <t xml:space="preserve">
90.14436</t>
  </si>
  <si>
    <t>112.39 Km</t>
  </si>
  <si>
    <t>Nambihin Rasta, Mostafapur, Bara Barara, Mustafapur, Madaripur Sadar, Madaripur, Dhaka, Bangladesh</t>
  </si>
  <si>
    <t>23.150833</t>
  </si>
  <si>
    <t xml:space="preserve">
90.13051</t>
  </si>
  <si>
    <t>112.61 Km</t>
  </si>
  <si>
    <t>Purbo Kalagachia, Jayair, Mustafapur, Madaripur Sadar, Madaripur, Dhaka, Bangladesh</t>
  </si>
  <si>
    <t>23.138876</t>
  </si>
  <si>
    <t xml:space="preserve">
90.133865</t>
  </si>
  <si>
    <t>114.26 Km</t>
  </si>
  <si>
    <t>Nambihin Rasta, Mostafapur, Gachhbaria, Pearpur, Madaripur Sadar, Madaripur, Dhaka, Bangladesh</t>
  </si>
  <si>
    <t>23.165422</t>
  </si>
  <si>
    <t xml:space="preserve">
90.14278</t>
  </si>
  <si>
    <t>109.64 Km</t>
  </si>
  <si>
    <t>822.91 m</t>
  </si>
  <si>
    <t>Madaripur Road, Shadhin Bangla Bridge, Boheratola Union, Bara Nilakhi, Bayratala, Shibchar, Madaripur, Dhaka, Bangladesh</t>
  </si>
  <si>
    <t>Madaripur Road, Bara Nilakhi, Bayratala, Shibchar, Madaripur, Dhaka, Bangladesh</t>
  </si>
  <si>
    <t>23.326916</t>
  </si>
  <si>
    <t xml:space="preserve">
90.16677</t>
  </si>
  <si>
    <t>83.62 Km</t>
  </si>
  <si>
    <t>Madaripur Road, Shibchar, Mirzar Char, Banshkandi, Madaripur District, Dhaka Division, Bangladesh</t>
  </si>
  <si>
    <t>23.293951</t>
  </si>
  <si>
    <t xml:space="preserve">
90.16761</t>
  </si>
  <si>
    <t>88.5 Km</t>
  </si>
  <si>
    <t>4.16 km</t>
  </si>
  <si>
    <t>Madaripur Road, Dakshin Bajitpur, Banshkandi, Shibchar, Madaripur, Dhaka, Bangladesh</t>
  </si>
  <si>
    <t>23.273306</t>
  </si>
  <si>
    <t xml:space="preserve">
90.171814</t>
  </si>
  <si>
    <t>91.35 Km</t>
  </si>
  <si>
    <t>6.96 km</t>
  </si>
  <si>
    <t>Dakshin Birangal, Dhurail, Madaripur Sadar Upazila, Madaripur District, Dhaka Division, Bangladesh</t>
  </si>
  <si>
    <t>23.245312</t>
  </si>
  <si>
    <t xml:space="preserve">
90.14475</t>
  </si>
  <si>
    <t>97.33 Km</t>
  </si>
  <si>
    <t>Howladar Manzil Road, Rasti, Madaripur Sadar, Madaripur, Dhaka, Bangladesh</t>
  </si>
  <si>
    <t>23.186604</t>
  </si>
  <si>
    <t xml:space="preserve">
90.16843</t>
  </si>
  <si>
    <t>104.9 Km</t>
  </si>
  <si>
    <t>মাদারীপুর - ঢাকা মহাসড়ক, Khakdi Bus Stand, Khagdi, Ghatmajhi, Madaripur Sadar, Madaripur, Dhaka, Bangladesh</t>
  </si>
  <si>
    <t>23.158205</t>
  </si>
  <si>
    <t xml:space="preserve">
90.16794</t>
  </si>
  <si>
    <t>109.36 Km</t>
  </si>
  <si>
    <t>Nambihin Rasta, Jayair, Mustafapur, Madaripur Sadar, Madaripur, Dhaka, Bangladesh</t>
  </si>
  <si>
    <t>23.140486</t>
  </si>
  <si>
    <t xml:space="preserve">
90.13806</t>
  </si>
  <si>
    <t>113.77 Km</t>
  </si>
  <si>
    <t>Karimganj Road, Nayakandi Bus Stop, Noakandi, Baragharia, Karimganj, Kishoreganj, Dhaka, Bangladesh</t>
  </si>
  <si>
    <t>24.45747</t>
  </si>
  <si>
    <t xml:space="preserve">
90.86977</t>
  </si>
  <si>
    <t>133.41 Km</t>
  </si>
  <si>
    <t>140, Karimganj Road, Karimganj, Karimganj Paurashava, Karimganj, Kishoreganj, Dhaka, Bangladesh</t>
  </si>
  <si>
    <t>24.469458</t>
  </si>
  <si>
    <t xml:space="preserve">
90.8696</t>
  </si>
  <si>
    <t>135.11 Km</t>
  </si>
  <si>
    <t>Bahadur pur, korimgonj, Noakandi, Baragharia, Karimganj, Kishoreganj, Dhaka, Bangladesh</t>
  </si>
  <si>
    <t>24.457891</t>
  </si>
  <si>
    <t xml:space="preserve">
90.87696</t>
  </si>
  <si>
    <t>134.03 Km</t>
  </si>
  <si>
    <t>কামরুল স্যানিটারি এন্ড হার্ডওয়ার, Karimganj, Majhirkona, Jafarabad, Kishoreganj District, Dhaka Division, Bangladesh</t>
  </si>
  <si>
    <t>24.437698</t>
  </si>
  <si>
    <t xml:space="preserve">
90.8365</t>
  </si>
  <si>
    <t>127.99 Km</t>
  </si>
  <si>
    <t>336.8 m</t>
  </si>
  <si>
    <t>Akrampur - Tarapasha - Siddheswary Bari Road, Kishorganj, Jasodal, Paurashava, Kishoreganj Sadar Upazila, Kishoreganj District, Dhaka Division, Bangladesh</t>
  </si>
  <si>
    <t>24.425083</t>
  </si>
  <si>
    <t xml:space="preserve">
90.789635</t>
  </si>
  <si>
    <t>122.71 Km</t>
  </si>
  <si>
    <t>Akrampur - Tarapasha - Siddheswary Bari Road, Kishorganj, Paurashava, Kishoreganj Sadar, Kishoreganj, Dhaka, Bangladesh</t>
  </si>
  <si>
    <t>24.42782</t>
  </si>
  <si>
    <t xml:space="preserve">
90.79106</t>
  </si>
  <si>
    <t>123.22 Km</t>
  </si>
  <si>
    <t>899.56 m</t>
  </si>
  <si>
    <t>395, Nilganj Road, Kishorganj, Sholakia (Part), Paurashava, Kishoreganj Sadar, Kishoreganj, Dhaka 2300, Bangladesh</t>
  </si>
  <si>
    <t>24.440853</t>
  </si>
  <si>
    <t xml:space="preserve">
90.78415</t>
  </si>
  <si>
    <t>124.67 Km</t>
  </si>
  <si>
    <t>Kharampatti - Alor Mela - Gaital Road, Paurashava, Kishoreganj Sadar, Kishoreganj, Dhaka 2300, Bangladesh</t>
  </si>
  <si>
    <t>24.447687</t>
  </si>
  <si>
    <t xml:space="preserve">
90.779396</t>
  </si>
  <si>
    <t>125.37 Km</t>
  </si>
  <si>
    <t>1121, Paurashava নতুনপল্লি রোড, Kishorganj, Paurashava, Kishoreganj Sadar, Kishoreganj, Dhaka 2300, Bangladesh</t>
  </si>
  <si>
    <t>24.433306</t>
  </si>
  <si>
    <t xml:space="preserve">
90.77746</t>
  </si>
  <si>
    <t>123.09 Km</t>
  </si>
  <si>
    <t>594/3, ABYAT, Kishoreganj, Paurashava, Dhaka Division, Bangladesh</t>
  </si>
  <si>
    <t>24.446407</t>
  </si>
  <si>
    <t xml:space="preserve">
90.768394</t>
  </si>
  <si>
    <t>124.45 Km</t>
  </si>
  <si>
    <t>Kishoreganj - Mymensingh Road, Gaital, Pabaikandi, Latibabad, Kishoreganj Sadar, Kishoreganj, Dhaka, Bangladesh</t>
  </si>
  <si>
    <t>24.462564</t>
  </si>
  <si>
    <t xml:space="preserve">
90.7715</t>
  </si>
  <si>
    <t>127.08 Km</t>
  </si>
  <si>
    <t>490, Puran Thana-Ukilpara Road, Kishorganj, Paurashava, Kishoreganj Sadar, Kishoreganj, Dhaka, Bangladesh</t>
  </si>
  <si>
    <t>24.433407</t>
  </si>
  <si>
    <t xml:space="preserve">
90.78584</t>
  </si>
  <si>
    <t>123.68 Km</t>
  </si>
  <si>
    <t>366, Hayder Road, Kishorganj, Sholakia (Part), Paurashava, Kishoreganj Sadar, Kishoreganj, Dhaka 2300, Bangladesh</t>
  </si>
  <si>
    <t>24.442284</t>
  </si>
  <si>
    <t xml:space="preserve">
90.78223</t>
  </si>
  <si>
    <t>124.75 Km</t>
  </si>
  <si>
    <t>150, Kachari - Gourango Bazar Road, Kishorganj, Paurashava, Kishoreganj Sadar, Kishoreganj, Dhaka, Bangladesh</t>
  </si>
  <si>
    <t>24.433294</t>
  </si>
  <si>
    <t xml:space="preserve">
90.783424</t>
  </si>
  <si>
    <t>123.5 Km</t>
  </si>
  <si>
    <t>594, Shikkhok Polli - Gaital Road, Kishorganj, Paurashava, Kishoreganj Sadar, Kishoreganj, Dhaka, Bangladesh</t>
  </si>
  <si>
    <t>24.446878</t>
  </si>
  <si>
    <t xml:space="preserve">
90.774574</t>
  </si>
  <si>
    <t>124.93 Km</t>
  </si>
  <si>
    <t>New Jail Quarters, Kishoreganj, Binnagaon (Part), Maria, Dhaka Division, Bangladesh</t>
  </si>
  <si>
    <t>24.424501</t>
  </si>
  <si>
    <t xml:space="preserve">
90.75168</t>
  </si>
  <si>
    <t>120.06 Km</t>
  </si>
  <si>
    <t>Charpumdi, Char Pumdi, Pumdi, Hossainpur Upazila, Kishoreganj District, Dhaka Division, Bangladesh</t>
  </si>
  <si>
    <t>24.423384</t>
  </si>
  <si>
    <t xml:space="preserve">
90.71526</t>
  </si>
  <si>
    <t>117.64 Km</t>
  </si>
  <si>
    <t>Kamliarchar, Binnagaon (Part), Maria, Kishoreganj Sadar, Kishoreganj, Dhaka, Bangladesh</t>
  </si>
  <si>
    <t>24.42307</t>
  </si>
  <si>
    <t xml:space="preserve">
90.74143</t>
  </si>
  <si>
    <t>119.19 Km</t>
  </si>
  <si>
    <t>Paurashava, Kishoreganj Sadar, Kishoreganj, Dhaka, Bangladesh</t>
  </si>
  <si>
    <t>24.428345</t>
  </si>
  <si>
    <t xml:space="preserve">
90.77345</t>
  </si>
  <si>
    <t>122.08 Km</t>
  </si>
  <si>
    <t>Academic Building, কিশোরগঞ্জ - করিমগঞ্জ রোড, Bade Sreerampur, Jafarabad, Karimganj, Kishoreganj, Dhaka, Bangladesh</t>
  </si>
  <si>
    <t>24.44316</t>
  </si>
  <si>
    <t xml:space="preserve">
90.84994</t>
  </si>
  <si>
    <t>129.81 Km</t>
  </si>
  <si>
    <t>Millatganj Bazar - Joyka Road, Bharati, Baulai, Kishoreganj Sadar, Kishoreganj, Dhaka, Bangladesh</t>
  </si>
  <si>
    <t>24.429722</t>
  </si>
  <si>
    <t xml:space="preserve">
90.819916</t>
  </si>
  <si>
    <t>125.59 Km</t>
  </si>
  <si>
    <t>Muksudpur, Paurashava, Kishoreganj Sadar Upazila, Kishoreganj District, Dhaka Division, Bangladesh</t>
  </si>
  <si>
    <t>24.44378</t>
  </si>
  <si>
    <t xml:space="preserve">
90.78606</t>
  </si>
  <si>
    <t>125.24 Km</t>
  </si>
  <si>
    <t>Charpara - Paboikandi Road, Gaital, Pabaikandi, Latibabad, Kishoreganj Sadar Upazila, Kishoreganj District, Dhaka Division, Bangladesh</t>
  </si>
  <si>
    <t>24.462582</t>
  </si>
  <si>
    <t xml:space="preserve">
90.76324</t>
  </si>
  <si>
    <t>126.56 Km</t>
  </si>
  <si>
    <t>Bhairab - Kishoreganj Road, Maria, Kishoreganj Sadar, Kishoreganj, Dhaka, Bangladesh</t>
  </si>
  <si>
    <t>24.3973</t>
  </si>
  <si>
    <t xml:space="preserve">
90.76764</t>
  </si>
  <si>
    <t>117.06 Km</t>
  </si>
  <si>
    <t>Mymensingh - Bhairab Road, Kaliachapra, Maijhati, Patuabhanga, Pakundia, Kishoreganj, Dhaka, Bangladesh</t>
  </si>
  <si>
    <t>24.341175</t>
  </si>
  <si>
    <t xml:space="preserve">
90.75872</t>
  </si>
  <si>
    <t>108.16 Km</t>
  </si>
  <si>
    <t>6.74 km</t>
  </si>
  <si>
    <t>24.330948</t>
  </si>
  <si>
    <t xml:space="preserve">
90.755554</t>
  </si>
  <si>
    <t>106.44 Km</t>
  </si>
  <si>
    <t>Mymensingh - Bhairab Road, Achmita Bazar Bus Stop, Bhitadia, Achmita, Katiadi, Kishoreganj, Dhaka, Bangladesh</t>
  </si>
  <si>
    <t>24.274958</t>
  </si>
  <si>
    <t xml:space="preserve">
90.781105</t>
  </si>
  <si>
    <t>100.48 Km</t>
  </si>
  <si>
    <t>Purbo Charipara Road, Vogpara, Chari Para, Achmita, Katiadi, Kishoreganj, Dhaka, Bangladesh</t>
  </si>
  <si>
    <t>24.261255</t>
  </si>
  <si>
    <t xml:space="preserve">
90.795</t>
  </si>
  <si>
    <t>99.79 Km</t>
  </si>
  <si>
    <t>5.45 km</t>
  </si>
  <si>
    <t>Pirijpur, Pirijpur, Pirijpur, Bajitpur Upazila, Kishoreganj District, Dhaka Division, Bangladesh</t>
  </si>
  <si>
    <t>24.219257</t>
  </si>
  <si>
    <t xml:space="preserve">
90.846466</t>
  </si>
  <si>
    <t>5.04 km</t>
  </si>
  <si>
    <t>Vagolpur-Agorpur Road, Agarpur, Ramdi, Kuliarchar Upazila, Kishoreganj District, Dhaka Division, Bangladesh</t>
  </si>
  <si>
    <t>24.18662</t>
  </si>
  <si>
    <t xml:space="preserve">
90.88656</t>
  </si>
  <si>
    <t>99.46 Km</t>
  </si>
  <si>
    <t>Kafaiakandi, Kuliar Char, Kuliarchar, Kishoreganj, Dhaka, Bangladesh</t>
  </si>
  <si>
    <t>24.147482</t>
  </si>
  <si>
    <t xml:space="preserve">
90.911545</t>
  </si>
  <si>
    <t>97.96 Km</t>
  </si>
  <si>
    <t>Khash Khaola Road, Khas Haola, Mirar Char, Kalika Prasad, Bhairab, Kishoreganj, Dhaka, Bangladesh</t>
  </si>
  <si>
    <t>24.10018</t>
  </si>
  <si>
    <t xml:space="preserve">
90.93665</t>
  </si>
  <si>
    <t>96.27 Km</t>
  </si>
  <si>
    <t>2.65 km</t>
  </si>
  <si>
    <t>Etim Khana Bazar Road, Chonchara, Krishnanagar, Shibpur, Bhairab Upazila, Kishoreganj District, Dhaka Division, Bangladesh</t>
  </si>
  <si>
    <t>24.070513</t>
  </si>
  <si>
    <t xml:space="preserve">
90.95318</t>
  </si>
  <si>
    <t>95.71 Km</t>
  </si>
  <si>
    <t>Stadium para, Paurashava, Bhairab, Kishoreganj, Dhaka, Bangladesh</t>
  </si>
  <si>
    <t>24.065098</t>
  </si>
  <si>
    <t xml:space="preserve">
90.978546</t>
  </si>
  <si>
    <t>98.59 Km</t>
  </si>
  <si>
    <t>23, শহীদ জামান রোড, Jogonnath Pur, Paurashava, Bhairab, Kishoreganj, Dhaka, Bangladesh</t>
  </si>
  <si>
    <t>24.052847</t>
  </si>
  <si>
    <t xml:space="preserve">
90.97406</t>
  </si>
  <si>
    <t>96.99 Km</t>
  </si>
  <si>
    <t>Gachtola Ghat Road, Gachtola Ghat, Paurashava, Bhairab Upazila, Kishoreganj District, Dhaka Division, Bangladesh</t>
  </si>
  <si>
    <t>98.43 Km</t>
  </si>
  <si>
    <t>Nahid Medicine Center, Rood Number 3, Bhairab, Paurashava, Kishoreganj District, Dhaka Division, Bangladesh</t>
  </si>
  <si>
    <t>24.057978</t>
  </si>
  <si>
    <t xml:space="preserve">
90.987526</t>
  </si>
  <si>
    <t>99.21 Km</t>
  </si>
  <si>
    <t>99.1 Km</t>
  </si>
  <si>
    <t>Dhaka - Sylhet Highway, Ashuganj-Bhairab Railway Bridge, Paurashava, Bhairab, Brahmanbaria, Chittagong 2350, Bangladesh</t>
  </si>
  <si>
    <t>24.042532</t>
  </si>
  <si>
    <t xml:space="preserve">
90.99399</t>
  </si>
  <si>
    <t>98.88 Km</t>
  </si>
  <si>
    <t>Talshahar Union Parishar - Bahadurpur Road, Basutara, Paschim Talsahar, Ashuganj, Brahmanbaria, Chittagong, Bangladesh</t>
  </si>
  <si>
    <t>24.035343</t>
  </si>
  <si>
    <t xml:space="preserve">
91.04073</t>
  </si>
  <si>
    <t>104.77 Km</t>
  </si>
  <si>
    <t>Nambihin Rasta, Bertola, Kanikhai, Uttar Panisar, Sarail, Brahmanbaria, Chittagong, Bangladesh</t>
  </si>
  <si>
    <t>24.042858</t>
  </si>
  <si>
    <t xml:space="preserve">
91.08419</t>
  </si>
  <si>
    <t>111.33 Km</t>
  </si>
  <si>
    <t>117.52 Km</t>
  </si>
  <si>
    <t>118.22 Km</t>
  </si>
  <si>
    <t>118.02 Km</t>
  </si>
  <si>
    <t>7.29 km</t>
  </si>
  <si>
    <t>116.12 Km</t>
  </si>
  <si>
    <t>আশূগঞ্জ, Sohagpur, Dakshin Panisar, Ashuganj, Brahmanbaria, Chittagong, Bangladesh</t>
  </si>
  <si>
    <t>24.044943</t>
  </si>
  <si>
    <t xml:space="preserve">
91.04054</t>
  </si>
  <si>
    <t>105.42 Km</t>
  </si>
  <si>
    <t>রোড, Char Chartola, Char Chartala, Ashuganj, Brahmanbaria, Chittagong, Bangladesh</t>
  </si>
  <si>
    <t>24.035051</t>
  </si>
  <si>
    <t xml:space="preserve">
90.998924</t>
  </si>
  <si>
    <t>98.99 Km</t>
  </si>
  <si>
    <t>99.75 Km</t>
  </si>
  <si>
    <t>Karkhana Road, Paurashava, Bhairab, Kishoreganj, Dhaka, Bangladesh</t>
  </si>
  <si>
    <t>24.06565</t>
  </si>
  <si>
    <t xml:space="preserve">
90.97335</t>
  </si>
  <si>
    <t>97.94 Km</t>
  </si>
  <si>
    <t>Adorsho Para Primary School, Adorsho Road, Adorsho Para, Kalika Prasad, Bhairab, Kishoreganj, Dhaka, Bangladesh</t>
  </si>
  <si>
    <t>24.09499</t>
  </si>
  <si>
    <t xml:space="preserve">
90.947624</t>
  </si>
  <si>
    <t>97.17 Km</t>
  </si>
  <si>
    <t>Noagaon Farm House, Kishoreganj - Bhairab Road, Kuliar Char, Samaikandi, Chhaysuti, Kuliarchar Upazila, Kishoreganj District, Dhaka Division, Bangladesh, 2351</t>
  </si>
  <si>
    <t>24.13038</t>
  </si>
  <si>
    <t xml:space="preserve">
90.910385</t>
  </si>
  <si>
    <t>96.03 Km</t>
  </si>
  <si>
    <t>Vagolpur-Agorpur Road, Agarpur, Ramdi, Kuliarchar, Kishoreganj, Dhaka, Bangladesh</t>
  </si>
  <si>
    <t>24.191803</t>
  </si>
  <si>
    <t xml:space="preserve">
90.90601</t>
  </si>
  <si>
    <t>102.21 Km</t>
  </si>
  <si>
    <t>Satkhira Hatchery, Cox's Bazar, Chittagong Division, Bangladesh</t>
  </si>
  <si>
    <t>21.397964</t>
  </si>
  <si>
    <t xml:space="preserve">
91.992744</t>
  </si>
  <si>
    <t>464.58 Km</t>
  </si>
  <si>
    <t>Cox's Bazar Marine Drive, Himchori, Khuniapalong, Ramu, Cox's Bazar, Chittagong, Bangladesh</t>
  </si>
  <si>
    <t>21.368498</t>
  </si>
  <si>
    <t xml:space="preserve">
92.01735</t>
  </si>
  <si>
    <t>470.77 Km</t>
  </si>
  <si>
    <t>492, Cox's Bazar Marine Drive, Kolatoli, Jhilwanja, Cox's Bazar Sadar, Cox's Bazar, Chittagong 4700, Bangladesh</t>
  </si>
  <si>
    <t>21.401701</t>
  </si>
  <si>
    <t xml:space="preserve">
91.99289</t>
  </si>
  <si>
    <t>464.06 Km</t>
  </si>
  <si>
    <t>Cox's Bazar Marine Drive, Himchori, Ramu, Cox's Bazar, Chittagong, Bangladesh</t>
  </si>
  <si>
    <t>21.350164</t>
  </si>
  <si>
    <t xml:space="preserve">
92.025856</t>
  </si>
  <si>
    <t>474.07 Km</t>
  </si>
  <si>
    <t>Cox's Bazar Marine Drive, Pechardwip, Khuniapalong, Ramu Upazila, Cox's Bazar District, Chittagong Division, Bangladesh</t>
  </si>
  <si>
    <t>21.320288</t>
  </si>
  <si>
    <t xml:space="preserve">
92.03948</t>
  </si>
  <si>
    <t>479.43 Km</t>
  </si>
  <si>
    <t>Z1098, Jaliapalong, Jalia Palong, Ukhiya, Cox's Bazar, Chittagong, Bangladesh</t>
  </si>
  <si>
    <t>21.288225</t>
  </si>
  <si>
    <t xml:space="preserve">
92.04831</t>
  </si>
  <si>
    <t>484.72 Km</t>
  </si>
  <si>
    <t>Nambihin Rasta, Rumkhapalong, Jalia Palong, Haldia Palong, Ukhiya, Cox's Bazar, Chittagong, Bangladesh</t>
  </si>
  <si>
    <t>21.292229</t>
  </si>
  <si>
    <t xml:space="preserve">
92.0834</t>
  </si>
  <si>
    <t>486.97 Km</t>
  </si>
  <si>
    <t>Moricha, Dhoa Palong, Khuniapalong, Ramu, Cox's Bazar, Chittagong, Bangladesh</t>
  </si>
  <si>
    <t>21.312746</t>
  </si>
  <si>
    <t xml:space="preserve">
92.08813</t>
  </si>
  <si>
    <t>484.44 Km</t>
  </si>
  <si>
    <t>Z1098, Nidania, Jalia Palong, Ukhiya, Cox's Bazar, Chittagong, Bangladesh</t>
  </si>
  <si>
    <t>21.258284</t>
  </si>
  <si>
    <t xml:space="preserve">
92.049904</t>
  </si>
  <si>
    <t>489.13 Km</t>
  </si>
  <si>
    <t>Cox's Bazar - Teknaf LGED Road, Nidania, Inani, Jalia Palong, Ukhiya, Cox's Bazar, Chittagong, Bangladesh</t>
  </si>
  <si>
    <t>21.212662</t>
  </si>
  <si>
    <t xml:space="preserve">
92.04992</t>
  </si>
  <si>
    <t>495.7 Km</t>
  </si>
  <si>
    <t>21.238302</t>
  </si>
  <si>
    <t xml:space="preserve">
92.049866</t>
  </si>
  <si>
    <t>492 Km</t>
  </si>
  <si>
    <t>Cox's Bazar - Teknaf LGED Road, Inani, Jalia Palong, Ukhiya, Cox's Bazar, Chittagong, Bangladesh</t>
  </si>
  <si>
    <t>21.196959</t>
  </si>
  <si>
    <t xml:space="preserve">
92.04969</t>
  </si>
  <si>
    <t>497.94 Km</t>
  </si>
  <si>
    <t>Coxs Bazar - Teknaf LGED Road, Inani, Jalia Palong, Ukhiya Upazila, Coxs Bazar District, Chittagong Division, Bangladesh</t>
  </si>
  <si>
    <t>Cox's Bazar - Teknaf LGED Road, Inani, Palong Khali, Ukhiya, Cox's Bazar, Chittagong, Bangladesh</t>
  </si>
  <si>
    <t>21.178059</t>
  </si>
  <si>
    <t xml:space="preserve">
92.05561</t>
  </si>
  <si>
    <t>501.13 Km</t>
  </si>
  <si>
    <t>1.96 km</t>
  </si>
  <si>
    <t>Z1098, Inani, Cox's Bazar, Chittagong, Bangladesh</t>
  </si>
  <si>
    <t>21.217749</t>
  </si>
  <si>
    <t xml:space="preserve">
92.04114</t>
  </si>
  <si>
    <t>494.28 Km</t>
  </si>
  <si>
    <t>Cox's Bazar - Teknaf Marine Drive, Inani, Jalia Palong, Ukhiya, Cox's Bazar, Chittagong, Bangladesh</t>
  </si>
  <si>
    <t>21.232912</t>
  </si>
  <si>
    <t xml:space="preserve">
92.05082</t>
  </si>
  <si>
    <t>492.85 Km</t>
  </si>
  <si>
    <t>999.08 m</t>
  </si>
  <si>
    <t>492, Cox's Bazar Marine Drive, Kolatoli, Jhilwanja, Cox's Bazar Sadar, Cox's Bazar, Chittagong, Bangladesh</t>
  </si>
  <si>
    <t>21.406515</t>
  </si>
  <si>
    <t xml:space="preserve">
91.989784</t>
  </si>
  <si>
    <t>463.13 Km</t>
  </si>
  <si>
    <t>21.41124</t>
  </si>
  <si>
    <t xml:space="preserve">
91.977</t>
  </si>
  <si>
    <t>461.42 Km</t>
  </si>
  <si>
    <t>21.437466</t>
  </si>
  <si>
    <t xml:space="preserve">
91.978325</t>
  </si>
  <si>
    <t>457.79 Km</t>
  </si>
  <si>
    <t>Pahartoli Road, Jhilwanja, Cox's Bazar Sadar, Cox's Bazar, Chittagong, Bangladesh</t>
  </si>
  <si>
    <t>21.430885</t>
  </si>
  <si>
    <t xml:space="preserve">
91.980774</t>
  </si>
  <si>
    <t>458.93 Km</t>
  </si>
  <si>
    <t>Needs Bay Watch, Cox's Bazar, Jhilwanja, Jhilwanja, Chittagong Division, Bangladesh</t>
  </si>
  <si>
    <t>Biam road, Khurushkul, Cox's Bazar Sadar, Cox's Bazar, Chittagong 4700, Bangladesh</t>
  </si>
  <si>
    <t>21.442675</t>
  </si>
  <si>
    <t xml:space="preserve">
91.96121</t>
  </si>
  <si>
    <t>455.67 Km</t>
  </si>
  <si>
    <t>Kastura Ghat, Kastura Ghat Road, Coxs Bazar, Khurushkul, Khurushkul, Chittagong Division, Bangladesh</t>
  </si>
  <si>
    <t>21.437511</t>
  </si>
  <si>
    <t xml:space="preserve">
91.97708</t>
  </si>
  <si>
    <t>457.68 Km</t>
  </si>
  <si>
    <t>Jhilwanja, Cox's Bazar Sadar, Cox's Bazar, Chittagong, Bangladesh</t>
  </si>
  <si>
    <t>355.53 m</t>
  </si>
  <si>
    <t>676.46 m</t>
  </si>
  <si>
    <t>Nambihin Rasta, Ward-15, Boalia Thana, Rajshahi, Rajshahi, Bangladesh</t>
  </si>
  <si>
    <t>24.380957</t>
  </si>
  <si>
    <t xml:space="preserve">
88.603355</t>
  </si>
  <si>
    <t>294.13 Km</t>
  </si>
  <si>
    <t>749.56 m</t>
  </si>
  <si>
    <t>Nambihin Rasta, Shiroil, Ward-15, Boalia Thana, Rajshahi, Rajshahi, Bangladesh</t>
  </si>
  <si>
    <t>24.376108</t>
  </si>
  <si>
    <t xml:space="preserve">
88.60739</t>
  </si>
  <si>
    <t>293.28 Km</t>
  </si>
  <si>
    <t>70, salbagan, sopura, Chhoto Bon Gram, Ward-15, Boalia Thana, Rajshahi, Rajshahi 6203, Bangladesh</t>
  </si>
  <si>
    <t>24.382751</t>
  </si>
  <si>
    <t xml:space="preserve">
88.60614</t>
  </si>
  <si>
    <t>293.83 Km</t>
  </si>
  <si>
    <t>Rajshahi - Naogaon Highway, Ward-15, Boalia Thana, Rajshahi, Rajshahi, Bangladesh</t>
  </si>
  <si>
    <t>24.377235</t>
  </si>
  <si>
    <t xml:space="preserve">
88.60442</t>
  </si>
  <si>
    <t>293.77 Km</t>
  </si>
  <si>
    <t>294.24 Km</t>
  </si>
  <si>
    <t>Rajshahi - Naogaon Highway, Baya, Noahata, Paba, Rajshahi, Bangladesh</t>
  </si>
  <si>
    <t>24.42253</t>
  </si>
  <si>
    <t xml:space="preserve">
88.611374</t>
  </si>
  <si>
    <t>295.41 Km</t>
  </si>
  <si>
    <t>297.48 Km</t>
  </si>
  <si>
    <t>R685, Nowhata, Mahanandakhali, Noahata, Paba, Rajshahi, Bangladesh</t>
  </si>
  <si>
    <t>24.455168</t>
  </si>
  <si>
    <t xml:space="preserve">
88.61409</t>
  </si>
  <si>
    <t>297.04 Km</t>
  </si>
  <si>
    <t>24.42396</t>
  </si>
  <si>
    <t xml:space="preserve">
88.61214</t>
  </si>
  <si>
    <t>295.39 Km</t>
  </si>
  <si>
    <t>1, City Haat Bypass Road, Terakhadia, Ward-14, Rajpara Thana, Rajshahi, Rajshahi, Bangladesh</t>
  </si>
  <si>
    <t>24.384247</t>
  </si>
  <si>
    <t xml:space="preserve">
88.59014</t>
  </si>
  <si>
    <t>296.2 Km</t>
  </si>
  <si>
    <t>260.81 m</t>
  </si>
  <si>
    <t>Jannatun Nawar Ahlehadeeth Jame Masjid, Kadirganj, Rajshahi, Ward-10, Boalia Thana, Bangladesh</t>
  </si>
  <si>
    <t>24.373425</t>
  </si>
  <si>
    <t xml:space="preserve">
88.59296</t>
  </si>
  <si>
    <t>295.19 Km</t>
  </si>
  <si>
    <t>295.02 Km</t>
  </si>
  <si>
    <t>235.19 m</t>
  </si>
  <si>
    <t>293.79 Km</t>
  </si>
  <si>
    <t>06, Rajshahi New Market Road, Kadirganj, Ward-13, Boalia Thana, Rajshahi, Rajshahi, Bangladesh</t>
  </si>
  <si>
    <t>24.371765</t>
  </si>
  <si>
    <t xml:space="preserve">
88.60269</t>
  </si>
  <si>
    <t>293.71 Km</t>
  </si>
  <si>
    <t>593.98 m</t>
  </si>
  <si>
    <t>70, Ranibazar Road, Sultanabad, Ward-20, Boalia Thana, Rajshahi, Rajshahi 6100, Bangladesh</t>
  </si>
  <si>
    <t>24.368555</t>
  </si>
  <si>
    <t xml:space="preserve">
88.60219</t>
  </si>
  <si>
    <t>293.6 Km</t>
  </si>
  <si>
    <t>State Bank of India, Shaheb Bazar, Rajshahi, Ward-12, Rcc (Boalia), Bangladesh</t>
  </si>
  <si>
    <t>24.364464</t>
  </si>
  <si>
    <t xml:space="preserve">
88.59842</t>
  </si>
  <si>
    <t>293.92 Km</t>
  </si>
  <si>
    <t>163.56 m</t>
  </si>
  <si>
    <t>Pythagoras Vobon, Shaheb Bazar Road, Shaheb Bazar, Ward-09, Boalia Thana, Rajshahi, Rajshahi, Bangladesh</t>
  </si>
  <si>
    <t>24.366167</t>
  </si>
  <si>
    <t xml:space="preserve">
88.59729</t>
  </si>
  <si>
    <t>294.17 Km</t>
  </si>
  <si>
    <t>Ward-28, Matihar Thana, Rajshahi, Rajshahi, Bangladesh</t>
  </si>
  <si>
    <t>24.360378</t>
  </si>
  <si>
    <t xml:space="preserve">
88.62779</t>
  </si>
  <si>
    <t>6.06 km</t>
  </si>
  <si>
    <t>N6, Ward-30, Matihar Thana, Rajshahi, Rajshahi, Bangladesh</t>
  </si>
  <si>
    <t>24.368011</t>
  </si>
  <si>
    <t xml:space="preserve">
88.65153</t>
  </si>
  <si>
    <t>286.51 Km</t>
  </si>
  <si>
    <t>4.99 km</t>
  </si>
  <si>
    <t>Dhaka - Rajshahi Highway, Yusufpur, Bhangra, Belpukuria, Puthia, Rajshahi, Bangladesh</t>
  </si>
  <si>
    <t>24.36164</t>
  </si>
  <si>
    <t xml:space="preserve">
88.71098</t>
  </si>
  <si>
    <t>277.66 Km</t>
  </si>
  <si>
    <t>4.85 km</t>
  </si>
  <si>
    <t>271.32 Km</t>
  </si>
  <si>
    <t>5.16 km</t>
  </si>
  <si>
    <t>Nambihin Rasta, Tarapur, Puthia, Puthia, Rajshahi, Bangladesh</t>
  </si>
  <si>
    <t>24.369753</t>
  </si>
  <si>
    <t xml:space="preserve">
88.80715</t>
  </si>
  <si>
    <t>264.51 Km</t>
  </si>
  <si>
    <t>7.48 km</t>
  </si>
  <si>
    <t>Kanthalbaria, Puthia, Puthia Upazila, Rajshahi District, Rajshahi Division, Bangladesh</t>
  </si>
  <si>
    <t>24.36396</t>
  </si>
  <si>
    <t xml:space="preserve">
88.857735</t>
  </si>
  <si>
    <t>257.03 Km</t>
  </si>
  <si>
    <t>6.14 km</t>
  </si>
  <si>
    <t>Rajshahi - Dhaka Highway, Chandpur, Kafuria, Natore Sadar Upazila, Natore District, Rajshahi Division, Bangladesh</t>
  </si>
  <si>
    <t>24.388657</t>
  </si>
  <si>
    <t xml:space="preserve">
88.92638</t>
  </si>
  <si>
    <t>249.05 Km</t>
  </si>
  <si>
    <t>Dayarampur Road, Nator, Bara Harishpur, Natore Sadar, Natore, Rajshahi, Bangladesh</t>
  </si>
  <si>
    <t>24.404303</t>
  </si>
  <si>
    <t xml:space="preserve">
88.98453</t>
  </si>
  <si>
    <t>242.13 Km</t>
  </si>
  <si>
    <t>214.82 m</t>
  </si>
  <si>
    <t>Walton Plaza, Nichabazar Road, Nator, Paurashava, Rajshahi Division, Bangladesh</t>
  </si>
  <si>
    <t>24.41385</t>
  </si>
  <si>
    <t xml:space="preserve">
88.98547</t>
  </si>
  <si>
    <t>242.69 Km</t>
  </si>
  <si>
    <t>Walton Plaza, Rajshahi - Dhaka Highway, Nator, Paurashava, Rajshahi Division, Bangladesh</t>
  </si>
  <si>
    <t>24.415218</t>
  </si>
  <si>
    <t xml:space="preserve">
88.98397</t>
  </si>
  <si>
    <t>242.99 Km</t>
  </si>
  <si>
    <t>Natore Railway Station, Rajshahi - Dhaka Highway, Nator, Chak Baidyanath, Paurashava, Rajshahi Division, Bangladesh</t>
  </si>
  <si>
    <t>24.41086</t>
  </si>
  <si>
    <t xml:space="preserve">
88.96628</t>
  </si>
  <si>
    <t>245.1 Km</t>
  </si>
  <si>
    <t>6400, Dhaka - Natore Highway, Natore Station Bypass Bus Stand, Nator, Ban Belgharia, Tebaria, Natore Sadar, Natore, Rajshahi, Bangladesh</t>
  </si>
  <si>
    <t>24.4075</t>
  </si>
  <si>
    <t xml:space="preserve">
88.95598</t>
  </si>
  <si>
    <t>246.27 Km</t>
  </si>
  <si>
    <t>Dhaka - Rajshahi Highway, Dastanabad, Kafuria, Natore Sadar, Natore, Rajshahi, Bangladesh</t>
  </si>
  <si>
    <t>24.3718</t>
  </si>
  <si>
    <t xml:space="preserve">
88.89811</t>
  </si>
  <si>
    <t>251.87 Km</t>
  </si>
  <si>
    <t>6.03 km</t>
  </si>
  <si>
    <t>260.47 Km</t>
  </si>
  <si>
    <t>3.92 km</t>
  </si>
  <si>
    <t>Durgapur, Baneshwar, Puthia, Rajshahi, Rajshahi, Bangladesh</t>
  </si>
  <si>
    <t>24.395185</t>
  </si>
  <si>
    <t xml:space="preserve">
88.78321</t>
  </si>
  <si>
    <t>269.48 Km</t>
  </si>
  <si>
    <t>250.4 m</t>
  </si>
  <si>
    <t>Kashiadanga Road, Baneshwar Haat, Baneswar, Shibpur, Baneshwar, Puthia, Rajshahi, Bangladesh</t>
  </si>
  <si>
    <t>24.369053</t>
  </si>
  <si>
    <t xml:space="preserve">
88.75729</t>
  </si>
  <si>
    <t>271.52 Km</t>
  </si>
  <si>
    <t>272.68 Km</t>
  </si>
  <si>
    <t>277.5 Km</t>
  </si>
  <si>
    <t>282.75 Km</t>
  </si>
  <si>
    <t>286.75 Km</t>
  </si>
  <si>
    <t>287.54 Km</t>
  </si>
  <si>
    <t>290.49 Km</t>
  </si>
  <si>
    <t>289.64 Km</t>
  </si>
  <si>
    <t>MSS. NB Filling CNG Station, Meher Chandi, Rajshahi, Ward-26, Rcc (Boalia), Bangladesh</t>
  </si>
  <si>
    <t>24.388454</t>
  </si>
  <si>
    <t xml:space="preserve">
88.64055</t>
  </si>
  <si>
    <t>289.25 Km</t>
  </si>
  <si>
    <t>772.19 m</t>
  </si>
  <si>
    <t>290.7 Km</t>
  </si>
  <si>
    <t>290.14 Km</t>
  </si>
  <si>
    <t>317.32 m</t>
  </si>
  <si>
    <t>24.387068</t>
  </si>
  <si>
    <t xml:space="preserve">
88.61615</t>
  </si>
  <si>
    <t>293 Km</t>
  </si>
  <si>
    <t>789.93 m</t>
  </si>
  <si>
    <t>Duari - Naohata Road, Mahanandakhali, Noahata, Paba Upazila, Rajshahi District, Rajshahi Division, Bangladesh</t>
  </si>
  <si>
    <t>24.453732</t>
  </si>
  <si>
    <t xml:space="preserve">
88.604836</t>
  </si>
  <si>
    <t>298.25 Km</t>
  </si>
  <si>
    <t>745.23 m</t>
  </si>
  <si>
    <t>R685, Nowhata, Puthia Para, Noahata, Paba, Rajshahi, Bangladesh</t>
  </si>
  <si>
    <t>24.460272</t>
  </si>
  <si>
    <t xml:space="preserve">
88.618195</t>
  </si>
  <si>
    <t>296.78 Km</t>
  </si>
  <si>
    <t>Madusdonpur Puthiapara Link Road, Paba, Puthia Para, Noahata, Rajshahi District, Rajshahi Division, Bangladesh</t>
  </si>
  <si>
    <t>24.46824</t>
  </si>
  <si>
    <t xml:space="preserve">
88.615074</t>
  </si>
  <si>
    <t>297.73 Km</t>
  </si>
  <si>
    <t>295.28 Km</t>
  </si>
  <si>
    <t>293.82 Km</t>
  </si>
  <si>
    <t>Rajshahi Bypass, Ward No-17, Shah Makhdum Thana, Rajshahi, Rajshahi, Bangladesh</t>
  </si>
  <si>
    <t>24.409504</t>
  </si>
  <si>
    <t xml:space="preserve">
88.61442</t>
  </si>
  <si>
    <t>294.2 Km</t>
  </si>
  <si>
    <t>292.16 Km</t>
  </si>
  <si>
    <t>Railway Foot Over Bridge, 53, Station Road, Shiroil, Rajshahi, Ward-15, Boalia Thana, Rajshahi, Rajshahi 6000, Bangladesh</t>
  </si>
  <si>
    <t>24.375076</t>
  </si>
  <si>
    <t xml:space="preserve">
88.6077</t>
  </si>
  <si>
    <t>293.18 Km</t>
  </si>
  <si>
    <t>295.75 Km</t>
  </si>
  <si>
    <t>295.89 Km</t>
  </si>
  <si>
    <t>Harian, Paba, Rajshahi, Rajshahi, Bangladesh</t>
  </si>
  <si>
    <t>24.352205</t>
  </si>
  <si>
    <t xml:space="preserve">
88.591354</t>
  </si>
  <si>
    <t>294.26 Km</t>
  </si>
  <si>
    <t>293.68 Km</t>
  </si>
  <si>
    <t>294.15 Km</t>
  </si>
  <si>
    <t>369.02 m</t>
  </si>
  <si>
    <t>23, 548, Eidgah Road, Uposhohor, Ward-14, Rajpara Thana, Rajshahi, Rajshahi 6202, Bangladesh</t>
  </si>
  <si>
    <t>24.380106</t>
  </si>
  <si>
    <t xml:space="preserve">
88.60073</t>
  </si>
  <si>
    <t>294.45 Km</t>
  </si>
  <si>
    <t>H-266, Hatem Khan Gorostan Road, Hatemkha, Rajshahi , Ward-10, Boalia Thana, Bangladesh, 6000</t>
  </si>
  <si>
    <t>24.371664</t>
  </si>
  <si>
    <t>295.1 Km</t>
  </si>
  <si>
    <t>577.91 m</t>
  </si>
  <si>
    <t>Expert Solutions, Shaheb Bazar, Rajshahi, Ward-12, Rcc (Boalia), Bangladesh</t>
  </si>
  <si>
    <t>24.364027</t>
  </si>
  <si>
    <t xml:space="preserve">
88.59939</t>
  </si>
  <si>
    <t>293.75 Km</t>
  </si>
  <si>
    <t>Chondrima Residential Area, Nambihin Rasta, Ward-19, Boalia Thana, Rajshahi, Rajshahi, Bangladesh</t>
  </si>
  <si>
    <t>24.383026</t>
  </si>
  <si>
    <t xml:space="preserve">
88.62208</t>
  </si>
  <si>
    <t>291.57 Km</t>
  </si>
  <si>
    <t>5.58 km</t>
  </si>
  <si>
    <t>Mohonganj Road, RUET Area, Ward-27, Matihar Thana, Rajshahi, Rajshahi 6204, Bangladesh</t>
  </si>
  <si>
    <t>24.36468</t>
  </si>
  <si>
    <t xml:space="preserve">
88.628975</t>
  </si>
  <si>
    <t>289.55 Km</t>
  </si>
  <si>
    <t>7.75 km</t>
  </si>
  <si>
    <t>7.72 km</t>
  </si>
  <si>
    <t>Natore Highway - Grave Madrasa - Rajshahi Road, Sarishabari, Sultanpur, Kafuria, Natore Sadar, Natore, Rajshahi, Bangladesh</t>
  </si>
  <si>
    <t>24.37298</t>
  </si>
  <si>
    <t xml:space="preserve">
88.91192</t>
  </si>
  <si>
    <t>250.02 Km</t>
  </si>
  <si>
    <t>3.65 km</t>
  </si>
  <si>
    <t>Natore Road, Nator, Tebaria, Natore Sadar, Natore, Rajshahi, Bangladesh</t>
  </si>
  <si>
    <t>24.399694</t>
  </si>
  <si>
    <t xml:space="preserve">
88.97275</t>
  </si>
  <si>
    <t>243.42 Km</t>
  </si>
  <si>
    <t>Natore City Bypass, Bara Harishpur, Natore Sadar, Natore, Rajshahi, Bangladesh</t>
  </si>
  <si>
    <t>24.406925</t>
  </si>
  <si>
    <t xml:space="preserve">
89.00787</t>
  </si>
  <si>
    <t>239.12 Km</t>
  </si>
  <si>
    <t>7.22 km</t>
  </si>
  <si>
    <t>Bara Harishpur, Natore Sadar, Natore, Rajshahi, Bangladesh</t>
  </si>
  <si>
    <t>24.408043</t>
  </si>
  <si>
    <t xml:space="preserve">
89.032</t>
  </si>
  <si>
    <t>235.91 Km</t>
  </si>
  <si>
    <t>5.23 km</t>
  </si>
  <si>
    <t>Rajshahi - Dhaka Highway, Kadim Saturia, Lakshmipur Kholabaria, Natore Sadar Upazila, Natore District, Rajshahi Division, Bangladesh</t>
  </si>
  <si>
    <t>24.350752</t>
  </si>
  <si>
    <t xml:space="preserve">
89.06554</t>
  </si>
  <si>
    <t>227.19 Km</t>
  </si>
  <si>
    <t>Rajshahi - Pabna Highway, Bonpara, Kalikapur, Joari, Baraigram, Natore, Rajshahi, Bangladesh</t>
  </si>
  <si>
    <t>24.292257</t>
  </si>
  <si>
    <t xml:space="preserve">
89.08052</t>
  </si>
  <si>
    <t>221.17 Km</t>
  </si>
  <si>
    <t>5.8 km</t>
  </si>
  <si>
    <t>Rajshahi - Pabna Highway, বেলগাছি, Dhala, Kadam Chilan, Lalpur, Natore, Rajshahi, Bangladesh</t>
  </si>
  <si>
    <t>24.255672</t>
  </si>
  <si>
    <t xml:space="preserve">
89.095604</t>
  </si>
  <si>
    <t>216.74 Km</t>
  </si>
  <si>
    <t>Shrine of Krishnapur Hazrat Fayej Sishti Rahmatullahye, Parkul, Chandi, Baraigram, Natore District, Rajshahi Division, Bangladesh</t>
  </si>
  <si>
    <t>24.22531</t>
  </si>
  <si>
    <t xml:space="preserve">
89.14215</t>
  </si>
  <si>
    <t>24.133568</t>
  </si>
  <si>
    <t xml:space="preserve">
89.12637</t>
  </si>
  <si>
    <t>205.63 Km</t>
  </si>
  <si>
    <t>9.03 km</t>
  </si>
  <si>
    <t>Dasuria, Dashuria, Muladuli, Ishwardi, Pabna, Rajshahi, Bangladesh</t>
  </si>
  <si>
    <t>24.112217</t>
  </si>
  <si>
    <t xml:space="preserve">
89.13192</t>
  </si>
  <si>
    <t>203.82 Km</t>
  </si>
  <si>
    <t>6.04 km</t>
  </si>
  <si>
    <t>R604, Tebunia, Phalia, Maligachha, Pabna Sadar, Pabna, Rajshahi, Bangladesh</t>
  </si>
  <si>
    <t>24.076008</t>
  </si>
  <si>
    <t xml:space="preserve">
89.211494</t>
  </si>
  <si>
    <t>Tushar's House, Nurpur Road, Maligachha, Pabna Sadar, Pabna, Rajshahi, Bangladesh</t>
  </si>
  <si>
    <t>24.026056</t>
  </si>
  <si>
    <t xml:space="preserve">
89.2349</t>
  </si>
  <si>
    <t>185.05 Km</t>
  </si>
  <si>
    <t>10ga, Mansurabad Main Road, Kha - Block, Mansurabad Residential Area, Laskarpur, Dogachhi, Pabna Sadar, Pabna, Rajshahi, Bangladesh</t>
  </si>
  <si>
    <t>24.0053</t>
  </si>
  <si>
    <t xml:space="preserve">
89.25948</t>
  </si>
  <si>
    <t>180.64 Km</t>
  </si>
  <si>
    <t>7.68 km</t>
  </si>
  <si>
    <t>Dhaka - Pabna Highway, Machhimpur, Gayeshpur, Pabna Sadar, Pabna, Rajshahi, 6600, Bangladesh</t>
  </si>
  <si>
    <t>24.02302</t>
  </si>
  <si>
    <t xml:space="preserve">
89.29147</t>
  </si>
  <si>
    <t>বড় পুকুর সড়ক, Ataikula, Sankhari Para, Ataikola, Pabna Sadar, Pabna, Rajshahi, Bangladesh</t>
  </si>
  <si>
    <t>24.027554</t>
  </si>
  <si>
    <t xml:space="preserve">
89.36695</t>
  </si>
  <si>
    <t>165.57 Km</t>
  </si>
  <si>
    <t>Sujanagar - Ataikula Road, Ataikula, Ataikola, Ataikola, Santhia Upazila, Pabna District, Rajshahi Division, Bangladesh</t>
  </si>
  <si>
    <t>24.030397</t>
  </si>
  <si>
    <t xml:space="preserve">
89.41107</t>
  </si>
  <si>
    <t>159.2 Km</t>
  </si>
  <si>
    <t>565 m</t>
  </si>
  <si>
    <t>N6, Ataikula Bazar Bus Stop, Ataikula, Raghunathpur, Ataikola, Santhia, Pabna, Rajshahi, Bangladesh</t>
  </si>
  <si>
    <t>24.03299</t>
  </si>
  <si>
    <t xml:space="preserve">
89.415855</t>
  </si>
  <si>
    <t>158.62 Km</t>
  </si>
  <si>
    <t>করমজা পাড়া।, Madhpur, Madhpura, Ataikola, Santhia, Pabna, Rajshahi, Bangladesh</t>
  </si>
  <si>
    <t>24.027887</t>
  </si>
  <si>
    <t xml:space="preserve">
89.4464</t>
  </si>
  <si>
    <t>153.91 Km</t>
  </si>
  <si>
    <t>Miapur, Padma Bila, Ataikola, Santhia, Pabna, Rajshahi, Bangladesh</t>
  </si>
  <si>
    <t>23.988007</t>
  </si>
  <si>
    <t xml:space="preserve">
89.46531</t>
  </si>
  <si>
    <t>149.43 Km</t>
  </si>
  <si>
    <t>Dhaka - Pabna Highway, Tabila, Harirampur, Khatu Para, Santhia, Pabna, Rajshahi, Bangladesh</t>
  </si>
  <si>
    <t>23.979317</t>
  </si>
  <si>
    <t xml:space="preserve">
89.48974</t>
  </si>
  <si>
    <t>145.47 Km</t>
  </si>
  <si>
    <t>Road, Tabila, Bara Jorpukuria, Dulai, Sujanagar, Pabna, Rajshahi, Bangladesh</t>
  </si>
  <si>
    <t>23.957085</t>
  </si>
  <si>
    <t xml:space="preserve">
89.486946</t>
  </si>
  <si>
    <t>145.06 Km</t>
  </si>
  <si>
    <t>Z6017, Chinakhora, Harirampur, Khatu Para, Santhia, Pabna, Rajshahi, Bangladesh</t>
  </si>
  <si>
    <t>23.970757</t>
  </si>
  <si>
    <t xml:space="preserve">
89.497505</t>
  </si>
  <si>
    <t>143.99 Km</t>
  </si>
  <si>
    <t>Road, Dulai, Bishnapur, Khatu Para, Santhia, Pabna, Rajshahi, Bangladesh</t>
  </si>
  <si>
    <t>23.960295</t>
  </si>
  <si>
    <t xml:space="preserve">
89.528114</t>
  </si>
  <si>
    <t>139.05 Km</t>
  </si>
  <si>
    <t>Dulai College Road, Shibrampur, Dulai, Sujanagar, Pabna, Rajshahi, Bangladesh</t>
  </si>
  <si>
    <t>23.952219</t>
  </si>
  <si>
    <t xml:space="preserve">
89.51426</t>
  </si>
  <si>
    <t>140.82 Km</t>
  </si>
  <si>
    <t>Chargobindopur Masjid Road, Dulai, Ahammedpur, Sujanagar, Pabna, Rajshahi, Bangladesh</t>
  </si>
  <si>
    <t>23.951221</t>
  </si>
  <si>
    <t xml:space="preserve">
89.52436</t>
  </si>
  <si>
    <t>139.28 Km</t>
  </si>
  <si>
    <t>Dhaka - Pabna Highway, Julapara, Bishnubaria, Ahammedpur, Sujanagar, Pabna, Rajshahi, Bangladesh</t>
  </si>
  <si>
    <t>23.960587</t>
  </si>
  <si>
    <t xml:space="preserve">
89.53734</t>
  </si>
  <si>
    <t>137.69 Km</t>
  </si>
  <si>
    <t>Kashinathpur - Nagarbari Highway, Kashinathpur, Nayabari, Jotsakhni, Bera, Pabna, Rajshahi, Bangladesh</t>
  </si>
  <si>
    <t>23.954393</t>
  </si>
  <si>
    <t xml:space="preserve">
89.609856</t>
  </si>
  <si>
    <t>126.7 Km</t>
  </si>
  <si>
    <t>6682, Dhaka - Pabna Highway, west mahalla, Edrakpur, Kashinathpur, Santhia, Pabna, Rajshahi, Bangladesh</t>
  </si>
  <si>
    <t>23.963493</t>
  </si>
  <si>
    <t xml:space="preserve">
89.59991</t>
  </si>
  <si>
    <t>128.53 Km</t>
  </si>
  <si>
    <t>976.45 m</t>
  </si>
  <si>
    <t>Ahammadpur Road, Kashinathpur, Ahammedpur, Sujanagar, Pabna, Rajshahi, Bangladesh</t>
  </si>
  <si>
    <t>23.955664</t>
  </si>
  <si>
    <t xml:space="preserve">
89.59556</t>
  </si>
  <si>
    <t>20.66 Km</t>
  </si>
  <si>
    <t>21.39 Km</t>
  </si>
  <si>
    <t>539.19 m</t>
  </si>
  <si>
    <t>Nambihin Rasta, Ruhitpur, Ruhitpur, Keraniganj, Dhaka, Bangladesh</t>
  </si>
  <si>
    <t>23.693495</t>
  </si>
  <si>
    <t xml:space="preserve">
90.30808</t>
  </si>
  <si>
    <t>21.16 Km</t>
  </si>
  <si>
    <t>3.54 km</t>
  </si>
  <si>
    <t>16.92 Km</t>
  </si>
  <si>
    <t>Borhanibag Road, South Keraniganj, Keraniganj, Gokpar, Kalindi, Keraniganj, Dhaka 1310, Bangladesh</t>
  </si>
  <si>
    <t>23.696434</t>
  </si>
  <si>
    <t xml:space="preserve">
90.37954</t>
  </si>
  <si>
    <t>13.93 Km</t>
  </si>
  <si>
    <t>11.8 Km</t>
  </si>
  <si>
    <t>12.12 Km</t>
  </si>
  <si>
    <t>180.32 m</t>
  </si>
  <si>
    <t>12.36 Km</t>
  </si>
  <si>
    <t>Keraniganj Highway Road, Kadamtali, Keraniganj, Dakpara, Zinjira, Keraniganj, Dhaka, Bangladesh</t>
  </si>
  <si>
    <t>23.701357</t>
  </si>
  <si>
    <t xml:space="preserve">
90.397194</t>
  </si>
  <si>
    <t>12.28 Km</t>
  </si>
  <si>
    <t>232.7 m</t>
  </si>
  <si>
    <t>507.33 m</t>
  </si>
  <si>
    <t>661.18 m</t>
  </si>
  <si>
    <t>3.47 km</t>
  </si>
  <si>
    <t>5.62 km</t>
  </si>
  <si>
    <t>16.23 Km</t>
  </si>
  <si>
    <t>522.96 m</t>
  </si>
  <si>
    <t>Baghapur Road, Kalakandi, Char Galgalia, Basta, Keraniganj, Dhaka, Bangladesh</t>
  </si>
  <si>
    <t>23.657215</t>
  </si>
  <si>
    <t xml:space="preserve">
90.35709</t>
  </si>
  <si>
    <t>21.3 Km</t>
  </si>
  <si>
    <t>South Malivita Road, Kalakandi, Char Galgalia, Basta, Keraniganj, Dhaka, Bangladesh</t>
  </si>
  <si>
    <t>23.660706</t>
  </si>
  <si>
    <t xml:space="preserve">
90.35365</t>
  </si>
  <si>
    <t>21.01 Km</t>
  </si>
  <si>
    <t>433.28 m</t>
  </si>
  <si>
    <t>Kanda Para Road, Kalakandi, Char Galgalia, Tegharia, Keraniganj, Dhaka, Bangladesh</t>
  </si>
  <si>
    <t>23.662443</t>
  </si>
  <si>
    <t xml:space="preserve">
90.355194</t>
  </si>
  <si>
    <t>20.64 Km</t>
  </si>
  <si>
    <t>Dhaka - Mawa Highway, Kalakandi, Char Galgalia, Tegharia, Keraniganj, Dhaka, Bangladesh</t>
  </si>
  <si>
    <t>23.659681</t>
  </si>
  <si>
    <t xml:space="preserve">
90.35819</t>
  </si>
  <si>
    <t>20.86 Km</t>
  </si>
  <si>
    <t>863.43 m</t>
  </si>
  <si>
    <t>14.71 Km</t>
  </si>
  <si>
    <t>318.52 m</t>
  </si>
  <si>
    <t>15.6 Km</t>
  </si>
  <si>
    <t>548.14 m</t>
  </si>
  <si>
    <t>1011, Hazi Jehed Ali Soroni Road, Hasnabad Housing Society, Hasnabad, Ikuria, Subhadya, Keraniganj, Dhaka, Bangladesh</t>
  </si>
  <si>
    <t>23.681791</t>
  </si>
  <si>
    <t xml:space="preserve">
90.42314</t>
  </si>
  <si>
    <t>15.23 Km</t>
  </si>
  <si>
    <t>824.83 m</t>
  </si>
  <si>
    <t>Postogola Bridge, Buriganga Bridge, Hasnabad (Nayatola), Shyampur, Shampur, Dhaka, Dhaka, Bangladesh</t>
  </si>
  <si>
    <t>23.687714</t>
  </si>
  <si>
    <t xml:space="preserve">
90.42843</t>
  </si>
  <si>
    <t>14.33 Km</t>
  </si>
  <si>
    <t>Khaja Mainuddin Chisti Road, Jurain, Shyampur, Louhajang, Ward-90, Dcc (Sutrapur), Dhaka, Bangladesh</t>
  </si>
  <si>
    <t>23.691675</t>
  </si>
  <si>
    <t xml:space="preserve">
90.43528</t>
  </si>
  <si>
    <t>13.86 Km</t>
  </si>
  <si>
    <t>566.84 m</t>
  </si>
  <si>
    <t>বালুর মাঠ, 90no, D I T Plot, Postagola, Shyampur, Ward-90, Dcc (Sutrapur), Dhaka, Dhaka 1204, Bangladesh</t>
  </si>
  <si>
    <t>23.694256</t>
  </si>
  <si>
    <t xml:space="preserve">
90.432655</t>
  </si>
  <si>
    <t>13.36 Km</t>
  </si>
  <si>
    <t>Razzab Ali Sarder Road, Shyampur, Ward-89, Dcc (Sutrapur), Dhaka, Dhaka, Bangladesh</t>
  </si>
  <si>
    <t>23.69459</t>
  </si>
  <si>
    <t xml:space="preserve">
90.43821</t>
  </si>
  <si>
    <t>702.78 m</t>
  </si>
  <si>
    <t>817, Baitus Salam Mosque Road, Dania, Dhania (Part), Shampur, Dhaka, Dhaka, Bangladesh</t>
  </si>
  <si>
    <t>23.700268</t>
  </si>
  <si>
    <t xml:space="preserve">
90.448044</t>
  </si>
  <si>
    <t>13.06 Km</t>
  </si>
  <si>
    <t>6, Shonir Akhra - Mridha Bari Road, Mridha Para, Shonir Akhra, Matuail, Demra, Dhaka, Dhaka 1362, Bangladesh</t>
  </si>
  <si>
    <t>23.70608</t>
  </si>
  <si>
    <t xml:space="preserve">
90.45076</t>
  </si>
  <si>
    <t>12.33 Km</t>
  </si>
  <si>
    <t>242.76 m</t>
  </si>
  <si>
    <t>53, শেখদী-ভাঙ্গাপ্রেস রোড, Mridha Para, Dhania (Part), Shampur, Dhaka, Dhaka 1236, Bangladesh</t>
  </si>
  <si>
    <t>23.70485</t>
  </si>
  <si>
    <t xml:space="preserve">
90.44894</t>
  </si>
  <si>
    <t>12.4 Km</t>
  </si>
  <si>
    <t>322.77 m</t>
  </si>
  <si>
    <t>01, Dhaka-Chittagong Highway (Mukti Sharani), Mridha Para, Shonir Akhra, Matuail, Demra, Dhaka, Dhaka, Bangladesh</t>
  </si>
  <si>
    <t>23.705153</t>
  </si>
  <si>
    <t xml:space="preserve">
90.45194</t>
  </si>
  <si>
    <t>12.55 Km</t>
  </si>
  <si>
    <t>55, Shonir Akhra - Dania Road, Shonir Akhra Bus Stop, Biswaroad, Dhania (Part), Shampur, Dhaka, Dhaka 1236, Bangladesh</t>
  </si>
  <si>
    <t>23.70229</t>
  </si>
  <si>
    <t xml:space="preserve">
90.45143</t>
  </si>
  <si>
    <t>12.95 Km</t>
  </si>
  <si>
    <t>12.24 Km</t>
  </si>
  <si>
    <t>988.97 m</t>
  </si>
  <si>
    <t>236, 1, Hazi Lal Miah Sarkar Road, Janata Market, Shyampur, Ward-88, Dcc (Sutrapur), Dhaka, Dhaka 1204, Bangladesh</t>
  </si>
  <si>
    <t>23.697811</t>
  </si>
  <si>
    <t xml:space="preserve">
90.44156</t>
  </si>
  <si>
    <t>13.11 Km</t>
  </si>
  <si>
    <t>Dhaka Keraniganj, Mugar Char, Ruhitpur, Keraniganj, Dhaka, Bangladesh</t>
  </si>
  <si>
    <t>23.68173</t>
  </si>
  <si>
    <t xml:space="preserve">
90.30805</t>
  </si>
  <si>
    <t>22.45 Km</t>
  </si>
  <si>
    <t>7.94 km</t>
  </si>
  <si>
    <t>Zinzira - Keraniganj - Nawabganj - Dohar - Srinagar Road, Tulshi Khali, Ruhitpur, Goalkhali, Chitrakot, Sirajdikhan, মুন্সিগঞ্জ জেলা, ঢাকা বিভাগ, Bangladesh</t>
  </si>
  <si>
    <t>23.66736</t>
  </si>
  <si>
    <t xml:space="preserve">
90.28319</t>
  </si>
  <si>
    <t>26.88 Km</t>
  </si>
  <si>
    <t>2.9 km</t>
  </si>
  <si>
    <t>Nambihin Rasta, Churain, Galimpur, Agla, Nawabganj, Dhaka, Bangladesh</t>
  </si>
  <si>
    <t>23.6377</t>
  </si>
  <si>
    <t xml:space="preserve">
90.21227</t>
  </si>
  <si>
    <t>38.45 Km</t>
  </si>
  <si>
    <t>Zinzira - Keraniganj - Nawabganj - Dohar - Srinagar Road, Bardhanpara, Bardhan Para, Bakshnagar, Nawabganj, Dhaka, Bangladesh</t>
  </si>
  <si>
    <t>23.655449</t>
  </si>
  <si>
    <t xml:space="preserve">
90.19142</t>
  </si>
  <si>
    <t>39.52 Km</t>
  </si>
  <si>
    <t>Bara Jafarpur, Kalakopa, Nawabganj, Dhaka, Bangladesh</t>
  </si>
  <si>
    <t>23.652317</t>
  </si>
  <si>
    <t xml:space="preserve">
90.162445</t>
  </si>
  <si>
    <t>43.66 Km</t>
  </si>
  <si>
    <t>R820, Hazratpur, Bandura, Nawabganj, Dhaka, Bangladesh</t>
  </si>
  <si>
    <t>23.655565</t>
  </si>
  <si>
    <t xml:space="preserve">
90.142456</t>
  </si>
  <si>
    <t>46.15 Km</t>
  </si>
  <si>
    <t>Hasnabad, Bandura, Nawabganj, Dhaka, Bangladesh</t>
  </si>
  <si>
    <t>23.659155</t>
  </si>
  <si>
    <t xml:space="preserve">
90.1101</t>
  </si>
  <si>
    <t>50.44 Km</t>
  </si>
  <si>
    <t>Zinzira - Keraniganj - Nawabganj - Dohar - Srinagar Road, Sadapur, Imamnagar, Bandura, Nawabganj, Dhaka, Bangladesh</t>
  </si>
  <si>
    <t>23.65603</t>
  </si>
  <si>
    <t xml:space="preserve">
90.137215</t>
  </si>
  <si>
    <t>975.36 m</t>
  </si>
  <si>
    <t>49, Nawabgonj Bridge, Nawabgonj, Kasimpur, Jantrail, Nawabganj, Dhaka, Bangladesh</t>
  </si>
  <si>
    <t>23.660854</t>
  </si>
  <si>
    <t xml:space="preserve">
90.16465</t>
  </si>
  <si>
    <t>42.72 Km</t>
  </si>
  <si>
    <t>Zinzira - Keraniganj - Nawabganj - Dohar - Srinagar Road, Surgaon, Kumarganj, Bakshnagar, Nawabganj, ঢাকা জেলা, ঢাকা বিভাগ, Bangladesh</t>
  </si>
  <si>
    <t>23.655441</t>
  </si>
  <si>
    <t xml:space="preserve">
90.19698</t>
  </si>
  <si>
    <t>38.79 Km</t>
  </si>
  <si>
    <t>R820, Tikarpur, Galimpur, Agla, Nawabganj, Dhaka, Bangladesh</t>
  </si>
  <si>
    <t>23.642517</t>
  </si>
  <si>
    <t xml:space="preserve">
90.209496</t>
  </si>
  <si>
    <t>38.33 Km</t>
  </si>
  <si>
    <t>5.85 km</t>
  </si>
  <si>
    <t>Nawyagown, Pausar, Chitrakot, Sirajdikhan Upazila, Munshiganj District, Dhaka Division, Bangladesh</t>
  </si>
  <si>
    <t>23.630913</t>
  </si>
  <si>
    <t xml:space="preserve">
90.250725</t>
  </si>
  <si>
    <t>34.63 Km</t>
  </si>
  <si>
    <t>R820, Ruhitpur, Goalkhali, Chitrakot, Sirajdikhan, Munshiganj, Dhaka, Bangladesh</t>
  </si>
  <si>
    <t>23.670816</t>
  </si>
  <si>
    <t xml:space="preserve">
90.28813</t>
  </si>
  <si>
    <t>Unnamed Rd, Kalakandi, Char Galgalia, Basta, Keraniganj, Dhaka, Bangladesh</t>
  </si>
  <si>
    <t>23.668901</t>
  </si>
  <si>
    <t xml:space="preserve">
90.341545</t>
  </si>
  <si>
    <t>20.76 Km</t>
  </si>
  <si>
    <t>692.08 m</t>
  </si>
  <si>
    <t>রাজাবাড়ি রোড, Dhaniasur, Basta, Keraniganj, Dhaka, Dhaka, Bangladesh</t>
  </si>
  <si>
    <t>23.674137</t>
  </si>
  <si>
    <t xml:space="preserve">
90.34522</t>
  </si>
  <si>
    <t>19.72 Km</t>
  </si>
  <si>
    <t>943.49 m</t>
  </si>
  <si>
    <t>Z5069, Kalakandi, Char Galgalia, Basta, Keraniganj, Dhaka, Bangladesh</t>
  </si>
  <si>
    <t>23.663174</t>
  </si>
  <si>
    <t xml:space="preserve">
90.34838</t>
  </si>
  <si>
    <t>south, Kalakandi, Baghair, Tegharia, Keraniganj, Dhaka, Bangladesh</t>
  </si>
  <si>
    <t>23.663252</t>
  </si>
  <si>
    <t xml:space="preserve">
90.36027</t>
  </si>
  <si>
    <t>449.7 m</t>
  </si>
  <si>
    <t>Dhaka - Mawa Highway, Kalakandi, Baghair, Tegharia, Keraniganj, Dhaka, Bangladesh</t>
  </si>
  <si>
    <t>23.660597</t>
  </si>
  <si>
    <t xml:space="preserve">
90.37605</t>
  </si>
  <si>
    <t>19.71 Km</t>
  </si>
  <si>
    <t>Kanda Para Road, Kalakandi, Char Galgalia, Basta, Keraniganj, Dhaka, Bangladesh</t>
  </si>
  <si>
    <t>23.666378</t>
  </si>
  <si>
    <t xml:space="preserve">
90.35159</t>
  </si>
  <si>
    <t>21.78 Km</t>
  </si>
  <si>
    <t>524.49 m</t>
  </si>
  <si>
    <t>Dhaka - Mawa Highway, Etervata, Baghair, Tegharia, Keraniganj, Dhaka, Bangladesh</t>
  </si>
  <si>
    <t>23.66335</t>
  </si>
  <si>
    <t xml:space="preserve">
90.384476</t>
  </si>
  <si>
    <t>18.9 Km</t>
  </si>
  <si>
    <t>5 km</t>
  </si>
  <si>
    <t>572.88 m</t>
  </si>
  <si>
    <t>4.87 km</t>
  </si>
  <si>
    <t>Near upazila Krishi office Nal City barisal , J7PF+HRP, Nalchhiti, Barisal Division, Bangladesh</t>
  </si>
  <si>
    <t>22.635868</t>
  </si>
  <si>
    <t xml:space="preserve">
90.27514</t>
  </si>
  <si>
    <t>190.88 Km</t>
  </si>
  <si>
    <t>Barishal, Goalkati, Paurashava, Nalchity, Jhalokati, Barisal, Bangladesh</t>
  </si>
  <si>
    <t>22.640015</t>
  </si>
  <si>
    <t xml:space="preserve">
90.32241</t>
  </si>
  <si>
    <t>189.5 Km</t>
  </si>
  <si>
    <t>4.61 km</t>
  </si>
  <si>
    <t>Dhaka - Patuakhali Highway, Garuria Union, Jurkati, Dapdapia, Nalchity, Jhalakathi, Barisal, Bangladesh</t>
  </si>
  <si>
    <t>22.625687</t>
  </si>
  <si>
    <t xml:space="preserve">
90.33494</t>
  </si>
  <si>
    <t>191.75 Km</t>
  </si>
  <si>
    <t>5.81 km</t>
  </si>
  <si>
    <t>Dhaka - Patuakhali Highway, Garuria Union, Chauddaburia, Siddhakati, Nalchity, Jhalokati, Barisal, Bangladesh</t>
  </si>
  <si>
    <t>22.584381</t>
  </si>
  <si>
    <t xml:space="preserve">
90.33892</t>
  </si>
  <si>
    <t>198.59 Km</t>
  </si>
  <si>
    <t>22.532692</t>
  </si>
  <si>
    <t xml:space="preserve">
90.33046</t>
  </si>
  <si>
    <t>207.27 Km</t>
  </si>
  <si>
    <t>22.450674</t>
  </si>
  <si>
    <t xml:space="preserve">
90.34803</t>
  </si>
  <si>
    <t>220.79 Km</t>
  </si>
  <si>
    <t>Barisal-Patuakhali Road, Lebukhali, Kartikpasha, Lebukhali (Dumki), Dumki, Patuakhali, Barisal, Bangladesh</t>
  </si>
  <si>
    <t>22.448719</t>
  </si>
  <si>
    <t xml:space="preserve">
90.339134</t>
  </si>
  <si>
    <t>221.18 Km</t>
  </si>
  <si>
    <t>4.8 km</t>
  </si>
  <si>
    <t>Nambihin Rasta, Badarpur, Badarpur, Patuakhali Sadar, Patuakhali, Barisal, Bangladesh</t>
  </si>
  <si>
    <t>22.428923</t>
  </si>
  <si>
    <t xml:space="preserve">
90.32989</t>
  </si>
  <si>
    <t>224.56 Km</t>
  </si>
  <si>
    <t>4.46 km</t>
  </si>
  <si>
    <t>Road, Khalisakhali, Badarpur, Patuakhali Sadar, Patuakhali, Barisal, Bangladesh</t>
  </si>
  <si>
    <t>22.387318</t>
  </si>
  <si>
    <t xml:space="preserve">
90.31725</t>
  </si>
  <si>
    <t>231.6 Km</t>
  </si>
  <si>
    <t>2.1 km</t>
  </si>
  <si>
    <t>Bohalgachhia (Part), Kalikapur, Patuakhali Sadar, Patuakhali, Barisal, Bangladesh</t>
  </si>
  <si>
    <t>22.350464</t>
  </si>
  <si>
    <t xml:space="preserve">
90.33434</t>
  </si>
  <si>
    <t>237.58 Km</t>
  </si>
  <si>
    <t>Nambihin Rasta, Paschim Hetalia, Paurashava, Patuakhali Sadar, Patuakhali, Barisal, Bangladesh</t>
  </si>
  <si>
    <t>22.347275</t>
  </si>
  <si>
    <t xml:space="preserve">
90.31423</t>
  </si>
  <si>
    <t>238.3 Km</t>
  </si>
  <si>
    <t>Patuakhali - Amtali Highway, Paschim Hetalia, Kalikapur, Patuakhali Sadar, Patuakhali, Barisal, Bangladesh</t>
  </si>
  <si>
    <t>22.344147</t>
  </si>
  <si>
    <t xml:space="preserve">
90.31558</t>
  </si>
  <si>
    <t>238.8 Km</t>
  </si>
  <si>
    <t>Sadar Road, Paurashava, Patuakhali Sadar, Patuakhali, Barisal, Bangladesh</t>
  </si>
  <si>
    <t>22.36265</t>
  </si>
  <si>
    <t xml:space="preserve">
90.34334</t>
  </si>
  <si>
    <t>235.48 Km</t>
  </si>
  <si>
    <t>12, Government College Road, Paurashava, Patuakhali Sadar, Patuakhali, Barisal 8600, Bangladesh</t>
  </si>
  <si>
    <t>22.355434</t>
  </si>
  <si>
    <t xml:space="preserve">
90.34459</t>
  </si>
  <si>
    <t>236.68 Km</t>
  </si>
  <si>
    <t>Patuakhali Baufaul Dashmina Golachipa Road, Keshabpur (Part), Lohalia, Patuakhali Sadar, Patuakhali, Barisal, Bangladesh</t>
  </si>
  <si>
    <t>22.352669</t>
  </si>
  <si>
    <t xml:space="preserve">
90.35523</t>
  </si>
  <si>
    <t>237.07 Km</t>
  </si>
  <si>
    <t>22.34875</t>
  </si>
  <si>
    <t xml:space="preserve">
90.34477</t>
  </si>
  <si>
    <t>237.79 Km</t>
  </si>
  <si>
    <t>919.62 m</t>
  </si>
  <si>
    <t>Old Jail Road, Paurashava, Patuakhali Sadar, Patuakhali, Barisal, Bangladesh</t>
  </si>
  <si>
    <t>22.36045</t>
  </si>
  <si>
    <t xml:space="preserve">
90.34432</t>
  </si>
  <si>
    <t>235.84 Km</t>
  </si>
  <si>
    <t>645.04 m</t>
  </si>
  <si>
    <t>22.365654</t>
  </si>
  <si>
    <t xml:space="preserve">
90.35127</t>
  </si>
  <si>
    <t>234.93 Km</t>
  </si>
  <si>
    <t>933.54 m</t>
  </si>
  <si>
    <t>367.25 m</t>
  </si>
  <si>
    <t>Road, Paurashava, Patuakhali Sadar, Patuakhali, Barisal 8600, Bangladesh</t>
  </si>
  <si>
    <t>22.357843</t>
  </si>
  <si>
    <t xml:space="preserve">
90.33569</t>
  </si>
  <si>
    <t>236.34 Km</t>
  </si>
  <si>
    <t>22.358324</t>
  </si>
  <si>
    <t xml:space="preserve">
90.33216</t>
  </si>
  <si>
    <t>236.29 Km</t>
  </si>
  <si>
    <t>22.34978</t>
  </si>
  <si>
    <t xml:space="preserve">
90.335556</t>
  </si>
  <si>
    <t>674.06 m</t>
  </si>
  <si>
    <t>22.35411</t>
  </si>
  <si>
    <t xml:space="preserve">
90.32447</t>
  </si>
  <si>
    <t>237.06 Km</t>
  </si>
  <si>
    <t>Patuakhali Sadar Upazila Parishad Jame Mosque, Dhaka - Kuakata Highway, Patuakhali, Paurashava, Barisal Division, Bangladesh</t>
  </si>
  <si>
    <t>22.349749</t>
  </si>
  <si>
    <t xml:space="preserve">
90.319916</t>
  </si>
  <si>
    <t>237.83 Km</t>
  </si>
  <si>
    <t>5.32 km</t>
  </si>
  <si>
    <t>Sonali Medical Hall, Dhaka - Patuakhali Highway, Patuakhali, Badarpur, Barisal Division, Bangladesh</t>
  </si>
  <si>
    <t>22.372307</t>
  </si>
  <si>
    <t xml:space="preserve">
90.32007</t>
  </si>
  <si>
    <t>234.07 Km</t>
  </si>
  <si>
    <t>22.41889</t>
  </si>
  <si>
    <t xml:space="preserve">
90.33185</t>
  </si>
  <si>
    <t>226.21 Km</t>
  </si>
  <si>
    <t>Dhaka - Patuakhali Highway, Lebukhali, Lebukhali (Dumki), Dumki, Patuakhali, Barisal, Bangladesh</t>
  </si>
  <si>
    <t>22.459448</t>
  </si>
  <si>
    <t>219.39 Km</t>
  </si>
  <si>
    <t>Nambihin Rasta, Varpasha, Bhar Pasha (Part), Bhar Pasha, Bakerganj, Barisal, Bangladesh</t>
  </si>
  <si>
    <t>22.523113</t>
  </si>
  <si>
    <t xml:space="preserve">
90.34834</t>
  </si>
  <si>
    <t>208.71 Km</t>
  </si>
  <si>
    <t>Nalchhiti, Shital Para, Kusanghal, Nalchity, Jhalakathi, Barisal, Bangladesh</t>
  </si>
  <si>
    <t>22.621056</t>
  </si>
  <si>
    <t xml:space="preserve">
90.2778</t>
  </si>
  <si>
    <t>193.29 Km</t>
  </si>
  <si>
    <t>Nambihin Rasta, Nalchhiti, Bikpasha, Kusanghal, Nalchity, Jhalakathi, Barisal, Bangladesh</t>
  </si>
  <si>
    <t>22.610975</t>
  </si>
  <si>
    <t xml:space="preserve">
90.27145</t>
  </si>
  <si>
    <t>195.07 Km</t>
  </si>
  <si>
    <t>Nolcity - Hodiya Sarak, Nalchhiti, Haibatpur, Kulkati, Nalchity, Jhalakathi, Barisal, Bangladesh</t>
  </si>
  <si>
    <t>22.60236</t>
  </si>
  <si>
    <t xml:space="preserve">
90.26246</t>
  </si>
  <si>
    <t>196.65 Km</t>
  </si>
  <si>
    <t>Nambihin Rasta, Abhaynil, Mukhia, Kusanghal, Nalchity, Jhalakathi, Barisal, Bangladesh</t>
  </si>
  <si>
    <t>22.603315</t>
  </si>
  <si>
    <t xml:space="preserve">
90.27874</t>
  </si>
  <si>
    <t>196.21 Km</t>
  </si>
  <si>
    <t>Nambihin Rasta, Nalchhiti, Paurashava, Nalchity, Jhalakathi, Barisal, Bangladesh</t>
  </si>
  <si>
    <t>22.62647</t>
  </si>
  <si>
    <t xml:space="preserve">
90.27829</t>
  </si>
  <si>
    <t>192.38 Km</t>
  </si>
  <si>
    <t>925.44 m</t>
  </si>
  <si>
    <t>Nambihin Rasta, Anurag, Paurashava, Nalchity, Jhalakathi, Barisal 8420, Bangladesh</t>
  </si>
  <si>
    <t>22.640944</t>
  </si>
  <si>
    <t xml:space="preserve">
90.29406</t>
  </si>
  <si>
    <t>189.73 Km</t>
  </si>
  <si>
    <t>Nambihin Rasta, Nalchhiti, Paurashava, Nalchity, Jhalakathi, Barisal 8420, Bangladesh</t>
  </si>
  <si>
    <t>22.637005</t>
  </si>
  <si>
    <t xml:space="preserve">
90.28612</t>
  </si>
  <si>
    <t>777.96 m</t>
  </si>
  <si>
    <t>Nambihin Rasta, Barishal, Timirkati, Dapdapia, Nalchity, Jhalakathi, Barisal, Bangladesh</t>
  </si>
  <si>
    <t>22.644182</t>
  </si>
  <si>
    <t xml:space="preserve">
90.35004</t>
  </si>
  <si>
    <t>188.53 Km</t>
  </si>
  <si>
    <t>Dhaka - Patuakhali Highway, Dapdapia ferry terminal south, Barishal, Timirkati, Dapdapia, Nalchity, Jhalokati, Barisal 8200, Bangladesh</t>
  </si>
  <si>
    <t>22.642338</t>
  </si>
  <si>
    <t xml:space="preserve">
90.34272</t>
  </si>
  <si>
    <t>188.91 Km</t>
  </si>
  <si>
    <t>3.38 km</t>
  </si>
  <si>
    <t>Nambihin Rasta, Anurag, Goalkati, Paurashava, Nalchity, Jhalakathi, Barisal 8420, Bangladesh</t>
  </si>
  <si>
    <t>22.643278</t>
  </si>
  <si>
    <t xml:space="preserve">
90.309814</t>
  </si>
  <si>
    <t>189.12 Km</t>
  </si>
  <si>
    <t>Phaira, Kusanghal, Nalchity Upazila, Jhalokati District, Barisal Division, Bangladesh</t>
  </si>
  <si>
    <t>22.593775</t>
  </si>
  <si>
    <t xml:space="preserve">
90.28666</t>
  </si>
  <si>
    <t>197.67 Km</t>
  </si>
  <si>
    <t>5.22 km</t>
  </si>
  <si>
    <t>Barishal, Timirkati, Dapdapia, Nalchity, Jhalokati, Barisal, Bangladesh</t>
  </si>
  <si>
    <t>22.63807</t>
  </si>
  <si>
    <t xml:space="preserve">
90.33694</t>
  </si>
  <si>
    <t>189.67 Km</t>
  </si>
  <si>
    <t>BPD Bank, Bhanga-Barisal Highway, Rupatali, Barisal, Rupatali, Jagua, Bangladesh</t>
  </si>
  <si>
    <t>22.680431</t>
  </si>
  <si>
    <t xml:space="preserve">
90.35082</t>
  </si>
  <si>
    <t>182.49 Km</t>
  </si>
  <si>
    <t>739, C and B Road, Sagardi, Ward No-14, Barisal Sadar, Barisal, Barisal, Bangladesh</t>
  </si>
  <si>
    <t>22.696297</t>
  </si>
  <si>
    <t xml:space="preserve">
90.35376</t>
  </si>
  <si>
    <t>179.82 Km</t>
  </si>
  <si>
    <t>257.09 m</t>
  </si>
  <si>
    <t>BM College Road, Natullah Badth Bus Stand, Kawnia, Kashipur Chahutpur, Ward No-28, Barisal Sadar, Barisal, Barisal, 8200, Bangladesh</t>
  </si>
  <si>
    <t>22.7142</t>
  </si>
  <si>
    <t xml:space="preserve">
90.34805</t>
  </si>
  <si>
    <t>176.89 Km</t>
  </si>
  <si>
    <t>1095, Dhaka - Barisal Highway, Natullah Badth Bus Stand, Kashipur, Kashipur Chahutpur, Ward No-01, Barisal Sadar, Barisal, Barisal, Bangladesh</t>
  </si>
  <si>
    <t>22.715658</t>
  </si>
  <si>
    <t xml:space="preserve">
90.35</t>
  </si>
  <si>
    <t>11, N8, Icha Kathi, Ganpara, Ward No-30, Barisal Sadar, Barisal, Barisal, Bangladesh</t>
  </si>
  <si>
    <t>22.731571</t>
  </si>
  <si>
    <t xml:space="preserve">
90.33219</t>
  </si>
  <si>
    <t>Bhanga-Barisal Highway, রেইনট্রিতলা, রেন্টিতল, বরিশাল, Kaladema Chahatta, Kashipur, Barisal Sadar, বরিশাল জেলা, বরিশাল বিভাগ 8205, Bangladesh</t>
  </si>
  <si>
    <t>22.74611</t>
  </si>
  <si>
    <t xml:space="preserve">
90.32298</t>
  </si>
  <si>
    <t>171.86 Km</t>
  </si>
  <si>
    <t>22.572767</t>
  </si>
  <si>
    <t xml:space="preserve">
90.32947</t>
  </si>
  <si>
    <t>200.61 Km</t>
  </si>
  <si>
    <t>6.23 km</t>
  </si>
  <si>
    <t>Lebukhali, Lebukhali (Dumki), Patuakhali, Barisal, Bangladesh</t>
  </si>
  <si>
    <t>22.467064</t>
  </si>
  <si>
    <t xml:space="preserve">
90.349625</t>
  </si>
  <si>
    <t>218.04 Km</t>
  </si>
  <si>
    <t>22.461973</t>
  </si>
  <si>
    <t xml:space="preserve">
90.3745</t>
  </si>
  <si>
    <t>218.75 Km</t>
  </si>
  <si>
    <t>Road, Dumki, Lebukhali (Dumki), Dumki, Patuakhali, Barisal, Bangladesh</t>
  </si>
  <si>
    <t>22.47237</t>
  </si>
  <si>
    <t xml:space="preserve">
90.38389</t>
  </si>
  <si>
    <t>216.98 Km</t>
  </si>
  <si>
    <t>Rajakhali, Lebukhali (Dumki), Dumki, Patuakhali, Barisal, Bangladesh</t>
  </si>
  <si>
    <t>22.456568</t>
  </si>
  <si>
    <t xml:space="preserve">
90.39381</t>
  </si>
  <si>
    <t>219.58 Km</t>
  </si>
  <si>
    <t>Hogla, Dakshin Muradia, Muradia, Dumki Upazila, Patuakhali District, Barisal Division, Bangladesh</t>
  </si>
  <si>
    <t>22.43836</t>
  </si>
  <si>
    <t xml:space="preserve">
90.41772</t>
  </si>
  <si>
    <t>222.59 Km</t>
  </si>
  <si>
    <t>652.47 m</t>
  </si>
  <si>
    <t>Dumki - Board Bazar Road, Sreerampur, Lebukhali (Dumki), Dumki, Patuakhali, Barisal, Bangladesh</t>
  </si>
  <si>
    <t>22.460562</t>
  </si>
  <si>
    <t xml:space="preserve">
90.38916</t>
  </si>
  <si>
    <t>218.93 Km</t>
  </si>
  <si>
    <t>Angaria, Lebukhali (Dumki), Dumki, Patuakhali, Barisal, Bangladesh</t>
  </si>
  <si>
    <t>22.47111</t>
  </si>
  <si>
    <t xml:space="preserve">
90.36996</t>
  </si>
  <si>
    <t>217.24 Km</t>
  </si>
  <si>
    <t>3.07 km</t>
  </si>
  <si>
    <t>22.35978</t>
  </si>
  <si>
    <t xml:space="preserve">
90.318855</t>
  </si>
  <si>
    <t>236.17 Km</t>
  </si>
  <si>
    <t>Sher-e-Bangla Road, Paurashava, Patuakhali Sadar, Patuakhali, Barisal 8600, Bangladesh</t>
  </si>
  <si>
    <t>22.359924</t>
  </si>
  <si>
    <t xml:space="preserve">
90.33931</t>
  </si>
  <si>
    <t>235.97 Km</t>
  </si>
  <si>
    <t>860.22 m</t>
  </si>
  <si>
    <t>22.36973</t>
  </si>
  <si>
    <t xml:space="preserve">
90.34168</t>
  </si>
  <si>
    <t>234.32 Km</t>
  </si>
  <si>
    <t>1, Sadar Road, Paurashava, Patuakhali Sadar, Patuakhali, Barisal, Bangladesh</t>
  </si>
  <si>
    <t>22.362886</t>
  </si>
  <si>
    <t xml:space="preserve">
90.33778</t>
  </si>
  <si>
    <t>235.49 Km</t>
  </si>
  <si>
    <t>22.354332</t>
  </si>
  <si>
    <t xml:space="preserve">
90.33035</t>
  </si>
  <si>
    <t>236.97 Km</t>
  </si>
  <si>
    <t>282.74 m</t>
  </si>
  <si>
    <t>Rupali Bank Ltd., Dhaka - Kuakata Highway, Patuakhali, Paurashava, Barisal Division, Bangladesh</t>
  </si>
  <si>
    <t>22.349415</t>
  </si>
  <si>
    <t xml:space="preserve">
90.31719</t>
  </si>
  <si>
    <t>237.91 Km</t>
  </si>
  <si>
    <t>600.42 m</t>
  </si>
  <si>
    <t>306.1 m</t>
  </si>
  <si>
    <t>22.362322</t>
  </si>
  <si>
    <t>235.56 Km</t>
  </si>
  <si>
    <t>P-Type Quater, Dhaka - Patuakhali, পটুয়াখালী, Bohalgachhia (Part), Paurashava, Patuakhali Sadar, পটুয়াখালী জেলা, বরিশাল বিভাগ, Bangladesh</t>
  </si>
  <si>
    <t>22.352646</t>
  </si>
  <si>
    <t xml:space="preserve">
90.33758</t>
  </si>
  <si>
    <t>237.19 Km</t>
  </si>
  <si>
    <t>Nambihin Rasta, Pakshia, Bara Auliapur, Auliapur, Patuakhali Sadar, Patuakhali, Barisal, Bangladesh</t>
  </si>
  <si>
    <t>22.308937</t>
  </si>
  <si>
    <t xml:space="preserve">
90.33421</t>
  </si>
  <si>
    <t>244.5 Km</t>
  </si>
  <si>
    <t>Nambihin Rasta, Badura, Patukhali, Marichbunia, Patuakhali Sadar, Patuakhali, Barisal, Bangladesh</t>
  </si>
  <si>
    <t>22.263147</t>
  </si>
  <si>
    <t xml:space="preserve">
90.31709</t>
  </si>
  <si>
    <t>252.27 Km</t>
  </si>
  <si>
    <t>2.76 km</t>
  </si>
  <si>
    <t>Patuakhali - Amtali Highway, Athara Gachhia, Keowabunia, Kukua, Amtali, Barguna, Barisal, Bangladesh</t>
  </si>
  <si>
    <t>22.236214</t>
  </si>
  <si>
    <t xml:space="preserve">
90.31028</t>
  </si>
  <si>
    <t>256.82 Km</t>
  </si>
  <si>
    <t>Gojkhali, Paschim Chunakhali, Gulisakhali, Amtali, Barguna, Barisal, Bangladesh</t>
  </si>
  <si>
    <t>22.220167</t>
  </si>
  <si>
    <t xml:space="preserve">
90.28986</t>
  </si>
  <si>
    <t>259.71 Km</t>
  </si>
  <si>
    <t>Marichbunia Technical Institute, Marichbunia, Marichbunia, Patuakhali Sadar Upazila, Patuakhali District, Barisal Division, Bangladesh</t>
  </si>
  <si>
    <t>22.271997</t>
  </si>
  <si>
    <t xml:space="preserve">
90.28001</t>
  </si>
  <si>
    <t>251.21 Km</t>
  </si>
  <si>
    <t>Nambihin Rasta, Gojkhali, Gulisakhali, Amtali, Barguna, Barisal, Bangladesh</t>
  </si>
  <si>
    <t>22.228003</t>
  </si>
  <si>
    <t xml:space="preserve">
90.26921</t>
  </si>
  <si>
    <t>258.66 Km</t>
  </si>
  <si>
    <t>2.8 km</t>
  </si>
  <si>
    <t>Kalagachhia, Gulisakhali, Amtali Upazila, Barguna District, Barisal Division, Bangladesh</t>
  </si>
  <si>
    <t>22.251865</t>
  </si>
  <si>
    <t xml:space="preserve">
90.280136</t>
  </si>
  <si>
    <t>254.56 Km</t>
  </si>
  <si>
    <t>Barabighai Union, Paschim Kewabania, Bara Bighai, Patuakhali Sadar Upazila, Barguna District, Barisal Division, Bangladesh</t>
  </si>
  <si>
    <t>22.273945</t>
  </si>
  <si>
    <t xml:space="preserve">
90.26711</t>
  </si>
  <si>
    <t>251.06 Km</t>
  </si>
  <si>
    <t>Khaser Hat Hospital, Paschim Kewabania, Bara Bighai, Patuakhali Sadar Upazila, Barguna District, Barisal Division, Bangladesh</t>
  </si>
  <si>
    <t>22.26595</t>
  </si>
  <si>
    <t xml:space="preserve">
90.27296</t>
  </si>
  <si>
    <t>252.31 Km</t>
  </si>
  <si>
    <t>Nambihin Rasta, Barabighai Union, Marichbunia, Patuakhali Sadar, Patuakhali, Barisal, Bangladesh</t>
  </si>
  <si>
    <t>22.270359</t>
  </si>
  <si>
    <t xml:space="preserve">
90.303665</t>
  </si>
  <si>
    <t>2.64 km</t>
  </si>
  <si>
    <t>Dhaka - Kuakata Highway, Pakshia, Gerakhali, Auliapur, Patuakhali Sadar, Patuakhali, Barisal, Bangladesh</t>
  </si>
  <si>
    <t>22.288776</t>
  </si>
  <si>
    <t xml:space="preserve">
90.324524</t>
  </si>
  <si>
    <t>247.94 Km</t>
  </si>
  <si>
    <t>Nambihin Rasta, Pakshia, Chalitabunia, Madarbunia, Patuakhali Sadar, Patuakhali, Barisal, Bangladesh</t>
  </si>
  <si>
    <t>22.31067</t>
  </si>
  <si>
    <t xml:space="preserve">
90.31469</t>
  </si>
  <si>
    <t>244.39 Km</t>
  </si>
  <si>
    <t>Dhaka - Kuakata Highway, Pakshia, Ballabhpur, Kalikapur, Patuakhali Sadar, Patuakhali, Barisal, Bangladesh</t>
  </si>
  <si>
    <t>22.319347</t>
  </si>
  <si>
    <t xml:space="preserve">
90.32896</t>
  </si>
  <si>
    <t>242.81 Km</t>
  </si>
  <si>
    <t>386.37 m</t>
  </si>
  <si>
    <t>646.09 m</t>
  </si>
  <si>
    <t>417.16 m</t>
  </si>
  <si>
    <t>317.99 m</t>
  </si>
  <si>
    <t>31, Shahjalal Upashahar Main Road, Lama Para, Sylhet, Bangladesh</t>
  </si>
  <si>
    <t>24.892565</t>
  </si>
  <si>
    <t xml:space="preserve">
91.891556</t>
  </si>
  <si>
    <t>291.76 Km</t>
  </si>
  <si>
    <t>162.15 m</t>
  </si>
  <si>
    <t>97, Tamabil Road, Sonar Para, Kasba Sylhet Roynagar, Ward No-21, Sylhet Sadar, Sylhet, Sylhet, Bangladesh</t>
  </si>
  <si>
    <t>24.894709</t>
  </si>
  <si>
    <t xml:space="preserve">
91.889465</t>
  </si>
  <si>
    <t>291.75 Km</t>
  </si>
  <si>
    <t>230, Shahjalal Upashahar Main Road, Sonar Para, Kasba Sylhet Roynagar, Ward No-21, Sylhet Sadar, Sylhet, Sylhet 3100, Bangladesh</t>
  </si>
  <si>
    <t>24.894089</t>
  </si>
  <si>
    <t xml:space="preserve">
91.89092</t>
  </si>
  <si>
    <t>291.85 Km</t>
  </si>
  <si>
    <t>828.49 m</t>
  </si>
  <si>
    <t>24.889883</t>
  </si>
  <si>
    <t xml:space="preserve">
91.88414</t>
  </si>
  <si>
    <t>290.61 Km</t>
  </si>
  <si>
    <t>619.98 m</t>
  </si>
  <si>
    <t>R.B Tower, 582, Tamabil Road, Jharner Par, Sylhet, Bangladesh, 3100</t>
  </si>
  <si>
    <t>24.895393</t>
  </si>
  <si>
    <t xml:space="preserve">
91.88495</t>
  </si>
  <si>
    <t>291.29 Km</t>
  </si>
  <si>
    <t>648.47 m</t>
  </si>
  <si>
    <t>3, Baruthkhana Road, Barudkhana, Ward No-15, Sylhet Sadar, Sylhet, Sylhet 3100, Bangladesh</t>
  </si>
  <si>
    <t>24.89346</t>
  </si>
  <si>
    <t xml:space="preserve">
91.8725</t>
  </si>
  <si>
    <t>1, Karimganj - Sylhet Road, Mira Bazar, Kusumbag, Ward No-15, Sylhet Sadar, Moulvi Bazar, Sylhet 3200, Bangladesh</t>
  </si>
  <si>
    <t>24.894892</t>
  </si>
  <si>
    <t xml:space="preserve">
91.87873</t>
  </si>
  <si>
    <t>290.52 Km</t>
  </si>
  <si>
    <t>193.31 m</t>
  </si>
  <si>
    <t>Noyapara Road, Mira Bazar, Ward No-15, Sylhet Sadar, Sylhet, Sylhet, Bangladesh</t>
  </si>
  <si>
    <t>24.894558</t>
  </si>
  <si>
    <t xml:space="preserve">
91.880615</t>
  </si>
  <si>
    <t>578.44 m</t>
  </si>
  <si>
    <t>665.24 m</t>
  </si>
  <si>
    <t>Nambihin Rasta, Sadar Para, Golapbag, Sadipur 2nd Part, Ward No-24, Sylhet Sadar, Sylhet, Sylhet, Bangladesh</t>
  </si>
  <si>
    <t>24.888214</t>
  </si>
  <si>
    <t xml:space="preserve">
91.89608</t>
  </si>
  <si>
    <t>291.83 Km</t>
  </si>
  <si>
    <t>24a, Kumarpara Road, Mira Bazar, Ward No-18, Sylhet Sadar, Sylhet, Sylhet 3100, Bangladesh</t>
  </si>
  <si>
    <t>24.895786</t>
  </si>
  <si>
    <t xml:space="preserve">
91.87973</t>
  </si>
  <si>
    <t>290.73 Km</t>
  </si>
  <si>
    <t>Pubali Bank Limited, 3, Electric Supply Road, Kazitula, Sylhet, Bangladesh</t>
  </si>
  <si>
    <t>24.905521</t>
  </si>
  <si>
    <t xml:space="preserve">
91.87561</t>
  </si>
  <si>
    <t>3.84 km</t>
  </si>
  <si>
    <t>Grand Stand, Airport Road, Lakkatura, Lakatura T.g., Sylhet Sma, Sylhet Sadar, Sylhet, Sylhet 3100, Bangladesh</t>
  </si>
  <si>
    <t>24.922104</t>
  </si>
  <si>
    <t xml:space="preserve">
91.86865</t>
  </si>
  <si>
    <t>292.28 Km</t>
  </si>
  <si>
    <t>Osmani Airport Access Road, Dhopagul, Barsala, Khadimnagar, Sylhet Sadar, Sylhet, Bangladesh</t>
  </si>
  <si>
    <t>24.9566</t>
  </si>
  <si>
    <t xml:space="preserve">
91.86732</t>
  </si>
  <si>
    <t>295.92 Km</t>
  </si>
  <si>
    <t>Dhopagul, Barsala, Khadimnagar, Sylhet Sadar, Sylhet, Bangladesh</t>
  </si>
  <si>
    <t>24.956217</t>
  </si>
  <si>
    <t xml:space="preserve">
91.855415</t>
  </si>
  <si>
    <t>294.53 Km</t>
  </si>
  <si>
    <t>Salutikor Road, Dhopagul, Barsala, Khadimnagar, Sylhet Sadar, Sylhet, Bangladesh</t>
  </si>
  <si>
    <t>24.954035</t>
  </si>
  <si>
    <t xml:space="preserve">
91.871376</t>
  </si>
  <si>
    <t>296.09 Km</t>
  </si>
  <si>
    <t>Osmani International Airport, Sylhet, Barsala, Khadimnagar, Sylhet Sadar, Sylhet, Sylhet 3101, Bangladesh</t>
  </si>
  <si>
    <t>24.967472</t>
  </si>
  <si>
    <t xml:space="preserve">
91.84914</t>
  </si>
  <si>
    <t>295.08 Km</t>
  </si>
  <si>
    <t>Jahin Property Road, Lakhaura, Barsala, Khadimnagar, Sylhet Sadar, Sylhet, Bangladesh</t>
  </si>
  <si>
    <t>24.952982</t>
  </si>
  <si>
    <t xml:space="preserve">
91.851234</t>
  </si>
  <si>
    <t>293.7 Km</t>
  </si>
  <si>
    <t>Aftab Nagar Road, Dhopagul, Chhalia, Khadimnagar, Sylhet Sadar, Sylhet 3100, Bangladesh</t>
  </si>
  <si>
    <t>24.977468</t>
  </si>
  <si>
    <t xml:space="preserve">
91.8474</t>
  </si>
  <si>
    <t>296.01 Km</t>
  </si>
  <si>
    <t>468.73 m</t>
  </si>
  <si>
    <t>9, Road No. 4, Golapbag, Sadipur 2nd Part, Ward No-24, Sylhet Sadar, Sylhet, Sylhet 3100, Bangladesh</t>
  </si>
  <si>
    <t>24.888245</t>
  </si>
  <si>
    <t xml:space="preserve">
91.893005</t>
  </si>
  <si>
    <t>291.48 Km</t>
  </si>
  <si>
    <t>396.77 m</t>
  </si>
  <si>
    <t>9, Road No 16, B Block, Shahjalal Upashahar, Kasba Sylhet Roynagar, Ward No-22, Sylhet Sadar, Sylhet, Sylhet, Bangladesh</t>
  </si>
  <si>
    <t>24.890823</t>
  </si>
  <si>
    <t>291.32 Km</t>
  </si>
  <si>
    <t>7, Mitali Residentail Area Road, Dargi Banda, Ward No-19, Sylhet Sadar, Sylhet, Sylhet 3100, Bangladesh</t>
  </si>
  <si>
    <t>24.90448</t>
  </si>
  <si>
    <t xml:space="preserve">
91.88949</t>
  </si>
  <si>
    <t>292.79 Km</t>
  </si>
  <si>
    <t>835.09 m</t>
  </si>
  <si>
    <t>243.53 m</t>
  </si>
  <si>
    <t>Soft-All Software Development &amp; Computer Training Center, Khoirun Bhovon 1st Floor, Road No. 2, Tera Ratan, Sylhet, Sadipur 2nd Part, Bangladesh</t>
  </si>
  <si>
    <t>24.88975</t>
  </si>
  <si>
    <t xml:space="preserve">
91.89436</t>
  </si>
  <si>
    <t>291.79 Km</t>
  </si>
  <si>
    <t>Richmond Hotel And Apartments, Puranlane Road, Zindabazar, Sylhet, Bangladesh</t>
  </si>
  <si>
    <t>20, Mirjajangal Road, Taltala, Ward No-13, Sylhet Sadar, Sylhet, Sylhet, Bangladesh</t>
  </si>
  <si>
    <t>24.892546</t>
  </si>
  <si>
    <t xml:space="preserve">
91.86478</t>
  </si>
  <si>
    <t>288.65 Km</t>
  </si>
  <si>
    <t>752.98 m</t>
  </si>
  <si>
    <t>Zakiganj - Sylhet Road, Jalu Para, Bharthakhala, Ward No-26, Sylhet Sadar, Sylhet, Sylhet 3070, Bangladesh</t>
  </si>
  <si>
    <t>24.886648</t>
  </si>
  <si>
    <t xml:space="preserve">
91.8689</t>
  </si>
  <si>
    <t>288.49 Km</t>
  </si>
  <si>
    <t>793.55 m</t>
  </si>
  <si>
    <t>17, VIP Road, Taltala, Ward No-13, Sylhet Sadar, Sylhet, Sylhet 3100, Bangladesh</t>
  </si>
  <si>
    <t>24.89077</t>
  </si>
  <si>
    <t xml:space="preserve">
91.86576</t>
  </si>
  <si>
    <t>288.57 Km</t>
  </si>
  <si>
    <t>Bangladesh Bank, 23, Jail Road, Barudkhana, Sylhet, Bangladesh</t>
  </si>
  <si>
    <t>24.894827</t>
  </si>
  <si>
    <t xml:space="preserve">
91.87223</t>
  </si>
  <si>
    <t>289.75 Km</t>
  </si>
  <si>
    <t>464.21 m</t>
  </si>
  <si>
    <t>Medical College Road, Mirboxtula, Ward No-16, Sylhet Sadar, Sylhet, Sylhet, Bangladesh</t>
  </si>
  <si>
    <t>24.898664</t>
  </si>
  <si>
    <t xml:space="preserve">
91.87268</t>
  </si>
  <si>
    <t>290.22 Km</t>
  </si>
  <si>
    <t>Al-Hamra International limited, Main Road, Hazrat Shahjalal Road, Zindabazar, Sylhet, Bangladesh, 3100</t>
  </si>
  <si>
    <t>24.897364</t>
  </si>
  <si>
    <t xml:space="preserve">
91.86831</t>
  </si>
  <si>
    <t>289.57 Km</t>
  </si>
  <si>
    <t>N208, Shyamoli Paribahan, Kadamtoli, Sadipur 2nd Part, Ward No-26, Sylhet Sadar, Sylhet, Sylhet, Bangladesh</t>
  </si>
  <si>
    <t>24.878258</t>
  </si>
  <si>
    <t xml:space="preserve">
91.87505</t>
  </si>
  <si>
    <t>288.32 Km</t>
  </si>
  <si>
    <t>922.71 m</t>
  </si>
  <si>
    <t>639.5 m</t>
  </si>
  <si>
    <t>Road, Kazitula, Ward No-17, Sylhet Sadar, Sylhet, Sylhet, Bangladesh</t>
  </si>
  <si>
    <t>24.901127</t>
  </si>
  <si>
    <t xml:space="preserve">
91.87819</t>
  </si>
  <si>
    <t>291.12 Km</t>
  </si>
  <si>
    <t>7.85 km</t>
  </si>
  <si>
    <t>Nambihin Rasta, Lalabazar, Bahapur, Lala Bazar, Dakshin Surma, Sylhet, Bangladesh</t>
  </si>
  <si>
    <t>24.830278</t>
  </si>
  <si>
    <t xml:space="preserve">
91.810265</t>
  </si>
  <si>
    <t>275.66 Km</t>
  </si>
  <si>
    <t>8.62 km</t>
  </si>
  <si>
    <t>mobasshir ali road, Uttar Khairpur, Dayamir, Balaganj, Sylhet, Bangladesh</t>
  </si>
  <si>
    <t>24.76181</t>
  </si>
  <si>
    <t xml:space="preserve">
91.79135</t>
  </si>
  <si>
    <t>266.28 Km</t>
  </si>
  <si>
    <t>8.89 km</t>
  </si>
  <si>
    <t>Haji Nosib Ullah Market Street, Goala Bazar, Terahati, Goula Bazar, Balaganj, Sylhet, Bangladesh</t>
  </si>
  <si>
    <t>24.70605</t>
  </si>
  <si>
    <t xml:space="preserve">
91.73202</t>
  </si>
  <si>
    <t>253.48 Km</t>
  </si>
  <si>
    <t>Dhaka - Sylhet Highway, Shadipur, Sadipur, Balaganj, Sylhet, Bangladesh</t>
  </si>
  <si>
    <t>24.637754</t>
  </si>
  <si>
    <t xml:space="preserve">
91.68635</t>
  </si>
  <si>
    <t>241.09 Km</t>
  </si>
  <si>
    <t>Dhaka - Sylhet Highway, Sherpur Bus Stand, Sherpur, Brahmangaon, Khalilpur, Moulvibazar Sadar, Moulvi Bazar, Sylhet, Bangladesh</t>
  </si>
  <si>
    <t>24.626999</t>
  </si>
  <si>
    <t xml:space="preserve">
91.67884</t>
  </si>
  <si>
    <t>239.11 Km</t>
  </si>
  <si>
    <t>9.8 km</t>
  </si>
  <si>
    <t>Nambihin Rasta, Central Baronti, Ghorakhal, Manumukh, Moulvibazar Sadar, Moulvi Bazar, Sylhet, Bangladesh</t>
  </si>
  <si>
    <t>24.56784</t>
  </si>
  <si>
    <t xml:space="preserve">
91.6932</t>
  </si>
  <si>
    <t>235.21 Km</t>
  </si>
  <si>
    <t>Dhaka - Moulvibazar Highway, Moulvibazar Antonagor Bus Station, Moulvibazar, Gharua, Chandighat(1), Moulvibazar Sadar, Moulvi Bazar, Sylhet, Bangladesh</t>
  </si>
  <si>
    <t>24.494802</t>
  </si>
  <si>
    <t xml:space="preserve">
91.74747</t>
  </si>
  <si>
    <t>235.67 Km</t>
  </si>
  <si>
    <t>Dhorkapon, Gobindosree, Potton, Moulvibazar, Paurashava, Moulvibazar Sadar, Moulvi Bazar, Sylhet, Bangladesh</t>
  </si>
  <si>
    <t>24.486032</t>
  </si>
  <si>
    <t xml:space="preserve">
91.76461</t>
  </si>
  <si>
    <t>Dhaka - Moulvibazar Highway, City Bus Stand, Moulvibazar, Mostafapur (Part), Mostafapur, Moulvibazar Sadar, Moulvi Bazar, Sylhet 3200, Bangladesh</t>
  </si>
  <si>
    <t>24.476791</t>
  </si>
  <si>
    <t xml:space="preserve">
91.7653</t>
  </si>
  <si>
    <t>236.51 Km</t>
  </si>
  <si>
    <t>8.6 km</t>
  </si>
  <si>
    <t>Dhaka - Moulvibazar Highway, Bhujabal, Dakshin Kadipur, Giasnagar, Moulvibazar Sadar, Moulvi Bazar, Sylhet, Bangladesh</t>
  </si>
  <si>
    <t>24.423067</t>
  </si>
  <si>
    <t xml:space="preserve">
91.75943</t>
  </si>
  <si>
    <t>231.45 Km</t>
  </si>
  <si>
    <t>Rajapur, Kalapur, Sreemangal, Moulvi Bazar, Sylhet, Bangladesh</t>
  </si>
  <si>
    <t>24.347538</t>
  </si>
  <si>
    <t xml:space="preserve">
91.74129</t>
  </si>
  <si>
    <t>223.37 Km</t>
  </si>
  <si>
    <t>320.98 m</t>
  </si>
  <si>
    <t>R K Mission Road, Rupashpur (Part), Paurashava, Sreemangal, Moulvi Bazar, Sylhet 3210, Bangladesh</t>
  </si>
  <si>
    <t>24.311266</t>
  </si>
  <si>
    <t xml:space="preserve">
91.73143</t>
  </si>
  <si>
    <t>219.5 Km</t>
  </si>
  <si>
    <t>Ahmed Beponi, 2, Railway Station Road, Songair Part-II, Paurashava, Sreemangal, Moulvi Bazar, Sylhet, Bangladesh</t>
  </si>
  <si>
    <t>24.308445</t>
  </si>
  <si>
    <t xml:space="preserve">
91.7321</t>
  </si>
  <si>
    <t>219.41 Km</t>
  </si>
  <si>
    <t>Catholic Church Road, Rupashpur (Part), Sreemangal, Sreemangal, Moulvi Bazar, Sylhet 3210, Bangladesh</t>
  </si>
  <si>
    <t>24.315073</t>
  </si>
  <si>
    <t xml:space="preserve">
91.73204</t>
  </si>
  <si>
    <t>219.85 Km</t>
  </si>
  <si>
    <t>Dhaka Sylhet Highway, Bharaura (Part), Sreemangal, Sreemangal, Moulvi Bazar, Sylhet, Bangladesh</t>
  </si>
  <si>
    <t>24.328592</t>
  </si>
  <si>
    <t xml:space="preserve">
91.73983</t>
  </si>
  <si>
    <t>221.85 Km</t>
  </si>
  <si>
    <t>785.15 m</t>
  </si>
  <si>
    <t>Nambihin Rasta, Ichhabpur, Sreemangal, Sreemangal, Moulvi Bazar, Sylhet, Bangladesh</t>
  </si>
  <si>
    <t>24.333618</t>
  </si>
  <si>
    <t xml:space="preserve">
91.74527</t>
  </si>
  <si>
    <t>222.95 Km</t>
  </si>
  <si>
    <t>Dhaka - Moulvibazar Highway, Kalapur, Sreemangal, Moulvi Bazar, Sylhet, Bangladesh</t>
  </si>
  <si>
    <t>24.375727</t>
  </si>
  <si>
    <t xml:space="preserve">
91.752556</t>
  </si>
  <si>
    <t>226.95 Km</t>
  </si>
  <si>
    <t>6.01 km</t>
  </si>
  <si>
    <t>Dhaka - Moulvibazar Highway, Bhujabal, Akbarpur, Giasnagar, Moulvibazar Sadar, Moulvi Bazar, Sylhet, Bangladesh</t>
  </si>
  <si>
    <t>24.414997</t>
  </si>
  <si>
    <t xml:space="preserve">
91.75275</t>
  </si>
  <si>
    <t>229.92 Km</t>
  </si>
  <si>
    <t>Moulvibazar, Jagannathpur, Mostafapur, Moulvibazar Sadar, Moulvi Bazar, Sylhet, Bangladesh</t>
  </si>
  <si>
    <t>24.468725</t>
  </si>
  <si>
    <t xml:space="preserve">
91.75886</t>
  </si>
  <si>
    <t>235 Km</t>
  </si>
  <si>
    <t>Nambihin Rasta, Moulvibazar, Mostafapur (Part), Mostafapur, Moulvibazar Sadar, Moulvi Bazar, Sylhet, Bangladesh</t>
  </si>
  <si>
    <t>24.482464</t>
  </si>
  <si>
    <t xml:space="preserve">
91.75486</t>
  </si>
  <si>
    <t>235.61 Km</t>
  </si>
  <si>
    <t>533.41 m</t>
  </si>
  <si>
    <t>99, M. Saifur Rahman Road, Maulvi Bazar, Paurashava, Moulvibazar Sadar, Moulvi Bazar, Sylhet, Bangladesh</t>
  </si>
  <si>
    <t>24.489359</t>
  </si>
  <si>
    <t xml:space="preserve">
91.7637</t>
  </si>
  <si>
    <t>237.34 Km</t>
  </si>
  <si>
    <t>293.97 m</t>
  </si>
  <si>
    <t>61, M. Saifur Rahman Road, Bazar, Maulvi, Maulvi Bazar, Sabia, Chandighat(1), Moulvibazar Sadar, Moulvi Bazar, Sylhet 3200, Bangladesh</t>
  </si>
  <si>
    <t>24.491116</t>
  </si>
  <si>
    <t xml:space="preserve">
91.76861</t>
  </si>
  <si>
    <t>238.14 Km</t>
  </si>
  <si>
    <t>228.05 m</t>
  </si>
  <si>
    <t>87/4, Syed Sikander Ali Road, Maulvi Bazar, Sabia, Paurashava, Moulvibazar Sadar, Moulvi Bazar, Sylhet, Bangladesh</t>
  </si>
  <si>
    <t>24.490437</t>
  </si>
  <si>
    <t xml:space="preserve">
91.771416</t>
  </si>
  <si>
    <t>238.45 Km</t>
  </si>
  <si>
    <t>3200, Court Road, Moue, Gujarai, Paurashava, Moulvibazar Sadar, Moulvi Bazar, Sylhet, Bangladesh</t>
  </si>
  <si>
    <t>24.490366</t>
  </si>
  <si>
    <t xml:space="preserve">
91.77367</t>
  </si>
  <si>
    <t>238.74 Km</t>
  </si>
  <si>
    <t>385.5 m</t>
  </si>
  <si>
    <t>Dorgah Road, Moulvibazar, Paurashava, Moulvibazar Sadar, Moulvi Bazar, Sylhet, Bangladesh</t>
  </si>
  <si>
    <t>24.48331</t>
  </si>
  <si>
    <t xml:space="preserve">
91.76697</t>
  </si>
  <si>
    <t>237.27 Km</t>
  </si>
  <si>
    <t>Moulvibazar, Gharua, Mostafapur, Moulvibazar Sadar, Moulvi Bazar, Sylhet, Bangladesh</t>
  </si>
  <si>
    <t>24.482643</t>
  </si>
  <si>
    <t xml:space="preserve">
91.74959</t>
  </si>
  <si>
    <t>4.32 km</t>
  </si>
  <si>
    <t>Dhaka - Moulvibazar Highway, Kamalpur, Basudebsree (Part), Akhailkura, Moulvibazar Sadar, Moulvi Bazar, Sylhet, Bangladesh</t>
  </si>
  <si>
    <t>24.551594</t>
  </si>
  <si>
    <t xml:space="preserve">
91.732</t>
  </si>
  <si>
    <t>238.63 Km</t>
  </si>
  <si>
    <t>বিদ্যাপীঠ স্কুল রোড, Khandar, Bogura, Malgram (Part-B), Paurashava, Bogra Sadar, Bogra, Rajshahi, Bangladesh</t>
  </si>
  <si>
    <t>24.842335</t>
  </si>
  <si>
    <t xml:space="preserve">
89.37058</t>
  </si>
  <si>
    <t>Gohail Road, Khandar, Malgram (Part-B), Fapore, Bogra Sadar, Bogra, Rajshahi, 5800, Bangladesh</t>
  </si>
  <si>
    <t>24.831522</t>
  </si>
  <si>
    <t xml:space="preserve">
89.36724</t>
  </si>
  <si>
    <t>Fuldighi Matir Masjid Lane, Koigari, Phul Dighi, Sultanganj, Shajahanpur, Bogra, Rajshahi, Bangladesh</t>
  </si>
  <si>
    <t>24.824352</t>
  </si>
  <si>
    <t xml:space="preserve">
89.36979</t>
  </si>
  <si>
    <t>236.76 Km</t>
  </si>
  <si>
    <t>891.23 m</t>
  </si>
  <si>
    <t>Abcon Dewan Tower, 278, Gohail Road, Khandar, Malgram (Part-B), Paurashava, Bogra Sadar, Bogra, Rajshahi 5800, Bangladesh</t>
  </si>
  <si>
    <t>24.841131</t>
  </si>
  <si>
    <t xml:space="preserve">
89.36868</t>
  </si>
  <si>
    <t>238.95 Km</t>
  </si>
  <si>
    <t>PDB Bhaban, 1, Yusuf Kazi Lane, Rahman Nagar, Paurashava, Bogra Sadar, Bogra, Rajshahi 5800, Bangladesh</t>
  </si>
  <si>
    <t>24.837702</t>
  </si>
  <si>
    <t xml:space="preserve">
89.37478</t>
  </si>
  <si>
    <t>1165, Park Road, Sutrapur, Paurashava, Bogra Sadar, Bogra, Rajshahi 5800, Bangladesh</t>
  </si>
  <si>
    <t>24.846617</t>
  </si>
  <si>
    <t xml:space="preserve">
89.37143</t>
  </si>
  <si>
    <t>239.35 Km</t>
  </si>
  <si>
    <t>723.76 m</t>
  </si>
  <si>
    <t>483.77 m</t>
  </si>
  <si>
    <t>Medical Road, Khandar, Bogura, Malgram (Part-B), Fapore, Bogra Sadar, Bogra, Rajshahi, Bangladesh</t>
  </si>
  <si>
    <t>24.834866</t>
  </si>
  <si>
    <t xml:space="preserve">
89.36627</t>
  </si>
  <si>
    <t>Sherpur Road, Thanthania, Paurashava, Bogra Sadar, Bogra, Rajshahi, 5800, Bangladesh</t>
  </si>
  <si>
    <t>24.830557</t>
  </si>
  <si>
    <t xml:space="preserve">
89.375725</t>
  </si>
  <si>
    <t>236.92 Km</t>
  </si>
  <si>
    <t>Gohail Road, Khandar, Bogura, Malgram (Part-B), Paurashava, Bogra Sadar, Bogra, Rajshahi, 5800, Bangladesh</t>
  </si>
  <si>
    <t>24.840542</t>
  </si>
  <si>
    <t xml:space="preserve">
89.368645</t>
  </si>
  <si>
    <t>238.88 Km</t>
  </si>
  <si>
    <t>903.41 m</t>
  </si>
  <si>
    <t>365.26 m</t>
  </si>
  <si>
    <t>Doctor Issahaq Lane, Bogura, Malgram (Part-B), Paurashava, Bogra Sadar Upazila, Bogra District, Rajshahi Division, Bangladesh</t>
  </si>
  <si>
    <t>239.24 Km</t>
  </si>
  <si>
    <t>Beltola Jame Mosjid Lane, Bogra, Malgram (Part-B), Fapore, Rajshahi Division, Bangladesh, 5800</t>
  </si>
  <si>
    <t>24.840963</t>
  </si>
  <si>
    <t xml:space="preserve">
89.36443</t>
  </si>
  <si>
    <t>239.36 Km</t>
  </si>
  <si>
    <t>Staff Quarter Road, Bogura, Natai Para (Part-B), Paurashava, Bogra Sadar, Bogra, Rajshahi 5800, Bangladesh</t>
  </si>
  <si>
    <t>24.836637</t>
  </si>
  <si>
    <t xml:space="preserve">
89.38279</t>
  </si>
  <si>
    <t>236.96 Km</t>
  </si>
  <si>
    <t>843.2 m</t>
  </si>
  <si>
    <t>Khandar Stackyard, Gohail Road, Khandar, Malgram (Part-B), Fapore, Bogra Sadar, Bogra, Rajshahi, 5800, Bangladesh</t>
  </si>
  <si>
    <t>24.834747</t>
  </si>
  <si>
    <t xml:space="preserve">
89.36726</t>
  </si>
  <si>
    <t>984.67 m</t>
  </si>
  <si>
    <t>Sherpur Road, Jalesharitola, Paurashava, Bogra Sadar, Bogra, Rajshahi, 5800, Bangladesh</t>
  </si>
  <si>
    <t>24.8388</t>
  </si>
  <si>
    <t xml:space="preserve">
89.37432</t>
  </si>
  <si>
    <t>238.09 Km</t>
  </si>
  <si>
    <t>Staff Quarter Road, Staff Quarter, Sultanganj, Shajahanpur, Bogra, Rajshahi, 5800, Bangladesh</t>
  </si>
  <si>
    <t>24.832315</t>
  </si>
  <si>
    <t xml:space="preserve">
89.38097</t>
  </si>
  <si>
    <t>236.61 Km</t>
  </si>
  <si>
    <t>238.89 Km</t>
  </si>
  <si>
    <t>237.64 Km</t>
  </si>
  <si>
    <t>Bhatkandi Road, Bhatkandi, Natai Para (Part-B), Shabgram, Bogra Sadar, Bogra, Rajshahi, Bangladesh</t>
  </si>
  <si>
    <t>24.839903</t>
  </si>
  <si>
    <t xml:space="preserve">
89.3883</t>
  </si>
  <si>
    <t>236.82 Km</t>
  </si>
  <si>
    <t>913.66 m</t>
  </si>
  <si>
    <t>Dhaka - Rangpur Highway, Bogra, Kumira, Nishindara, Rajshahi Division, Bangladesh</t>
  </si>
  <si>
    <t>24.870314</t>
  </si>
  <si>
    <t xml:space="preserve">
89.35126</t>
  </si>
  <si>
    <t>244.33 Km</t>
  </si>
  <si>
    <t>Dhaka - Rangpur Highway, Momo Inn Ground Helipad, Baghopara, Barbakpur, Gokul, Bogra Sadar, Bogra, Rajshahi, Bangladesh</t>
  </si>
  <si>
    <t>24.899845</t>
  </si>
  <si>
    <t xml:space="preserve">
89.357185</t>
  </si>
  <si>
    <t>247.44 Km</t>
  </si>
  <si>
    <t>259.65 Km</t>
  </si>
  <si>
    <t>Nambihin Rasta, Gobindogonj, Masta, Kamardaha, Gobindaganj, Gaibandha, Rangpur, Bangladesh</t>
  </si>
  <si>
    <t>25.084307</t>
  </si>
  <si>
    <t xml:space="preserve">
89.38939</t>
  </si>
  <si>
    <t>268.62 Km</t>
  </si>
  <si>
    <t>25.066353</t>
  </si>
  <si>
    <t xml:space="preserve">
89.37148</t>
  </si>
  <si>
    <t>267.79 Km</t>
  </si>
  <si>
    <t>6.65 km</t>
  </si>
  <si>
    <t>Pirgacha - Mohasthan Road, Lahiri Para, Mahasthangar, Roynagar, Shibganj, Bogra, Rajshahi, Bangladesh</t>
  </si>
  <si>
    <t>24.947811</t>
  </si>
  <si>
    <t xml:space="preserve">
89.35894</t>
  </si>
  <si>
    <t>253.39 Km</t>
  </si>
  <si>
    <t>Road, Museum Bus Stand, Mahasthan, Mahasthangar, Roynagar, Shibganj, Bogra, Rajshahi, Bangladesh</t>
  </si>
  <si>
    <t>24.961687</t>
  </si>
  <si>
    <t xml:space="preserve">
89.34511</t>
  </si>
  <si>
    <t>256.5 Km</t>
  </si>
  <si>
    <t>24.945894</t>
  </si>
  <si>
    <t xml:space="preserve">
89.34535</t>
  </si>
  <si>
    <t>254.46 Km</t>
  </si>
  <si>
    <t>Mohishbathan Road, Gokul, Mahish Bathan, Sekherkola, Bogra Sadar Upazila, Bogra District, Rajshahi Division, Bangladesh</t>
  </si>
  <si>
    <t>24.895433</t>
  </si>
  <si>
    <t xml:space="preserve">
89.35876</t>
  </si>
  <si>
    <t>243.44 Km</t>
  </si>
  <si>
    <t>Near, Taposhi Rabeya School Lane, Jamil Nagar, Malgram (Part-B), Fapore, Bogra Sadar, Bogra, Rajshahi 5800, Bangladesh</t>
  </si>
  <si>
    <t>24.842524</t>
  </si>
  <si>
    <t xml:space="preserve">
89.35833</t>
  </si>
  <si>
    <t>240.17 Km</t>
  </si>
  <si>
    <t>764.54 m</t>
  </si>
  <si>
    <t>Sheujgari Water Tank Road, পলপাড়া, Malgram (Part-B), Paurashava, Bogra Sadar, Bogra, Rajshahi, Bangladesh</t>
  </si>
  <si>
    <t>24.845037</t>
  </si>
  <si>
    <t xml:space="preserve">
89.362915</t>
  </si>
  <si>
    <t>240.02 Km</t>
  </si>
  <si>
    <t>Stadium Road, Khandar, Malgram (Part-B), Fapore, Bogra Sadar, Bogra, Rajshahi 5800, Bangladesh</t>
  </si>
  <si>
    <t>24.840424</t>
  </si>
  <si>
    <t>239.01 Km</t>
  </si>
  <si>
    <t>437 m</t>
  </si>
  <si>
    <t>EDCL Lane, Thanthania, Bogura, Paurashava, Bogra Sadar, Bogra, Rajshahi, Bangladesh</t>
  </si>
  <si>
    <t>24.83489</t>
  </si>
  <si>
    <t xml:space="preserve">
89.37175</t>
  </si>
  <si>
    <t>237.86 Km</t>
  </si>
  <si>
    <t>679.06 m</t>
  </si>
  <si>
    <t>Hatir Jheel Bridge 2, Bridge Number 2, Ward-37, Tejgaon, Dhaka, Dhaka 1212, Bangladesh</t>
  </si>
  <si>
    <t>23.768337</t>
  </si>
  <si>
    <t xml:space="preserve">
90.412025</t>
  </si>
  <si>
    <t>1.03 Km</t>
  </si>
  <si>
    <t>896.61 m</t>
  </si>
  <si>
    <t>21, Indira Road, Ward No-40 (Part), Tejgaon, Dhaka, Dhaka 1215, Bangladesh</t>
  </si>
  <si>
    <t>23.75839</t>
  </si>
  <si>
    <t xml:space="preserve">
90.38703</t>
  </si>
  <si>
    <t>5.11 Km</t>
  </si>
  <si>
    <t>Bir Uttom Khaled Mosharraf Avenue, Trade Fare, Sher-E-Bangla Nagar, Ward No-40 (Part), Tejgaon, Dhaka, Dhaka, Bangladesh</t>
  </si>
  <si>
    <t>23.770607</t>
  </si>
  <si>
    <t xml:space="preserve">
90.38206</t>
  </si>
  <si>
    <t>5.26 Km</t>
  </si>
  <si>
    <t>2.8 Km</t>
  </si>
  <si>
    <t>9.04 Km</t>
  </si>
  <si>
    <t xml:space="preserve">
90.40438</t>
  </si>
  <si>
    <t>Sanmar Malvaria, 75, Road 03, Nasirabad Housing Society, Sulakbahar, Ward-08, Panchlaish, Chittagong, Chittagong, Bangladesh</t>
  </si>
  <si>
    <t>22.365633</t>
  </si>
  <si>
    <t xml:space="preserve">
91.826836</t>
  </si>
  <si>
    <t>319.28 Km</t>
  </si>
  <si>
    <t>11, Road 06, Panchlaish R/A, Chawk Bazar, Ward-16, Chittagong Kotwali Thana, Chittagong, Chittagong 4203, Bangladesh</t>
  </si>
  <si>
    <t>22.362202</t>
  </si>
  <si>
    <t xml:space="preserve">
91.83183</t>
  </si>
  <si>
    <t>320.22 Km</t>
  </si>
  <si>
    <t>112, Nur Ahmed Road, Kazir Dewri Bus Stop, 15 No. Bagmoniram Ward, Ward-22, Kotwali, Chittagong, Chittagong 4000, Bangladesh</t>
  </si>
  <si>
    <t>22.346792</t>
  </si>
  <si>
    <t xml:space="preserve">
91.82564</t>
  </si>
  <si>
    <t>321.48 Km</t>
  </si>
  <si>
    <t>701.08 m</t>
  </si>
  <si>
    <t>322.67 Km</t>
  </si>
  <si>
    <t>322.89 Km</t>
  </si>
  <si>
    <t>324.7 Km</t>
  </si>
  <si>
    <t>305.78 m</t>
  </si>
  <si>
    <t>15, Huseyn Shaheed Suhrawardy Road, Kotwali, Ward-33, Chittagong Kotwali Thana, Chittagong, Chittagong, Bangladesh</t>
  </si>
  <si>
    <t>22.332838</t>
  </si>
  <si>
    <t xml:space="preserve">
91.83564</t>
  </si>
  <si>
    <t>117, Nur Ahmed Road, Ward-22, Kotwali, Chittagong, Chittagong 4000, Bangladesh</t>
  </si>
  <si>
    <t>22.345264</t>
  </si>
  <si>
    <t xml:space="preserve">
91.82619</t>
  </si>
  <si>
    <t>321.73 Km</t>
  </si>
  <si>
    <t>Hasan Waris Tower Unit 1, 143, Kazi Nazrul Islam Road, Ward-33, Kotwali, Chittagong, Chittagong 4000, Bangladesh</t>
  </si>
  <si>
    <t>22.328592</t>
  </si>
  <si>
    <t xml:space="preserve">
91.833954</t>
  </si>
  <si>
    <t>324.6 Km</t>
  </si>
  <si>
    <t>2, Jamal Khan Road, Ashkar Dighir Par, paar, Ward-21, Chittagong Kotwali Thana, Chittagong, Chittagong, Bangladesh</t>
  </si>
  <si>
    <t>22.346928</t>
  </si>
  <si>
    <t xml:space="preserve">
91.83069</t>
  </si>
  <si>
    <t>321.99 Km</t>
  </si>
  <si>
    <t>689.82 m</t>
  </si>
  <si>
    <t>07, Chittagong University and Nazirhut Rail line, Paschim Nasirabad, Sulakbahar, Ward-08, Khulshi, Chittagong, Chittagong 4000, Bangladesh</t>
  </si>
  <si>
    <t>22.36912</t>
  </si>
  <si>
    <t xml:space="preserve">
91.82246</t>
  </si>
  <si>
    <t>318.39 Km</t>
  </si>
  <si>
    <t>Road No. 2, Nasirabad, Sulakbahar, Ward-07, Panchlaish, Chittagong, Chittagong, Bangladesh</t>
  </si>
  <si>
    <t>22.375242</t>
  </si>
  <si>
    <t xml:space="preserve">
91.82355</t>
  </si>
  <si>
    <t>317.75 Km</t>
  </si>
  <si>
    <t>420, Polytechnic Road, Sulakbahar, Ward-08, Khulshi, Chittagong, Chittagong 4209, Bangladesh</t>
  </si>
  <si>
    <t>22.368353</t>
  </si>
  <si>
    <t xml:space="preserve">
91.81152</t>
  </si>
  <si>
    <t>317.35 Km</t>
  </si>
  <si>
    <t>930.13 m</t>
  </si>
  <si>
    <t>Maijpara Jame Masjid Road, Nasirabad, Sulakbahar, Chattogram, Ward-08, CCC (Khulshi), Chittagong, Bangladesh</t>
  </si>
  <si>
    <t>22.375923</t>
  </si>
  <si>
    <t xml:space="preserve">
91.81719</t>
  </si>
  <si>
    <t>317.01 Km</t>
  </si>
  <si>
    <t>Road Number 2, Beverly Hills Residential Area, 16 No. Chawk Bazaar Ward, Chattogram, Ward-16, Chittagong Kotwali Thana, Chittagong, Bangladesh</t>
  </si>
  <si>
    <t>22.355667</t>
  </si>
  <si>
    <t xml:space="preserve">
91.830444</t>
  </si>
  <si>
    <t>319.15 Km</t>
  </si>
  <si>
    <t>313.97 Km</t>
  </si>
  <si>
    <t>Chittagong Coastal Road, Dakshin Salimpur, Salimpur, Sitakund, Chittagong 4317, Bangladesh</t>
  </si>
  <si>
    <t>22.382038</t>
  </si>
  <si>
    <t xml:space="preserve">
91.75324</t>
  </si>
  <si>
    <t>309.67 Km</t>
  </si>
  <si>
    <t>Bhatiari, Jahanabad, Sitakund, Chittagong, Bangladesh</t>
  </si>
  <si>
    <t>22.43377</t>
  </si>
  <si>
    <t xml:space="preserve">
91.73089</t>
  </si>
  <si>
    <t>300.93 Km</t>
  </si>
  <si>
    <t>ঘাটঘর রোড, Uttar Sonichhari, Kumira, Sitakund, Chittagong, Bangladesh</t>
  </si>
  <si>
    <t>22.50809</t>
  </si>
  <si>
    <t xml:space="preserve">
91.702324</t>
  </si>
  <si>
    <t>288.8 Km</t>
  </si>
  <si>
    <t>6.1 km</t>
  </si>
  <si>
    <t>Suklalhat-Mahamudabad Road, Barabkunda, Mahadebpur, Sitakunda, Sitakund, Chittagong, Bangladesh</t>
  </si>
  <si>
    <t>22.597479</t>
  </si>
  <si>
    <t xml:space="preserve">
91.67802</t>
  </si>
  <si>
    <t>275.42 Km</t>
  </si>
  <si>
    <t>12.16 km</t>
  </si>
  <si>
    <t>9.86 km</t>
  </si>
  <si>
    <t>মুহুরী বাড়ী রোড, Minsarai, Duaru, Khaiyachhara, Mirsharai, Chittagong, Bangladesh</t>
  </si>
  <si>
    <t>22.740149</t>
  </si>
  <si>
    <t xml:space="preserve">
91.59551</t>
  </si>
  <si>
    <t>249.64 Km</t>
  </si>
  <si>
    <t>7.96 km</t>
  </si>
  <si>
    <t>Dhaka - Chittagong Highway, Raghunathpur, Durgapur, Mirsharai, Chittagong, Bangladesh</t>
  </si>
  <si>
    <t>22.820875</t>
  </si>
  <si>
    <t xml:space="preserve">
91.55572</t>
  </si>
  <si>
    <t>235.96 Km</t>
  </si>
  <si>
    <t>10.64 km</t>
  </si>
  <si>
    <t>Ram sundar Muhuri Road, Baraiyarhat, Jamalpur, Hinguli, Mirsharai, Chittagong, Bangladesh</t>
  </si>
  <si>
    <t>22.887619</t>
  </si>
  <si>
    <t xml:space="preserve">
91.527596</t>
  </si>
  <si>
    <t>225.32 Km</t>
  </si>
  <si>
    <t>10.07 km</t>
  </si>
  <si>
    <t>Dhaka - Cox's Bazar Highway, Lemua, Lemua, Feni Sadar, Feni, Chittagong, Bangladesh</t>
  </si>
  <si>
    <t>22.953579</t>
  </si>
  <si>
    <t xml:space="preserve">
91.45231</t>
  </si>
  <si>
    <t>209.37 Km</t>
  </si>
  <si>
    <t>Nasir Uddin Hojja Road, Charipur, Barahipur, Feni Sadar, Feni, Chittagong, 3900, Bangladesh</t>
  </si>
  <si>
    <t>23.014687</t>
  </si>
  <si>
    <t xml:space="preserve">
91.37964</t>
  </si>
  <si>
    <t>194.26 Km</t>
  </si>
  <si>
    <t>11.98 km</t>
  </si>
  <si>
    <t>হাজী আফজালিয়া রোড, Pacnhgacia Bazaar, Ilaspur, Barahipur, Feni Sadar, Feni, Chittagong, Bangladesh</t>
  </si>
  <si>
    <t>23.021048</t>
  </si>
  <si>
    <t xml:space="preserve">
91.370995</t>
  </si>
  <si>
    <t>192.56 Km</t>
  </si>
  <si>
    <t>Dhaka - Chittagong Highway, Bordain, Bardain (Bagudda), Jagannath Dighi, Chauddagram, Comilla, Chittagong, Bangladesh</t>
  </si>
  <si>
    <t>23.12268</t>
  </si>
  <si>
    <t xml:space="preserve">
91.332146</t>
  </si>
  <si>
    <t>177.19 Km</t>
  </si>
  <si>
    <t>12.17 km</t>
  </si>
  <si>
    <t>পশ্চিম ধনমুরী সড়ক, Paschim Dhanmuri, Batisha, Chauddagram, Comilla, Chittagong, Bangladesh</t>
  </si>
  <si>
    <t>23.214037</t>
  </si>
  <si>
    <t xml:space="preserve">
91.31553</t>
  </si>
  <si>
    <t>166.15 Km</t>
  </si>
  <si>
    <t>9.1 km</t>
  </si>
  <si>
    <t>N1, Koroibon, Nilakhi Bijoypur, Kalikapur, Chauddagram, Comilla, Chittagong, Bangladesh</t>
  </si>
  <si>
    <t>23.318993</t>
  </si>
  <si>
    <t xml:space="preserve">
91.281746</t>
  </si>
  <si>
    <t>Comilla Chittagong Bypass Road, West Boto Graam, Dhanaitari, Dakshin Comilla (Chouara), Comilla Sadar Dakshin, Comilla, Chittagong, Bangladesh</t>
  </si>
  <si>
    <t>23.388857</t>
  </si>
  <si>
    <t xml:space="preserve">
91.23534</t>
  </si>
  <si>
    <t>140.62 Km</t>
  </si>
  <si>
    <t>128.1 Km</t>
  </si>
  <si>
    <t>Laksham Road, Cumilla, Purba Saktala, Bijoypur, Comilla Sadar Dakshin, Comilla, Chittagong, Bangladesh</t>
  </si>
  <si>
    <t>23.442839</t>
  </si>
  <si>
    <t xml:space="preserve">
91.174995</t>
  </si>
  <si>
    <t>128.35 Km</t>
  </si>
  <si>
    <t>127.52 Km</t>
  </si>
  <si>
    <t>ward number 23, Haratali, Bijoypur, Comilla Sadar Dakshin, Comilla, Chittagong, Bangladesh</t>
  </si>
  <si>
    <t>23.436523</t>
  </si>
  <si>
    <t>126.3 Km</t>
  </si>
  <si>
    <t>23.470839</t>
  </si>
  <si>
    <t xml:space="preserve">
91.11586</t>
  </si>
  <si>
    <t>118.17 Km</t>
  </si>
  <si>
    <t>9.48 km</t>
  </si>
  <si>
    <t>6.76 km</t>
  </si>
  <si>
    <t>সেতু, N1, Chandina, Chandina, Dakshin Barkamta, Debidwar, Comilla, Chittagong, Bangladesh</t>
  </si>
  <si>
    <t>23.489147</t>
  </si>
  <si>
    <t xml:space="preserve">
91.0135</t>
  </si>
  <si>
    <t>102.79 Km</t>
  </si>
  <si>
    <t>10.09 km</t>
  </si>
  <si>
    <t>9.5 km</t>
  </si>
  <si>
    <t>Dhaka - Chittagong Highway, Nayakandi, Chhota Alipur, Bhaber Char, Gazaria, Munshiganj, Dhaka, Bangladesh</t>
  </si>
  <si>
    <t>23.565987</t>
  </si>
  <si>
    <t xml:space="preserve">
90.6482</t>
  </si>
  <si>
    <t>49.45 Km</t>
  </si>
  <si>
    <t>6.7 km</t>
  </si>
  <si>
    <t>Hatkopa Masjid Road, Diara Menikhali, Aminpur, Sonargaon, Narayanganj, Dhaka, Bangladesh</t>
  </si>
  <si>
    <t>23.641329</t>
  </si>
  <si>
    <t xml:space="preserve">
90.604324</t>
  </si>
  <si>
    <t>36.13 Km</t>
  </si>
  <si>
    <t>7.18 km</t>
  </si>
  <si>
    <t>Keodhala (Part), Madanpur, Bandar, Narayanganj, Dhaka, Bangladesh</t>
  </si>
  <si>
    <t>23.685091</t>
  </si>
  <si>
    <t xml:space="preserve">
90.559074</t>
  </si>
  <si>
    <t>26.25 Km</t>
  </si>
  <si>
    <t>Binary Signature, Amtala - Sanarper Road, Dhaka, Paradagair, Demra, Bangladesh, 1361</t>
  </si>
  <si>
    <t>23.70327</t>
  </si>
  <si>
    <t xml:space="preserve">
90.491394</t>
  </si>
  <si>
    <t>16.31 Km</t>
  </si>
  <si>
    <t>387.83 m</t>
  </si>
  <si>
    <t>726, Noyanagar Road, South Kazla (Nayanagor), Shampur, Dhaka, Dhaka 1236, Bangladesh</t>
  </si>
  <si>
    <t>23.707773</t>
  </si>
  <si>
    <t xml:space="preserve">
90.44422</t>
  </si>
  <si>
    <t>11.67 Km</t>
  </si>
  <si>
    <t>147, Road No 1, Kazla Bridge, Jatra Bari, Shampur, Dhaka, Dhaka, Bangladesh</t>
  </si>
  <si>
    <t>23.710028</t>
  </si>
  <si>
    <t xml:space="preserve">
90.441315</t>
  </si>
  <si>
    <t>Madrasha Road, Janata Market, Muradpur, Ward-88, Dcc (Sutrapur), Dhaka, Dhaka, Bangladesh</t>
  </si>
  <si>
    <t>23.69649</t>
  </si>
  <si>
    <t xml:space="preserve">
90.43746</t>
  </si>
  <si>
    <t>13.16 Km</t>
  </si>
  <si>
    <t>Postogola Bridge, Postagola - Narayanganj, Postagola, Shyampur, Hasnabad (Nayatola), Ward-90, Dcc (Sutrapur), Dhaka, Dhaka, Bangladesh</t>
  </si>
  <si>
    <t>23.689142</t>
  </si>
  <si>
    <t xml:space="preserve">
90.42849</t>
  </si>
  <si>
    <t>14.1 Km</t>
  </si>
  <si>
    <t>522 m</t>
  </si>
  <si>
    <t>Bashundhara Riverview Road, Bashundhara Riverview, Doleshwar, Konda, Keraniganj, Dhaka, Bangladesh</t>
  </si>
  <si>
    <t>23.669199</t>
  </si>
  <si>
    <t xml:space="preserve">
90.44128</t>
  </si>
  <si>
    <t>17.72 Km</t>
  </si>
  <si>
    <t>Dhaka - Narayanganj Highway, Otobi Limited, Kadamtoli, Shyampur, Shampur, Dhaka 1204, Bangladesh</t>
  </si>
  <si>
    <t>23.678177</t>
  </si>
  <si>
    <t xml:space="preserve">
90.44255</t>
  </si>
  <si>
    <t>40, Dholeshshor College Road, Dholeshshor, Doleshwar, Shyampur, Keraniganj, Dhaka, Bangladesh</t>
  </si>
  <si>
    <t>23.67325</t>
  </si>
  <si>
    <t xml:space="preserve">
90.44347</t>
  </si>
  <si>
    <t>17.14 Km</t>
  </si>
  <si>
    <t>50, Road 8, Shyampur, Shampur, Dhaka, Dhaka 1204, Bangladesh</t>
  </si>
  <si>
    <t>23.682571</t>
  </si>
  <si>
    <t xml:space="preserve">
90.4397</t>
  </si>
  <si>
    <t>15.49 Km</t>
  </si>
  <si>
    <t>Nambihin Rasta, Doleshwar, Konda, Keraniganj, Dhaka, Dhaka 1311, Bangladesh</t>
  </si>
  <si>
    <t>23.671211</t>
  </si>
  <si>
    <t xml:space="preserve">
90.43965</t>
  </si>
  <si>
    <t>17.34 Km</t>
  </si>
  <si>
    <t>23.679142</t>
  </si>
  <si>
    <t xml:space="preserve">
90.42169</t>
  </si>
  <si>
    <t>15.67 Km</t>
  </si>
  <si>
    <t>Hasnabad Wapda Colony Road, Hasnabad Wapda Colony, Hasnabad, Hasnabad (Nayatola), Subhadya, Keraniganj, Dhaka, Bangladesh</t>
  </si>
  <si>
    <t>23.68251</t>
  </si>
  <si>
    <t xml:space="preserve">
90.42857</t>
  </si>
  <si>
    <t>15.2 Km</t>
  </si>
  <si>
    <t>198, Shyampur Bazar, Shyampur Ferry, Shyampur, Shampur, Dhaka, Dhaka 1204, Bangladesh</t>
  </si>
  <si>
    <t>23.683659</t>
  </si>
  <si>
    <t xml:space="preserve">
90.43841</t>
  </si>
  <si>
    <t>15.27 Km</t>
  </si>
  <si>
    <t>568.19 m</t>
  </si>
  <si>
    <t>6.81 km</t>
  </si>
  <si>
    <t>Chittagong - Cox's Bazar Highway, Chabagan, Dulahazara, Khuntakhali, Chakaria, Cox's Bazar, Chittagong, Bangladesh</t>
  </si>
  <si>
    <t>21.670639</t>
  </si>
  <si>
    <t xml:space="preserve">
92.074165</t>
  </si>
  <si>
    <t>433.58 Km</t>
  </si>
  <si>
    <t>5.27 km</t>
  </si>
  <si>
    <t>উমখলি সড়ক, Umkhali, Dakshin Mithachhari, Ramu, Cox's Bazar, Chittagong, Bangladesh</t>
  </si>
  <si>
    <t>21.418022</t>
  </si>
  <si>
    <t xml:space="preserve">
92.07537</t>
  </si>
  <si>
    <t>468.54 Km</t>
  </si>
  <si>
    <t>Cox Bazar, Jhilwanja, Jhilwanja, Coxs Bazar Sadar Upazila, Chittagong Division , Bangladesh</t>
  </si>
  <si>
    <t>21.42298</t>
  </si>
  <si>
    <t xml:space="preserve">
91.9965</t>
  </si>
  <si>
    <t>461.32 Km</t>
  </si>
  <si>
    <t>268.41 m</t>
  </si>
  <si>
    <t>সৈকত সমবায় সমিতি এলাকা, Jhilwanja, Cox's Bazar Sadar, Cox's Bazar, Chittagong, Bangladesh</t>
  </si>
  <si>
    <t>21.429651</t>
  </si>
  <si>
    <t>458.9 Km</t>
  </si>
  <si>
    <t>Chittagong - Cox's Bazar Highway, Kolatoli, Jhilwanja, Cox's Bazar Sadar, Cox's Bazar, Chittagong, Bangladesh</t>
  </si>
  <si>
    <t>21.419365</t>
  </si>
  <si>
    <t xml:space="preserve">
91.99364</t>
  </si>
  <si>
    <t>461.61 Km</t>
  </si>
  <si>
    <t>New Beach Road, Cox's Bazar, Chittagong, Bangladesh</t>
  </si>
  <si>
    <t>21.412916</t>
  </si>
  <si>
    <t xml:space="preserve">
91.975746</t>
  </si>
  <si>
    <t>461.08 Km</t>
  </si>
  <si>
    <t>Nambihin Rasta, Sumilpara, Adamjee, Siddirganj (Part), Sumil Para, Narayanganj Sadar, Narayanganj, Dhaka, Bangladesh</t>
  </si>
  <si>
    <t>23.670732</t>
  </si>
  <si>
    <t xml:space="preserve">
90.52804</t>
  </si>
  <si>
    <t>23.99 Km</t>
  </si>
  <si>
    <t>21.12 Km</t>
  </si>
  <si>
    <t>Nambihin Rasta, Adamjee, Siddirganj (Part), Sumil Para, Narayanganj Sadar, Narayanganj, Dhaka, Bangladesh</t>
  </si>
  <si>
    <t>23.669275</t>
  </si>
  <si>
    <t xml:space="preserve">
90.528946</t>
  </si>
  <si>
    <t>24.25 Km</t>
  </si>
  <si>
    <t>ACI Water Workers Road, Hamza Eco Park &amp; Food Court, Godnail, Narayanganj Sadar, Narayanganj, Dhaka, Bangladesh</t>
  </si>
  <si>
    <t>23.639376</t>
  </si>
  <si>
    <t xml:space="preserve">
90.51904</t>
  </si>
  <si>
    <t>26.45 Km</t>
  </si>
  <si>
    <t>21, KB Saha Road, Amlapara, Paurashava, Narayanganj Sadar, Narayanganj, Dhaka 1400, Bangladesh</t>
  </si>
  <si>
    <t>23.623013</t>
  </si>
  <si>
    <t xml:space="preserve">
90.50337</t>
  </si>
  <si>
    <t>27.05 Km</t>
  </si>
  <si>
    <t>87, B.K. Road, Nitaigonj, Paurashava, Narayanganj Sadar, Narayanganj, Dhaka 1400, Bangladesh</t>
  </si>
  <si>
    <t>23.604378</t>
  </si>
  <si>
    <t xml:space="preserve">
90.50431</t>
  </si>
  <si>
    <t>29.72 Km</t>
  </si>
  <si>
    <t>4.41 km</t>
  </si>
  <si>
    <t>Nambihin Rasta, Bandar, Bandar, Narayanganj, Dhaka, Bangladesh</t>
  </si>
  <si>
    <t>23.618374</t>
  </si>
  <si>
    <t xml:space="preserve">
90.5128</t>
  </si>
  <si>
    <t>28.53 Km</t>
  </si>
  <si>
    <t>23.41 Km</t>
  </si>
  <si>
    <t>School Road, Wapda, Ati, Siddirganj, Narayanganj Sadar, Narayanganj, Dhaka, Bangladesh</t>
  </si>
  <si>
    <t>23.698366</t>
  </si>
  <si>
    <t xml:space="preserve">
90.51443</t>
  </si>
  <si>
    <t>19.76 Km</t>
  </si>
  <si>
    <t>19.83 Km</t>
  </si>
  <si>
    <t>199.29 m</t>
  </si>
  <si>
    <t>18.38 Km</t>
  </si>
  <si>
    <t>AMBER PULP AND PAPER MILLS LTD (PARTEX GROUP), North Azibpur Riverghat Road, Ati, Azibpur, Siddirganj, Narayanganj Sadar, Narayanganj, Dhaka, Bangladesh</t>
  </si>
  <si>
    <t>23.692806</t>
  </si>
  <si>
    <t xml:space="preserve">
90.52249</t>
  </si>
  <si>
    <t>21.29 Km</t>
  </si>
  <si>
    <t>776.87 m</t>
  </si>
  <si>
    <t>ধনূ হাজী রোড, Siddhirganj, Hirazheel, Siddirganj (Part), Siddirganj, Narayanganj Sadar, Narayanganj, Dhaka, Bangladesh</t>
  </si>
  <si>
    <t>23.689465</t>
  </si>
  <si>
    <t xml:space="preserve">
90.5021</t>
  </si>
  <si>
    <t>18.95 Km</t>
  </si>
  <si>
    <t>18.02 Km</t>
  </si>
  <si>
    <t>18.65 Km</t>
  </si>
  <si>
    <t>Ati - Wapda Koloni - Bow Bazaar Road, Siddhirganj, Ati, Siddirganj, Narayanganj Sadar, Narayanganj, Dhaka, Bangladesh</t>
  </si>
  <si>
    <t>20.71 Km</t>
  </si>
  <si>
    <t>703.83 m</t>
  </si>
  <si>
    <t>Mallik Group (Factory), N1, Siddhirganj, Sign Board, Khurdaghosh Para(Sanarpar, Siddirganj, Narayanganj Sadar, Narayanganj, Dhaka 1430, Bangladesh</t>
  </si>
  <si>
    <t>23.69371</t>
  </si>
  <si>
    <t xml:space="preserve">
90.48408</t>
  </si>
  <si>
    <t>16.33 Km</t>
  </si>
  <si>
    <t>676.26 m</t>
  </si>
  <si>
    <t>Dhaka - Sylhet Highway, Kanchpur, Kanchpur, Kachpur, Sonargaon, Narayanganj, Dhaka, Bangladesh</t>
  </si>
  <si>
    <t>23.705677</t>
  </si>
  <si>
    <t xml:space="preserve">
90.52035</t>
  </si>
  <si>
    <t>20.02 Km</t>
  </si>
  <si>
    <t>M 12, Madanpur Bus Stand, Fular, Madanpur, Bandar, Narayanganj, Dhaka, Bangladesh</t>
  </si>
  <si>
    <t>23.68968</t>
  </si>
  <si>
    <t xml:space="preserve">
90.54749</t>
  </si>
  <si>
    <t>24.91 Km</t>
  </si>
  <si>
    <t>513.77 m</t>
  </si>
  <si>
    <t>B1015, Manohar Khanerbagh, Madanpur, Bandar, Narayanganj, Dhaka, Bangladesh</t>
  </si>
  <si>
    <t>23.690487</t>
  </si>
  <si>
    <t xml:space="preserve">
90.54253</t>
  </si>
  <si>
    <t>24.17 Km</t>
  </si>
  <si>
    <t>625, DND ROAD, Muktinagor, Siddirganj (Part), Siddirganj, Narayanganj Sadar, Narayanganj, Dhaka 1430, Bangladesh</t>
  </si>
  <si>
    <t>23.697165</t>
  </si>
  <si>
    <t xml:space="preserve">
90.503815</t>
  </si>
  <si>
    <t>18.46 Km</t>
  </si>
  <si>
    <t>Mizmizi Taltola Club Road, Siddhirganj, Siddirganj (Part), Siddirganj, Narayanganj Sadar, Narayanganj, Dhaka 1430, Bangladesh</t>
  </si>
  <si>
    <t>23.687502</t>
  </si>
  <si>
    <t xml:space="preserve">
90.5093</t>
  </si>
  <si>
    <t>20.04 Km</t>
  </si>
  <si>
    <t>331.14 m</t>
  </si>
  <si>
    <t>Market Road, Muktinagor, Ati, Siddirganj, Narayanganj Sadar, Narayanganj, Dhaka, Bangladesh</t>
  </si>
  <si>
    <t>23.697758</t>
  </si>
  <si>
    <t xml:space="preserve">
90.507</t>
  </si>
  <si>
    <t>18.83 Km</t>
  </si>
  <si>
    <t>986.82 m</t>
  </si>
  <si>
    <t>Nambihin Rasta, Siddirganj, Demra, Narayanganj, Dhaka 1361, Bangladesh</t>
  </si>
  <si>
    <t>23.704077</t>
  </si>
  <si>
    <t xml:space="preserve">
90.49774</t>
  </si>
  <si>
    <t>17.07 Km</t>
  </si>
  <si>
    <t>Bhuigor Mouchak Road, Siddhirganj, Bhuigor, Bhuingar, Kutubpur, Narayanganj Sadar, Narayanganj, Dhaka, Bangladesh</t>
  </si>
  <si>
    <t>23.687855</t>
  </si>
  <si>
    <t xml:space="preserve">
90.48267</t>
  </si>
  <si>
    <t>16.8 Km</t>
  </si>
  <si>
    <t>1, Salam Member Road, Kutubail, Kayempur, Fatullah, Narayanganj Sadar, Narayanganj, Dhaka, Bangladesh</t>
  </si>
  <si>
    <t>23.64158</t>
  </si>
  <si>
    <t xml:space="preserve">
90.50155</t>
  </si>
  <si>
    <t>24.41 Km</t>
  </si>
  <si>
    <t>Nambihin Rasta, Fatulla, Fatullah, Narayanganj Sadar, Narayanganj, Dhaka, Bangladesh</t>
  </si>
  <si>
    <t>23.638912</t>
  </si>
  <si>
    <t xml:space="preserve">
90.48692</t>
  </si>
  <si>
    <t>23.44 Km</t>
  </si>
  <si>
    <t>12, Fakir Road, Tolla, Narayanganj, Khanpur (Part), Fatullah, Dhaka Division, Bangladesh, 1400</t>
  </si>
  <si>
    <t>23.633518</t>
  </si>
  <si>
    <t xml:space="preserve">
90.497955</t>
  </si>
  <si>
    <t>25.15 Km</t>
  </si>
  <si>
    <t>164.43 m</t>
  </si>
  <si>
    <t>289, Wilson Road, Nobigonj, Bandar, Bandar, Narayanganj, Dhaka, Bangladesh</t>
  </si>
  <si>
    <t>23.623846</t>
  </si>
  <si>
    <t xml:space="preserve">
90.516525</t>
  </si>
  <si>
    <t>Bandar, Bandar, Narayanganj, Dhaka, Bangladesh</t>
  </si>
  <si>
    <t>23.622124</t>
  </si>
  <si>
    <t xml:space="preserve">
90.51442</t>
  </si>
  <si>
    <t>28.18 Km</t>
  </si>
  <si>
    <t>Gazi Color and Sanitary, Bandar, Amirabad, Musapur, Narayanganj District, Dhaka Division, Bangladesh</t>
  </si>
  <si>
    <t>23.641014</t>
  </si>
  <si>
    <t xml:space="preserve">
90.52324</t>
  </si>
  <si>
    <t>26.69 Km</t>
  </si>
  <si>
    <t>912.13 m</t>
  </si>
  <si>
    <t>741.94 m</t>
  </si>
  <si>
    <t>Chowdhury Bari Street, Bhuiyan Para, Godnail, Narayanganj Sadar, Narayanganj, Dhaka 1430, Bangladesh</t>
  </si>
  <si>
    <t>23.65</t>
  </si>
  <si>
    <t xml:space="preserve">
90.51349</t>
  </si>
  <si>
    <t>24.58 Km</t>
  </si>
  <si>
    <t>168, B.J.M.C Road, Bangladesh Jute Mills Cormoration, Bandar, Godnail, Godnail, Narayanganj Sadar Upazila, Narayanganj District, Dhaka Division, Bangladesh, 1432</t>
  </si>
  <si>
    <t>23.653088</t>
  </si>
  <si>
    <t xml:space="preserve">
90.51995</t>
  </si>
  <si>
    <t>814.01 m</t>
  </si>
  <si>
    <t>Silo Road, Silo, Siddirganj (Part), Sumil Para, Narayanganj Sadar, Narayanganj, Dhaka, Bangladesh</t>
  </si>
  <si>
    <t>23.68477</t>
  </si>
  <si>
    <t xml:space="preserve">
90.52298</t>
  </si>
  <si>
    <t>22.04 Km</t>
  </si>
  <si>
    <t>Kalu Hazi Road, Siddhirganj, Hirazheel, Siddirganj (Part), Siddirganj, Narayanganj Sadar, Narayanganj, Dhaka, Bangladesh</t>
  </si>
  <si>
    <t>10.39 km</t>
  </si>
  <si>
    <t>Dhaka - Sylhet Highway, Bhuiya, Mahona, Mahana, Duptara, Araihazar, Narayanganj, Dhaka, Bangladesh</t>
  </si>
  <si>
    <t>23.806496</t>
  </si>
  <si>
    <t xml:space="preserve">
90.58975</t>
  </si>
  <si>
    <t>30.05 Km</t>
  </si>
  <si>
    <t>Service Rd, Amadiya Union, Chaua, Meher Para, Narsingdi Sadar, Narsingdi, Dhaka, Bangladesh</t>
  </si>
  <si>
    <t>23.887102</t>
  </si>
  <si>
    <t xml:space="preserve">
90.64133</t>
  </si>
  <si>
    <t>42.75 Km</t>
  </si>
  <si>
    <t>6.37 km</t>
  </si>
  <si>
    <t>6, ঢাকা - সিলেট মহাসড়ক, Osmaninagar, Bhat Para, Panchdona, Narsingdi Sadar, Narsingdi, Dhaka 3124, Bangladesh</t>
  </si>
  <si>
    <t>23.90989</t>
  </si>
  <si>
    <t xml:space="preserve">
90.662796</t>
  </si>
  <si>
    <t>47.54 Km</t>
  </si>
  <si>
    <t>VARARIYA PARA DURGA TEMPLE, Palash, Ghorashal, Narsingdi District, Dhaka Division, Bangladesh</t>
  </si>
  <si>
    <t>23.95907</t>
  </si>
  <si>
    <t xml:space="preserve">
90.63069</t>
  </si>
  <si>
    <t>48.81 Km</t>
  </si>
  <si>
    <t>230kV GIS Switching Sub-Station (PGCB), Palash, Nargana, Char Sindur, Narsingdi District, Dhaka Division, Bangladesh</t>
  </si>
  <si>
    <t>23.983034</t>
  </si>
  <si>
    <t xml:space="preserve">
90.63533</t>
  </si>
  <si>
    <t>52.15 Km</t>
  </si>
  <si>
    <t>Notun Bazaar Road, নরুন সোমবারীয়া বাজার, Jamalpur, Kaliganj, Gazipur, Dhaka 1723, Bangladesh</t>
  </si>
  <si>
    <t>23.981817</t>
  </si>
  <si>
    <t xml:space="preserve">
90.62079</t>
  </si>
  <si>
    <t>50.51 Km</t>
  </si>
  <si>
    <t>884.79 m</t>
  </si>
  <si>
    <t>Nargana, Jamalpur, Kaliganj, Gazipur, Dhaka, Bangladesh</t>
  </si>
  <si>
    <t>23.978985</t>
  </si>
  <si>
    <t xml:space="preserve">
90.62783</t>
  </si>
  <si>
    <t>50.88 Km</t>
  </si>
  <si>
    <t>Palash, Nargana, Char Sindur, Narsingdi District, Dhaka Division, Bangladesh</t>
  </si>
  <si>
    <t>Nambihin Rasta, Khanpur, Char Sindur, Palash, Narsingdi, Dhaka, Bangladesh</t>
  </si>
  <si>
    <t>23.98844</t>
  </si>
  <si>
    <t xml:space="preserve">
90.65325</t>
  </si>
  <si>
    <t>54.7 Km</t>
  </si>
  <si>
    <t>Palash - Ghorashal Road, Khanpur, Char Sindur, Palash, Narsingdi, Dhaka 1611, Bangladesh</t>
  </si>
  <si>
    <t>23.983541</t>
  </si>
  <si>
    <t xml:space="preserve">
90.642715</t>
  </si>
  <si>
    <t>52.99 Km</t>
  </si>
  <si>
    <t>Fulbaria Taltoli Charsindur Road, Dakshin Deora, Char Sindur, Palash, Narsingdi, Dhaka, Bangladesh</t>
  </si>
  <si>
    <t>23.976698</t>
  </si>
  <si>
    <t xml:space="preserve">
90.66466</t>
  </si>
  <si>
    <t>54.6 Km</t>
  </si>
  <si>
    <t>Tengar Para, Jinardi, Palash, Narsingdi, Dhaka, Bangladesh</t>
  </si>
  <si>
    <t>23.964863</t>
  </si>
  <si>
    <t xml:space="preserve">
90.675026</t>
  </si>
  <si>
    <t>54.49 Km</t>
  </si>
  <si>
    <t>Pachdona - Charshindur Road, Dakshin Deora, Gazaria, Palash, Narsingdi, Dhaka 1610, Bangladesh</t>
  </si>
  <si>
    <t>23.979462</t>
  </si>
  <si>
    <t xml:space="preserve">
90.680374</t>
  </si>
  <si>
    <t>56.69 Km</t>
  </si>
  <si>
    <t>Ichhakhali, Gazaria, Palash, Narsingdi, Dhaka, Bangladesh</t>
  </si>
  <si>
    <t>23.968151</t>
  </si>
  <si>
    <t xml:space="preserve">
90.69381</t>
  </si>
  <si>
    <t>57.05 Km</t>
  </si>
  <si>
    <t>Chinishpur, Barar Char, Silmandi, Narsingdi Sadar, Narsingdi, Dhaka, Bangladesh</t>
  </si>
  <si>
    <t>23.92459</t>
  </si>
  <si>
    <t xml:space="preserve">
90.683495</t>
  </si>
  <si>
    <t>51.52 Km</t>
  </si>
  <si>
    <t>ময়েজউদ্দীন রোড পাঁচদোনা ঘোরাশাল, Bagbari, Bhat Para, Panchdona, Narsingdi Sadar, Narsingdi, Dhaka, Bangladesh</t>
  </si>
  <si>
    <t>23.903334</t>
  </si>
  <si>
    <t xml:space="preserve">
90.66414</t>
  </si>
  <si>
    <t>47.13 Km</t>
  </si>
  <si>
    <t>চৌয়া জীহশতলা রোড, Panchdona, Meher Para, Narsingdi Sadar, Narsingdi, Dhaka, Bangladesh</t>
  </si>
  <si>
    <t>23.888132</t>
  </si>
  <si>
    <t xml:space="preserve">
90.65535</t>
  </si>
  <si>
    <t>44.69 Km</t>
  </si>
  <si>
    <t>Panchdona, Nalua, Meher Para, Narsingdi Sadar, Narsingdi, Dhaka, Bangladesh</t>
  </si>
  <si>
    <t>23.888773</t>
  </si>
  <si>
    <t xml:space="preserve">
90.66148</t>
  </si>
  <si>
    <t>45.56 Km</t>
  </si>
  <si>
    <t>Kobirajpur Central Masjid Road, Panchdona, Silmandi, Narsingdi Sadar, Narsingdi, Dhaka, Bangladesh</t>
  </si>
  <si>
    <t>23.88601</t>
  </si>
  <si>
    <t xml:space="preserve">
90.6713</t>
  </si>
  <si>
    <t>46.65 Km</t>
  </si>
  <si>
    <t>Moyejuddin Road, পাঁচদোনা, Ghorashal, Nagar Panchdona, Panchdona, Narsingdi Sadar, Narsingdi, Dhaka, Bangladesh</t>
  </si>
  <si>
    <t>23.897732</t>
  </si>
  <si>
    <t xml:space="preserve">
90.66637</t>
  </si>
  <si>
    <t>46.94 Km</t>
  </si>
  <si>
    <t>Nambihin Rasta, Panchdona, Silmandi, Narsingdi Sadar, Narsingdi, Dhaka, Bangladesh</t>
  </si>
  <si>
    <t>23.888193</t>
  </si>
  <si>
    <t xml:space="preserve">
90.673035</t>
  </si>
  <si>
    <t>47.06 Km</t>
  </si>
  <si>
    <t>379.88 m</t>
  </si>
  <si>
    <t>Nambihin Rasta, Panchdona, Meher Para, Narsingdi Sadar, Narsingdi, Dhaka, Bangladesh</t>
  </si>
  <si>
    <t>23.887081</t>
  </si>
  <si>
    <t xml:space="preserve">
90.6589</t>
  </si>
  <si>
    <t>45.07 Km</t>
  </si>
  <si>
    <t>Babur Haat Road, Madhabdi, Sarpanigair, Meher Para, Narsingdi Sadar, Narsingdi, Dhaka, Bangladesh</t>
  </si>
  <si>
    <t>23.87108</t>
  </si>
  <si>
    <t xml:space="preserve">
90.662415</t>
  </si>
  <si>
    <t>44.32 Km</t>
  </si>
  <si>
    <t>597.04 m</t>
  </si>
  <si>
    <t>Dhaka - Sylhet Highway, ঢাকা, Satgram, Araihazar, নারায়ণগঞ্জ জেলা, ঢাকা বিভাগ, Bangladesh</t>
  </si>
  <si>
    <t>23.854652</t>
  </si>
  <si>
    <t xml:space="preserve">
90.633804</t>
  </si>
  <si>
    <t>39.2 Km</t>
  </si>
  <si>
    <t>Village Road, Purinda, Satgram, Araihazar, Narayanganj, Dhaka, Bangladesh</t>
  </si>
  <si>
    <t>23.858685</t>
  </si>
  <si>
    <t xml:space="preserve">
90.62993</t>
  </si>
  <si>
    <t>38.96 Km</t>
  </si>
  <si>
    <t>Nambihin Rasta, Amadiya Union, Kandail, Amdia, Narsingdi Sadar, Narsingdi, Dhaka, Bangladesh</t>
  </si>
  <si>
    <t>23.842018</t>
  </si>
  <si>
    <t xml:space="preserve">
90.613106</t>
  </si>
  <si>
    <t>Dhaka - Sylhet Highway, Bhuiya, Mahona, Mahana, Golakandail, Rupganj, Narayanganj, Dhaka, Bangladesh</t>
  </si>
  <si>
    <t>23.805243</t>
  </si>
  <si>
    <t xml:space="preserve">
90.58903</t>
  </si>
  <si>
    <t>29.88 Km</t>
  </si>
  <si>
    <t>Bangla Cat, 780, Dhaka - Sylhet Highway, Borpa, Mirkuti Chhao, Mura Para, Rupganj, Narayanganj, Dhaka, Bangladesh</t>
  </si>
  <si>
    <t>23.768995</t>
  </si>
  <si>
    <t xml:space="preserve">
90.55279</t>
  </si>
  <si>
    <t>23.29 Km</t>
  </si>
  <si>
    <t>594.2 m</t>
  </si>
  <si>
    <t>Nambihin Rasta, Borpa, Barpa, Tarabo, Rupganj, Narayanganj, Dhaka, Bangladesh</t>
  </si>
  <si>
    <t>23.748835</t>
  </si>
  <si>
    <t xml:space="preserve">
90.53213</t>
  </si>
  <si>
    <t>20.05 Km</t>
  </si>
  <si>
    <t>231.56 m</t>
  </si>
  <si>
    <t>26.85 Km</t>
  </si>
  <si>
    <t>844.81 m</t>
  </si>
  <si>
    <t>28.97 Km</t>
  </si>
  <si>
    <t>Janata Bank Limited, Bandar, Narayanganj District, Dhaka Division, Bangladesh</t>
  </si>
  <si>
    <t>23.6168</t>
  </si>
  <si>
    <t xml:space="preserve">
90.513695</t>
  </si>
  <si>
    <t>28.82 Km</t>
  </si>
  <si>
    <t>Remi Holdings Ltd, Road no. 10, Siddhirganj, Adamjee, Siddirganj (Part), Sumil Para, Narayanganj Sadar, Narayanganj, Dhaka, Bangladesh</t>
  </si>
  <si>
    <t>23.681038</t>
  </si>
  <si>
    <t xml:space="preserve">
90.51722</t>
  </si>
  <si>
    <t>21.65 Km</t>
  </si>
  <si>
    <t>Sonamia Market - S.O Road, Sumilpara, Eso Company, Siddhirganj, Siddirganj (Part), Sumil Para, Narayanganj Sadar, Narayanganj, Dhaka, Bangladesh</t>
  </si>
  <si>
    <t>23.669655</t>
  </si>
  <si>
    <t xml:space="preserve">
90.51847</t>
  </si>
  <si>
    <t>938.95 m</t>
  </si>
  <si>
    <t>Kadamtoli Road, Paschim Para, Adamjee, Siddirganj (Part), Sumil Para, Narayanganj Sadar, Narayanganj, Dhaka, Bangladesh</t>
  </si>
  <si>
    <t>23.673346</t>
  </si>
  <si>
    <t xml:space="preserve">
90.5084</t>
  </si>
  <si>
    <t>21.36 Km</t>
  </si>
  <si>
    <t>Nambihin Rasta, Uttar Para, Adamjee, Siddirganj (Part), Sumil Para, Narayanganj Sadar, Narayanganj, Dhaka, Bangladesh</t>
  </si>
  <si>
    <t>23.680752</t>
  </si>
  <si>
    <t xml:space="preserve">
90.51283</t>
  </si>
  <si>
    <t>21.13 Km</t>
  </si>
  <si>
    <t>Kadamtoli Road, Paschim Para, Adamjee, Siddirganj (Part), Siddirganj, Narayanganj Sadar, Narayanganj, Dhaka, Bangladesh</t>
  </si>
  <si>
    <t>23.674402</t>
  </si>
  <si>
    <t xml:space="preserve">
90.507675</t>
  </si>
  <si>
    <t>Kadamtoli Road, Paschim Para, Adamjee, Siddhirganj, Siddirganj (Part), Siddirganj, Narayanganj Sadar, Narayanganj, Dhaka, Bangladesh</t>
  </si>
  <si>
    <t>23.678276</t>
  </si>
  <si>
    <t xml:space="preserve">
90.50383</t>
  </si>
  <si>
    <t>20.3 Km</t>
  </si>
  <si>
    <t>Masum Telecom and broadband service, Jhenaidah, Gayeshpur, Paurashava, Khulna Division, Bangladesh</t>
  </si>
  <si>
    <t>23.542437</t>
  </si>
  <si>
    <t xml:space="preserve">
89.1631</t>
  </si>
  <si>
    <t>192.43 Km</t>
  </si>
  <si>
    <t>787.55 m</t>
  </si>
  <si>
    <t>N 704, Jhenaidah BRTA Bus Terminal, Jhenaidah Paurashava, Jhenaidah Sadar, Jhenaidah, Khulna, Bangladesh</t>
  </si>
  <si>
    <t>23.543423</t>
  </si>
  <si>
    <t xml:space="preserve">
89.18944</t>
  </si>
  <si>
    <t>188.45 Km</t>
  </si>
  <si>
    <t>Munshi Emdad Super Market, Dhaka Bus Counter, N 704, Jhenaidah, Paurashava, Khulna Division, Bangladesh</t>
  </si>
  <si>
    <t>23.54069</t>
  </si>
  <si>
    <t xml:space="preserve">
89.182304</t>
  </si>
  <si>
    <t>189.61 Km</t>
  </si>
  <si>
    <t>বাঘা যতিন সড়ক, Jhenaidah Paurashava, Jhenaidah Sadar, Jhenaidah, Khulna, Bangladesh</t>
  </si>
  <si>
    <t>23.546726</t>
  </si>
  <si>
    <t xml:space="preserve">
89.171196</t>
  </si>
  <si>
    <t>191.08 Km</t>
  </si>
  <si>
    <t>Khajura Road, Paurashava, Jhenaidah Sadar, Jhenaidah, Khulna, Bangladesh</t>
  </si>
  <si>
    <t>23.556284</t>
  </si>
  <si>
    <t xml:space="preserve">
89.165276</t>
  </si>
  <si>
    <t>191.68 Km</t>
  </si>
  <si>
    <t>pic, Khan Super Market, Jhenaidah, Paurashava, Khulna Division, Bangladesh</t>
  </si>
  <si>
    <t>23.555687</t>
  </si>
  <si>
    <t xml:space="preserve">
89.17526</t>
  </si>
  <si>
    <t>190.2 Km</t>
  </si>
  <si>
    <t>23.54106</t>
  </si>
  <si>
    <t xml:space="preserve">
89.17406</t>
  </si>
  <si>
    <t>190.83 Km</t>
  </si>
  <si>
    <t>7.28 km</t>
  </si>
  <si>
    <t>Rongdhunu Computer, Khajura Road, Jhenaidah, Gilabaria, Paurashava, Khulna Division, Bangladesh</t>
  </si>
  <si>
    <t>23.566223</t>
  </si>
  <si>
    <t xml:space="preserve">
89.15278</t>
  </si>
  <si>
    <t>8.3 km</t>
  </si>
  <si>
    <t>Dhopabila, Kumrabaria, Jhenaidah Sadar Upazila, Jhenaidah District, Khulna Division, Bangladesh</t>
  </si>
  <si>
    <t>23.528555</t>
  </si>
  <si>
    <t xml:space="preserve">
89.09443</t>
  </si>
  <si>
    <t>203.18 Km</t>
  </si>
  <si>
    <t>Sonatanpur, Daulatpur, Harinakunda Upazila, Jhenaidah District, Khulna Division, Bangladesh</t>
  </si>
  <si>
    <t>23.585209</t>
  </si>
  <si>
    <t xml:space="preserve">
89.04145</t>
  </si>
  <si>
    <t>6.11 km</t>
  </si>
  <si>
    <t>Chuadanga - Jhenaidah Highway, Badargonj, Barai Asannagar, Sadhuhati, Jhenaidah Sadar, Jhenaidah, Khulna, Bangladesh</t>
  </si>
  <si>
    <t>23.563826</t>
  </si>
  <si>
    <t xml:space="preserve">
88.99598</t>
  </si>
  <si>
    <t>217.01 Km</t>
  </si>
  <si>
    <t>4.34 km</t>
  </si>
  <si>
    <t>Chuadanga - Jhenaidah Highway, Sarajgonj, Jogirhuda, Kutubpur, Chuadanga Sadar, Chuadanga, Khulna, Bangladesh</t>
  </si>
  <si>
    <t>23.585777</t>
  </si>
  <si>
    <t xml:space="preserve">
88.94097</t>
  </si>
  <si>
    <t>224.81 Km</t>
  </si>
  <si>
    <t>Chuadanga - Jhenaidah Highway, Shankarchandra, Subdi, Padmabila, Chuadanga Sadar, Chuadanga, Khulna, Bangladesh</t>
  </si>
  <si>
    <t>23.60398</t>
  </si>
  <si>
    <t xml:space="preserve">
88.90326</t>
  </si>
  <si>
    <t>জেলা প্রাথমিক শিক্ষা অফিস, চুয়াডাঙ্গা, Chuadanga, Shankar Chandra, Khulna Division, Bangladesh</t>
  </si>
  <si>
    <t>23.634218</t>
  </si>
  <si>
    <t xml:space="preserve">
88.86442</t>
  </si>
  <si>
    <t>235.55 Km</t>
  </si>
  <si>
    <t>Chuadanga - Meherpur Highway, Doulatdiar, Alukdia, Manirampur, Alokdia, Chuadanga Sadar, Chuadanga, Khulna 7200, Bangladesh</t>
  </si>
  <si>
    <t>23.653618</t>
  </si>
  <si>
    <t xml:space="preserve">
88.838776</t>
  </si>
  <si>
    <t>239.18 Km</t>
  </si>
  <si>
    <t>Chuadanga - Meherpur Highway, Gokulkhali, Krishnadebpur, Juranpur, Damurhuda, Chuadanga, Khulna, Bangladesh</t>
  </si>
  <si>
    <t>23.698542</t>
  </si>
  <si>
    <t xml:space="preserve">
88.793304</t>
  </si>
  <si>
    <t>245.66 Km</t>
  </si>
  <si>
    <t>Chuadanga - Meherpur Highway, Baradi, Kalaidanga, Pirojpur, Meherpur Sadar, Meherpur, Khulna, Bangladesh</t>
  </si>
  <si>
    <t>23.717575</t>
  </si>
  <si>
    <t xml:space="preserve">
88.7471</t>
  </si>
  <si>
    <t>252.59 Km</t>
  </si>
  <si>
    <t>Chuadanga - Meherpur Highway, Baradi, Rajinagar, Pirojpur, Meherpur Sadar, Meherpur, Khulna, Bangladesh</t>
  </si>
  <si>
    <t>23.729034</t>
  </si>
  <si>
    <t xml:space="preserve">
88.72264</t>
  </si>
  <si>
    <t>256.28 Km</t>
  </si>
  <si>
    <t>Chuadanga - Meherpur Highway, Amjhupi, Amjhupi, Meherpur Sadar, Meherpur, Khulna, Bangladesh</t>
  </si>
  <si>
    <t>23.735765</t>
  </si>
  <si>
    <t xml:space="preserve">
88.70423</t>
  </si>
  <si>
    <t>259.06 Km</t>
  </si>
  <si>
    <t>499.32 m</t>
  </si>
  <si>
    <t>Hitech, R745, Baradi, Rajinagar, Pirojpur, Meherpur Sadar, Meherpur, Khulna, Bangladesh</t>
  </si>
  <si>
    <t>Chuadanga - Meherpur Highway, Baradi, Pirojpur, Meherpur Sadar, Meherpur, Khulna, Bangladesh</t>
  </si>
  <si>
    <t>23.727966</t>
  </si>
  <si>
    <t xml:space="preserve">
88.7274</t>
  </si>
  <si>
    <t>255.55 Km</t>
  </si>
  <si>
    <t>Nambihin Rasta, Baradi, Kalaidanga, Pirojpur, Meherpur Sadar, Meherpur, Khulna, Bangladesh</t>
  </si>
  <si>
    <t>23.716812</t>
  </si>
  <si>
    <t xml:space="preserve">
88.72912</t>
  </si>
  <si>
    <t>255.34 Km</t>
  </si>
  <si>
    <t>Nambihin Rasta, Baradi, Pirojpur, Meherpur Sadar, Meherpur, Khulna, Bangladesh</t>
  </si>
  <si>
    <t>23.73186</t>
  </si>
  <si>
    <t xml:space="preserve">
88.73967</t>
  </si>
  <si>
    <t>253.67 Km</t>
  </si>
  <si>
    <t>Amjhupi- Islamnagar Road, Amjhupi, Amjhupi, Meherpur Sadar, Meherpur, Khulna, Bangladesh</t>
  </si>
  <si>
    <t>23.754337</t>
  </si>
  <si>
    <t xml:space="preserve">
88.68361</t>
  </si>
  <si>
    <t>262.17 Km</t>
  </si>
  <si>
    <t>Dafarpur Road, Dafarpur, Baman Para, Amjhupi, Meherpur Sadar, Meherpur, Khulna, Bangladesh</t>
  </si>
  <si>
    <t>23.739748</t>
  </si>
  <si>
    <t xml:space="preserve">
88.67135</t>
  </si>
  <si>
    <t>264.07 Km</t>
  </si>
  <si>
    <t>Nambihin Rasta, Amjhupi, Amjhupi, Meherpur Sadar, Meherpur, Khulna, Bangladesh</t>
  </si>
  <si>
    <t>23.739727</t>
  </si>
  <si>
    <t xml:space="preserve">
88.68892</t>
  </si>
  <si>
    <t>261.39 Km</t>
  </si>
  <si>
    <t>Chuadanga - Meherpur Highway, Kulpala, Nutan Darbarpur, Pirojpur, Meherpur Sadar, Meherpur, Khulna, Bangladesh</t>
  </si>
  <si>
    <t>23.710852</t>
  </si>
  <si>
    <t xml:space="preserve">
88.77303</t>
  </si>
  <si>
    <t>248.67 Km</t>
  </si>
  <si>
    <t>Chuadanga - Meherpur Highway, Alukdia, Alokdia, Chuadanga Sadar, Chuadanga, Khulna, Bangladesh</t>
  </si>
  <si>
    <t>23.675806</t>
  </si>
  <si>
    <t xml:space="preserve">
88.816765</t>
  </si>
  <si>
    <t>242.28 Km</t>
  </si>
  <si>
    <t>837.86 m</t>
  </si>
  <si>
    <t>National Life Insurance, Sadek Ali Mallik Para Road, Chuadanga, Paurashava, Khulna Division, Bangladesh</t>
  </si>
  <si>
    <t>23.637531</t>
  </si>
  <si>
    <t xml:space="preserve">
88.83945</t>
  </si>
  <si>
    <t>239.3 Km</t>
  </si>
  <si>
    <t>5.3 km</t>
  </si>
  <si>
    <t>Hospital Para, Paurashava, Chuadanga Sadar, Chuadanga, Khulna, Bangladesh</t>
  </si>
  <si>
    <t>23.63424</t>
  </si>
  <si>
    <t xml:space="preserve">
88.84685</t>
  </si>
  <si>
    <t>238.22 Km</t>
  </si>
  <si>
    <t>Nambihin Rasta, Shankarchandra, Jalsukha, Shankar Chandra, Chuadanga Sadar, Chuadanga, Khulna, Bangladesh</t>
  </si>
  <si>
    <t>23.60014</t>
  </si>
  <si>
    <t xml:space="preserve">
88.88324</t>
  </si>
  <si>
    <t>233.28 Km</t>
  </si>
  <si>
    <t>Haji Osman Rabeya Bohumukhi Madrasha, Sahapur, Kutubpur, Chuadanga Sadar Upazila, Chuadanga District, Khulna Division, Bangladesh</t>
  </si>
  <si>
    <t>23.586248</t>
  </si>
  <si>
    <t xml:space="preserve">
88.928154</t>
  </si>
  <si>
    <t>226.75 Km</t>
  </si>
  <si>
    <t>Titudah, Teghari Kalagachhia, Dora, Kotchandpur, Jhenaidah, Khulna, Bangladesh</t>
  </si>
  <si>
    <t>23.53681</t>
  </si>
  <si>
    <t xml:space="preserve">
88.94684</t>
  </si>
  <si>
    <t>Chuadanga - Jhenaidah Highway, Jhenaidah Paurashava, Jhenaidah Sadar, Jhenaidah, Khulna, Bangladesh</t>
  </si>
  <si>
    <t>23.543953</t>
  </si>
  <si>
    <t xml:space="preserve">
89.14385</t>
  </si>
  <si>
    <t>195.28 Km</t>
  </si>
  <si>
    <t>Jhenaidah - Chuadanga Road, Kalaphula, Chandpur, Harinakunda, Jhenaidah, Khulna, Bangladesh</t>
  </si>
  <si>
    <t>23.551064</t>
  </si>
  <si>
    <t xml:space="preserve">
89.12196</t>
  </si>
  <si>
    <t>198.35 Km</t>
  </si>
  <si>
    <t>Jhenaidah-Gana Bazar-Kotchandpur Road, Dafolbari, Kuthi Durgapur, Ganna, Jhenaidah Sadar Upazila, Jhenaidah District, Khulna Division, Bangladesh</t>
  </si>
  <si>
    <t>23.512945</t>
  </si>
  <si>
    <t xml:space="preserve">
89.08871</t>
  </si>
  <si>
    <t>Chanderpol, Paschim Bishaykhali, Ganna, Jhenaidah Sadar Upazila, Jhenaidah District, Khulna Division, Bangladesh</t>
  </si>
  <si>
    <t>23.488274</t>
  </si>
  <si>
    <t xml:space="preserve">
89.073166</t>
  </si>
  <si>
    <t>207.74 Km</t>
  </si>
  <si>
    <t>Jalalpur, Talsar, Kushna, Kotchandpur Upazila, Jhenaidah District, Khulna Division, Bangladesh</t>
  </si>
  <si>
    <t>23.477411</t>
  </si>
  <si>
    <t xml:space="preserve">
89.0292</t>
  </si>
  <si>
    <t>Nambihin Rasta, Horindia, Sherkhali, Kushna, Kotchandpur, Jhenaidah, Khulna, Bangladesh</t>
  </si>
  <si>
    <t>23.46819</t>
  </si>
  <si>
    <t xml:space="preserve">
89.00387</t>
  </si>
  <si>
    <t>218.82 Km</t>
  </si>
  <si>
    <t>Fulbari-Kushna Road, Parlat, Baluhar, Kotchandpur, Jhenaidah, Khulna, Bangladesh</t>
  </si>
  <si>
    <t>23.42669</t>
  </si>
  <si>
    <t xml:space="preserve">
89.009766</t>
  </si>
  <si>
    <t>219.6 Km</t>
  </si>
  <si>
    <t>Dudsara Road, Paurashava, Kotchandpur, Jhenaidah, Khulna 7330, Bangladesh</t>
  </si>
  <si>
    <t>23.409502</t>
  </si>
  <si>
    <t xml:space="preserve">
89.004684</t>
  </si>
  <si>
    <t>221.1 Km</t>
  </si>
  <si>
    <t>Kotchadpur Railway Station, Kotchandpur Bypass, Paurashava, Kotchandpur Upazila, Jhenaidah District, Khulna Division, Bangladesh</t>
  </si>
  <si>
    <t>23.398352</t>
  </si>
  <si>
    <t xml:space="preserve">
89.016365</t>
  </si>
  <si>
    <t>219.88 Km</t>
  </si>
  <si>
    <t>Nambihin Rasta, S B K Union, Kismat Jalkar Baluhar, Baluhar, Kotchandpur, Jhenaidah, Khulna, Bangladesh</t>
  </si>
  <si>
    <t>23.395422</t>
  </si>
  <si>
    <t xml:space="preserve">
88.96469</t>
  </si>
  <si>
    <t>227.62 Km</t>
  </si>
  <si>
    <t>Hospital - Hamidpur Road, Hospital Bus Stoppage, Paurashava, Maheshpur, Jhenidah, Khulna, Bangladesh</t>
  </si>
  <si>
    <t>23.35979</t>
  </si>
  <si>
    <t xml:space="preserve">
88.92462</t>
  </si>
  <si>
    <t>235.16 Km</t>
  </si>
  <si>
    <t>Molla para, Maheshpur, Paurashava, Jhenaidah District, Khulna Division, Bangladesh</t>
  </si>
  <si>
    <t>23.349665</t>
  </si>
  <si>
    <t xml:space="preserve">
88.907036</t>
  </si>
  <si>
    <t>238.23 Km</t>
  </si>
  <si>
    <t>Maheshpur - Jogihuda Road, Jugihuda, Jogihuda, Fatehpur, Maheshpur, Jhenaidah, Khulna, Bangladesh</t>
  </si>
  <si>
    <t>23.36352</t>
  </si>
  <si>
    <t xml:space="preserve">
88.91078</t>
  </si>
  <si>
    <t>237.02 Km</t>
  </si>
  <si>
    <t>Maheshpur-Chowgacha Road, Mahespur, Paurashava, Maheshpur Upazila, Jhenaidah District, Khulna Division, Bangladesh</t>
  </si>
  <si>
    <t>23.349642</t>
  </si>
  <si>
    <t xml:space="preserve">
88.924614</t>
  </si>
  <si>
    <t>235.65 Km</t>
  </si>
  <si>
    <t>Maheshpur sadar Hospital, Maheshpur, Sundarpur, Jhenaidah District, Khulna Division, Bangladesh</t>
  </si>
  <si>
    <t>3.91 km</t>
  </si>
  <si>
    <t>3.73 km</t>
  </si>
  <si>
    <t>Maheshpur - Khalishpur Road, S B K Union, Goalhuda, Sundarpur, Maheshpur, Jhenaidah, Khulna, Bangladesh</t>
  </si>
  <si>
    <t>23.380693</t>
  </si>
  <si>
    <t xml:space="preserve">
88.94415</t>
  </si>
  <si>
    <t>231.32 Km</t>
  </si>
  <si>
    <t>Nambihin Rasta, S B K Union, Bazrapur, Sundarpur, Maheshpur, Jhenaidah, Khulna, Bangladesh</t>
  </si>
  <si>
    <t>23.390903</t>
  </si>
  <si>
    <t xml:space="preserve">
88.97895</t>
  </si>
  <si>
    <t>225.73 Km</t>
  </si>
  <si>
    <t>SDC Kotchandpur Office, Jessore-Chuadanga Road, Kotchandpur, Paurashava, Jhenaidah District, Khulna Division, Bangladesh</t>
  </si>
  <si>
    <t>Nambihin Rasta, Parlat, Kushna, Kotchandpur, Jhenaidah, Khulna, Bangladesh</t>
  </si>
  <si>
    <t>23.452684</t>
  </si>
  <si>
    <t xml:space="preserve">
89.01684</t>
  </si>
  <si>
    <t>217.49 Km</t>
  </si>
  <si>
    <t>Ghaga, Madhuhati, Jhenaidah Sadar Upazila, Jhenaidah District, Khulna Division, Bangladesh</t>
  </si>
  <si>
    <t>Chanderpol, Paschim Lakshmipur, Ganna, Jhenaidah Sadar Upazila, Jhenaidah District, Khulna Division, Bangladesh</t>
  </si>
  <si>
    <t>23.489141</t>
  </si>
  <si>
    <t xml:space="preserve">
89.05383</t>
  </si>
  <si>
    <t>210.6 Km</t>
  </si>
  <si>
    <t>Jhenaidah-Ganna Bazar Road, Dafolbari, Paschim Gopinathpur, Ganna, Jhenaidah Sadar, Jhenaidah, Khulna, Bangladesh</t>
  </si>
  <si>
    <t>23.50057</t>
  </si>
  <si>
    <t xml:space="preserve">
89.08495</t>
  </si>
  <si>
    <t>205.54 Km</t>
  </si>
  <si>
    <t>Baribathan Road, Baribathan, Bari Bathan, Paglakanai, Jhenaidah Sadar, Jhenaidah, Khulna, Bangladesh</t>
  </si>
  <si>
    <t>23.530525</t>
  </si>
  <si>
    <t xml:space="preserve">
89.14985</t>
  </si>
  <si>
    <t>238.38 Km</t>
  </si>
  <si>
    <t>238.92 Km</t>
  </si>
  <si>
    <t>Chondon - Baisha Road, Baria, Sabgram, Shabgram, Bogra Sadar, Bogra, Rajshahi 5800, Bangladesh</t>
  </si>
  <si>
    <t>24.848322</t>
  </si>
  <si>
    <t xml:space="preserve">
89.41059</t>
  </si>
  <si>
    <t>236.43 Km</t>
  </si>
  <si>
    <t>707.93 m</t>
  </si>
  <si>
    <t>Bogura, Natai Para (Part-B), Shabgram, Bogra Sadar, Bogra, Rajshahi, Bangladesh</t>
  </si>
  <si>
    <t>24.842476</t>
  </si>
  <si>
    <t xml:space="preserve">
89.38243</t>
  </si>
  <si>
    <t>238.43 Km</t>
  </si>
  <si>
    <t>985.9 m</t>
  </si>
  <si>
    <t>Dutch-Bangla Bank Limited ATM, Bow Bazar Road, Bogra, Natai Para (Part-B), Shabgram, Rajshahi Division, Bangladesh</t>
  </si>
  <si>
    <t>24.848732</t>
  </si>
  <si>
    <t xml:space="preserve">
89.381134</t>
  </si>
  <si>
    <t>325.24 m</t>
  </si>
  <si>
    <t>College Road, Sathmatha, Bogura, Paurashava, Bogra Sadar, Bogra, Rajshahi, Bangladesh</t>
  </si>
  <si>
    <t>24.848104</t>
  </si>
  <si>
    <t xml:space="preserve">
89.37138</t>
  </si>
  <si>
    <t>1, Nawabbari Road, Satmatha Bus Stand, Gala Patti, Paurashava, Bogra Sadar, Bogra, Rajshahi 5800, Bangladesh</t>
  </si>
  <si>
    <t>24.848879</t>
  </si>
  <si>
    <t xml:space="preserve">
89.3745</t>
  </si>
  <si>
    <t>240.03 Km</t>
  </si>
  <si>
    <t>373.33 m</t>
  </si>
  <si>
    <t>Z5032, Bogura, Shabgram, Bogra Sadar, Bogra, Rajshahi, Bangladesh</t>
  </si>
  <si>
    <t>24.851849</t>
  </si>
  <si>
    <t xml:space="preserve">
89.37481</t>
  </si>
  <si>
    <t>240.37 Km</t>
  </si>
  <si>
    <t>240.11 Km</t>
  </si>
  <si>
    <t>Sherpur Road, Colony, Phul Dighi, Sultanganj, Shajahanpur, Bogra, Rajshahi, Bangladesh</t>
  </si>
  <si>
    <t>24.82769</t>
  </si>
  <si>
    <t xml:space="preserve">
89.37765</t>
  </si>
  <si>
    <t>237.05 Km</t>
  </si>
  <si>
    <t>867.66 m</t>
  </si>
  <si>
    <t>around Sherpur Road, Bogra, Rajshahi, Bangladesh</t>
  </si>
  <si>
    <t>24.827152</t>
  </si>
  <si>
    <t xml:space="preserve">
89.37773</t>
  </si>
  <si>
    <t>Taiful Islam Lane, Bakshi Bazar, Bogura, Natai Para (Part-B), Paurashava, Bogra Sadar, Bogra, Rajshahi 5800, Bangladesh</t>
  </si>
  <si>
    <t>24.840727</t>
  </si>
  <si>
    <t xml:space="preserve">
89.37885</t>
  </si>
  <si>
    <t>238.57 Km</t>
  </si>
  <si>
    <t>Barkuti, Shabgram, Bogra Sadar, Bogra, Rajshahi, Bangladesh</t>
  </si>
  <si>
    <t>24.842873</t>
  </si>
  <si>
    <t xml:space="preserve">
89.395325</t>
  </si>
  <si>
    <t>237.22 Km</t>
  </si>
  <si>
    <t>রো‍ড় নং 3, Adabar, Ward-43, Mohammadpur, Dhaka, Dhaka, Bangladesh</t>
  </si>
  <si>
    <t>23.776215</t>
  </si>
  <si>
    <t xml:space="preserve">
90.357635</t>
  </si>
  <si>
    <t>7.47 Km</t>
  </si>
  <si>
    <t>242.72 m</t>
  </si>
  <si>
    <t>Dhaka Housing, 24, Adabor, Shyamoli, Ward-43, Mohammadpur, Dhaka, Dhaka 1207, Bangladesh</t>
  </si>
  <si>
    <t>23.77505</t>
  </si>
  <si>
    <t xml:space="preserve">
90.35966</t>
  </si>
  <si>
    <t>670.92 m</t>
  </si>
  <si>
    <t>Mohammadi Housing Limited, 4, Mohammadi Road, Japan Garden City, Mohammadia Residential Area, Ward No-46, Mohammadpur, Dhaka, Dhaka 1207, Bangladesh</t>
  </si>
  <si>
    <t>23.761984</t>
  </si>
  <si>
    <t xml:space="preserve">
90.358116</t>
  </si>
  <si>
    <t>6.63 Km</t>
  </si>
  <si>
    <t>356.43 m</t>
  </si>
  <si>
    <t>624, Road Number 4, Adabar, Ward-43, Mohammadpur, Dhaka, Dhaka, Bangladesh</t>
  </si>
  <si>
    <t>23.773289</t>
  </si>
  <si>
    <t xml:space="preserve">
90.35673</t>
  </si>
  <si>
    <t>7.39 Km</t>
  </si>
  <si>
    <t>336.08 m</t>
  </si>
  <si>
    <t>1, Banoful Residential Area Road, Kallyanpur, Ward-11, Mirpur, Dhaka, Dhaka 1207, Bangladesh</t>
  </si>
  <si>
    <t>23.779572</t>
  </si>
  <si>
    <t xml:space="preserve">
90.36269</t>
  </si>
  <si>
    <t>7.1 Km</t>
  </si>
  <si>
    <t>21, Mirpur Road, Dhaka, Ward-43, Mohammadpur, Bangladesh, 1207</t>
  </si>
  <si>
    <t>23.776558</t>
  </si>
  <si>
    <t xml:space="preserve">
90.362946</t>
  </si>
  <si>
    <t>6.8 Km</t>
  </si>
  <si>
    <t>499.39 m</t>
  </si>
  <si>
    <t>Khilji Road, Shyamoli Bus Stand, Shyamoli, Ward-45, Mohammadpur, Dhaka, Dhaka, 1207, Bangladesh</t>
  </si>
  <si>
    <t>23.773447</t>
  </si>
  <si>
    <t xml:space="preserve">
90.36424</t>
  </si>
  <si>
    <t>6.37 Km</t>
  </si>
  <si>
    <t>621.84 m</t>
  </si>
  <si>
    <t>Bd Max, Mohammadpur, Dhaka, Ward-42, Mohammadpur, Bangladesh</t>
  </si>
  <si>
    <t>23.771496</t>
  </si>
  <si>
    <t xml:space="preserve">
90.36252</t>
  </si>
  <si>
    <t>6.46 Km</t>
  </si>
  <si>
    <t>11, মিরপুর সড়ক, Section 11, Mirpur, Ward No-03, Pallabi, Dhaka, Dhaka 1216, Bangladesh</t>
  </si>
  <si>
    <t>23.816706</t>
  </si>
  <si>
    <t xml:space="preserve">
90.37143</t>
  </si>
  <si>
    <t>10.02 Km</t>
  </si>
  <si>
    <t>428.33 m</t>
  </si>
  <si>
    <t>Lane-12, Section 11, Mirpur, Ward No-05, Pallabi, Dhaka, Dhaka 1216, Bangladesh</t>
  </si>
  <si>
    <t>23.814426</t>
  </si>
  <si>
    <t xml:space="preserve">
90.36797</t>
  </si>
  <si>
    <t>4, Road No. 13, Section 6, Ward-06, Pallabi, Dhaka, Dhaka 1216, Bangladesh</t>
  </si>
  <si>
    <t>23.81484</t>
  </si>
  <si>
    <t xml:space="preserve">
90.363785</t>
  </si>
  <si>
    <t>10.64 Km</t>
  </si>
  <si>
    <t>306.04 m</t>
  </si>
  <si>
    <t>3, Mirpur Road, Mirpur 10 Circle, Block B, Section 10, Mirpur, Ward No-03, Pallabi, Dhaka, Dhaka 1216, Bangladesh</t>
  </si>
  <si>
    <t>23.807653</t>
  </si>
  <si>
    <t xml:space="preserve">
90.37016</t>
  </si>
  <si>
    <t>24, Mirpur Road, Block B, Section 10, Mirpur, Ward No-03, Pallabi, Dhaka, Dhaka 1216, Bangladesh</t>
  </si>
  <si>
    <t>23.807055</t>
  </si>
  <si>
    <t xml:space="preserve">
90.3731</t>
  </si>
  <si>
    <t>8.72 Km</t>
  </si>
  <si>
    <t>8.91 km</t>
  </si>
  <si>
    <t>136, Principal Abul Kashem Road, Water Tank, Paikpara, Ward-11, Mirpur, Dhaka, Dhaka 1216, Bangladesh</t>
  </si>
  <si>
    <t>23.787111</t>
  </si>
  <si>
    <t xml:space="preserve">
90.35466</t>
  </si>
  <si>
    <t>9.72 Km</t>
  </si>
  <si>
    <t>Hemayetpur, Jamur Muchipara(Joynabad), Tetuljhora, Savar, Dhaka, Bangladesh</t>
  </si>
  <si>
    <t>23.796371</t>
  </si>
  <si>
    <t xml:space="preserve">
90.26764</t>
  </si>
  <si>
    <t>23.04 Km</t>
  </si>
  <si>
    <t>Nambihin Rasta, Rajfulbaria, Tetuljhora, Savar, Dhaka, Bangladesh</t>
  </si>
  <si>
    <t>24.93 Km</t>
  </si>
  <si>
    <t>50, Jadurchar Road, Jadurchar, Hemayetpur, Bilamalia, Tetuljhora, Savar, Dhaka, Bangladesh</t>
  </si>
  <si>
    <t>23.79134</t>
  </si>
  <si>
    <t xml:space="preserve">
90.28026</t>
  </si>
  <si>
    <t>Gabtoli - Sadarghat Bypass Road, Gabtoli, Ward-09, Mirpur, Dhaka, Dhaka, Bangladesh</t>
  </si>
  <si>
    <t>23.783312</t>
  </si>
  <si>
    <t xml:space="preserve">
90.335625</t>
  </si>
  <si>
    <t>326, Salimuddin Market Road, Ahmed Nagar, Ward-12, Mirpur, Dhaka, Dhaka 1216, Bangladesh</t>
  </si>
  <si>
    <t>23.79444</t>
  </si>
  <si>
    <t xml:space="preserve">
90.35534</t>
  </si>
  <si>
    <t>9.99 Km</t>
  </si>
  <si>
    <t>409.41 m</t>
  </si>
  <si>
    <t>600.03 m</t>
  </si>
  <si>
    <t>Block-B, House, 5, Lane Number 1, Purobi, Mirpur, Ward-06, Pallabi, Dhaka, Dhaka 1216, Bangladesh</t>
  </si>
  <si>
    <t>23.818508</t>
  </si>
  <si>
    <t xml:space="preserve">
90.36411</t>
  </si>
  <si>
    <t>11.02 Km</t>
  </si>
  <si>
    <t>588.67 m</t>
  </si>
  <si>
    <t>stadium market, 7, Maulana vasani hocky, Section 11, Mirpur, Ward No-05, Pallabi, Dhaka, Dhaka 1000, Bangladesh</t>
  </si>
  <si>
    <t>23.81831</t>
  </si>
  <si>
    <t xml:space="preserve">
90.36816</t>
  </si>
  <si>
    <t>10.56 Km</t>
  </si>
  <si>
    <t>758.81 m</t>
  </si>
  <si>
    <t>House 8, 9, Road 2, Mirpur, Ward-06, Pallabi, Dhaka, Dhaka 1216, Bangladesh</t>
  </si>
  <si>
    <t>23.821653</t>
  </si>
  <si>
    <t xml:space="preserve">
90.363396</t>
  </si>
  <si>
    <t>11.46 Km</t>
  </si>
  <si>
    <t>403.68 m</t>
  </si>
  <si>
    <t>Hatil Dewberry, 4, Bashundhara Lane, West Kazipara, Ward No-14 (Part), Mirpur, Dhaka, Dhaka 1216, Bangladesh</t>
  </si>
  <si>
    <t>23.798033</t>
  </si>
  <si>
    <t>8.24 Km</t>
  </si>
  <si>
    <t>383/1, North Kazipara Mosque Road, East Kazipara, Ward No-14 (Part), Mirpur, Dhaka, Dhaka 1216, Bangladesh</t>
  </si>
  <si>
    <t>23.79983</t>
  </si>
  <si>
    <t xml:space="preserve">
90.37337</t>
  </si>
  <si>
    <t>7.95 Km</t>
  </si>
  <si>
    <t>4.45 km</t>
  </si>
  <si>
    <t>Bir Uttom Major General Azizur Rahman Road, Agargaon, Ward-16, Kafrul, Dhaka, Dhaka, Bangladesh</t>
  </si>
  <si>
    <t>23.777552</t>
  </si>
  <si>
    <t xml:space="preserve">
90.38185</t>
  </si>
  <si>
    <t>5.33 Km</t>
  </si>
  <si>
    <t>'D' block, BSMMU, KA/9, Mymensingh Road, Shahbagh, Ward-57, Ramna, Dhaka, Dhaka 1000, Bangladesh</t>
  </si>
  <si>
    <t>23.739166</t>
  </si>
  <si>
    <t xml:space="preserve">
90.39431</t>
  </si>
  <si>
    <t>695.76 m</t>
  </si>
  <si>
    <t>116, Arambagh Lane Number 1, Arambagh, Ward-32, Motijheel, Dhaka, Dhaka, Bangladesh</t>
  </si>
  <si>
    <t>23.7313</t>
  </si>
  <si>
    <t xml:space="preserve">
90.41816</t>
  </si>
  <si>
    <t>276.15 m</t>
  </si>
  <si>
    <t>Eastern Kamalapur, North, Outer Circular Road, Kamalapur Railway Station, Ward-33, Motijheel, Dhaka, Dhaka 1000, Bangladesh</t>
  </si>
  <si>
    <t>23.731527</t>
  </si>
  <si>
    <t xml:space="preserve">
90.42499</t>
  </si>
  <si>
    <t>7.04 Km</t>
  </si>
  <si>
    <t>Foot-over Bridge, Kamlapur Foot Over Bridge, Komolapur Railway Station., Kamlapur, Ward-31, Motijheel, Dhaka, Dhaka, Bangladesh</t>
  </si>
  <si>
    <t>23.733547</t>
  </si>
  <si>
    <t xml:space="preserve">
90.42657</t>
  </si>
  <si>
    <t>6.76 Km</t>
  </si>
  <si>
    <t>260, Atish Deepankar Road, Chowdhuripara, Ward-24, Khilgaon, Dhaka, Dhaka, Bangladesh</t>
  </si>
  <si>
    <t>23.749012</t>
  </si>
  <si>
    <t xml:space="preserve">
90.42055</t>
  </si>
  <si>
    <t>4.05 Km</t>
  </si>
  <si>
    <t>6.63 km</t>
  </si>
  <si>
    <t>Banani Catholic Church, 112, Road Number 27, Banani, Ward-19, Gulshan, Dhaka, Dhaka 1212, Bangladesh</t>
  </si>
  <si>
    <t>23.799786</t>
  </si>
  <si>
    <t xml:space="preserve">
90.40411</t>
  </si>
  <si>
    <t>4.85 Km</t>
  </si>
  <si>
    <t>568.53 m</t>
  </si>
  <si>
    <t>102, Udayan School Road, South Azampur, Dakshinkhan (Part), Dakshin Khan, Dhaka, Dhaka 1230, Bangladesh</t>
  </si>
  <si>
    <t>23.859228</t>
  </si>
  <si>
    <t xml:space="preserve">
90.409386</t>
  </si>
  <si>
    <t>5.61 km</t>
  </si>
  <si>
    <t>36, Shahid Latif Road, Uttara, Dakshinkhan (Part), Dakshin Khan, Dhaka, Dhaka 1230, Bangladesh</t>
  </si>
  <si>
    <t>23.854925</t>
  </si>
  <si>
    <t xml:space="preserve">
90.40637</t>
  </si>
  <si>
    <t>6.73 km</t>
  </si>
  <si>
    <t>4, Gani Mia Road, Dattapara, Tongi, Tongi Paurashava, Gazipur Sadar, Gazipur, Dhaka, Bangladesh</t>
  </si>
  <si>
    <t>23.905394</t>
  </si>
  <si>
    <t xml:space="preserve">
90.40714</t>
  </si>
  <si>
    <t>22.13 Km</t>
  </si>
  <si>
    <t>9.75 km</t>
  </si>
  <si>
    <t>Tongi - Kaliganj Highway, Awrakhali, Basugaon, Pubail, Gazipur Sadar, Gazipur, Dhaka, Bangladesh</t>
  </si>
  <si>
    <t>23.93272</t>
  </si>
  <si>
    <t xml:space="preserve">
90.46621</t>
  </si>
  <si>
    <t>27.7 Km</t>
  </si>
  <si>
    <t>9.94 km</t>
  </si>
  <si>
    <t>Nogor Shop, Kaliganj, Bangal Haola, Gazipur District, Dhaka Division, Bangladesh</t>
  </si>
  <si>
    <t>23.934784</t>
  </si>
  <si>
    <t xml:space="preserve">
90.56208</t>
  </si>
  <si>
    <t>34.96 Km</t>
  </si>
  <si>
    <t>6.33 km</t>
  </si>
  <si>
    <t>Nambihin Rasta, Ghorashal, Kuraitali, Jinardi, Palash, Narsingdi, Dhaka, Bangladesh</t>
  </si>
  <si>
    <t>23.927946</t>
  </si>
  <si>
    <t xml:space="preserve">
90.65964</t>
  </si>
  <si>
    <t>45.22 Km</t>
  </si>
  <si>
    <t>Kamarkosha, Chinishpur, Narsingdi Sadar, Narsingdi, Dhaka, Bangladesh</t>
  </si>
  <si>
    <t>23.940895</t>
  </si>
  <si>
    <t xml:space="preserve">
90.72024</t>
  </si>
  <si>
    <t>54.15 Km</t>
  </si>
  <si>
    <t>9.52 km</t>
  </si>
  <si>
    <t>Bridge, Arial khan River Railway Bridge, Badarpur, Amirganj, Raipura, Narsingdi, Dhaka, Bangladesh</t>
  </si>
  <si>
    <t>23.931759</t>
  </si>
  <si>
    <t xml:space="preserve">
90.75417</t>
  </si>
  <si>
    <t>57.93 Km</t>
  </si>
  <si>
    <t>Sreenagar, Sahapur, Palashtali, Raipura, Narsingdi, Dhaka, Bangladesh</t>
  </si>
  <si>
    <t>23.969955</t>
  </si>
  <si>
    <t xml:space="preserve">
90.83797</t>
  </si>
  <si>
    <t>72.2 Km</t>
  </si>
  <si>
    <t>9.63 km</t>
  </si>
  <si>
    <t>Najirpur, Chanderkandi, Raipura, Narsingdi, Dhaka, Bangladesh</t>
  </si>
  <si>
    <t>23.982176</t>
  </si>
  <si>
    <t xml:space="preserve">
90.86673</t>
  </si>
  <si>
    <t>77.03 Km</t>
  </si>
  <si>
    <t>Begomabad M.B. College road, Daulatkandi, Jhaw Kandi, Begomabad, Begamabad, Maheshpur, Raipura, Narsingdi, Dhaka, Bangladesh</t>
  </si>
  <si>
    <t>24.021574</t>
  </si>
  <si>
    <t xml:space="preserve">
90.9511</t>
  </si>
  <si>
    <t>91.47 Km</t>
  </si>
  <si>
    <t>97.56 Km</t>
  </si>
  <si>
    <t>9.76 km</t>
  </si>
  <si>
    <t>Railgate, Baikunthapur, Ashuganj, Ashuganj, Brahmanbaria, Chittagong, Bangladesh</t>
  </si>
  <si>
    <t>24.02976</t>
  </si>
  <si>
    <t xml:space="preserve">
91.01706</t>
  </si>
  <si>
    <t>101.11 Km</t>
  </si>
  <si>
    <t>Nambihin Rasta, Salgaon, Paurashava, Brahmanbaria Sadar, Brahmanbaria, Chittagong, Bangladesh</t>
  </si>
  <si>
    <t>23.963865</t>
  </si>
  <si>
    <t xml:space="preserve">
91.080475</t>
  </si>
  <si>
    <t>106.17 Km</t>
  </si>
  <si>
    <t>ডিসিএসপি রোড, কলেজপাড়া, Paurashava, Brahmanbaria Sadar, Brahmanbaria, Chittagong, Bangladesh</t>
  </si>
  <si>
    <t xml:space="preserve">
91.116455</t>
  </si>
  <si>
    <t>111.42 Km</t>
  </si>
  <si>
    <t>Samir bari road, Kachait, Paghachang, Machhihata, Brahmanbaria Sadar, Brahmanbaria, Chittagong, Bangladesh</t>
  </si>
  <si>
    <t>23.923615</t>
  </si>
  <si>
    <t xml:space="preserve">
91.14764</t>
  </si>
  <si>
    <t>114.34 Km</t>
  </si>
  <si>
    <t>Akhaura City Bypass Road, Akhaura, Akhaura Paurashava, Akhaura, Brahmanbaria, Chittagong, Bangladesh</t>
  </si>
  <si>
    <t>23.877855</t>
  </si>
  <si>
    <t xml:space="preserve">
91.2074</t>
  </si>
  <si>
    <t>121.94 Km</t>
  </si>
  <si>
    <t>170.61 m</t>
  </si>
  <si>
    <t>596, Quarter Road, Bou Bazar, 12 No. Sarai Para Ward, Ward No-12 (Part), Pahartali, Chittagong, Chittagong, Bangladesh</t>
  </si>
  <si>
    <t>22.346645</t>
  </si>
  <si>
    <t xml:space="preserve">
91.798416</t>
  </si>
  <si>
    <t>318.71 Km</t>
  </si>
  <si>
    <t>Bacha Miah Road, Bou Bazar, 12 No. Sarai Para Ward, Ward No-12 (Part), Pahartali, Chittagong, Chittagong, Bangladesh</t>
  </si>
  <si>
    <t>22.347218</t>
  </si>
  <si>
    <t xml:space="preserve">
91.79269</t>
  </si>
  <si>
    <t>318.05 Km</t>
  </si>
  <si>
    <t>9.42 km</t>
  </si>
  <si>
    <t>Umedarkandi, Luterchar, Meghna, Comilla, Chittagong, Bangladesh</t>
  </si>
  <si>
    <t>23.576893</t>
  </si>
  <si>
    <t xml:space="preserve">
90.64814</t>
  </si>
  <si>
    <t>48.19 Km</t>
  </si>
  <si>
    <t>Kanchpur, Behakair, Kachpur, Sonargaon, Narayanganj, Dhaka, Bangladesh</t>
  </si>
  <si>
    <t>23.71147</t>
  </si>
  <si>
    <t xml:space="preserve">
90.531654</t>
  </si>
  <si>
    <t>20.36 Km</t>
  </si>
  <si>
    <t>645.24 m</t>
  </si>
  <si>
    <t>323, Bromin Cheron, Sayedabad, Sutrapur, Ward-85, Dcc (Sutrapur), Dhaka, Dhaka 1203, Bangladesh</t>
  </si>
  <si>
    <t>23.716724</t>
  </si>
  <si>
    <t xml:space="preserve">
90.42776</t>
  </si>
  <si>
    <t>9.54 Km</t>
  </si>
  <si>
    <t>321.99 m</t>
  </si>
  <si>
    <t>6th lane, RK Mission Road, Manik Nagar Bus Stop, City Corporation Colony, Ward-31, Motijheel, Dhaka, Dhaka 1203, Bangladesh</t>
  </si>
  <si>
    <t>23.722527</t>
  </si>
  <si>
    <t xml:space="preserve">
90.42775</t>
  </si>
  <si>
    <t>264.65 m</t>
  </si>
  <si>
    <t>Bangladesh Bank Tower, 1, Kamalapur Box Culvert Road, Motijheel Commercial Area, Ward-31, Motijheel, Dhaka, Dhaka, Bangladesh</t>
  </si>
  <si>
    <t>23.72642</t>
  </si>
  <si>
    <t xml:space="preserve">
90.423386</t>
  </si>
  <si>
    <t>7.84 Km</t>
  </si>
  <si>
    <t>Sara Tower, 11/A, Toyenbee Circular Road, Motijheel Commercial Area, Ward-32, Motijheel, Dhaka, Dhaka 1000, Bangladesh</t>
  </si>
  <si>
    <t>23.727837</t>
  </si>
  <si>
    <t xml:space="preserve">
90.4213</t>
  </si>
  <si>
    <t>7.57 Km</t>
  </si>
  <si>
    <t>4.9 km</t>
  </si>
  <si>
    <t>Noor Nagar Jam-e-Masjid, 63, Biam Road, Ward-54, Ramna, Dhaka, Dhaka 1000, Bangladesh</t>
  </si>
  <si>
    <t>23.748556</t>
  </si>
  <si>
    <t xml:space="preserve">
90.395645</t>
  </si>
  <si>
    <t>882, Gate 1, Mirpur, Ward-16, Kafrul, Dhaka, Dhaka 1216, Bangladesh</t>
  </si>
  <si>
    <t>23.789747</t>
  </si>
  <si>
    <t xml:space="preserve">
90.37857</t>
  </si>
  <si>
    <t>432.17 m</t>
  </si>
  <si>
    <t>433.31 m</t>
  </si>
  <si>
    <t>Mirpur-1, Section 1, Ward-08, Pallabi, Dhaka, Dhaka, Bangladesh</t>
  </si>
  <si>
    <t>23.797686</t>
  </si>
  <si>
    <t xml:space="preserve">
90.350784</t>
  </si>
  <si>
    <t>10.83 Km</t>
  </si>
  <si>
    <t>Mollah Bari Road, Jadurchar, Hemayetpur, Bilamalia, Tetuljhora, Savar, Dhaka 1340, Bangladesh</t>
  </si>
  <si>
    <t>23.793158</t>
  </si>
  <si>
    <t xml:space="preserve">
90.275955</t>
  </si>
  <si>
    <t>21.7 Km</t>
  </si>
  <si>
    <t>488.68 m</t>
  </si>
  <si>
    <t>Dhaka - Aricha Highway, Hemayetpur, Jamur Muchipara(Joynabad), Tetuljhora, Savar, Dhaka, Bangladesh</t>
  </si>
  <si>
    <t>23.794827</t>
  </si>
  <si>
    <t xml:space="preserve">
90.26629</t>
  </si>
  <si>
    <t>23.2 Km</t>
  </si>
  <si>
    <t>2, N5, Hemayetpur, Dakshin Shyampur, Tetuljhora, Savar, Dhaka, Bangladesh</t>
  </si>
  <si>
    <t>23.793009</t>
  </si>
  <si>
    <t xml:space="preserve">
90.27066</t>
  </si>
  <si>
    <t>22.5 Km</t>
  </si>
  <si>
    <t>134, N5, Hemayetpur, Tetuljhora, Savar Upazila, Dhaka District, Dhaka Division, Bangladesh, 1340</t>
  </si>
  <si>
    <t>23.79548</t>
  </si>
  <si>
    <t xml:space="preserve">
90.272606</t>
  </si>
  <si>
    <t>22.27 Km</t>
  </si>
  <si>
    <t>জয়নাবাড়ী রোড, Hemayetpur, Jamur Khidragati, Tetuljhora, Savar, Dhaka, Bangladesh</t>
  </si>
  <si>
    <t>23.801191</t>
  </si>
  <si>
    <t xml:space="preserve">
90.26486</t>
  </si>
  <si>
    <t>23.61 Km</t>
  </si>
  <si>
    <t>424.87 m</t>
  </si>
  <si>
    <t>Dhaka - Aricha Highway, Savar Union, Baijuri, Tetuljhora, Savar Upazila, Dhaka District, Dhaka Division, Bangladesh</t>
  </si>
  <si>
    <t>23.814882</t>
  </si>
  <si>
    <t xml:space="preserve">
90.25541</t>
  </si>
  <si>
    <t>25.55 Km</t>
  </si>
  <si>
    <t>467.79 m</t>
  </si>
  <si>
    <t>23.795795</t>
  </si>
  <si>
    <t xml:space="preserve">
90.27091</t>
  </si>
  <si>
    <t>22.54 Km</t>
  </si>
  <si>
    <t>294.37 m</t>
  </si>
  <si>
    <t>23.792706</t>
  </si>
  <si>
    <t xml:space="preserve">
90.26779</t>
  </si>
  <si>
    <t>22.93 Km</t>
  </si>
  <si>
    <t>310.94 m</t>
  </si>
  <si>
    <t>1521, 1693, Sharifpur Road, Sonda, Gachha, Gazipur Sadar, Gazipur, Dhaka 1704, Bangladesh</t>
  </si>
  <si>
    <t>23.966625</t>
  </si>
  <si>
    <t xml:space="preserve">
90.37866</t>
  </si>
  <si>
    <t>32.81 Km</t>
  </si>
  <si>
    <t>Gazipura, Tongi, Tongi Paurashava, Gazipur Sadar, Gazipur, Dhaka, Bangladesh</t>
  </si>
  <si>
    <t>23.919214</t>
  </si>
  <si>
    <t xml:space="preserve">
90.38772</t>
  </si>
  <si>
    <t>24.78 Km</t>
  </si>
  <si>
    <t>428.94 m</t>
  </si>
  <si>
    <t>17, Ishandi Sarker Road, Dattapara, Tongi, Tongi Paurashava, Gazipur Sadar, Gazipur, Dhaka, Bangladesh</t>
  </si>
  <si>
    <t>23.9094</t>
  </si>
  <si>
    <t xml:space="preserve">
90.40329</t>
  </si>
  <si>
    <t>22.84 Km</t>
  </si>
  <si>
    <t>2, Samajkalyan Road, Dattapara, Tongi, Tongi Paurashava, Gazipur Sadar, Gazipur, Dhaka 1717, Bangladesh</t>
  </si>
  <si>
    <t>23.90665</t>
  </si>
  <si>
    <t xml:space="preserve">
90.40033</t>
  </si>
  <si>
    <t>22.43 Km</t>
  </si>
  <si>
    <t>16.37 Km</t>
  </si>
  <si>
    <t>Dhaka Elevated Expressway, Hazrat Shahjalal International Airport, CAAB Colony, Uttar Khan, Dakshinkhan (Part), Dakshin Khan, Dhaka, Dhaka 1229, Bangladesh</t>
  </si>
  <si>
    <t>23.838346</t>
  </si>
  <si>
    <t xml:space="preserve">
90.41857</t>
  </si>
  <si>
    <t>Dhaka - Mymensingh Highway, Gulshan, Ward No-98 (Rest. Area), Dcc (Cantonment &amp; Airport), Dhaka, Dhaka 1212, Bangladesh</t>
  </si>
  <si>
    <t>23.804157</t>
  </si>
  <si>
    <t xml:space="preserve">
90.40314</t>
  </si>
  <si>
    <t>5.58 Km</t>
  </si>
  <si>
    <t>Paragon House, 11, Bir Uttam AK Khandakar Road, Dhaka, Ward-20, Gulshan, Bangladesh, 1212</t>
  </si>
  <si>
    <t>23.782215</t>
  </si>
  <si>
    <t xml:space="preserve">
90.401115</t>
  </si>
  <si>
    <t>East Nakhalpara, ঢাকা, Ward No-38 (Part), Tejgaon, Dhaka 1205, Bangladesh</t>
  </si>
  <si>
    <t>23.77348</t>
  </si>
  <si>
    <t xml:space="preserve">
90.3979</t>
  </si>
  <si>
    <t>2.83 Km</t>
  </si>
  <si>
    <t>482.04 m</t>
  </si>
  <si>
    <t>198, Bir Uttam Mir Shawkat Sarak, AKIJ FOOD AND BEVERAGE LTD, Tejgaon Industrial Area, Ward-37, Tejgaon, Dhaka, Dhaka 1208, Bangladesh</t>
  </si>
  <si>
    <t>23.770159</t>
  </si>
  <si>
    <t xml:space="preserve">
90.410446</t>
  </si>
  <si>
    <t>572.25 m</t>
  </si>
  <si>
    <t>53, Shaheed Tajuddin Ahmed Avenue, Rasulbag, Ward No-20 (Part), Gulshan, Dhaka, Dhaka 1212, Bangladesh</t>
  </si>
  <si>
    <t>23.775194</t>
  </si>
  <si>
    <t xml:space="preserve">
90.39793</t>
  </si>
  <si>
    <t>2.85 Km</t>
  </si>
  <si>
    <t>876.64 m</t>
  </si>
  <si>
    <t>NFE Bhaban, 232, Bir Uttam Mir Shawkat Sarak, Ward-37, Tejgaon, Dhaka, Dhaka 1208, Bangladesh</t>
  </si>
  <si>
    <t>23.77178</t>
  </si>
  <si>
    <t xml:space="preserve">
90.40213</t>
  </si>
  <si>
    <t>2.19 Km</t>
  </si>
  <si>
    <t>941.2 m</t>
  </si>
  <si>
    <t>44, Mohakhali Bazar Road, Mohakhali, Ward-20, Gulshan, Dhaka, Dhaka 1212, Bangladesh</t>
  </si>
  <si>
    <t>23.779255</t>
  </si>
  <si>
    <t xml:space="preserve">
90.39939</t>
  </si>
  <si>
    <t>10, Road Number 01, Chairman Bari, Ward-19, Gulshan, Dhaka, Dhaka 1212, Bangladesh</t>
  </si>
  <si>
    <t>23.787544</t>
  </si>
  <si>
    <t xml:space="preserve">
90.40126</t>
  </si>
  <si>
    <t>3.36 Km</t>
  </si>
  <si>
    <t>2, Dhaka - Mymensingh Highway, Gulshan, Cantonment, Kafrul, Dhaka, Dhaka, Bangladesh</t>
  </si>
  <si>
    <t>23.800438</t>
  </si>
  <si>
    <t xml:space="preserve">
90.39981</t>
  </si>
  <si>
    <t>5.24 Km</t>
  </si>
  <si>
    <t>দঃ মধ্য পাড়া রোড, Khilkhet, Barua, Ward No-17 (Part), Badda, Dhaka, Dhaka, Bangladesh</t>
  </si>
  <si>
    <t>23.826372</t>
  </si>
  <si>
    <t xml:space="preserve">
90.42375</t>
  </si>
  <si>
    <t>8.98 Km</t>
  </si>
  <si>
    <t>Dhaka - Mymensingh Road, Hazrat Shahjalal International Airport, Kurmitola, Ward No-98 (Rest. Area), Cantonment, Dcc (Cantonment &amp; Airport), Dhaka, Dhaka 1230, Bangladesh</t>
  </si>
  <si>
    <t>23.842525</t>
  </si>
  <si>
    <t xml:space="preserve">
90.414696</t>
  </si>
  <si>
    <t>11.6 Km</t>
  </si>
  <si>
    <t>Mohila College Road, Kismat Dhanbari, Dhanbari Paurashava, Dhanbari, Tangail, Dhaka, Bangladesh</t>
  </si>
  <si>
    <t>24.673994</t>
  </si>
  <si>
    <t xml:space="preserve">
89.95925</t>
  </si>
  <si>
    <t>165.59 Km</t>
  </si>
  <si>
    <t>পাঠানবাড়ী রোড, Barni Chandrabari, Dhanbari Paurashava, Dhanbari, Tangail, Dhaka, Bangladesh</t>
  </si>
  <si>
    <t>24.688026</t>
  </si>
  <si>
    <t xml:space="preserve">
89.94934</t>
  </si>
  <si>
    <t>168.35 Km</t>
  </si>
  <si>
    <t>Joydevpur - Tangail - Jamalpur Highway, Dhanbari, Barni Chandrabari, Paiska, Tangail District, Dhaka Division, Bangladesh</t>
  </si>
  <si>
    <t>24.673143</t>
  </si>
  <si>
    <t xml:space="preserve">
89.960724</t>
  </si>
  <si>
    <t>165.37 Km</t>
  </si>
  <si>
    <t>Rezaul store, Dhanbari, Dhopakhali, Tangail District, Dhaka Division, Bangladesh</t>
  </si>
  <si>
    <t>176.23 m</t>
  </si>
  <si>
    <t>Nambihin Rasta, Kismat Dhanbari, Dhanbari Paurashava, Dhanbari, Tangail, Dhaka, Bangladesh</t>
  </si>
  <si>
    <t>24.68329</t>
  </si>
  <si>
    <t xml:space="preserve">
89.96073</t>
  </si>
  <si>
    <t>166.91 Km</t>
  </si>
  <si>
    <t>Tarakandi Dhanbari Road, Barni Chandrabari, Dhanbari Paurashava, Dhanbari, Tangail, Dhaka, Bangladesh</t>
  </si>
  <si>
    <t>24.67824</t>
  </si>
  <si>
    <t xml:space="preserve">
89.94278</t>
  </si>
  <si>
    <t>167.3 Km</t>
  </si>
  <si>
    <t>24.678242</t>
  </si>
  <si>
    <t xml:space="preserve">
89.9418</t>
  </si>
  <si>
    <t>167.36 Km</t>
  </si>
  <si>
    <t>11.64 km</t>
  </si>
  <si>
    <t>Gangair, Shibrambari, Alokdia, Madhupur, Tangail, Dhaka, Bangladesh</t>
  </si>
  <si>
    <t>24.570463</t>
  </si>
  <si>
    <t xml:space="preserve">
90.02216</t>
  </si>
  <si>
    <t>145.92 Km</t>
  </si>
  <si>
    <t>1980, Bir Bikrom Habibur Rahman Road, Ghatail, Ghatail Paurashava, Ghatail, Tangail, Dhaka, Bangladesh</t>
  </si>
  <si>
    <t>24.47766</t>
  </si>
  <si>
    <t xml:space="preserve">
89.96889</t>
  </si>
  <si>
    <t>135.85 Km</t>
  </si>
  <si>
    <t>Sadhur Golgonda, Karbari, Digalkandi Union, Ghatail, Tangail, Dhaka, Bangladesh</t>
  </si>
  <si>
    <t>24.448233</t>
  </si>
  <si>
    <t xml:space="preserve">
89.96989</t>
  </si>
  <si>
    <t>131.55 Km</t>
  </si>
  <si>
    <t>6.87 km</t>
  </si>
  <si>
    <t>Kuchabhanga Bridge, Joydevpur - Tangail - Jamalpur Highway, Ghuni, Kalihati, Kalihati, Tangail, Dhaka, Bangladesh</t>
  </si>
  <si>
    <t>24.379797</t>
  </si>
  <si>
    <t xml:space="preserve">
89.98011</t>
  </si>
  <si>
    <t>121.07 Km</t>
  </si>
  <si>
    <t>Tangail - Bhuapur Highway, Elenga, Pathailkandi, Bangra, Kalihati Upazila, Tangail District, Dhaka Division, Bangladesh</t>
  </si>
  <si>
    <t>24.345312</t>
  </si>
  <si>
    <t xml:space="preserve">
89.923836</t>
  </si>
  <si>
    <t>121.41 Km</t>
  </si>
  <si>
    <t>Magur Ata, Gala, Tangail Sadar, Tangail, Dhaka, Bangladesh</t>
  </si>
  <si>
    <t>24.284979</t>
  </si>
  <si>
    <t xml:space="preserve">
89.92141</t>
  </si>
  <si>
    <t>113.93 Km</t>
  </si>
  <si>
    <t>Service Rd, Jalfai, Karatia, Tangail Sadar, Tangail, Dhaka, Bangladesh</t>
  </si>
  <si>
    <t>24.240887</t>
  </si>
  <si>
    <t xml:space="preserve">
89.94449</t>
  </si>
  <si>
    <t>106.12 Km</t>
  </si>
  <si>
    <t>Tangail, Gharinda, Dhaka Division, Bangladesh</t>
  </si>
  <si>
    <t>24.24214</t>
  </si>
  <si>
    <t xml:space="preserve">
89.93824</t>
  </si>
  <si>
    <t>106.92 Km</t>
  </si>
  <si>
    <t>BSCIC Road, Paurashava, Tangail Sadar, Tangail, Dhaka 1900, Bangladesh</t>
  </si>
  <si>
    <t>24.243942</t>
  </si>
  <si>
    <t xml:space="preserve">
89.91651</t>
  </si>
  <si>
    <t>109.42 Km</t>
  </si>
  <si>
    <t>Mirza Villa, Tangail, Paurashava, Dhaka Division, Bangladesh</t>
  </si>
  <si>
    <t>24.24794</t>
  </si>
  <si>
    <t xml:space="preserve">
89.929474</t>
  </si>
  <si>
    <t>108.54 Km</t>
  </si>
  <si>
    <t>Tangail Road, Paurashava, Tangail Sadar, Tangail, Dhaka, Bangladesh</t>
  </si>
  <si>
    <t>24.250923</t>
  </si>
  <si>
    <t xml:space="preserve">
89.921295</t>
  </si>
  <si>
    <t>109.75 Km</t>
  </si>
  <si>
    <t>The weekly gonobiplob, Zila Sadar Road, Tangail, Paurashava, Dhaka Division, Bangladesh</t>
  </si>
  <si>
    <t>24.26156</t>
  </si>
  <si>
    <t xml:space="preserve">
89.919945</t>
  </si>
  <si>
    <t>111.19 Km</t>
  </si>
  <si>
    <t>Ripon Road, Paurashava, Tangail Sadar, Tangail, Dhaka, Bangladesh</t>
  </si>
  <si>
    <t>24.251526</t>
  </si>
  <si>
    <t xml:space="preserve">
89.92677</t>
  </si>
  <si>
    <t>109.25 Km</t>
  </si>
  <si>
    <t>Pardigulia mohaskola, Paurashava, Tangail Sadar, Tangail, Dhaka, Bangladesh</t>
  </si>
  <si>
    <t>24.245123</t>
  </si>
  <si>
    <t xml:space="preserve">
89.90548</t>
  </si>
  <si>
    <t>Kagmara Road, Paurashava, Tangail Sadar, Tangail, Dhaka, Bangladesh</t>
  </si>
  <si>
    <t>24.258495</t>
  </si>
  <si>
    <t xml:space="preserve">
89.91185</t>
  </si>
  <si>
    <t>111.66 Km</t>
  </si>
  <si>
    <t>Registry Para Road, Paurashava, Tangail Sadar, Tangail, Dhaka, Bangladesh</t>
  </si>
  <si>
    <t>24.252972</t>
  </si>
  <si>
    <t xml:space="preserve">
89.916626</t>
  </si>
  <si>
    <t>110.49 Km</t>
  </si>
  <si>
    <t>Bizli Cables - Tangail, Tangail - Delduar Road, Tangail, Paurashava, Dhaka Division, Bangladesh</t>
  </si>
  <si>
    <t>24.243656</t>
  </si>
  <si>
    <t xml:space="preserve">
89.913414</t>
  </si>
  <si>
    <t>109.71 Km</t>
  </si>
  <si>
    <t>Zila Sadar Road, Tangail, Paurashava, Dhaka Division, Bangladesh</t>
  </si>
  <si>
    <t>355 m</t>
  </si>
  <si>
    <t>1900, Victoria Road, Paurashava, Tangail Sadar, Tangail, Dhaka, Bangladesh</t>
  </si>
  <si>
    <t>24.25077</t>
  </si>
  <si>
    <t xml:space="preserve">
89.91618</t>
  </si>
  <si>
    <t>110.27 Km</t>
  </si>
  <si>
    <t>948.71 m</t>
  </si>
  <si>
    <t>Pach ani Bazar Road, Paurashava, Tangail Sadar, Tangail, Dhaka, Bangladesh</t>
  </si>
  <si>
    <t>24.247992</t>
  </si>
  <si>
    <t xml:space="preserve">
89.91446</t>
  </si>
  <si>
    <t>110.12 Km</t>
  </si>
  <si>
    <t>794.43 m</t>
  </si>
  <si>
    <t>Nambihin Rasta, Paurashava, Tangail Sadar, Tangail, Dhaka, Bangladesh</t>
  </si>
  <si>
    <t>24.24342</t>
  </si>
  <si>
    <t xml:space="preserve">
89.92236</t>
  </si>
  <si>
    <t>108.74 Km</t>
  </si>
  <si>
    <t>962.53 m</t>
  </si>
  <si>
    <t>305, Moszid Road, Paurashava, Tangail Sadar, Tangail, Dhaka, Bangladesh</t>
  </si>
  <si>
    <t>24.248339</t>
  </si>
  <si>
    <t xml:space="preserve">
89.91668</t>
  </si>
  <si>
    <t>109.93 Km</t>
  </si>
  <si>
    <t>MR Fishry, Kandapara Bus Stand, Barangail - Ghior - Daulatpur - Tangail Road, Tangail, Paurashava, Dhaka Division, Bangladesh</t>
  </si>
  <si>
    <t>24.243721</t>
  </si>
  <si>
    <t xml:space="preserve">
89.90865</t>
  </si>
  <si>
    <t>110.23 Km</t>
  </si>
  <si>
    <t>60, Kabi Nazrul Sarani, Paurashava, Tangail Sadar, Tangail, Dhaka 1900, Bangladesh</t>
  </si>
  <si>
    <t>24.256094</t>
  </si>
  <si>
    <t xml:space="preserve">
89.916176</t>
  </si>
  <si>
    <t>110.91 Km</t>
  </si>
  <si>
    <t>5.74 km</t>
  </si>
  <si>
    <t>Joydevpur - Tangail - Jamalpur Highway, Gala, Tangail Sadar, Tangail, Dhaka, Bangladesh</t>
  </si>
  <si>
    <t>24.2813</t>
  </si>
  <si>
    <t xml:space="preserve">
89.92128</t>
  </si>
  <si>
    <t>113.48 Km</t>
  </si>
  <si>
    <t>668.48 m</t>
  </si>
  <si>
    <t>Masajan, Elenga, Kalihati, Tangail, Dhaka, Bangladesh</t>
  </si>
  <si>
    <t>24.33169</t>
  </si>
  <si>
    <t xml:space="preserve">
89.933365</t>
  </si>
  <si>
    <t>118.73 Km</t>
  </si>
  <si>
    <t>Chinamura Nayapara Jame Mosque, Masajan, Elenga, Kalihati Upazila, Tangail District, Dhaka Division, Bangladesh</t>
  </si>
  <si>
    <t>24.333925</t>
  </si>
  <si>
    <t xml:space="preserve">
89.92724</t>
  </si>
  <si>
    <t>119.6 Km</t>
  </si>
  <si>
    <t>Tangail - Bhuapur Highway, Elenga, Pathailkandi, Bangra, Kalihati, Tangail, Dhaka, Bangladesh</t>
  </si>
  <si>
    <t>Joydevpur - Tangail - Jamalpur Highway, Salanka, Kalihati, Kalihati, Tangail, Dhaka, Bangladesh</t>
  </si>
  <si>
    <t>24.385353</t>
  </si>
  <si>
    <t xml:space="preserve">
89.98488</t>
  </si>
  <si>
    <t>121.45 Km</t>
  </si>
  <si>
    <t>7.44 km</t>
  </si>
  <si>
    <t>Joydevpur - Tangail - Jamalpur Highway, Mogal Para, Digalkandi Union, Ghatail, Tangail, Dhaka 1981, Bangladesh</t>
  </si>
  <si>
    <t>24.428051</t>
  </si>
  <si>
    <t xml:space="preserve">
89.98593</t>
  </si>
  <si>
    <t>127.41 Km</t>
  </si>
  <si>
    <t>Baniapara Road, Baniapara, Phater Para, Ghatail Paurashava, Ghatail, Tangail, Dhaka, Bangladesh</t>
  </si>
  <si>
    <t>24.494162</t>
  </si>
  <si>
    <t xml:space="preserve">
89.97493</t>
  </si>
  <si>
    <t>137.79 Km</t>
  </si>
  <si>
    <t>Jhunkail, Deulabari, Ghatail, Tangail, Dhaka, Bangladesh</t>
  </si>
  <si>
    <t>24.55152</t>
  </si>
  <si>
    <t xml:space="preserve">
89.9871</t>
  </si>
  <si>
    <t>145.36 Km</t>
  </si>
  <si>
    <t>Gopalpur - Modhupur Road, Tuniabari, Madhupur Paurashava, Madhupur, Tangail, Dhaka, Bangladesh</t>
  </si>
  <si>
    <t>24.601547</t>
  </si>
  <si>
    <t xml:space="preserve">
90.02165</t>
  </si>
  <si>
    <t>Nambihin Rasta, Rasti, Madaripur Sadar, Madaripur, Dhaka, Bangladesh</t>
  </si>
  <si>
    <t>23.172117</t>
  </si>
  <si>
    <t xml:space="preserve">
90.17655</t>
  </si>
  <si>
    <t>106.73 Km</t>
  </si>
  <si>
    <t>Ashroyon Prokolper Bari Madaripur, Rasti, Madaripur Sadar Upazila, Madaripur District, Dhaka Division, Bangladesh</t>
  </si>
  <si>
    <t>Khan Enterprise And Electric, Madaripur, Ghatmajhi, Dhaka Division, Bangladesh</t>
  </si>
  <si>
    <t>23.177895</t>
  </si>
  <si>
    <t xml:space="preserve">
90.167274</t>
  </si>
  <si>
    <t>106.32 Km</t>
  </si>
  <si>
    <t>294.4 m</t>
  </si>
  <si>
    <t>মাদারীপুর - পাথুরিয়া পাড় রোড, Chhayna, Ghatmajhi, Madaripur Sadar, Madaripur, Dhaka, Bangladesh</t>
  </si>
  <si>
    <t>23.152973</t>
  </si>
  <si>
    <t xml:space="preserve">
90.18968</t>
  </si>
  <si>
    <t>109.08 Km</t>
  </si>
  <si>
    <t>23.155478</t>
  </si>
  <si>
    <t xml:space="preserve">
90.19061</t>
  </si>
  <si>
    <t>108.64 Km</t>
  </si>
  <si>
    <t>774.96 m</t>
  </si>
  <si>
    <t>Lakshmiganj, Paurashava, Madaripur Sadar, Madaripur, Dhaka, Bangladesh</t>
  </si>
  <si>
    <t>23.17645</t>
  </si>
  <si>
    <t xml:space="preserve">
90.198975</t>
  </si>
  <si>
    <t>104.91 Km</t>
  </si>
  <si>
    <t>Pathok Kandi Road, Paurashava, Madaripur Sadar, Madaripur, Dhaka, Bangladesh</t>
  </si>
  <si>
    <t>23.169489</t>
  </si>
  <si>
    <t xml:space="preserve">
90.19861</t>
  </si>
  <si>
    <t>106.03 Km</t>
  </si>
  <si>
    <t>Nambihin Rasta, Lakshmiganj, Paurashava, Madaripur Sadar, Madaripur, Dhaka, Bangladesh</t>
  </si>
  <si>
    <t>23.171825</t>
  </si>
  <si>
    <t xml:space="preserve">
90.19416</t>
  </si>
  <si>
    <t>Rasti, Madaripur Sadar, Madaripur, Dhaka, Bangladesh</t>
  </si>
  <si>
    <t>23.188139</t>
  </si>
  <si>
    <t xml:space="preserve">
90.19934</t>
  </si>
  <si>
    <t>103.05 Km</t>
  </si>
  <si>
    <t>Shahid Harun Sarak, Paurashava, Madaripur Sadar, Madaripur, Dhaka, Bangladesh</t>
  </si>
  <si>
    <t>23.174856</t>
  </si>
  <si>
    <t xml:space="preserve">
90.21147</t>
  </si>
  <si>
    <t>104.57 Km</t>
  </si>
  <si>
    <t>4, New Market Street, পুরান বাজার, মাদারীপুর, Paurashava, Madaripur Sadar, মাদারীপুর জেলা, ঢাকা বিভাগ, Bangladesh</t>
  </si>
  <si>
    <t>23.177944</t>
  </si>
  <si>
    <t xml:space="preserve">
90.20301</t>
  </si>
  <si>
    <t>104.48 Km</t>
  </si>
  <si>
    <t>6.78 km</t>
  </si>
  <si>
    <t>Nambihin Rasta, Bara Dulali, Kamalapur, Khanjapur, Gaurnadi, Barisal, Bangladesh</t>
  </si>
  <si>
    <t>23.042562</t>
  </si>
  <si>
    <t xml:space="preserve">
90.22531</t>
  </si>
  <si>
    <t>125.29 Km</t>
  </si>
  <si>
    <t>Bhanga-Barisal Highway, Gournadi, Baniasuri, Chandshi, Gaurnadi, Barisal, Bangladesh</t>
  </si>
  <si>
    <t>22.981812</t>
  </si>
  <si>
    <t xml:space="preserve">
90.21922</t>
  </si>
  <si>
    <t>135.37 Km</t>
  </si>
  <si>
    <t>327.57 m</t>
  </si>
  <si>
    <t>Bhanga-Barisal Highway, Asukathi, Billagram, Paurashava, Gaurnadi, Barisal, Bangladesh</t>
  </si>
  <si>
    <t>22.955538</t>
  </si>
  <si>
    <t xml:space="preserve">
90.22615</t>
  </si>
  <si>
    <t>139.42 Km</t>
  </si>
  <si>
    <t>Dhaka - Barisal Highway, হেলিপোর্ট (Heliport) আশোকাঠি গৌরনদী বরিশাল, Asukathi, Asokati, Paurashava, Gaurnadi, Barisal, Bangladesh</t>
  </si>
  <si>
    <t>22.956322</t>
  </si>
  <si>
    <t xml:space="preserve">
90.22923</t>
  </si>
  <si>
    <t>139.2 Km</t>
  </si>
  <si>
    <t>7.64 km</t>
  </si>
  <si>
    <t>8233, Agarpur Road, Bachhar, Harhar, Batajore, Gaurnadi, Barisal, Bangladesh</t>
  </si>
  <si>
    <t>22.91005</t>
  </si>
  <si>
    <t xml:space="preserve">
90.25737</t>
  </si>
  <si>
    <t>145.98 Km</t>
  </si>
  <si>
    <t>Atipara, Purba Dhamsar, Shikarpur, Wazirpur Upazila, Barisal District, Barisal Division, Bangladesh</t>
  </si>
  <si>
    <t>22.841356</t>
  </si>
  <si>
    <t xml:space="preserve">
90.254845</t>
  </si>
  <si>
    <t>157.35 Km</t>
  </si>
  <si>
    <t>Nambihin Rasta, Madhabpasha, Purba Rahmatpur, Madhab Pasha, Babuganj, Barisal, Bangladesh</t>
  </si>
  <si>
    <t>22.787106</t>
  </si>
  <si>
    <t xml:space="preserve">
90.30745</t>
  </si>
  <si>
    <t>165.28 Km</t>
  </si>
  <si>
    <t>11, Dhaka - Barisal Highway, Icha Kathi, Ganpara, Ward No-30, Barisal Sadar, Barisal, Barisal 8200, Bangladesh</t>
  </si>
  <si>
    <t>22.729364</t>
  </si>
  <si>
    <t xml:space="preserve">
90.336006</t>
  </si>
  <si>
    <t>174.5 Km</t>
  </si>
  <si>
    <t>Shahid Zia Sharak, Ruiya, Ward No-22, Barisal Sadar, Barisal, Barisal, Bangladesh</t>
  </si>
  <si>
    <t>22.706667</t>
  </si>
  <si>
    <t xml:space="preserve">
90.3437</t>
  </si>
  <si>
    <t>178.2 Km</t>
  </si>
  <si>
    <t>BSCIC Road, North Kawnia, Kawnia, Puran Para, Ward No-01, Barisal Sadar, Barisal, Barisal, Bangladesh</t>
  </si>
  <si>
    <t>22.721256</t>
  </si>
  <si>
    <t xml:space="preserve">
90.36197</t>
  </si>
  <si>
    <t>New Circular Road, Sagardi, Barishal, Ward No-15, Barisal Sadar Upazila, Barisal District, Barisal Division, Bangladesh</t>
  </si>
  <si>
    <t>22.69801</t>
  </si>
  <si>
    <t xml:space="preserve">
90.36031</t>
  </si>
  <si>
    <t>179.5 Km</t>
  </si>
  <si>
    <t>253, Hospital Road, Nutan Bazar, Ward No-19, Barisal Sadar, Barisal, Barisal 8200, Bangladesh</t>
  </si>
  <si>
    <t>22.711027</t>
  </si>
  <si>
    <t xml:space="preserve">
90.36712</t>
  </si>
  <si>
    <t>177.29 Km</t>
  </si>
  <si>
    <t>654.04 m</t>
  </si>
  <si>
    <t>Shikdar Para Road, Sagardi, Ward No-13, Barisal Sadar, Barisal, Barisal, Bangladesh</t>
  </si>
  <si>
    <t>22.687708</t>
  </si>
  <si>
    <t xml:space="preserve">
90.354126</t>
  </si>
  <si>
    <t>181.27 Km</t>
  </si>
  <si>
    <t>181.35 Km</t>
  </si>
  <si>
    <t>8.19 km</t>
  </si>
  <si>
    <t>Barisal - Pirojpur Highway, Godar Char, Uttar Jagua, Ward No-25, Barisal Sadar, Barisal, Barisal, Bangladesh</t>
  </si>
  <si>
    <t>22.669966</t>
  </si>
  <si>
    <t xml:space="preserve">
90.334175</t>
  </si>
  <si>
    <t>184.41 Km</t>
  </si>
  <si>
    <t>Barisal - Pirojpur Highway, Nalchhiti, Baharampur, Bharabpasha, Nalchity, Jhalakathi, Barisal, Bangladesh</t>
  </si>
  <si>
    <t>22.657106</t>
  </si>
  <si>
    <t xml:space="preserve">
90.25554</t>
  </si>
  <si>
    <t>187.75 Km</t>
  </si>
  <si>
    <t>R870, Basanda, Jhalokati Sadar, Jhalakathi, Barisal, Bangladesh</t>
  </si>
  <si>
    <t>22.657902</t>
  </si>
  <si>
    <t xml:space="preserve">
90.206924</t>
  </si>
  <si>
    <t>188.74 Km</t>
  </si>
  <si>
    <t>969.83 m</t>
  </si>
  <si>
    <t>192.82 Km</t>
  </si>
  <si>
    <t>Padma Oil Company Limited, Jhalakati, Jhalokati, Kistakati, Ponabalia, Barisal Division, Bangladesh</t>
  </si>
  <si>
    <t xml:space="preserve">
90.20211</t>
  </si>
  <si>
    <t>192.49 Km</t>
  </si>
  <si>
    <t>Nambihin Rasta, Basanda, Jhalokati Sadar, Jhalakathi, Barisal, Bangladesh</t>
  </si>
  <si>
    <t>22.652157</t>
  </si>
  <si>
    <t xml:space="preserve">
90.20954</t>
  </si>
  <si>
    <t>189.62 Km</t>
  </si>
  <si>
    <t>Nambihin Rasta, Paschim Jhalokati, Basanda, Jhalokati Sadar, Jhalakathi, Barisal, Bangladesh</t>
  </si>
  <si>
    <t>22.657589</t>
  </si>
  <si>
    <t xml:space="preserve">
90.19239</t>
  </si>
  <si>
    <t>189.18 Km</t>
  </si>
  <si>
    <t>2.29 km</t>
  </si>
  <si>
    <t>6.62 km</t>
  </si>
  <si>
    <t>2, Jhalokati Kirtipasha Road, Mor, Keora, Jhalokati Sadar, Jhalakathi, Barisal, Bangladesh</t>
  </si>
  <si>
    <t>22.651588</t>
  </si>
  <si>
    <t xml:space="preserve">
90.18721</t>
  </si>
  <si>
    <t>Nambihin Rasta, Mathbari, Bamankati, Suktagarh, Rajapur, Jhalakathi, Barisal, Bangladesh</t>
  </si>
  <si>
    <t>22.601192</t>
  </si>
  <si>
    <t xml:space="preserve">
90.15293</t>
  </si>
  <si>
    <t>199.58 Km</t>
  </si>
  <si>
    <t>Z8702, Suktagarh Union, Par Gopalpur, Rajapur, Jhalakathi, Barisal, Bangladesh</t>
  </si>
  <si>
    <t>22.577183</t>
  </si>
  <si>
    <t xml:space="preserve">
90.123436</t>
  </si>
  <si>
    <t>204.45 Km</t>
  </si>
  <si>
    <t>Z8717, Suktagarh Union, Naikati, Saturia, Rajapur, Jhalakathi, Barisal, Bangladesh</t>
  </si>
  <si>
    <t>22.57946</t>
  </si>
  <si>
    <t xml:space="preserve">
90.09464</t>
  </si>
  <si>
    <t>205.09 Km</t>
  </si>
  <si>
    <t>Nambihin Rasta, Bara Biraljuri, Kawkhali, Kaukhali, Pirojpur, Barisal, Bangladesh</t>
  </si>
  <si>
    <t>22.599886</t>
  </si>
  <si>
    <t xml:space="preserve">
90.08598</t>
  </si>
  <si>
    <t>202.12 Km</t>
  </si>
  <si>
    <t>3.26 km</t>
  </si>
  <si>
    <t>Daserkathi Road, Aspaddi, Kawkhali, Kaukhali, Pirojpur, Barisal 8510, Bangladesh</t>
  </si>
  <si>
    <t>22.62317</t>
  </si>
  <si>
    <t xml:space="preserve">
90.06981</t>
  </si>
  <si>
    <t>199.01 Km</t>
  </si>
  <si>
    <t>Hazi Abdul Matin Road, Amrazuri, Amrajuri, Kaukhali, Pirojpur, Barisal, Bangladesh</t>
  </si>
  <si>
    <t>22.651909</t>
  </si>
  <si>
    <t xml:space="preserve">
90.076065</t>
  </si>
  <si>
    <t>194.13 Km</t>
  </si>
  <si>
    <t>Juluher Road, Somudoykathi Union, Sehangal, Samudaykati, Swarupkati, Pirojpur, Barisal, Bangladesh</t>
  </si>
  <si>
    <t>22.66486</t>
  </si>
  <si>
    <t xml:space="preserve">
90.08944</t>
  </si>
  <si>
    <t>191.5 Km</t>
  </si>
  <si>
    <t>Swarupkathi, Gonoman, Paurashava, Swarupkati, Pirojpur, Barisal, Bangladesh</t>
  </si>
  <si>
    <t>22.742386</t>
  </si>
  <si>
    <t xml:space="preserve">
90.09407</t>
  </si>
  <si>
    <t>178.85 Km</t>
  </si>
  <si>
    <t>Road, Sutiakathi Union, Kaurikhara, Sutiakati, Swarupkati, Pirojpur, Barisal, Bangladesh</t>
  </si>
  <si>
    <t>22.755346</t>
  </si>
  <si>
    <t xml:space="preserve">
90.09594</t>
  </si>
  <si>
    <t>176.7 Km</t>
  </si>
  <si>
    <t>Nambihin Rasta, Atghar Kuriana Union, Sangitkati, Atghar Kuriana, Swarupkati, Pirojpur, Barisal, Bangladesh</t>
  </si>
  <si>
    <t>22.761793</t>
  </si>
  <si>
    <t xml:space="preserve">
90.13393</t>
  </si>
  <si>
    <t>174.13 Km</t>
  </si>
  <si>
    <t>Swarupkathi - Barisal Road, Swarupkathi, Rajakpur, Banari Para, Banaripara Upazila, Barisal District, Barisal Division, Bangladesh</t>
  </si>
  <si>
    <t>22.776112</t>
  </si>
  <si>
    <t xml:space="preserve">
90.165955</t>
  </si>
  <si>
    <t>170.64 Km</t>
  </si>
  <si>
    <t>Kazi Mosarup Hossain Road, Saliabakpur Union, Chauari Para, Salia Bakpur, Banaripara, Barisal, Bangladesh</t>
  </si>
  <si>
    <t>22.7856</t>
  </si>
  <si>
    <t xml:space="preserve">
90.17997</t>
  </si>
  <si>
    <t>168.63 Km</t>
  </si>
  <si>
    <t>3.31 km</t>
  </si>
  <si>
    <t>Darogabari to Panchagram Road, Madhabpasha, Dahar Para, Guthia, Wazirpur Upazila, Barisal District, Barisal Division, Bangladesh</t>
  </si>
  <si>
    <t>22.777117</t>
  </si>
  <si>
    <t xml:space="preserve">
90.24344</t>
  </si>
  <si>
    <t>168.2 Km</t>
  </si>
  <si>
    <t>Swarupkathi - Barisal Road, Madhabpasha, Musuria, Madhab Pasha, Babuganj Upazila, Barisal District, Barisal Division, Bangladesh</t>
  </si>
  <si>
    <t>22.763292</t>
  </si>
  <si>
    <t xml:space="preserve">
90.27198</t>
  </si>
  <si>
    <t>169.86 Km</t>
  </si>
  <si>
    <t>Dhaka - Barisal Highway, Barishal, Ganpara, Kashipur, Barisal Sadar, Barisal, Bangladesh</t>
  </si>
  <si>
    <t>22.742542</t>
  </si>
  <si>
    <t xml:space="preserve">
90.325035</t>
  </si>
  <si>
    <t>172.44 Km</t>
  </si>
  <si>
    <t>1, Khan Bari Rd, North Kawnia, Kawnia, Ward No-01, Barisal Sadar, Barisal, Barisal 8200, Bangladesh</t>
  </si>
  <si>
    <t>22.7172</t>
  </si>
  <si>
    <t xml:space="preserve">
90.35877</t>
  </si>
  <si>
    <t>176.32 Km</t>
  </si>
  <si>
    <t>938, Bhanga-Barisal Highway, Ward No-21, Barisal Sadar, Barisal, Barisal, Bangladesh</t>
  </si>
  <si>
    <t>22.707659</t>
  </si>
  <si>
    <t xml:space="preserve">
90.35243</t>
  </si>
  <si>
    <t>177.96 Km</t>
  </si>
  <si>
    <t>Sadar Upazila, Sagardi, Barishal, Ward No-23, Barisal Sadar, Barisal, Bangladesh</t>
  </si>
  <si>
    <t>22.69547</t>
  </si>
  <si>
    <t xml:space="preserve">
90.35162</t>
  </si>
  <si>
    <t>179.99 Km</t>
  </si>
  <si>
    <t>344.81 m</t>
  </si>
  <si>
    <t>938, Bhanga-Barisal Highway, Kazipara, Ward No-22, Barisal Sadar, Barisal, Barisal 8200, Bangladesh</t>
  </si>
  <si>
    <t>22.705647</t>
  </si>
  <si>
    <t xml:space="preserve">
90.3502</t>
  </si>
  <si>
    <t>178.31 Km</t>
  </si>
  <si>
    <t>42, C and B Road, PHED, Ward No-20, Barisal Sadar, Barisal, Barisal, Bangladesh</t>
  </si>
  <si>
    <t>22.708382</t>
  </si>
  <si>
    <t xml:space="preserve">
90.351776</t>
  </si>
  <si>
    <t>Nobogram Road, Namasudra Para, Sagardi, Ward No-23, Barisal Sadar, Barisal, Barisal, Bangladesh</t>
  </si>
  <si>
    <t>22.695417</t>
  </si>
  <si>
    <t xml:space="preserve">
90.34521</t>
  </si>
  <si>
    <t>180.06 Km</t>
  </si>
  <si>
    <t>Salehamanzil, 318, Barman Road, Shahapara, Barisal, Bangladesh</t>
  </si>
  <si>
    <t>Barishal-Bhola Highway, কাউয়ার চর বাস স্টেশন, Barishal, Kaua Char, Char Kowa, Barisal, Bangladesh</t>
  </si>
  <si>
    <t>22.69859</t>
  </si>
  <si>
    <t xml:space="preserve">
90.37952</t>
  </si>
  <si>
    <t>179.29 Km</t>
  </si>
  <si>
    <t>Endurhat - Nanduhar Road, Sutiakathi, Sutiakathi Union, Sutiakati, Sutiakati, Swarupkati Upazila, Pirojpur District, Barisal Division, Bangladesh</t>
  </si>
  <si>
    <t>22.74723</t>
  </si>
  <si>
    <t xml:space="preserve">
90.09738</t>
  </si>
  <si>
    <t>177.94 Km</t>
  </si>
  <si>
    <t>Khan Bari - Inderhat Bazar Road, Kaurikhara, Sutiakathi Union, Sutiakati, Sutiakati, Swarupkati Upazila, Pirojpur District, Barisal Division, Bangladesh</t>
  </si>
  <si>
    <t>22.747253</t>
  </si>
  <si>
    <t xml:space="preserve">
90.0798</t>
  </si>
  <si>
    <t>178.69 Km</t>
  </si>
  <si>
    <t>Sohagdol-Inderhat Road, New Indurhat Launch Terminal, Purba Sohagdal, Sohagdal, Swarupkati, Pirojpur, Barisal, Bangladesh</t>
  </si>
  <si>
    <t>22.74682</t>
  </si>
  <si>
    <t xml:space="preserve">
90.090256</t>
  </si>
  <si>
    <t>178.3 Km</t>
  </si>
  <si>
    <t>Swarupkathi - Barisal Road, Swarupkathi, Shantihar, Sutiakati, Swarupkati, Pirojpur, Barisal, Bangladesh</t>
  </si>
  <si>
    <t>22.768726</t>
  </si>
  <si>
    <t xml:space="preserve">
90.11003</t>
  </si>
  <si>
    <t>173.96 Km</t>
  </si>
  <si>
    <t>Banaripara Union, Mahish Pota, Salia Bakpur, Banaripara Upazila, Barisal District, Barisal Division, Bangladesh</t>
  </si>
  <si>
    <t>217.06 m</t>
  </si>
  <si>
    <t>Swarupkathi - Barisal Road, Swarupkathi, Jambu Dwip, Banari Para, Banaripara Upazila, Barisal District, Barisal Division, Bangladesh</t>
  </si>
  <si>
    <t>22.778831</t>
  </si>
  <si>
    <t xml:space="preserve">
90.15065</t>
  </si>
  <si>
    <t>170.74 Km</t>
  </si>
  <si>
    <t>Nambihin Rasta, Jambu Dwip, Banari Para, Banaripara, Barisal, Bangladesh</t>
  </si>
  <si>
    <t>22.780506</t>
  </si>
  <si>
    <t xml:space="preserve">
90.14957</t>
  </si>
  <si>
    <t>170.51 Km</t>
  </si>
  <si>
    <t>Banaripara Union, Paurashava, Banaripara Upazila, Barisal District, Barisal Division, Bangladesh</t>
  </si>
  <si>
    <t>22.794033</t>
  </si>
  <si>
    <t xml:space="preserve">
90.15945</t>
  </si>
  <si>
    <t>167.96 Km</t>
  </si>
  <si>
    <t>মমিনের স্বমিল, Saliabakpur Union, Paurashava, Banaripara Upazila, Barisal District, Barisal Division, Bangladesh</t>
  </si>
  <si>
    <t>754.97 m</t>
  </si>
  <si>
    <t>10.91 km</t>
  </si>
  <si>
    <t>Nambihin Rasta, Alta, Salia Bakpur, Banaripara, Barisal, Bangladesh</t>
  </si>
  <si>
    <t>22.769444</t>
  </si>
  <si>
    <t xml:space="preserve">
90.16735</t>
  </si>
  <si>
    <t>171.68 Km</t>
  </si>
  <si>
    <t>Mondol Bari Mosque, Dhuldi Gobindapur, Ambikapur, Faridpur Sadar Upazila, Faridpur District, Dhaka Division, Bangladesh</t>
  </si>
  <si>
    <t>23.602041</t>
  </si>
  <si>
    <t xml:space="preserve">
89.826584</t>
  </si>
  <si>
    <t>91.39 Km</t>
  </si>
  <si>
    <t>Ambika Road, Paurashava, Faridpur Sadar, Faridpur, Dhaka, Bangladesh</t>
  </si>
  <si>
    <t>23.600365</t>
  </si>
  <si>
    <t xml:space="preserve">
89.83778</t>
  </si>
  <si>
    <t>89.83 Km</t>
  </si>
  <si>
    <t>Dhaka - Faridpur Highway, Badarpur, Paurashava, Faridpur Sadar, ফরিদপুর জেলা, ঢাকা বিভাগ, Bangladesh</t>
  </si>
  <si>
    <t>23.58888</t>
  </si>
  <si>
    <t xml:space="preserve">
89.80779</t>
  </si>
  <si>
    <t>94.77 Km</t>
  </si>
  <si>
    <t>B566, Boithakhali, Parchar, Krishnanagar, Faridpur Sadar, Faridpur, Dhaka, Bangladesh</t>
  </si>
  <si>
    <t>23.591608</t>
  </si>
  <si>
    <t xml:space="preserve">
89.782845</t>
  </si>
  <si>
    <t>98.29 Km</t>
  </si>
  <si>
    <t>B558, Raghunandanpur, Ambikapur, Faridpur Sadar, Faridpur, Dhaka, Bangladesh</t>
  </si>
  <si>
    <t>23.603977</t>
  </si>
  <si>
    <t xml:space="preserve">
89.80386</t>
  </si>
  <si>
    <t>94.64 Km</t>
  </si>
  <si>
    <t>Nambihin Rasta, Goalchamot, Paurashava, Faridpur Sadar, Faridpur, Dhaka, Bangladesh</t>
  </si>
  <si>
    <t>23.595432</t>
  </si>
  <si>
    <t xml:space="preserve">
89.816345</t>
  </si>
  <si>
    <t>93.2 Km</t>
  </si>
  <si>
    <t>383.6 m</t>
  </si>
  <si>
    <t>Nambihin Rasta, Molla Para, Pashchim Khabashpur, Paurashava, Faridpur Sadar, Faridpur, Dhaka, Bangladesh</t>
  </si>
  <si>
    <t>23.61381</t>
  </si>
  <si>
    <t xml:space="preserve">
89.83738</t>
  </si>
  <si>
    <t>89.26 Km</t>
  </si>
  <si>
    <t>ফরিদপুর।, Paurashava, Faridpur Sadar, Faridpur, Dhaka, Bangladesh</t>
  </si>
  <si>
    <t>23.610476</t>
  </si>
  <si>
    <t xml:space="preserve">
89.83642</t>
  </si>
  <si>
    <t>89.55 Km</t>
  </si>
  <si>
    <t>Bangladesh Telecommunications Company Ltd., N803, Western Para Street, Faridpur, Paurashava, Dhaka Division, Bangladesh</t>
  </si>
  <si>
    <t>Tambulkhana, Sobharampur, Ambikapur, Faridpur Sadar Upazila, Faridpur District, Dhaka Division, Bangladesh</t>
  </si>
  <si>
    <t>23.611868</t>
  </si>
  <si>
    <t xml:space="preserve">
89.80962</t>
  </si>
  <si>
    <t>93.44 Km</t>
  </si>
  <si>
    <t>Dhaka - Faridpur Highway, Raghunandanpur, Ambikapur, Faridpur Sadar, Faridpur, Dhaka, Bangladesh</t>
  </si>
  <si>
    <t>23.592304</t>
  </si>
  <si>
    <t xml:space="preserve">
89.797874</t>
  </si>
  <si>
    <t>96.06 Km</t>
  </si>
  <si>
    <t>B559, Boithakhali, Majchar Kouarpur, Majchar, Faridpur Sadar, Faridpur, Dhaka, Bangladesh</t>
  </si>
  <si>
    <t>23.6085</t>
  </si>
  <si>
    <t xml:space="preserve">
89.78746</t>
  </si>
  <si>
    <t>96.86 Km</t>
  </si>
  <si>
    <t>B560, Sultanpur, Shibrampur, Majchar, Faridpur Sadar Upazila, Faridpur District, Dhaka Division, Bangladesh</t>
  </si>
  <si>
    <t>23.643837</t>
  </si>
  <si>
    <t xml:space="preserve">
89.74395</t>
  </si>
  <si>
    <t>102.05 Km</t>
  </si>
  <si>
    <t>5.96 km</t>
  </si>
  <si>
    <t>Dhaka - Kushtia Highway, Ahladipur, Darpa Narayanpur, Khankhanapur, Rajbari Sadar, Rajbari, Dhaka, Bangladesh</t>
  </si>
  <si>
    <t>23.69014</t>
  </si>
  <si>
    <t xml:space="preserve">
89.69312</t>
  </si>
  <si>
    <t>108.63 Km</t>
  </si>
  <si>
    <t>Dhaka - Kushtia Highway, Ramkantapur, Dadshi, Rajbari Sadar, Rajbari, Dhaka, Bangladesh</t>
  </si>
  <si>
    <t>23.730944</t>
  </si>
  <si>
    <t xml:space="preserve">
89.655174</t>
  </si>
  <si>
    <t>113.94 Km</t>
  </si>
  <si>
    <t>7.55 km</t>
  </si>
  <si>
    <t>Dhaka - Kushtia Highway, Morjotkoll, Baghmara, Mizanpur, Rajbari Sadar, Rajbari, Dhaka, Bangladesh</t>
  </si>
  <si>
    <t>23.754217</t>
  </si>
  <si>
    <t xml:space="preserve">
89.616005</t>
  </si>
  <si>
    <t>119.83 Km</t>
  </si>
  <si>
    <t>Damukdia, Madapur, Pangsha Upazila, Rajbari District, Dhaka Division, Bangladesh</t>
  </si>
  <si>
    <t>23.751642</t>
  </si>
  <si>
    <t xml:space="preserve">
89.54192</t>
  </si>
  <si>
    <t>Tengra Jame Mosque., Marganga, Ratandia, Pangsha Upazila, Rajbari District, Dhaka Division, Bangladesh</t>
  </si>
  <si>
    <t>23.759977</t>
  </si>
  <si>
    <t xml:space="preserve">
89.49497</t>
  </si>
  <si>
    <t>138.31 Km</t>
  </si>
  <si>
    <t>Hospital Road, Boalia, Boalia, Pangsha, Rajbari, Dhaka, Bangladesh</t>
  </si>
  <si>
    <t>23.755867</t>
  </si>
  <si>
    <t xml:space="preserve">
89.48595</t>
  </si>
  <si>
    <t>139.69 Km</t>
  </si>
  <si>
    <t>Dhaka - Kushtia Highway, Paikara, Boalia, Pangsha, Rajbari, Dhaka, Bangladesh</t>
  </si>
  <si>
    <t>23.769888</t>
  </si>
  <si>
    <t xml:space="preserve">
89.43924</t>
  </si>
  <si>
    <t>146.83 Km</t>
  </si>
  <si>
    <t>Dhaka - Kushtia Highway, Moishala Morche Bus Stop, Paurashava, Pangsha, Rajbari, Dhaka, Bangladesh</t>
  </si>
  <si>
    <t>23.782658</t>
  </si>
  <si>
    <t xml:space="preserve">
89.409904</t>
  </si>
  <si>
    <t>151.35 Km</t>
  </si>
  <si>
    <t>Parnarayunpur Road, Paurashava, Pangsha, Rajbari, Dhaka, Bangladesh</t>
  </si>
  <si>
    <t>23.796255</t>
  </si>
  <si>
    <t xml:space="preserve">
89.41944</t>
  </si>
  <si>
    <t>149.97 Km</t>
  </si>
  <si>
    <t>Nambihin Rasta, Par Bhellabaria, Jashai, Pangsha, Rajbari, Dhaka, Bangladesh</t>
  </si>
  <si>
    <t>23.803658</t>
  </si>
  <si>
    <t xml:space="preserve">
89.398544</t>
  </si>
  <si>
    <t>153.21 Km</t>
  </si>
  <si>
    <t>কৃষ্ণপুর, Bahadurpur, Char Jhikri, Habaspur, Pangsha, Rajbari, Dhaka, Bangladesh</t>
  </si>
  <si>
    <t>23.850723</t>
  </si>
  <si>
    <t xml:space="preserve">
89.40943</t>
  </si>
  <si>
    <t>152.15 Km</t>
  </si>
  <si>
    <t>349.99 m</t>
  </si>
  <si>
    <t>Nambihin Rasta, Char Jhikri, Tarapur, Bahadurpur, Pangsha, Rajbari, Dhaka, Bangladesh</t>
  </si>
  <si>
    <t>23.869335</t>
  </si>
  <si>
    <t xml:space="preserve">
89.38384</t>
  </si>
  <si>
    <t>156.37 Km</t>
  </si>
  <si>
    <t>Pondit Kazi Abul Hossain College Road, Jashai, Bahadurpur, Pangsha, Rajbari, Dhaka 7720, Bangladesh</t>
  </si>
  <si>
    <t>23.869936</t>
  </si>
  <si>
    <t xml:space="preserve">
89.38046</t>
  </si>
  <si>
    <t>156.89 Km</t>
  </si>
  <si>
    <t>Nambihin Rasta, Jashai, Patikabari, Bahadurpur, Pangsha, Rajbari, Dhaka, Bangladesh</t>
  </si>
  <si>
    <t>23.849012</t>
  </si>
  <si>
    <t xml:space="preserve">
89.381386</t>
  </si>
  <si>
    <t>156.38 Km</t>
  </si>
  <si>
    <t>Jashai, Raghunandanpur, Bahadurpur, Pangsha, Rajbari, Dhaka, Bangladesh</t>
  </si>
  <si>
    <t>23.8661</t>
  </si>
  <si>
    <t xml:space="preserve">
89.38322</t>
  </si>
  <si>
    <t>156.4 Km</t>
  </si>
  <si>
    <t>Meghna High School, Meghna, Bahadurpur, Pangsha Upazila, Rajbari District, Dhaka Division, Bangladesh</t>
  </si>
  <si>
    <t>23.8502</t>
  </si>
  <si>
    <t xml:space="preserve">
89.36175</t>
  </si>
  <si>
    <t>159.38 Km</t>
  </si>
  <si>
    <t>Jashai, Meghna, Bahadurpur, Pangsha Upazila, Rajbari District, Dhaka Division, Bangladesh</t>
  </si>
  <si>
    <t>Ganganandadia, Habaspur, Pangsha Upazila, Rajbari District, Dhaka Division , Bangladesh</t>
  </si>
  <si>
    <t>23.82416</t>
  </si>
  <si>
    <t xml:space="preserve">
89.39542</t>
  </si>
  <si>
    <t>153.9 Km</t>
  </si>
  <si>
    <t>Machpara Road, Machpara, Machh Para, Machh Para, Pangsha Upazila, Rajbari District, Dhaka Division, Bangladesh</t>
  </si>
  <si>
    <t>23.805422</t>
  </si>
  <si>
    <t xml:space="preserve">
89.35722</t>
  </si>
  <si>
    <t>159.53 Km</t>
  </si>
  <si>
    <t>Rajbari - Kushtia Highway, Pangsha, Pangsha, Pangsha, Rajbari, Dhaka, Bangladesh</t>
  </si>
  <si>
    <t>23.78608</t>
  </si>
  <si>
    <t xml:space="preserve">
89.39253</t>
  </si>
  <si>
    <t>154.02 Km</t>
  </si>
  <si>
    <t>Paurashava, Pangsha, Rajbari, Dhaka, Bangladesh</t>
  </si>
  <si>
    <t>23.768564</t>
  </si>
  <si>
    <t xml:space="preserve">
89.420746</t>
  </si>
  <si>
    <t>149.65 Km</t>
  </si>
  <si>
    <t>5.71 km</t>
  </si>
  <si>
    <t>Dhaka - Faridpur Highway, Boithakhali, Majchar Kouarpur, Majchar, Faridpur Sadar, Faridpur, Dhaka, Bangladesh</t>
  </si>
  <si>
    <t>23.618055</t>
  </si>
  <si>
    <t xml:space="preserve">
89.770966</t>
  </si>
  <si>
    <t>98.91 Km</t>
  </si>
  <si>
    <t>Sultanpur, Fatehpur, Ishan Gopalpur, Faridpur Sadar, Faridpur, Dhaka, Bangladesh</t>
  </si>
  <si>
    <t>23.658907</t>
  </si>
  <si>
    <t xml:space="preserve">
89.73693</t>
  </si>
  <si>
    <t>102.68 Km</t>
  </si>
  <si>
    <t>Dhaka - Faridpur Highway, Ahladipur, Dhuldi Joypur, Shahid Wahabpur, Rajbari Sadar, Rajbari, Dhaka, Bangladesh</t>
  </si>
  <si>
    <t>23.672913</t>
  </si>
  <si>
    <t xml:space="preserve">
89.70592</t>
  </si>
  <si>
    <t>107.03 Km</t>
  </si>
  <si>
    <t>Dhaka - Kushtia Highway, Aladipur, Alipur, Rajbari Sadar, Rajbari, Dhaka, Bangladesh</t>
  </si>
  <si>
    <t>23.713959</t>
  </si>
  <si>
    <t xml:space="preserve">
89.66495</t>
  </si>
  <si>
    <t>112.59 Km</t>
  </si>
  <si>
    <t>8.02 km</t>
  </si>
  <si>
    <t>CSS, Dhaka - Kushtia Highway, Rajbari, Paurashava, Dhaka Division, Bangladesh</t>
  </si>
  <si>
    <t>23.74594</t>
  </si>
  <si>
    <t xml:space="preserve">
89.64614</t>
  </si>
  <si>
    <t>115.25 Km</t>
  </si>
  <si>
    <t>Afra, Belgachhi Chandpur, Chandani, Rajbari Sadar, Rajbari, Dhaka, Bangladesh</t>
  </si>
  <si>
    <t>23.756964</t>
  </si>
  <si>
    <t xml:space="preserve">
89.568245</t>
  </si>
  <si>
    <t>127.12 Km</t>
  </si>
  <si>
    <t>7.97 km</t>
  </si>
  <si>
    <t>Masuria, Boalia, Pangsha, Rajbari, Dhaka, Bangladesh</t>
  </si>
  <si>
    <t>23.740665</t>
  </si>
  <si>
    <t xml:space="preserve">
89.47715</t>
  </si>
  <si>
    <t>141.06 Km</t>
  </si>
  <si>
    <t>589, College Road, Paurashava, Pangsha, Rajbari, Dhaka, Bangladesh</t>
  </si>
  <si>
    <t>23.7887</t>
  </si>
  <si>
    <t xml:space="preserve">
89.419</t>
  </si>
  <si>
    <t>149.99 Km</t>
  </si>
  <si>
    <t>Teligati, Maurat, Pangsha Upazila, Rajbari District, Dhaka Division, Bangladesh</t>
  </si>
  <si>
    <t>23.734781</t>
  </si>
  <si>
    <t xml:space="preserve">
89.42434</t>
  </si>
  <si>
    <t>149.14 Km</t>
  </si>
  <si>
    <t>Nambihin Rasta, Mrigi, Ghatra, Saorail, Pangsha, Rajbari, Dhaka, Bangladesh</t>
  </si>
  <si>
    <t>23.673069</t>
  </si>
  <si>
    <t xml:space="preserve">
89.42167</t>
  </si>
  <si>
    <t>150.18 Km</t>
  </si>
  <si>
    <t>Nambihin Rasta, Mrigi, Bhiti, Saorail, Pangsha, Rajbari, Dhaka, Bangladesh</t>
  </si>
  <si>
    <t>23.672009</t>
  </si>
  <si>
    <t xml:space="preserve">
89.45189</t>
  </si>
  <si>
    <t>145.6 Km</t>
  </si>
  <si>
    <t>Akharjani, Asurhat, Patta, Pangsha Upazila, Rajbari District, Dhaka Division, Bangladesh</t>
  </si>
  <si>
    <t>23.710054</t>
  </si>
  <si>
    <t xml:space="preserve">
89.42662</t>
  </si>
  <si>
    <t>148.96 Km</t>
  </si>
  <si>
    <t>Bil Chatra, Jibannala, Maurat, Pangsha Upazila, Rajbari District, Dhaka Division, Bangladesh</t>
  </si>
  <si>
    <t>23.737253</t>
  </si>
  <si>
    <t xml:space="preserve">
89.405754</t>
  </si>
  <si>
    <t>151.97 Km</t>
  </si>
  <si>
    <t>তেলিগাতী সরকারি প্রাথমিক বিদ্যালয়, Pangsha, Teligati, Maurat, Rajbari District, Dhaka Division, Bangladesh</t>
  </si>
  <si>
    <t>23.749851</t>
  </si>
  <si>
    <t xml:space="preserve">
89.41732</t>
  </si>
  <si>
    <t>150.17 Km</t>
  </si>
  <si>
    <t>Nambihin Rasta, Kalikapur, Pangsha, Rajbari, Dhaka, Bangladesh</t>
  </si>
  <si>
    <t>23.77652</t>
  </si>
  <si>
    <t xml:space="preserve">
89.45545</t>
  </si>
  <si>
    <t>144.37 Km</t>
  </si>
  <si>
    <t>Boalia, Mohanpur, Majhbari, Pangsha, Rajbari, Dhaka, Bangladesh</t>
  </si>
  <si>
    <t>23.740396</t>
  </si>
  <si>
    <t xml:space="preserve">
89.49942</t>
  </si>
  <si>
    <t>Ramdia, Sonapur, Nawabpur, Baliakandi Upazila, Rajbari District, Dhaka Division, Bangladesh</t>
  </si>
  <si>
    <t>23.70134</t>
  </si>
  <si>
    <t xml:space="preserve">
89.51158</t>
  </si>
  <si>
    <t>136.1 Km</t>
  </si>
  <si>
    <t>আলাউদ্দিন খান রোড, Paurashava, Faridpur Sadar, Faridpur, Dhaka, Bangladesh</t>
  </si>
  <si>
    <t>23.606054</t>
  </si>
  <si>
    <t xml:space="preserve">
89.83287</t>
  </si>
  <si>
    <t>90.28 Km</t>
  </si>
  <si>
    <t>Main Building, N803, Police Line, Pashchim Khabashpur, Paurashava, Faridpur Sadar, Faridpur, Dhaka, Bangladesh</t>
  </si>
  <si>
    <t>23.608753</t>
  </si>
  <si>
    <t xml:space="preserve">
89.84566</t>
  </si>
  <si>
    <t>88.28 Km</t>
  </si>
  <si>
    <t>Matia Gorosthan , মাটিয়া গোরস্থান, Faridpur, Paurashava, Dhaka Division, Bangladesh</t>
  </si>
  <si>
    <t>23.604948</t>
  </si>
  <si>
    <t xml:space="preserve">
89.85542</t>
  </si>
  <si>
    <t>87.03 Km</t>
  </si>
  <si>
    <t>Faridpur, Alipur, Paurashava, Dhaka Division, Bangladesh</t>
  </si>
  <si>
    <t>23.610977</t>
  </si>
  <si>
    <t xml:space="preserve">
89.82861</t>
  </si>
  <si>
    <t>90.68 Km</t>
  </si>
  <si>
    <t>Dhaka - Faridpur Highway, Badarpur, Raghunandanpur, Ambikapur, Faridpur Sadar, Faridpur, Dhaka, Bangladesh</t>
  </si>
  <si>
    <t>23.591587</t>
  </si>
  <si>
    <t xml:space="preserve">
89.80042</t>
  </si>
  <si>
    <t>95.72 Km</t>
  </si>
  <si>
    <t>Dhaka - Faridpur Highway, Sultanpur, Chandipur, Majchar, Faridpur Sadar, Faridpur, Dhaka, Bangladesh</t>
  </si>
  <si>
    <t>23.629364</t>
  </si>
  <si>
    <t xml:space="preserve">
89.76528</t>
  </si>
  <si>
    <t>99.34 Km</t>
  </si>
  <si>
    <t>4.58 km</t>
  </si>
  <si>
    <t>Hatjhaupur, Ishan Gopalpur, Faridpur Sadar Upazila, Rajbari District, Dhaka Division, Bangladesh</t>
  </si>
  <si>
    <t>23.654444</t>
  </si>
  <si>
    <t xml:space="preserve">
89.728905</t>
  </si>
  <si>
    <t>104.01 Km</t>
  </si>
  <si>
    <t>Dhaka - Faridpur Highway, Ahladipur, Khankhanapur, Rajbari Sadar, Rajbari, Dhaka, Bangladesh</t>
  </si>
  <si>
    <t>23.68592</t>
  </si>
  <si>
    <t xml:space="preserve">
89.69986</t>
  </si>
  <si>
    <t>107.68 Km</t>
  </si>
  <si>
    <t>4.42 km</t>
  </si>
  <si>
    <t>Ahladipur, Kalyanpur, Alipur, Rajbari Sadar, Rajbari, Dhaka, Bangladesh</t>
  </si>
  <si>
    <t>23.706465</t>
  </si>
  <si>
    <t xml:space="preserve">
89.68799</t>
  </si>
  <si>
    <t>109.17 Km</t>
  </si>
  <si>
    <t>Aladipur, Sreepur, Dadshi, Rajbari Sadar Upazila, Rajbari District, Dhaka Division, Bangladesh</t>
  </si>
  <si>
    <t>23.738007</t>
  </si>
  <si>
    <t xml:space="preserve">
89.661575</t>
  </si>
  <si>
    <t>112.92 Km</t>
  </si>
  <si>
    <t>23.75849</t>
  </si>
  <si>
    <t xml:space="preserve">
89.61392</t>
  </si>
  <si>
    <t>120.15 Km</t>
  </si>
  <si>
    <t>7.46 km</t>
  </si>
  <si>
    <t>Kalukhali, Boalia, Majhbari, Pangsha Upazila, Rajbari District, Dhaka Division, Bangladesh</t>
  </si>
  <si>
    <t>বড় বাংলাট জামে মসজিদ, Pangsha, Ambaria, Boalia, Rajbari District, Dhaka Division, Bangladesh</t>
  </si>
  <si>
    <t>23.75197</t>
  </si>
  <si>
    <t xml:space="preserve">
89.449425</t>
  </si>
  <si>
    <t>145.27 Km</t>
  </si>
  <si>
    <t>Rajbari - Kushtia Highway, Paurashava, Pangsha, Rajbari, Dhaka, Bangladesh</t>
  </si>
  <si>
    <t>23.779985</t>
  </si>
  <si>
    <t xml:space="preserve">
89.42344</t>
  </si>
  <si>
    <t>149.27 Km</t>
  </si>
  <si>
    <t>Tofadia, Ratandia, Pangsha Upazila, Rajbari District, Dhaka Division, Bangladesh</t>
  </si>
  <si>
    <t>4.25 km</t>
  </si>
  <si>
    <t>23.764507</t>
  </si>
  <si>
    <t xml:space="preserve">
89.526634</t>
  </si>
  <si>
    <t>133.48 Km</t>
  </si>
  <si>
    <t>Surjanagor, Naodubi, Mizanpur, Rajbari Sadar, Rajbari, Dhaka, Bangladesh</t>
  </si>
  <si>
    <t>23.773396</t>
  </si>
  <si>
    <t xml:space="preserve">
89.592064</t>
  </si>
  <si>
    <t>123.52 Km</t>
  </si>
  <si>
    <t>5.55 km</t>
  </si>
  <si>
    <t>Bhobanipur Road, Paurashava, Rajbari Sadar, Rajbari, Dhaka, Bangladesh</t>
  </si>
  <si>
    <t>23.757938</t>
  </si>
  <si>
    <t xml:space="preserve">
89.63915</t>
  </si>
  <si>
    <t>116.3 Km</t>
  </si>
  <si>
    <t>মরিয়ম চক্ষু হাসপাতাল, 5403, Pirgachha Road, Rangpur, Paurashava, Bangladesh</t>
  </si>
  <si>
    <t>25.732782</t>
  </si>
  <si>
    <t xml:space="preserve">
89.28703</t>
  </si>
  <si>
    <t>368.93 Km</t>
  </si>
  <si>
    <t>Tatipara Road, Paurashava, Rangpur Sadar, Rangpur, Rangpur, Bangladesh</t>
  </si>
  <si>
    <t>25.736118</t>
  </si>
  <si>
    <t xml:space="preserve">
89.26826</t>
  </si>
  <si>
    <t>370.75 Km</t>
  </si>
  <si>
    <t>BRTC bus servicing center, Rangpur - Kurigram Highway, Rangpur, Paurashava, Bangladesh</t>
  </si>
  <si>
    <t>25.728533</t>
  </si>
  <si>
    <t xml:space="preserve">
89.27837</t>
  </si>
  <si>
    <t>368.92 Km</t>
  </si>
  <si>
    <t>Ridoy khan's house, Rangpur, Paurashava, Bangladesh</t>
  </si>
  <si>
    <t>25.743734</t>
  </si>
  <si>
    <t xml:space="preserve">
89.28717</t>
  </si>
  <si>
    <t>370.54 Km</t>
  </si>
  <si>
    <t>around Maddho Khasbag Jame Masjid, Rokeya College Road, Rangpur, Bangladesh</t>
  </si>
  <si>
    <t>জে বি সেন রোড, Paurashava, Rangpur Sadar, Rangpur, Rangpur, Bangladesh</t>
  </si>
  <si>
    <t>25.72128</t>
  </si>
  <si>
    <t xml:space="preserve">
89.28442</t>
  </si>
  <si>
    <t>367.42 Km</t>
  </si>
  <si>
    <t>Rokeya College Road, Paurashava, Rangpur Sadar, Rangpur, Rangpur, Bangladesh</t>
  </si>
  <si>
    <t>25.736826</t>
  </si>
  <si>
    <t xml:space="preserve">
89.28445</t>
  </si>
  <si>
    <t>369.71 Km</t>
  </si>
  <si>
    <t>Nambihin Rasta, Khurda Tamphat, Paurashava, Rangpur Sadar, Rangpur, Rangpur, Bangladesh</t>
  </si>
  <si>
    <t>25.71702</t>
  </si>
  <si>
    <t xml:space="preserve">
89.2762</t>
  </si>
  <si>
    <t>367.38 Km</t>
  </si>
  <si>
    <t>699.58 m</t>
  </si>
  <si>
    <t>Azim Uddin Road, Darshana, Paurashava, Rangpur Sadar, Rangpur, Bangladesh</t>
  </si>
  <si>
    <t>25.711079</t>
  </si>
  <si>
    <t xml:space="preserve">
89.256516</t>
  </si>
  <si>
    <t>367.92 Km</t>
  </si>
  <si>
    <t>13.9 km</t>
  </si>
  <si>
    <t>Nambihin Rasta, Jadabpur, Kafrikhal, Mithapukur, Rangpur, Bangladesh</t>
  </si>
  <si>
    <t>25.590702</t>
  </si>
  <si>
    <t xml:space="preserve">
89.307915</t>
  </si>
  <si>
    <t>346.61 Km</t>
  </si>
  <si>
    <t>12.76 km</t>
  </si>
  <si>
    <t>9.71 km</t>
  </si>
  <si>
    <t>Bogra - Rangpur Highway, Ramnathpur, Sayestapur, Pirganj Upazila, Rangpur District, Rangpur Division, Bangladesh</t>
  </si>
  <si>
    <t>25.358047</t>
  </si>
  <si>
    <t xml:space="preserve">
89.33784</t>
  </si>
  <si>
    <t>310.91 Km</t>
  </si>
  <si>
    <t>Sreepur-Tengra Road, Mawna, Mulaid, Telihati, Sreepur, Gazipur, Dhaka 1740, Bangladesh</t>
  </si>
  <si>
    <t>24.23764</t>
  </si>
  <si>
    <t xml:space="preserve">
90.40471</t>
  </si>
  <si>
    <t>77.52 Km</t>
  </si>
  <si>
    <t>Mawna, Dhanua, Telihati, Sreepur, Gazipur, Dhaka, Bangladesh</t>
  </si>
  <si>
    <t>24.252365</t>
  </si>
  <si>
    <t xml:space="preserve">
90.409615</t>
  </si>
  <si>
    <t>79.96 Km</t>
  </si>
  <si>
    <t>Nambihin Rasta, Mawna, Maona, Sreepur, Gazipur, Dhaka, Bangladesh</t>
  </si>
  <si>
    <t>24.252865</t>
  </si>
  <si>
    <t xml:space="preserve">
90.39593</t>
  </si>
  <si>
    <t>80.1 Km</t>
  </si>
  <si>
    <t>Mawna Union, Maona, Sreepur, Gazipur, Dhaka, Bangladesh</t>
  </si>
  <si>
    <t xml:space="preserve">
90.39224</t>
  </si>
  <si>
    <t>78.55 Km</t>
  </si>
  <si>
    <t>398.02 m</t>
  </si>
  <si>
    <t>24.252386</t>
  </si>
  <si>
    <t xml:space="preserve">
90.39204</t>
  </si>
  <si>
    <t>80.05 Km</t>
  </si>
  <si>
    <t>Zaber Mills Road, Mawna, Maona, Sreepur, Gazipur, Dhaka, Bangladesh</t>
  </si>
  <si>
    <t>24.246464</t>
  </si>
  <si>
    <t xml:space="preserve">
90.39888</t>
  </si>
  <si>
    <t>79.02 Km</t>
  </si>
  <si>
    <t>771.94 m</t>
  </si>
  <si>
    <t>871.57 m</t>
  </si>
  <si>
    <t>Nambihin Rasta, Mawna, Maona, Sreepur, Gazipur, Dhaka 8080, Bangladesh</t>
  </si>
  <si>
    <t>24.228502</t>
  </si>
  <si>
    <t xml:space="preserve">
90.399605</t>
  </si>
  <si>
    <t>76.02 Km</t>
  </si>
  <si>
    <t>Dhaka - Mymensingh Road, Mawna, Mulaid, Telihati, Sreepur, Gazipur, Dhaka, Bangladesh</t>
  </si>
  <si>
    <t>24.231241</t>
  </si>
  <si>
    <t xml:space="preserve">
90.40766</t>
  </si>
  <si>
    <t>76.45 Km</t>
  </si>
  <si>
    <t>753.43 m</t>
  </si>
  <si>
    <t>883.81 m</t>
  </si>
  <si>
    <t>Shapla Road, Rangpur, Paurashava, Bangladesh</t>
  </si>
  <si>
    <t>25.742224</t>
  </si>
  <si>
    <t xml:space="preserve">
89.254364</t>
  </si>
  <si>
    <t>372.64 Km</t>
  </si>
  <si>
    <t>Nambihin Rasta, Darshana, Sekh Para, Tamphat, Rangpur Sadar, Rangpur, Bangladesh</t>
  </si>
  <si>
    <t>25.701376</t>
  </si>
  <si>
    <t xml:space="preserve">
89.25713</t>
  </si>
  <si>
    <t>366.46 Km</t>
  </si>
  <si>
    <t>Dhaka - Rangpur Highway, Atharakotha, Pairaband, Mithapukur, Rangpur 5460, Bangladesh</t>
  </si>
  <si>
    <t>25.671005</t>
  </si>
  <si>
    <t xml:space="preserve">
89.27271</t>
  </si>
  <si>
    <t>360.89 Km</t>
  </si>
  <si>
    <t>Balarhat - Mithapukur Road, Bara Hazratpur, Khurda Shantipur, Latifpur, Mithapukur, Rangpur, Bangladesh</t>
  </si>
  <si>
    <t>25.583155</t>
  </si>
  <si>
    <t xml:space="preserve">
89.27768</t>
  </si>
  <si>
    <t>347.76 Km</t>
  </si>
  <si>
    <t>Shathibari Road, Shitalgari, Durgapur, Mithapukur, Rangpur, Bangladesh</t>
  </si>
  <si>
    <t>25.537811</t>
  </si>
  <si>
    <t xml:space="preserve">
89.29285</t>
  </si>
  <si>
    <t>340.08 Km</t>
  </si>
  <si>
    <t>Nambihin Rasta, Kanthali, Durgapur, Mithapukur, Rangpur, Bangladesh</t>
  </si>
  <si>
    <t>25.52182</t>
  </si>
  <si>
    <t xml:space="preserve">
89.292366</t>
  </si>
  <si>
    <t>337.81 Km</t>
  </si>
  <si>
    <t>Dhaka - Rangpur Highway, Makimpur, Pirganj Union, Pirganj, Rangpur, Bangladesh</t>
  </si>
  <si>
    <t>25.429682</t>
  </si>
  <si>
    <t xml:space="preserve">
89.30941</t>
  </si>
  <si>
    <t>323.32 Km</t>
  </si>
  <si>
    <t>Bogura - Rangpur Highway, Osmanpur, Pirganj Union, Pirganj, Rangpur, Bangladesh</t>
  </si>
  <si>
    <t>25.41506</t>
  </si>
  <si>
    <t xml:space="preserve">
89.32164</t>
  </si>
  <si>
    <t>320.28 Km</t>
  </si>
  <si>
    <t>N5, Ramnathpur, Madarpur, Ramnathpur Union, Pirganj, Rangpur, Bangladesh</t>
  </si>
  <si>
    <t>25.366089</t>
  </si>
  <si>
    <t xml:space="preserve">
89.33099</t>
  </si>
  <si>
    <t>312.59 Km</t>
  </si>
  <si>
    <t>10.12 km</t>
  </si>
  <si>
    <t>Bishnupur, Kabilpur, Pirganj, Rangpur, Bangladesh</t>
  </si>
  <si>
    <t>3.25 km</t>
  </si>
  <si>
    <t>5730, Dhaka - Gaibandha Highway, Idilpur, Bara Gopalpur, Betkapa, Palashbari, Gaibandha, Rangpur, Bangladesh</t>
  </si>
  <si>
    <t>25.30267</t>
  </si>
  <si>
    <t xml:space="preserve">
89.42939</t>
  </si>
  <si>
    <t>295.84 Km</t>
  </si>
  <si>
    <t>28, 2, Road 138, Gulshan 1, Ward-19, Gulshan, Dhaka, Dhaka 1212, Bangladesh</t>
  </si>
  <si>
    <t>23.777967</t>
  </si>
  <si>
    <t xml:space="preserve">
90.41706</t>
  </si>
  <si>
    <t>837.04 m</t>
  </si>
  <si>
    <t>Shimul Ahmed</t>
  </si>
  <si>
    <t>1700, Tongi - Ghorashal Highway, Tongi, Majukhan, Pubail, Gazipur Sadar, Gazipur, Dhaka, Bangladesh</t>
  </si>
  <si>
    <t>23.920149</t>
  </si>
  <si>
    <t xml:space="preserve">
90.43425</t>
  </si>
  <si>
    <t>24.7 Km</t>
  </si>
  <si>
    <t>Haydrabad Madrasha Road, Hydarabad, Pubail, Gazipur Sadar Upazila, Gazipur District, Dhaka Division, Bangladesh</t>
  </si>
  <si>
    <t>23.9166</t>
  </si>
  <si>
    <t xml:space="preserve">
90.40919</t>
  </si>
  <si>
    <t>23.98 Km</t>
  </si>
  <si>
    <t>Tongi - Kaliganj Highway, Tongi, Tongi Paurashava, Gazipur Sadar, Gazipur, Dhaka, Bangladesh</t>
  </si>
  <si>
    <t>23.907583</t>
  </si>
  <si>
    <t xml:space="preserve">
90.421005</t>
  </si>
  <si>
    <t>22.46 Km</t>
  </si>
  <si>
    <t>23.92436</t>
  </si>
  <si>
    <t xml:space="preserve">
90.40499</t>
  </si>
  <si>
    <t>Ershadnagar, Tongi, Tongi Paurashava, Gazipur Sadar, Gazipur, Dhaka, Bangladesh</t>
  </si>
  <si>
    <t>23.922781</t>
  </si>
  <si>
    <t xml:space="preserve">
90.40477</t>
  </si>
  <si>
    <t>25.05 Km</t>
  </si>
  <si>
    <t>25, Bonomala Road, Bonomala, Tongi, Tongi Paurashava, Gazipur Sadar, Gazipur, Dhaka, Bangladesh</t>
  </si>
  <si>
    <t>23.914066</t>
  </si>
  <si>
    <t xml:space="preserve">
90.41224</t>
  </si>
  <si>
    <t>23.54 Km</t>
  </si>
  <si>
    <t>Tongi, Khalikair, Pubail, Gazipur Sadar, Gazipur, Dhaka, Bangladesh</t>
  </si>
  <si>
    <t>23.933998</t>
  </si>
  <si>
    <t xml:space="preserve">
90.40437</t>
  </si>
  <si>
    <t>26.92 Km</t>
  </si>
  <si>
    <t>Deger Chla Road, ঝাজর, পাকাব্রিজ, Khalikair, Gachha, Gazipur Sadar, Gazipur, Dhaka, Bangladesh</t>
  </si>
  <si>
    <t>23.957165</t>
  </si>
  <si>
    <t xml:space="preserve">
90.39212</t>
  </si>
  <si>
    <t>30.94 Km</t>
  </si>
  <si>
    <t>50, Sardi Road, Chandna (Part), Basan, Gazipur Sadar, Gazipur, Dhaka, Bangladesh</t>
  </si>
  <si>
    <t>23.985762</t>
  </si>
  <si>
    <t xml:space="preserve">
90.39643</t>
  </si>
  <si>
    <t>35.62 Km</t>
  </si>
  <si>
    <t>38.26 Km</t>
  </si>
  <si>
    <t>23.985615</t>
  </si>
  <si>
    <t xml:space="preserve">
90.39642</t>
  </si>
  <si>
    <t>35.6 Km</t>
  </si>
  <si>
    <t>Dhaka City Bypass, Mugurkhal, Basan, Gazipur Sadar, Gazipur, Dhaka, Bangladesh</t>
  </si>
  <si>
    <t>23.973337</t>
  </si>
  <si>
    <t xml:space="preserve">
90.395905</t>
  </si>
  <si>
    <t>33.56 Km</t>
  </si>
  <si>
    <t>35.44 Km</t>
  </si>
  <si>
    <t>830.15 m</t>
  </si>
  <si>
    <t>Moiran Road, Mairan, Gachha, Gazipur Sadar, Gazipur, Dhaka, Bangladesh</t>
  </si>
  <si>
    <t>23.95226</t>
  </si>
  <si>
    <t xml:space="preserve">
90.405</t>
  </si>
  <si>
    <t>29.95 Km</t>
  </si>
  <si>
    <t>modur ma mazar, 35, Bonomala Road, Bonomala, Tongi, Tongi Paurashava, Gazipur Sadar, Gazipur, Dhaka, Bangladesh</t>
  </si>
  <si>
    <t>Osman Goni Road, Dattapara, Tongi, Tongi Paurashava, Gazipur Sadar, Gazipur, Dhaka, Bangladesh</t>
  </si>
  <si>
    <t>23.909016</t>
  </si>
  <si>
    <t xml:space="preserve">
90.40012</t>
  </si>
  <si>
    <t>22.83 Km</t>
  </si>
  <si>
    <t>315.8 m</t>
  </si>
  <si>
    <t>Morkun, Tongi, Tongi Paurashava, Gazipur Sadar, Gazipur, Dhaka, Bangladesh</t>
  </si>
  <si>
    <t>23.904898</t>
  </si>
  <si>
    <t xml:space="preserve">
90.4104</t>
  </si>
  <si>
    <t>22.02 Km</t>
  </si>
  <si>
    <t>307.51 m</t>
  </si>
  <si>
    <t>81, R301, Morkun, Tongi, Tongi Paurashava, Gazipur Sadar, Gazipur, Dhaka 1710, Bangladesh</t>
  </si>
  <si>
    <t>23.90224</t>
  </si>
  <si>
    <t xml:space="preserve">
90.41149</t>
  </si>
  <si>
    <t>21.57 Km</t>
  </si>
  <si>
    <t>Tongi - Ghorashal Highway, Morkun, Tongi, Tongi Paurashava, Gazipur Sadar, Gazipur, Dhaka, Bangladesh</t>
  </si>
  <si>
    <t>23.903183</t>
  </si>
  <si>
    <t xml:space="preserve">
90.41434</t>
  </si>
  <si>
    <t>21.72 Km</t>
  </si>
  <si>
    <t>Squibb Road, Auchpara, Tongi, Tongi Paurashava, Gazipur Sadar, Gazipur, Dhaka, Bangladesh</t>
  </si>
  <si>
    <t>23.904654</t>
  </si>
  <si>
    <t xml:space="preserve">
90.39777</t>
  </si>
  <si>
    <t>22.15 Km</t>
  </si>
  <si>
    <t>Nuvista Pharmaceuticals Ltd., Dhaka - Mymensingh Road, Tongi Industrial Area, Tongi, Tongi Paurashava, Gazipur Sadar, Gazipur, Dhaka, Bangladesh</t>
  </si>
  <si>
    <t>23.899073</t>
  </si>
  <si>
    <t xml:space="preserve">
90.39979</t>
  </si>
  <si>
    <t>21.18 Km</t>
  </si>
  <si>
    <t>443.49 m</t>
  </si>
  <si>
    <t>টেনোটো, Tongi, Gazipur Sadar Upazila, Gazipur District, Dhaka Division, Bangladesh, 1230</t>
  </si>
  <si>
    <t>23.884745</t>
  </si>
  <si>
    <t xml:space="preserve">
90.41167</t>
  </si>
  <si>
    <t>18.66 Km</t>
  </si>
  <si>
    <t>DHAKA CARRIERS (PVT.) LTD, Tongi, Dhaka Division, Bangladesh, Tongi, Gazipur Sadar Upazila, Gazipur District, Dhaka Division, Bangladesh, 1710</t>
  </si>
  <si>
    <t>Tongi Police Station, Tongi - Kaliganj Highway, Tongi, Gazipur Sadar Upazila, Gazipur District, Dhaka Division, Bangladesh</t>
  </si>
  <si>
    <t>Mokdom Ali Munshi Road, Auchpara, Tongi, Gazipur Sadar Upazila, Gazipur District, Dhaka Division, Bangladesh</t>
  </si>
  <si>
    <t>23.905638</t>
  </si>
  <si>
    <t xml:space="preserve">
90.389015</t>
  </si>
  <si>
    <t>22.52 Km</t>
  </si>
  <si>
    <t>Dia Bari Road, Uttara Residential Model Town, Harirampur, Turag, Dhaka, Dhaka 1230, Bangladesh</t>
  </si>
  <si>
    <t>23.869602</t>
  </si>
  <si>
    <t xml:space="preserve">
90.36655</t>
  </si>
  <si>
    <t>17.82 Km</t>
  </si>
  <si>
    <t>R C Mojumder Auditorium, TSC, Secretariate Road, Dhaka University Campus, Ward-56, Ramna, Dhaka, Dhaka 1000, Bangladesh</t>
  </si>
  <si>
    <t>23.732393</t>
  </si>
  <si>
    <t xml:space="preserve">
90.39608</t>
  </si>
  <si>
    <t>7.45 Km</t>
  </si>
  <si>
    <t>4th Floor Office, 7, তোপখানা রোড, Shegunbagicha, রমনা, ঢাকা, Ward-56, Ramna, ঢাকা জেলা, ঢাকা বিভাগ 1205, Bangladesh</t>
  </si>
  <si>
    <t>23.73211</t>
  </si>
  <si>
    <t xml:space="preserve">
90.408844</t>
  </si>
  <si>
    <t>65b, Lutfar Rahman Lane, Shuritola, Bangshal, Ward-71, Kotwali, Dhaka, Dhaka, Bangladesh</t>
  </si>
  <si>
    <t>23.718252</t>
  </si>
  <si>
    <t xml:space="preserve">
90.40966</t>
  </si>
  <si>
    <t>9.19 Km</t>
  </si>
  <si>
    <t>196/a, Bangshal Road, Old Dhaka, Bangshal, Ward No-69, Kotwali, Dhaka, Dhaka 1100, Bangladesh</t>
  </si>
  <si>
    <t>23.717882</t>
  </si>
  <si>
    <t xml:space="preserve">
90.40616</t>
  </si>
  <si>
    <t>55, Kazi Alauddin Road, Bongo Bazaar, Old Dhaka, Bangshal, Ward No-69, Kotwali, Dhaka, Dhaka 1000, Bangladesh</t>
  </si>
  <si>
    <t>23.722372</t>
  </si>
  <si>
    <t xml:space="preserve">
90.405556</t>
  </si>
  <si>
    <t>8.6 Km</t>
  </si>
  <si>
    <t>192.43 m</t>
  </si>
  <si>
    <t>23.732258</t>
  </si>
  <si>
    <t xml:space="preserve">
90.396194</t>
  </si>
  <si>
    <t>7.46 Km</t>
  </si>
  <si>
    <t>NDT BUILDING, 4, Kazi Nazrul Islam Avenue, Dhaka University, Shahbagh, Ward-56, Ramna, Dhaka, Dhaka 1000, Bangladesh</t>
  </si>
  <si>
    <t>23.731403</t>
  </si>
  <si>
    <t xml:space="preserve">
90.397835</t>
  </si>
  <si>
    <t>7.49 Km</t>
  </si>
  <si>
    <t>03, মিরপুর ১০ নং গোলচত্বর, Senpara Parbata, মিরপুর, ঢাকা, Ward No-14 (Part), Mirpur, ঢাকা জেলা, ঢাকা বিভাগ 1216, Bangladesh</t>
  </si>
  <si>
    <t>23.80666</t>
  </si>
  <si>
    <t xml:space="preserve">
90.36999</t>
  </si>
  <si>
    <t>Avenue 1, Sector 18, Uttara Residential Model Town, Harirampur, Turag, Dhaka, Dhaka 1230, Bangladesh</t>
  </si>
  <si>
    <t>23.860785</t>
  </si>
  <si>
    <t xml:space="preserve">
90.363335</t>
  </si>
  <si>
    <t>16.74 Km</t>
  </si>
  <si>
    <t>4.92 km</t>
  </si>
  <si>
    <t>Nambihin Rasta, Uttara Residential Model Town, Uttara, Harirampur, Turag, Dhaka, Dhaka 1230, Bangladesh</t>
  </si>
  <si>
    <t>23.87978</t>
  </si>
  <si>
    <t xml:space="preserve">
90.37245</t>
  </si>
  <si>
    <t>19.04 Km</t>
  </si>
  <si>
    <t>Abdullah Pur - Ate Para Road, Dakshin Khan, Dhaka, Dakshin Khan, Dakshin Khan, Bangladesh, 1230</t>
  </si>
  <si>
    <t>23.880003</t>
  </si>
  <si>
    <t xml:space="preserve">
90.40867</t>
  </si>
  <si>
    <t>17.89 Km</t>
  </si>
  <si>
    <t>Dhaka - Mymensingh Highway, Dattapara, Tongi, Tongi Paurashava, Gazipur Sadar, Gazipur, Dhaka, Bangladesh</t>
  </si>
  <si>
    <t>23.907988</t>
  </si>
  <si>
    <t xml:space="preserve">
90.39864</t>
  </si>
  <si>
    <t>22.68 Km</t>
  </si>
  <si>
    <t>28.63 Km</t>
  </si>
  <si>
    <t>73, এম এম তোহা রোড, Auchpara, Tongi, Tongi Paurashava, Gazipur Sadar, Gazipur, Dhaka 1711, Bangladesh</t>
  </si>
  <si>
    <t>23.905767</t>
  </si>
  <si>
    <t xml:space="preserve">
90.39163</t>
  </si>
  <si>
    <t>22.47 Km</t>
  </si>
  <si>
    <t>Ershad Nagar 7 Block Jame Masjid, Tongi, Gazipur Sadar Upazila, Gazipur District, Dhaka Division, Bangladesh</t>
  </si>
  <si>
    <t>23.920145</t>
  </si>
  <si>
    <t xml:space="preserve">
90.40202</t>
  </si>
  <si>
    <t>24.64 Km</t>
  </si>
  <si>
    <t>কলা বাগান রোড, Dattapara, Tongi, Tongi Paurashava, Gazipur Sadar, Gazipur, Dhaka, Bangladesh</t>
  </si>
  <si>
    <t>23.907604</t>
  </si>
  <si>
    <t>22.53 Km</t>
  </si>
  <si>
    <t>1, Bazar Road, Khilkhet, Ward No-17 (Part), Badda, Dhaka, Dhaka 1229, Bangladesh</t>
  </si>
  <si>
    <t>23.829697</t>
  </si>
  <si>
    <t xml:space="preserve">
90.42204</t>
  </si>
  <si>
    <t>9.5 Km</t>
  </si>
  <si>
    <t>5.55 Km</t>
  </si>
  <si>
    <t>2.71 Km</t>
  </si>
  <si>
    <t>2, United Nations Road, Baridhara, Ward-18, Gulshan, Dhaka, Dhaka 1212, Bangladesh</t>
  </si>
  <si>
    <t>23.795427</t>
  </si>
  <si>
    <t xml:space="preserve">
90.42166</t>
  </si>
  <si>
    <t>3.83 Km</t>
  </si>
  <si>
    <t>Kuril Flyover, Kuril, Ward No-17 (Part), Badda, Dhaka, Dhaka, Bangladesh</t>
  </si>
  <si>
    <t>23.822025</t>
  </si>
  <si>
    <t xml:space="preserve">
90.421585</t>
  </si>
  <si>
    <t>8.22 Km</t>
  </si>
  <si>
    <t>14/A, Dhaka - Mymensingh Road, Sector 3, Dhaka North City Corporation, Ward-01, Uttara, Dhaka, Dhaka 1230, Bangladesh</t>
  </si>
  <si>
    <t>23.862295</t>
  </si>
  <si>
    <t xml:space="preserve">
90.39974</t>
  </si>
  <si>
    <t>15.11 Km</t>
  </si>
  <si>
    <t>653.25 m</t>
  </si>
  <si>
    <t>390.94 m</t>
  </si>
  <si>
    <t>Nambihin Rasta, Char Pakshimari, Sherpur Sadar, Sherpur, Mymensingh, Bangladesh</t>
  </si>
  <si>
    <t>24.951822</t>
  </si>
  <si>
    <t xml:space="preserve">
89.95118</t>
  </si>
  <si>
    <t>208.94 Km</t>
  </si>
  <si>
    <t>Sherpur - Jhenaigati Road, Dighaldi, Lakshmanpur, Sherpur Sadar, Sherpur, Mymensingh 2100, Bangladesh</t>
  </si>
  <si>
    <t>24.980934</t>
  </si>
  <si>
    <t xml:space="preserve">
89.98995</t>
  </si>
  <si>
    <t>211.64 Km</t>
  </si>
  <si>
    <t>Kusumhati - Kamarer Char Hat Road, Krishnapur, Paurashava, Sherpur Sadar, Sherpur, Mymensingh, Bangladesh</t>
  </si>
  <si>
    <t>24.995981</t>
  </si>
  <si>
    <t xml:space="preserve">
90.0005</t>
  </si>
  <si>
    <t>213.55 Km</t>
  </si>
  <si>
    <t>Nambihin Rasta, Kusumhati Bazar, Lakshmanpur, Sherpur Sadar, Sherpur, Mymensingh, Bangladesh</t>
  </si>
  <si>
    <t>24.990297</t>
  </si>
  <si>
    <t xml:space="preserve">
89.991325</t>
  </si>
  <si>
    <t>213.06 Km</t>
  </si>
  <si>
    <t>Nandir Bazar - Jhagrarchar - Bakshiganj Road, Kamarerchara, Char Babna, Char Mucharia, Sherpur Sadar, Sherpur, Mymensingh, Bangladesh</t>
  </si>
  <si>
    <t>25.01511</t>
  </si>
  <si>
    <t xml:space="preserve">
89.93317</t>
  </si>
  <si>
    <t>219.8 Km</t>
  </si>
  <si>
    <t>Nambihin Rasta, Char Serpur, Char Sherpur, Sherpur Sadar, Sherpur, Mymensingh, Bangladesh</t>
  </si>
  <si>
    <t>25.020273</t>
  </si>
  <si>
    <t xml:space="preserve">
89.96791</t>
  </si>
  <si>
    <t>218.91 Km</t>
  </si>
  <si>
    <t>Nambihin Rasta, Krishnapur, Muksedpur, Lakshmanpur, Sherpur Sadar, Sherpur, Mymensingh, Bangladesh</t>
  </si>
  <si>
    <t>24.976265</t>
  </si>
  <si>
    <t xml:space="preserve">
89.975655</t>
  </si>
  <si>
    <t>211.58 Km</t>
  </si>
  <si>
    <t>R460, Krishnapur, Char Pakshimari, Sherpur Sadar, Sherpur, Mymensingh, Bangladesh</t>
  </si>
  <si>
    <t>24.961601</t>
  </si>
  <si>
    <t xml:space="preserve">
89.96395</t>
  </si>
  <si>
    <t>209.83 Km</t>
  </si>
  <si>
    <t>R460, Char Pakshimari, Sherpur Sadar, Sherpur, Mymensingh, Bangladesh</t>
  </si>
  <si>
    <t>24.94181</t>
  </si>
  <si>
    <t xml:space="preserve">
89.96307</t>
  </si>
  <si>
    <t>686 m</t>
  </si>
  <si>
    <t>Baniya bazar, Char Pakshimari, Sherpur Sadar, Jamalpur, Mymensingh, Bangladesh</t>
  </si>
  <si>
    <t>24.924131</t>
  </si>
  <si>
    <t xml:space="preserve">
89.96293</t>
  </si>
  <si>
    <t>204 Km</t>
  </si>
  <si>
    <t>1, Palpara Road, Char Pakshimari, Sherpur Sadar, Jamalpur, Mymensingh, Bangladesh</t>
  </si>
  <si>
    <t>24.929188</t>
  </si>
  <si>
    <t xml:space="preserve">
89.95903</t>
  </si>
  <si>
    <t>204.99 Km</t>
  </si>
  <si>
    <t>Paurashava, Jamalpur Sadar, Jamalpur, Mymensingh, Bangladesh</t>
  </si>
  <si>
    <t>555.85 m</t>
  </si>
  <si>
    <t>নতুন বাইপাস মোড়, Jamalpur Bus Stand, Paurashava, Jamalpur Sadar, Jamalpur, Mymensingh 2000, Bangladesh</t>
  </si>
  <si>
    <t>24.904594</t>
  </si>
  <si>
    <t xml:space="preserve">
89.94846</t>
  </si>
  <si>
    <t>201.7 Km</t>
  </si>
  <si>
    <t>Rashida Biri Factory, East, Mukanda Bari Road, Paurashava, Jamalpur Sadar, Jamalpur, Mymensingh, Bangladesh</t>
  </si>
  <si>
    <t>24.917536</t>
  </si>
  <si>
    <t xml:space="preserve">
89.96002</t>
  </si>
  <si>
    <t>203.11 Km</t>
  </si>
  <si>
    <t>2, Basakpara Road, Paurashava, Jamalpur Sadar, Jamalpur, Mymensingh 2000, Bangladesh</t>
  </si>
  <si>
    <t>24.924057</t>
  </si>
  <si>
    <t xml:space="preserve">
89.95189</t>
  </si>
  <si>
    <t>204.56 Km</t>
  </si>
  <si>
    <t>Jamalpur - Meledah Road, Jamalpur Court Railway Station, Compopur, Paurashava, Jamalpur Sadar, Jamalpur, Mymensingh 2000, Bangladesh</t>
  </si>
  <si>
    <t>24.944368</t>
  </si>
  <si>
    <t xml:space="preserve">
89.9166</t>
  </si>
  <si>
    <t>Melendaha - Jamalpur Road, Shihata, Bajardi Para, Nayanagar, Melandaha, Jamalpur, Mymensingh, Bangladesh</t>
  </si>
  <si>
    <t>24.950333</t>
  </si>
  <si>
    <t xml:space="preserve">
89.86612</t>
  </si>
  <si>
    <t>213.43 Km</t>
  </si>
  <si>
    <t>Islampur - Melendah Road, Melandaha, Shahajadpur, Melandaha Paurashava, Islampur, Jamalpur, Mymensingh, Bangladesh</t>
  </si>
  <si>
    <t>24.989683</t>
  </si>
  <si>
    <t xml:space="preserve">
89.846375</t>
  </si>
  <si>
    <t>220.64 Km</t>
  </si>
  <si>
    <t>Char Pangsi, Durmut, Melandaha Upazila, Jamalpur District, Mymensingh Division, Bangladesh</t>
  </si>
  <si>
    <t>25.040588</t>
  </si>
  <si>
    <t xml:space="preserve">
89.82203</t>
  </si>
  <si>
    <t>229.9 Km</t>
  </si>
  <si>
    <t>8.31 km</t>
  </si>
  <si>
    <t>Nambihin Rasta, Malmara, Dariabad, Durmut, Melandaha, Jamalpur, Mymensingh, Bangladesh</t>
  </si>
  <si>
    <t>25.070639</t>
  </si>
  <si>
    <t xml:space="preserve">
89.80149</t>
  </si>
  <si>
    <t>235.73 Km</t>
  </si>
  <si>
    <t>798.89 m</t>
  </si>
  <si>
    <t>Char Bhabasur, Dewanganj, Dewanganj, Jamalpur, Mymensingh, Bangladesh</t>
  </si>
  <si>
    <t>25.138567</t>
  </si>
  <si>
    <t xml:space="preserve">
89.76703</t>
  </si>
  <si>
    <t>248.19 Km</t>
  </si>
  <si>
    <t>Char Bhabasur, Dewanganj, Dewanganj, Jamalpur, Mymensingh 2031, Bangladesh</t>
  </si>
  <si>
    <t>25.133839</t>
  </si>
  <si>
    <t xml:space="preserve">
89.761055</t>
  </si>
  <si>
    <t>247.83 Km</t>
  </si>
  <si>
    <t>Taltola, Chukaibari, Dewanganj, Jamalpur, Mymensingh, Bangladesh</t>
  </si>
  <si>
    <t>25.167318</t>
  </si>
  <si>
    <t xml:space="preserve">
89.752106</t>
  </si>
  <si>
    <t>253.49 Km</t>
  </si>
  <si>
    <t>Dewanganj - Bahadurabad Road, Madarer Char, Bahadurabad, Dewanganj, Jamalpur, Mymensingh, Bangladesh</t>
  </si>
  <si>
    <t>25.20779</t>
  </si>
  <si>
    <t xml:space="preserve">
89.77276</t>
  </si>
  <si>
    <t>258.49 Km</t>
  </si>
  <si>
    <t>6.92 km</t>
  </si>
  <si>
    <t>Bahadurabad, Bahadurabad, Dewanganj, Jamalpur, Mymensingh, Bangladesh</t>
  </si>
  <si>
    <t>25.252535</t>
  </si>
  <si>
    <t xml:space="preserve">
89.77798</t>
  </si>
  <si>
    <t>265.12 Km</t>
  </si>
  <si>
    <t>Par Ramrampur, Par Ramrampur, Dewanganj, Jamalpur, Mymensingh, Bangladesh</t>
  </si>
  <si>
    <t>25.31461</t>
  </si>
  <si>
    <t xml:space="preserve">
89.78351</t>
  </si>
  <si>
    <t>274.48 Km</t>
  </si>
  <si>
    <t>Taratia Bazar - Sanandabari Road, Dangdhara, Par Ramrampur, Dewanganj, Jamalpur, Mymensingh, Bangladesh</t>
  </si>
  <si>
    <t>25.32966</t>
  </si>
  <si>
    <t xml:space="preserve">
89.790565</t>
  </si>
  <si>
    <t>276.46 Km</t>
  </si>
  <si>
    <t>Par Ramrampur, Char Aomkhaoa, Dewanganj, Jamalpur, Mymensingh, Bangladesh</t>
  </si>
  <si>
    <t>25.320343</t>
  </si>
  <si>
    <t xml:space="preserve">
89.7638</t>
  </si>
  <si>
    <t>276.43 Km</t>
  </si>
  <si>
    <t>Sanandabari Hat, Sanandabari, Char Aomkhaoa, Dewanganj, Jamalpur, Mymensingh, Bangladesh</t>
  </si>
  <si>
    <t>25.35796</t>
  </si>
  <si>
    <t xml:space="preserve">
89.77084</t>
  </si>
  <si>
    <t>281.92 Km</t>
  </si>
  <si>
    <t>Naya Char, Dangdhara, Dewanganj, Jamalpur, Mymensingh, Bangladesh</t>
  </si>
  <si>
    <t>25.382595</t>
  </si>
  <si>
    <t xml:space="preserve">
89.77348</t>
  </si>
  <si>
    <t>285.63 Km</t>
  </si>
  <si>
    <t>Karkhana, Dangdhara, Dewanganj, Jamalpur, Mymensingh, Bangladesh</t>
  </si>
  <si>
    <t>25.41056</t>
  </si>
  <si>
    <t xml:space="preserve">
89.800224</t>
  </si>
  <si>
    <t>288.68 Km</t>
  </si>
  <si>
    <t>Thana Road, Char Rajibpur, Rajibpur, Dangdhara, Dewanganj, Jamalpur, Mymensingh, Bangladesh</t>
  </si>
  <si>
    <t>25.431973</t>
  </si>
  <si>
    <t xml:space="preserve">
89.78397</t>
  </si>
  <si>
    <t>292.86 Km</t>
  </si>
  <si>
    <t>Sabujbag Road, Sabujbag, Char Rajibpur, Char Rajibpur, Kurigram, Rangpur, Bangladesh</t>
  </si>
  <si>
    <t>25.440575</t>
  </si>
  <si>
    <t xml:space="preserve">
89.787605</t>
  </si>
  <si>
    <t>294.03 Km</t>
  </si>
  <si>
    <t>Pond View, College Road, Char Rajibpur, Kurigram District, Rangpur Division, Bangladesh</t>
  </si>
  <si>
    <t>25.440556</t>
  </si>
  <si>
    <t xml:space="preserve">
89.803154</t>
  </si>
  <si>
    <t>293.27 Km</t>
  </si>
  <si>
    <t>Chapatoli Road, Paurashava, Sherpur Sadar, Sherpur, Mymensingh, Bangladesh</t>
  </si>
  <si>
    <t>25.014067</t>
  </si>
  <si>
    <t xml:space="preserve">
90.00635</t>
  </si>
  <si>
    <t>216.17 Km</t>
  </si>
  <si>
    <t>5.31 km</t>
  </si>
  <si>
    <t>Alahi Bag, Jamalpur Railway Station, Paurashava, Jamalpur Sadar, Jamalpur, Mymensingh 2000, Bangladesh</t>
  </si>
  <si>
    <t>24.914156</t>
  </si>
  <si>
    <t xml:space="preserve">
89.95452</t>
  </si>
  <si>
    <t>202.87 Km</t>
  </si>
  <si>
    <t>24.921131</t>
  </si>
  <si>
    <t xml:space="preserve">
89.92947</t>
  </si>
  <si>
    <t>205.3 Km</t>
  </si>
  <si>
    <t>Char Kumri, Kendua, Jamalpur Sadar Upazila, Jamalpur District, Mymensingh Division, Bangladesh</t>
  </si>
  <si>
    <t>24.869434</t>
  </si>
  <si>
    <t xml:space="preserve">
89.91697</t>
  </si>
  <si>
    <t>198.01 Km</t>
  </si>
  <si>
    <t>2050, Vatara-Chorpara Road, Char Para, Meshta, Jamalpur Sadar Upazila, Jamalpur District, Mymensingh Division, Bangladesh, 2050</t>
  </si>
  <si>
    <t>24.8206</t>
  </si>
  <si>
    <t xml:space="preserve">
89.864746</t>
  </si>
  <si>
    <t>193.82 Km</t>
  </si>
  <si>
    <t>5.42 km</t>
  </si>
  <si>
    <t>Nambihin Rasta, Bausi, Guniar Para (Dharabarsha 3rd), Kamrabad, Sarishabari, Jamalpur, Mymensingh, Bangladesh</t>
  </si>
  <si>
    <t>24.783417</t>
  </si>
  <si>
    <t xml:space="preserve">
89.84491</t>
  </si>
  <si>
    <t>Nambihin Rasta, Bausi, Bilbalia, Mahadan, Sarishabari, Jamalpur, Mymensingh, Bangladesh</t>
  </si>
  <si>
    <t>24.74419</t>
  </si>
  <si>
    <t xml:space="preserve">
89.87685</t>
  </si>
  <si>
    <t>181.59 Km</t>
  </si>
  <si>
    <t>Musuddi, Birtara, Dhanbari, Tangail, Dhaka, Bangladesh</t>
  </si>
  <si>
    <t>24.711477</t>
  </si>
  <si>
    <t xml:space="preserve">
89.89083</t>
  </si>
  <si>
    <t>175.76 Km</t>
  </si>
  <si>
    <t>Majalia, Hatbari, Doail, Sarishabari, Jamalpur, Mymensingh, Bangladesh</t>
  </si>
  <si>
    <t>24.723831</t>
  </si>
  <si>
    <t xml:space="preserve">
89.87333</t>
  </si>
  <si>
    <t>178.81 Km</t>
  </si>
  <si>
    <t>Alamin Store, Bajitpur, Baniajan, Dhanbari Upazila, Tangail District, Dhaka Division, Bangladesh</t>
  </si>
  <si>
    <t>24.7222</t>
  </si>
  <si>
    <t xml:space="preserve">
89.9105</t>
  </si>
  <si>
    <t>176.03 Km</t>
  </si>
  <si>
    <t>Nambihin Rasta, Pathalia, Kamdeb Bari, Dhanbari, Tangail, Dhaka, Bangladesh</t>
  </si>
  <si>
    <t>24.731762</t>
  </si>
  <si>
    <t xml:space="preserve">
89.94308</t>
  </si>
  <si>
    <t>175.37 Km</t>
  </si>
  <si>
    <t>8.18 km</t>
  </si>
  <si>
    <t>Nambihin Rasta, Sontia, Purba Pardighali, Digpaith, Jamalpur Sadar, Jamalpur, Mymensingh, Bangladesh</t>
  </si>
  <si>
    <t>24.782492</t>
  </si>
  <si>
    <t xml:space="preserve">
89.94181</t>
  </si>
  <si>
    <t>183.19 Km</t>
  </si>
  <si>
    <t>Nambihin Rasta, Kendua Bazar, Kumar Para, Kendua, Jamalpur Sadar, Jamalpur, Mymensingh, Bangladesh</t>
  </si>
  <si>
    <t>24.855797</t>
  </si>
  <si>
    <t xml:space="preserve">
89.94906</t>
  </si>
  <si>
    <t>Jigatola Road, Paurashava, Jamalpur Sadar, Jamalpur, Mymensingh, Bangladesh</t>
  </si>
  <si>
    <t>24.9127</t>
  </si>
  <si>
    <t xml:space="preserve">
89.949554</t>
  </si>
  <si>
    <t>202.9 Km</t>
  </si>
  <si>
    <t>Basakpara Road, Jamalpur, Char Pakshimari, Sherpur Sadar, Sherpur, Mymensingh, Bangladesh</t>
  </si>
  <si>
    <t>24.928595</t>
  </si>
  <si>
    <t xml:space="preserve">
89.95086</t>
  </si>
  <si>
    <t>205.32 Km</t>
  </si>
  <si>
    <t>Polytechnic Road, Muktinagor, Muktinagar, Siddhirganj, Simrail, Siddirganj, Narayanganj Sadar, Narayanganj, Dhaka 1361, Bangladesh</t>
  </si>
  <si>
    <t>23.698065</t>
  </si>
  <si>
    <t xml:space="preserve">
90.50473</t>
  </si>
  <si>
    <t>Baganbari Road, Ajibpur, Ati, Siddhirganj, Azibpur, Siddirganj, Narayanganj Sadar, Narayanganj, Dhaka, Bangladesh</t>
  </si>
  <si>
    <t>23.690481</t>
  </si>
  <si>
    <t xml:space="preserve">
90.51574</t>
  </si>
  <si>
    <t>20.48 Km</t>
  </si>
  <si>
    <t>Nambihin Rasta, East Dogair, Sarulia, Siddirganj, Narayanganj Sadar, Narayanganj, Dhaka 1361, Bangladesh</t>
  </si>
  <si>
    <t>23.702173</t>
  </si>
  <si>
    <t xml:space="preserve">
90.49775</t>
  </si>
  <si>
    <t>Nitaipur Masjid Road, Bhuigor, Bhuingar, Kutubpur, Narayanganj Sadar, Narayanganj, Dhaka, Bangladesh</t>
  </si>
  <si>
    <t>23.68697</t>
  </si>
  <si>
    <t xml:space="preserve">
90.48895</t>
  </si>
  <si>
    <t>18.12 Km</t>
  </si>
  <si>
    <t>Paschim Para, Adamjee, Kadamtoli, Siddirganj (Part), Siddirganj, Narayanganj Sadar, Narayanganj, Dhaka, Bangladesh</t>
  </si>
  <si>
    <t>23.681742</t>
  </si>
  <si>
    <t xml:space="preserve">
90.510735</t>
  </si>
  <si>
    <t>20.95 Km</t>
  </si>
  <si>
    <t>19.58 Km</t>
  </si>
  <si>
    <t>21.93 Km</t>
  </si>
  <si>
    <t>929.9 m</t>
  </si>
  <si>
    <t>437.7 m</t>
  </si>
  <si>
    <t>20.68 Km</t>
  </si>
  <si>
    <t>Shiddhirganj - Jalkuri Road, Siddhirganj, Adamjee, Siddirganj (Part), Siddirganj, Narayanganj Sadar, Narayanganj, Dhaka, Bangladesh</t>
  </si>
  <si>
    <t>23.682196</t>
  </si>
  <si>
    <t xml:space="preserve">
90.503426</t>
  </si>
  <si>
    <t>20.14 Km</t>
  </si>
  <si>
    <t>DND Dam Road, Siddhirganj, Adamjee, Siddirganj (Part), Sumil Para, Narayanganj Sadar, Narayanganj, Dhaka, Bangladesh</t>
  </si>
  <si>
    <t>23.679913</t>
  </si>
  <si>
    <t xml:space="preserve">
90.51627</t>
  </si>
  <si>
    <t>21.76 Km</t>
  </si>
  <si>
    <t>19.46 Km</t>
  </si>
  <si>
    <t>354.95 m</t>
  </si>
  <si>
    <t>Dhaka - Narayanganj Rd, Siddhirganj, Adamjee, Siddirganj (Part), Sumil Para, Narayanganj Sadar, Narayanganj, Dhaka, Bangladesh</t>
  </si>
  <si>
    <t>23.68108</t>
  </si>
  <si>
    <t xml:space="preserve">
90.520706</t>
  </si>
  <si>
    <t>22.1 Km</t>
  </si>
  <si>
    <t>448.17 m</t>
  </si>
  <si>
    <t>21.73 Km</t>
  </si>
  <si>
    <t>765.25 m</t>
  </si>
  <si>
    <t>23.653336</t>
  </si>
  <si>
    <t xml:space="preserve">
90.50582</t>
  </si>
  <si>
    <t>24.18 Km</t>
  </si>
  <si>
    <t>24.04 Km</t>
  </si>
  <si>
    <t>Nambihin Rasta, Godenail, sidderganj, Haziganj (Part), Godnail, Narayanganj Sadar, Narayanganj, Dhaka, Bangladesh</t>
  </si>
  <si>
    <t>23.641659</t>
  </si>
  <si>
    <t xml:space="preserve">
90.506195</t>
  </si>
  <si>
    <t>25.84 Km</t>
  </si>
  <si>
    <t>Hazi Mostofa Model School And College Road, Dui Number, Godenail, Godnail, Narayanganj Sadar, Narayanganj, Dhaka, Bangladesh</t>
  </si>
  <si>
    <t>23.656282</t>
  </si>
  <si>
    <t xml:space="preserve">
90.50797</t>
  </si>
  <si>
    <t>23.96 Km</t>
  </si>
  <si>
    <t>Enayat Nogor Street, Godenail, Pathantuli, Shiddhirganj, Godnail, Narayanganj Sadar, Narayanganj, Dhaka, Bangladesh</t>
  </si>
  <si>
    <t>23.642181</t>
  </si>
  <si>
    <t xml:space="preserve">
90.50735</t>
  </si>
  <si>
    <t>25.86 Km</t>
  </si>
  <si>
    <t>Godenail, Siddirganj (Part), Sumil Para, Narayanganj Sadar Upazila, Narayanganj District, Dhaka Division, Bangladesh</t>
  </si>
  <si>
    <t>25.49 Km</t>
  </si>
  <si>
    <t>582.44 m</t>
  </si>
  <si>
    <t>21.55 Km</t>
  </si>
  <si>
    <t>571.28 m</t>
  </si>
  <si>
    <t>706.86 m</t>
  </si>
  <si>
    <t>Shiddhirganj - Jalkuri Road, Mizmizi, Adamjee, Siddirganj (Part), Siddirganj, Narayanganj Sadar, Narayanganj, Dhaka, Bangladesh</t>
  </si>
  <si>
    <t>23.683413</t>
  </si>
  <si>
    <t xml:space="preserve">
90.50386</t>
  </si>
  <si>
    <t>20.03 Km</t>
  </si>
  <si>
    <t>Prodhan Bari Road, Mizmizi, Siddirganj (Part), Godnail, Narayanganj Sadar, Narayanganj, Dhaka, Bangladesh</t>
  </si>
  <si>
    <t>23.67803</t>
  </si>
  <si>
    <t xml:space="preserve">
90.500175</t>
  </si>
  <si>
    <t>Khadun, Dhaka - Sylhet Highway, South Rupshi, Dighi Baraba, Tarabo, Rupganj, Narayanganj, Dhaka, Bangladesh</t>
  </si>
  <si>
    <t>23.732412</t>
  </si>
  <si>
    <t xml:space="preserve">
90.520195</t>
  </si>
  <si>
    <t>35, Rajakhali Main Road, Amulia Model Town, Demra, Demra, Dhaka, Dhaka 1360, Bangladesh</t>
  </si>
  <si>
    <t>23.732557</t>
  </si>
  <si>
    <t xml:space="preserve">
90.48605</t>
  </si>
  <si>
    <t>12.59 Km</t>
  </si>
  <si>
    <t>Paradagair, Demra, Dhaka, Dhaka, Bangladesh</t>
  </si>
  <si>
    <t>23.727331</t>
  </si>
  <si>
    <t xml:space="preserve">
90.49548</t>
  </si>
  <si>
    <t>14.27 Km</t>
  </si>
  <si>
    <t>1359, Banasree - Staff Quarter - Demra Road, Khilgaon, Demra, Dhaka, Dhaka 1219, Bangladesh</t>
  </si>
  <si>
    <t>23.748642</t>
  </si>
  <si>
    <t xml:space="preserve">
90.465675</t>
  </si>
  <si>
    <t>8.54 Km</t>
  </si>
  <si>
    <t>58, Road Number 5, E Block Bus Stop, Ananda Nagar, Badda, Ward-26, Khilgaon, Dhaka, Dhaka 1212, Bangladesh</t>
  </si>
  <si>
    <t>23.764494</t>
  </si>
  <si>
    <t xml:space="preserve">
90.43564</t>
  </si>
  <si>
    <t>3.26 Km</t>
  </si>
  <si>
    <t>24, Road Number 7, South Baridhara Residentail Area, D.I.T. Project, Badda, Ward-21, Gulshan, Dhaka, Dhaka 1230, Bangladesh</t>
  </si>
  <si>
    <t>23.774536</t>
  </si>
  <si>
    <t xml:space="preserve">
90.42711</t>
  </si>
  <si>
    <t>79, 1, West Merul Mosque Road, Merul Badda, Badda, Ward-21, Gulshan, Dhaka, Dhaka 1212, Bangladesh</t>
  </si>
  <si>
    <t>23.77266</t>
  </si>
  <si>
    <t>1.21 Km</t>
  </si>
  <si>
    <t>19, Road Number 6, Ananda Nagar, Badda, Ward-26, Khilgaon, Dhaka, Dhaka 1230, Bangladesh</t>
  </si>
  <si>
    <t>23.762169</t>
  </si>
  <si>
    <t xml:space="preserve">
90.44557</t>
  </si>
  <si>
    <t>4.8 Km</t>
  </si>
  <si>
    <t>Khilgaon, Demra, Dhaka, Dhaka, Bangladesh</t>
  </si>
  <si>
    <t>23.75126</t>
  </si>
  <si>
    <t xml:space="preserve">
90.48335</t>
  </si>
  <si>
    <t>10.84 Km</t>
  </si>
  <si>
    <t>Shekher Jayga - Staf Quater Road, Demra, Demra, Dhaka, Dhaka, Bangladesh</t>
  </si>
  <si>
    <t>23.736296</t>
  </si>
  <si>
    <t xml:space="preserve">
90.48182</t>
  </si>
  <si>
    <t>11.71 Km</t>
  </si>
  <si>
    <t>Demra, South Rupshi, Noapara, Tarabo, Rupganj, Narayanganj, Dhaka, Bangladesh</t>
  </si>
  <si>
    <t>23.72858</t>
  </si>
  <si>
    <t xml:space="preserve">
90.51303</t>
  </si>
  <si>
    <t>16.5 Km</t>
  </si>
  <si>
    <t>18.11 Km</t>
  </si>
  <si>
    <t>Dhaka - Sylhet Highway, B. Brothers Garments, Rupshi, Khadun, Tarabo, Rupganj, Narayanganj, Dhaka, Bangladesh</t>
  </si>
  <si>
    <t>23.743492</t>
  </si>
  <si>
    <t xml:space="preserve">
90.53204</t>
  </si>
  <si>
    <t>18.32 Km</t>
  </si>
  <si>
    <t>MMB Bachelor Quarters, 10, Kornogop Road, Rupganj Power Plant, Borpa, Ariaba, Tarabo, Rupganj, Narayanganj, Dhaka, Bangladesh</t>
  </si>
  <si>
    <t>23.756475</t>
  </si>
  <si>
    <t xml:space="preserve">
90.54505</t>
  </si>
  <si>
    <t>Dhaka - Sylhet Highway, Mirkuti Chhao, Mura Para, Rupganj, Narayanganj, Dhaka, Bangladesh</t>
  </si>
  <si>
    <t>23.77071</t>
  </si>
  <si>
    <t xml:space="preserve">
90.556175</t>
  </si>
  <si>
    <t>Sonabo, Bhulta, Bulta, Rupganj, Narayanganj, Dhaka, Bangladesh</t>
  </si>
  <si>
    <t>23.781103</t>
  </si>
  <si>
    <t xml:space="preserve">
90.556404</t>
  </si>
  <si>
    <t>21.41 Km</t>
  </si>
  <si>
    <t>Pachaikha, Amlaba, Golakandail, Rupganj, Narayanganj, Dhaka, Bangladesh</t>
  </si>
  <si>
    <t>23.79455</t>
  </si>
  <si>
    <t xml:space="preserve">
90.56421</t>
  </si>
  <si>
    <t>3.55 km</t>
  </si>
  <si>
    <t>Nambihin Rasta, Rupshi, Bhargaon, Sadipur, Sonargaon, Narayanganj, Dhaka, Bangladesh</t>
  </si>
  <si>
    <t>23.734976</t>
  </si>
  <si>
    <t xml:space="preserve">
90.5347</t>
  </si>
  <si>
    <t>19.13 Km</t>
  </si>
  <si>
    <t>Tarabo, Rupganj, Narayanganj, Dhaka, Bangladesh</t>
  </si>
  <si>
    <t>23.709375</t>
  </si>
  <si>
    <t xml:space="preserve">
90.51387</t>
  </si>
  <si>
    <t>18.27 Km</t>
  </si>
  <si>
    <t>Road Number 5, Maligaon, Kanchpur, Kachpur, Sonargaon, Narayanganj, Chittagong, Bangladesh</t>
  </si>
  <si>
    <t>23.70527</t>
  </si>
  <si>
    <t xml:space="preserve">
90.53271</t>
  </si>
  <si>
    <t>21.04 Km</t>
  </si>
  <si>
    <t>Canal Road, Godenail, Jalkury, Godnail, Narayanganj Sadar, Narayanganj, Dhaka, Bangladesh</t>
  </si>
  <si>
    <t>23.668339</t>
  </si>
  <si>
    <t xml:space="preserve">
90.50563</t>
  </si>
  <si>
    <t>22.14 Km</t>
  </si>
  <si>
    <t>Narayanganj Highway, IET School Bus Stop, Kellarpool, Fatullah, Narayanganj Sadar, Narayanganj, Dhaka, Bangladesh</t>
  </si>
  <si>
    <t>23.63452</t>
  </si>
  <si>
    <t xml:space="preserve">
90.51195</t>
  </si>
  <si>
    <t>27.31 Km</t>
  </si>
  <si>
    <t>Muktijoddha Smrity Stomva, Bondor - Modonpur Highway, Gobinda Mandali, Bandar, Bandar, Narayanganj, Dhaka, Bangladesh</t>
  </si>
  <si>
    <t>23.618431</t>
  </si>
  <si>
    <t xml:space="preserve">
90.52291</t>
  </si>
  <si>
    <t>30.48 Km</t>
  </si>
  <si>
    <t>763.68 m</t>
  </si>
  <si>
    <t>Nobigonj, Bandar, Narayanganj District, Dhaka Division, Bangladesh</t>
  </si>
  <si>
    <t>23.609758</t>
  </si>
  <si>
    <t xml:space="preserve">
90.50674</t>
  </si>
  <si>
    <t>30.52 Km</t>
  </si>
  <si>
    <t>222.76 m</t>
  </si>
  <si>
    <t>42 Bandar, Bazar Road, Bandar, Narayanganj, Dhaka 1410, Bangladesh</t>
  </si>
  <si>
    <t>23.61477</t>
  </si>
  <si>
    <t xml:space="preserve">
90.51186</t>
  </si>
  <si>
    <t>30.15 Km</t>
  </si>
  <si>
    <t>আমিন আবাসিক এলাকা ৯ নং রোড পশ্চিম, Amin Residential Area, Bandar, Bandar, Narayanganj, Dhaka, Bangladesh</t>
  </si>
  <si>
    <t>23.61457</t>
  </si>
  <si>
    <t xml:space="preserve">
90.50969</t>
  </si>
  <si>
    <t>30.02 Km</t>
  </si>
  <si>
    <t>709.19 m</t>
  </si>
  <si>
    <t>Kadamrasul, Bandar, Narayanganj, Dhaka, Bangladesh</t>
  </si>
  <si>
    <t>23.621136</t>
  </si>
  <si>
    <t xml:space="preserve">
90.51229</t>
  </si>
  <si>
    <t>29.25 Km</t>
  </si>
  <si>
    <t>Nambihin Rasta, Dhamgar, Bandar, Narayanganj, Dhaka, Bangladesh</t>
  </si>
  <si>
    <t>23.664486</t>
  </si>
  <si>
    <t xml:space="preserve">
90.54154</t>
  </si>
  <si>
    <t>26.31 Km</t>
  </si>
  <si>
    <t>Model Town Road No. 3, বন্দর, Keodhala (Part), Madanpur, Bandar, নারায়ণগঞ্জ জেলা, ঢাকা বিভাগ, Bangladesh</t>
  </si>
  <si>
    <t>23.697718</t>
  </si>
  <si>
    <t xml:space="preserve">
90.55439</t>
  </si>
  <si>
    <t>24.52 Km</t>
  </si>
  <si>
    <t>Nambihin Rasta, Keodhala (Part), Madanpur, Bandar, Narayanganj, Dhaka, Bangladesh</t>
  </si>
  <si>
    <t>23.68241</t>
  </si>
  <si>
    <t xml:space="preserve">
90.55168</t>
  </si>
  <si>
    <t>25.59 Km</t>
  </si>
  <si>
    <t>705.82 m</t>
  </si>
  <si>
    <t>Mizmizi, Bhuigor, Siddhirganj, Siddirganj (Part), Siddirganj, Narayanganj Sadar, Narayanganj, Dhaka 1430, Bangladesh</t>
  </si>
  <si>
    <t>23.682585</t>
  </si>
  <si>
    <t xml:space="preserve">
90.49913</t>
  </si>
  <si>
    <t>19.67 Km</t>
  </si>
  <si>
    <t>5.14 km</t>
  </si>
  <si>
    <t>64, Chashara, Paurashava, Narayanganj Sadar, Narayanganj, Dhaka 1400, Bangladesh</t>
  </si>
  <si>
    <t>23.625626</t>
  </si>
  <si>
    <t xml:space="preserve">
90.49998</t>
  </si>
  <si>
    <t>27.69 Km</t>
  </si>
  <si>
    <t>31.58 Km</t>
  </si>
  <si>
    <t>30.54 Km</t>
  </si>
  <si>
    <t>28.55 Km</t>
  </si>
  <si>
    <t>Narayanganj Highway, Chowdhury Bari Bus Stop, Godenail, Chowdhury Bari, Godnail, Narayanganj Sadar, Narayanganj, Dhaka, Bangladesh</t>
  </si>
  <si>
    <t>23.647215</t>
  </si>
  <si>
    <t xml:space="preserve">
90.51333</t>
  </si>
  <si>
    <t>25.67 Km</t>
  </si>
  <si>
    <t>27.4 Km</t>
  </si>
  <si>
    <t>403.64 m</t>
  </si>
  <si>
    <t>21.17 Km</t>
  </si>
  <si>
    <t>Road to Adamjee Power Plant, Sumilpara, Adamjee, Siddirganj (Part), Sumil Para, Narayanganj Sadar, Narayanganj, Dhaka, Bangladesh</t>
  </si>
  <si>
    <t>23.670422</t>
  </si>
  <si>
    <t xml:space="preserve">
90.523094</t>
  </si>
  <si>
    <t>23.62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</si>
</sst>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0&quot;#"/>
    <numFmt numFmtId="165" formatCode="[$-F400]h:mm:ss\ AM/P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ahoma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D6DCE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6" fillId="5" borderId="2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4" xfId="0" applyBorder="1"/>
    <xf numFmtId="0" fontId="6" fillId="5" borderId="5" xfId="0" applyFont="1" applyFill="1" applyBorder="1" applyAlignment="1">
      <alignment horizontal="left" vertical="center" wrapText="1"/>
    </xf>
    <xf numFmtId="164" fontId="0" fillId="0" borderId="6" xfId="0" applyNumberFormat="1" applyBorder="1" applyAlignment="1">
      <alignment horizontal="left"/>
    </xf>
    <xf numFmtId="0" fontId="5" fillId="0" borderId="7" xfId="0" applyFont="1" applyBorder="1" applyAlignment="1">
      <alignment horizontal="left" vertical="center"/>
    </xf>
    <xf numFmtId="164" fontId="7" fillId="0" borderId="6" xfId="0" applyNumberFormat="1" applyFont="1" applyBorder="1" applyAlignment="1">
      <alignment horizontal="left"/>
    </xf>
    <xf numFmtId="0" fontId="6" fillId="6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9" fontId="0" fillId="0" borderId="1" xfId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5" fontId="0" fillId="0" borderId="1" xfId="0" applyNumberFormat="1" applyBorder="1" applyAlignment="1">
      <alignment horizontal="left" vertical="center"/>
    </xf>
    <xf numFmtId="22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8" fillId="0" borderId="4" xfId="2" applyBorder="1"/>
    <xf numFmtId="164" fontId="0" fillId="0" borderId="8" xfId="0" applyNumberFormat="1" applyBorder="1" applyAlignment="1">
      <alignment horizontal="left"/>
    </xf>
    <xf numFmtId="164" fontId="0" fillId="0" borderId="9" xfId="0" applyNumberFormat="1" applyBorder="1" applyAlignment="1">
      <alignment horizontal="left"/>
    </xf>
    <xf numFmtId="0" fontId="0" fillId="0" borderId="0" xfId="0" applyAlignment="1">
      <alignment horizontal="left"/>
    </xf>
    <xf numFmtId="9" fontId="0" fillId="0" borderId="0" xfId="1" applyFont="1"/>
    <xf numFmtId="0" fontId="2" fillId="0" borderId="0" xfId="0" applyFont="1" applyAlignment="1">
      <alignment horizontal="left"/>
    </xf>
    <xf numFmtId="1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9" fontId="0" fillId="0" borderId="0" xfId="0" applyNumberFormat="1"/>
    <xf numFmtId="0" fontId="2" fillId="0" borderId="12" xfId="0" applyFont="1" applyBorder="1" applyAlignment="1">
      <alignment horizontal="left"/>
    </xf>
    <xf numFmtId="164" fontId="2" fillId="7" borderId="6" xfId="0" applyNumberFormat="1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Percent" xfId="1" builtinId="5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65" formatCode="[$-F400]h:mm:ss\ AM/PM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65" formatCode="[$-F400]h:mm:ss\ AM/PM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hahinur.Islam_Desktop_MyDoc\Desktop\Special%20Folder%2030\Update%20TSM%20RSM%20List%20(%20up%20to%20May'26).xlsx" TargetMode="External"/><Relationship Id="rId1" Type="http://schemas.openxmlformats.org/officeDocument/2006/relationships/externalLinkPath" Target="/Shahinur.Islam_Desktop_MyDoc/Desktop/Special%20Folder%2030/Update%20TSM%20RSM%20List%20(%20up%20to%20May'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 RSM TSM"/>
    </sheetNames>
    <sheetDataSet>
      <sheetData sheetId="0">
        <row r="1">
          <cell r="H1" t="str">
            <v>Mobile No.</v>
          </cell>
          <cell r="I1" t="str">
            <v>TSM/ASM</v>
          </cell>
        </row>
        <row r="2">
          <cell r="H2">
            <v>1335197838</v>
          </cell>
          <cell r="I2" t="str">
            <v>Md. Aminur Islam</v>
          </cell>
        </row>
        <row r="3">
          <cell r="H3">
            <v>1322845170</v>
          </cell>
          <cell r="I3" t="str">
            <v>Md. Shakil Chowdhury</v>
          </cell>
        </row>
        <row r="4">
          <cell r="H4">
            <v>1322845176</v>
          </cell>
          <cell r="I4" t="str">
            <v>Md. Tito Mia</v>
          </cell>
        </row>
        <row r="5">
          <cell r="H5">
            <v>1701216090</v>
          </cell>
          <cell r="I5" t="str">
            <v>Md. Shariful Islam</v>
          </cell>
        </row>
        <row r="6">
          <cell r="H6">
            <v>1701216089</v>
          </cell>
          <cell r="I6" t="str">
            <v>Vacant</v>
          </cell>
        </row>
        <row r="7">
          <cell r="H7">
            <v>1324725678</v>
          </cell>
          <cell r="I7" t="str">
            <v>Ayubur Rahman Kha</v>
          </cell>
        </row>
        <row r="8">
          <cell r="H8">
            <v>1335197833</v>
          </cell>
          <cell r="I8" t="str">
            <v>Md. Jiaul Haque Rony</v>
          </cell>
        </row>
        <row r="9">
          <cell r="H9">
            <v>1324725688</v>
          </cell>
          <cell r="I9" t="str">
            <v>Md. Raysul Islam</v>
          </cell>
        </row>
        <row r="10">
          <cell r="H10">
            <v>1704124001</v>
          </cell>
          <cell r="I10" t="str">
            <v>Md. Nazmul Huda</v>
          </cell>
        </row>
        <row r="11">
          <cell r="H11">
            <v>1700702246</v>
          </cell>
          <cell r="I11" t="str">
            <v>Md. Hafizur Rahman</v>
          </cell>
        </row>
        <row r="12">
          <cell r="H12">
            <v>1704124042</v>
          </cell>
          <cell r="I12" t="str">
            <v>Golam Mostofa</v>
          </cell>
        </row>
        <row r="13">
          <cell r="H13">
            <v>1324725622</v>
          </cell>
          <cell r="I13" t="str">
            <v>Md. Rohul Amin</v>
          </cell>
        </row>
        <row r="14">
          <cell r="H14">
            <v>1322845178</v>
          </cell>
          <cell r="I14" t="str">
            <v>Shimul Ahmed</v>
          </cell>
        </row>
        <row r="15">
          <cell r="H15">
            <v>1322845179</v>
          </cell>
          <cell r="I15" t="str">
            <v>Md. Ratul Hasan</v>
          </cell>
        </row>
        <row r="16">
          <cell r="H16">
            <v>1701216041</v>
          </cell>
          <cell r="I16" t="str">
            <v>Md. Rokonuzzaman</v>
          </cell>
        </row>
        <row r="17">
          <cell r="H17">
            <v>1700702220</v>
          </cell>
          <cell r="I17" t="str">
            <v>Sony Nicholas D Rozario</v>
          </cell>
        </row>
        <row r="18">
          <cell r="H18">
            <v>1704124003</v>
          </cell>
          <cell r="I18" t="str">
            <v>Md. Masum Billah</v>
          </cell>
        </row>
        <row r="19">
          <cell r="H19">
            <v>1700702203</v>
          </cell>
          <cell r="I19" t="str">
            <v xml:space="preserve">Md. Saiful Islam </v>
          </cell>
        </row>
        <row r="20">
          <cell r="H20">
            <v>1701216133</v>
          </cell>
          <cell r="I20" t="str">
            <v>Protap Mondol</v>
          </cell>
        </row>
        <row r="21">
          <cell r="H21">
            <v>1324725648</v>
          </cell>
          <cell r="I21" t="str">
            <v>Ruman Das</v>
          </cell>
        </row>
        <row r="22">
          <cell r="H22">
            <v>1704123809</v>
          </cell>
          <cell r="I22" t="str">
            <v>Md. Tazidul Islam Papon</v>
          </cell>
        </row>
        <row r="23">
          <cell r="H23">
            <v>1704124011</v>
          </cell>
          <cell r="I23" t="str">
            <v>Vaccant</v>
          </cell>
        </row>
        <row r="24">
          <cell r="H24">
            <v>1748464976</v>
          </cell>
          <cell r="I24" t="str">
            <v>Khandaker Iklil Azam</v>
          </cell>
        </row>
        <row r="25">
          <cell r="H25">
            <v>1700702245</v>
          </cell>
          <cell r="I25" t="str">
            <v>Md. Zahidul Islam</v>
          </cell>
        </row>
        <row r="26">
          <cell r="H26">
            <v>1322845174</v>
          </cell>
          <cell r="I26" t="str">
            <v>Md. Masum Kabir</v>
          </cell>
        </row>
        <row r="27">
          <cell r="H27">
            <v>1700702275</v>
          </cell>
          <cell r="I27" t="str">
            <v>Rajib Chandra Nath</v>
          </cell>
        </row>
        <row r="28">
          <cell r="H28">
            <v>1324732631</v>
          </cell>
          <cell r="I28" t="str">
            <v>Md. Akbar Hossain</v>
          </cell>
        </row>
        <row r="29">
          <cell r="H29">
            <v>1701216091</v>
          </cell>
          <cell r="I29" t="str">
            <v>Nasir Sharif Tonmoy</v>
          </cell>
        </row>
        <row r="30">
          <cell r="H30">
            <v>1335108134</v>
          </cell>
          <cell r="I30" t="str">
            <v>Mujahidur Rahaman</v>
          </cell>
        </row>
        <row r="31">
          <cell r="H31">
            <v>1324725625</v>
          </cell>
          <cell r="I31" t="str">
            <v>Md. Mezanur Rahman</v>
          </cell>
        </row>
        <row r="32">
          <cell r="H32">
            <v>1324725712</v>
          </cell>
          <cell r="I32" t="str">
            <v>Md. Akteruzzaman</v>
          </cell>
        </row>
        <row r="33">
          <cell r="H33">
            <v>1701216087</v>
          </cell>
          <cell r="I33" t="str">
            <v>Arifur Rahman</v>
          </cell>
        </row>
        <row r="34">
          <cell r="H34">
            <v>1322845177</v>
          </cell>
          <cell r="I34" t="str">
            <v>Gopal Kumar</v>
          </cell>
        </row>
        <row r="35">
          <cell r="H35">
            <v>1313762456</v>
          </cell>
          <cell r="I35" t="str">
            <v>Md. Khalilur Rahman</v>
          </cell>
        </row>
        <row r="36">
          <cell r="H36">
            <v>1322845171</v>
          </cell>
          <cell r="I36" t="str">
            <v>Md. Rafiqul Islam</v>
          </cell>
        </row>
        <row r="37">
          <cell r="H37">
            <v>1322845218</v>
          </cell>
          <cell r="I37" t="str">
            <v>Tanvir Hoque</v>
          </cell>
        </row>
        <row r="38">
          <cell r="H38">
            <v>1329668962</v>
          </cell>
          <cell r="I38" t="str">
            <v>Md. Nahidul Islam Bhuyain</v>
          </cell>
        </row>
        <row r="39">
          <cell r="H39">
            <v>1701216092</v>
          </cell>
          <cell r="I39" t="str">
            <v>abdur rob</v>
          </cell>
        </row>
        <row r="40">
          <cell r="H40">
            <v>1322845173</v>
          </cell>
          <cell r="I40" t="str">
            <v>Md Feroz</v>
          </cell>
        </row>
        <row r="41">
          <cell r="H41">
            <v>1322845168</v>
          </cell>
          <cell r="I41" t="str">
            <v>Md. Niaz Morshed</v>
          </cell>
        </row>
        <row r="42">
          <cell r="H42">
            <v>1701216088</v>
          </cell>
          <cell r="I42" t="str">
            <v>Sadhin Islam</v>
          </cell>
        </row>
        <row r="43">
          <cell r="H43">
            <v>1322845175</v>
          </cell>
          <cell r="I43" t="str">
            <v>Badhon Kumar Saha Akash</v>
          </cell>
        </row>
        <row r="44">
          <cell r="H44">
            <v>1322845165</v>
          </cell>
          <cell r="I44" t="str">
            <v>Hasan Fakir</v>
          </cell>
        </row>
        <row r="45">
          <cell r="H45">
            <v>1700702248</v>
          </cell>
          <cell r="I45" t="str">
            <v>Md. Akteruzzamann</v>
          </cell>
        </row>
        <row r="46">
          <cell r="H46">
            <v>1700768072</v>
          </cell>
          <cell r="I46" t="str">
            <v>Shanti Kumar Biswas</v>
          </cell>
        </row>
        <row r="47">
          <cell r="H47">
            <v>1700702247</v>
          </cell>
          <cell r="I47" t="str">
            <v>Md. Yeasin Ali</v>
          </cell>
        </row>
        <row r="48">
          <cell r="H48">
            <v>1322845172</v>
          </cell>
          <cell r="I48" t="str">
            <v>Md. Abdul Kuddus</v>
          </cell>
        </row>
        <row r="49">
          <cell r="H49">
            <v>1324732688</v>
          </cell>
          <cell r="I49" t="str">
            <v>Ibrahim Khalil</v>
          </cell>
        </row>
        <row r="50">
          <cell r="H50">
            <v>1322845167</v>
          </cell>
          <cell r="I50" t="str">
            <v>Md. Al Amin</v>
          </cell>
        </row>
        <row r="51">
          <cell r="H51">
            <v>1322845166</v>
          </cell>
          <cell r="I51" t="str">
            <v>Md. Mahmudul Hasan Chowdhury</v>
          </cell>
        </row>
        <row r="52">
          <cell r="H52">
            <v>1322845164</v>
          </cell>
          <cell r="I52" t="str">
            <v>Md. Abdun Nur</v>
          </cell>
        </row>
        <row r="53">
          <cell r="H53">
            <v>1701216134</v>
          </cell>
          <cell r="I53" t="str">
            <v>Md. Yeasin</v>
          </cell>
        </row>
        <row r="54">
          <cell r="H54">
            <v>1324732630</v>
          </cell>
          <cell r="I54" t="str">
            <v>Marefat Ali</v>
          </cell>
        </row>
        <row r="55">
          <cell r="H55">
            <v>1701216039</v>
          </cell>
          <cell r="I55" t="str">
            <v>Shubha Shaha</v>
          </cell>
        </row>
        <row r="56">
          <cell r="H56">
            <v>1335197835</v>
          </cell>
          <cell r="I56" t="str">
            <v>Md. Saifullah</v>
          </cell>
        </row>
        <row r="57">
          <cell r="H57">
            <v>1324732687</v>
          </cell>
          <cell r="I57" t="str">
            <v>Md. Masud Rana</v>
          </cell>
        </row>
        <row r="58">
          <cell r="H58">
            <v>1704124000</v>
          </cell>
          <cell r="I58" t="str">
            <v>Md.Nuruzzaman</v>
          </cell>
        </row>
        <row r="59">
          <cell r="H59">
            <v>1313762582</v>
          </cell>
          <cell r="I59" t="str">
            <v>Abu Musa</v>
          </cell>
        </row>
        <row r="60">
          <cell r="H60">
            <v>1324732735</v>
          </cell>
          <cell r="I60" t="str">
            <v>Md. Mannan Ali</v>
          </cell>
        </row>
        <row r="61">
          <cell r="H61">
            <v>1700702276</v>
          </cell>
          <cell r="I61" t="str">
            <v>Md. Bokhari Azad</v>
          </cell>
        </row>
        <row r="62">
          <cell r="H62">
            <v>1335197831</v>
          </cell>
          <cell r="I62" t="str">
            <v>Md. Nur Hossain Rony</v>
          </cell>
        </row>
        <row r="63">
          <cell r="H63">
            <v>1335197831</v>
          </cell>
          <cell r="I63" t="str">
            <v>Md. Nur Hossain Rony</v>
          </cell>
        </row>
        <row r="64">
          <cell r="H64">
            <v>1335197831</v>
          </cell>
          <cell r="I64" t="str">
            <v>Md. Nur Hossain Rony</v>
          </cell>
        </row>
        <row r="65">
          <cell r="H65">
            <v>1335197831</v>
          </cell>
          <cell r="I65" t="str">
            <v>Md. Nur Hossain Rony</v>
          </cell>
        </row>
        <row r="66">
          <cell r="H66">
            <v>1335197831</v>
          </cell>
          <cell r="I66" t="str">
            <v>Md. Nur Hossain Rony</v>
          </cell>
        </row>
        <row r="67">
          <cell r="H67">
            <v>1335197831</v>
          </cell>
          <cell r="I67" t="str">
            <v>Md. Nur Hossain Rony</v>
          </cell>
        </row>
        <row r="68">
          <cell r="H68">
            <v>1335197831</v>
          </cell>
          <cell r="I68" t="str">
            <v>Md. Nur Hossain Rony</v>
          </cell>
        </row>
        <row r="69">
          <cell r="H69">
            <v>1335197831</v>
          </cell>
          <cell r="I69" t="str">
            <v>Md. Nur Hossain Rony</v>
          </cell>
        </row>
        <row r="70">
          <cell r="H70">
            <v>1335197831</v>
          </cell>
          <cell r="I70" t="str">
            <v>Md. Nur Hossain Rony</v>
          </cell>
        </row>
        <row r="71">
          <cell r="H71">
            <v>1335197831</v>
          </cell>
          <cell r="I71" t="str">
            <v>Md. Nur Hossain Rony</v>
          </cell>
        </row>
        <row r="72">
          <cell r="H72">
            <v>1335197831</v>
          </cell>
          <cell r="I72" t="str">
            <v>Md. Nur Hossain Rony</v>
          </cell>
        </row>
        <row r="73">
          <cell r="H73">
            <v>1335197831</v>
          </cell>
          <cell r="I73" t="str">
            <v>Md. Nur Hossain Rony</v>
          </cell>
        </row>
        <row r="74">
          <cell r="H74">
            <v>1335197831</v>
          </cell>
          <cell r="I74" t="str">
            <v>Md. Nur Hossain Rony</v>
          </cell>
        </row>
        <row r="75">
          <cell r="H75">
            <v>1335197831</v>
          </cell>
          <cell r="I75" t="str">
            <v>Md. Nur Hossain Rony</v>
          </cell>
        </row>
        <row r="76">
          <cell r="H76">
            <v>1335197831</v>
          </cell>
          <cell r="I76" t="str">
            <v>Md. Nur Hossain Rony</v>
          </cell>
        </row>
        <row r="77">
          <cell r="H77">
            <v>1335197831</v>
          </cell>
          <cell r="I77" t="str">
            <v>Md. Nur Hossain Rony</v>
          </cell>
        </row>
        <row r="78">
          <cell r="H78">
            <v>1335197831</v>
          </cell>
          <cell r="I78" t="str">
            <v>Md. Nur Hossain Rony</v>
          </cell>
        </row>
        <row r="79">
          <cell r="H79">
            <v>1335197831</v>
          </cell>
          <cell r="I79" t="str">
            <v>Md. Nur Hossain Rony</v>
          </cell>
        </row>
        <row r="80">
          <cell r="H80">
            <v>1335197831</v>
          </cell>
          <cell r="I80" t="str">
            <v>Md. Nur Hossain Rony</v>
          </cell>
        </row>
        <row r="81">
          <cell r="H81">
            <v>1335197831</v>
          </cell>
          <cell r="I81" t="str">
            <v>Md. Nur Hossain Rony</v>
          </cell>
        </row>
        <row r="82">
          <cell r="H82">
            <v>1329728022</v>
          </cell>
          <cell r="I82" t="str">
            <v>Chowdhury Hasan Tariq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4CFD12-9E97-4AF2-8DB7-DD94B152433D}" autoFormatId="16" applyNumberFormats="0" applyBorderFormats="0" applyFontFormats="0" applyPatternFormats="0" applyAlignmentFormats="0" applyWidthHeightFormats="0">
  <queryTableRefresh nextId="16">
    <queryTableFields count="15">
      <queryTableField id="1" name="Employee Name" tableColumnId="1"/>
      <queryTableField id="2" name="Mobile_x000a_Number" tableColumnId="2"/>
      <queryTableField id="3" name="Deg" tableColumnId="3"/>
      <queryTableField id="4" name="Group" tableColumnId="4"/>
      <queryTableField id="5" name="Date" tableColumnId="5"/>
      <queryTableField id="6" name="Day" tableColumnId="6"/>
      <queryTableField id="7" name="Start Time" tableColumnId="7"/>
      <queryTableField id="8" name="End Time" tableColumnId="8"/>
      <queryTableField id="9" name="Avg Duration _x000a_(hr)" tableColumnId="9"/>
      <queryTableField id="10" name="Status" tableColumnId="10"/>
      <queryTableField id="11" name="Distance_x000a_Travelled_x000a_From Last_x000a_Location" tableColumnId="11"/>
      <queryTableField id="12" name=" Address / Diagnostic report" tableColumnId="12"/>
      <queryTableField id="13" name="Lat" tableColumnId="13"/>
      <queryTableField id="14" name="Lon" tableColumnId="14"/>
      <queryTableField id="15" name="Distance From Base Location 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BD6D91D-BB84-4A51-82E4-485B4C3B2834}" autoFormatId="16" applyNumberFormats="0" applyBorderFormats="0" applyFontFormats="0" applyPatternFormats="0" applyAlignmentFormats="0" applyWidthHeightFormats="0">
  <queryTableRefresh nextId="17">
    <queryTableFields count="16">
      <queryTableField id="1" name="Employee Name" tableColumnId="1"/>
      <queryTableField id="2" name="Mobile_x000a_Number" tableColumnId="2"/>
      <queryTableField id="3" name="Deg" tableColumnId="3"/>
      <queryTableField id="4" name="Group" tableColumnId="4"/>
      <queryTableField id="5" name="Date" tableColumnId="5"/>
      <queryTableField id="6" name="Day" tableColumnId="6"/>
      <queryTableField id="7" name="Start Time" tableColumnId="7"/>
      <queryTableField id="8" name="End Time" tableColumnId="8"/>
      <queryTableField id="9" name="Avg Duration _x000a_(hr)" tableColumnId="9"/>
      <queryTableField id="10" name="Status" tableColumnId="10"/>
      <queryTableField id="11" name="Tp Visit" tableColumnId="11"/>
      <queryTableField id="12" name="Distance_x000a_Travelled_x000a_From Last_x000a_Location" tableColumnId="12"/>
      <queryTableField id="13" name=" Address / Diagnostic report" tableColumnId="13"/>
      <queryTableField id="14" name="Lat" tableColumnId="14"/>
      <queryTableField id="15" name="Lon" tableColumnId="15"/>
      <queryTableField id="16" name="Distance From Base Location 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22C76-690C-41A1-9F63-85FFCEC2F2FC}" name="Table1_1" displayName="Table1_1" ref="A1:O5" tableType="queryTable" totalsRowShown="0">
  <autoFilter ref="A1:O5" xr:uid="{6B622C76-690C-41A1-9F63-85FFCEC2F2FC}"/>
  <tableColumns count="15">
    <tableColumn id="1" xr3:uid="{FECF3A35-DE79-4477-A386-DD91F1EE2525}" uniqueName="1" name="Employee Name" queryTableFieldId="1" dataDxfId="83"/>
    <tableColumn id="2" xr3:uid="{E11495BA-B91E-40E1-B49B-4B818117BA64}" uniqueName="2" name="Mobile_x000a_Number" queryTableFieldId="2"/>
    <tableColumn id="3" xr3:uid="{9F04E3FB-2869-4286-BD4F-01A5985AEB03}" uniqueName="3" name="Deg" queryTableFieldId="3" dataDxfId="82"/>
    <tableColumn id="4" xr3:uid="{0C46EDA4-75C7-4539-A0CE-A939900A1B20}" uniqueName="4" name="Group" queryTableFieldId="4" dataDxfId="81"/>
    <tableColumn id="5" xr3:uid="{CCB9F4CD-091E-4609-9EAB-FD49E706C790}" uniqueName="5" name="Date" queryTableFieldId="5" dataDxfId="80"/>
    <tableColumn id="6" xr3:uid="{D5100340-003D-4CB9-8D13-9A0F7B18A5A2}" uniqueName="6" name="Day" queryTableFieldId="6" dataDxfId="79"/>
    <tableColumn id="7" xr3:uid="{D55062C4-38FC-4572-A4D1-52C1101EE74A}" uniqueName="7" name="Start Time" queryTableFieldId="7" dataDxfId="78"/>
    <tableColumn id="8" xr3:uid="{D72A11E2-4CC0-4E65-8B68-B81AED9955B9}" uniqueName="8" name="End Time" queryTableFieldId="8" dataDxfId="77"/>
    <tableColumn id="9" xr3:uid="{F2CA9FF0-2DA0-4015-9784-51FA6F4969D7}" uniqueName="9" name="Avg Duration _x000a_(hr)" queryTableFieldId="9"/>
    <tableColumn id="10" xr3:uid="{8A73DAF6-B99D-4F67-9CDC-E84CE02D6ED9}" uniqueName="10" name="Status" queryTableFieldId="10" dataDxfId="76"/>
    <tableColumn id="11" xr3:uid="{BED57ED3-6B8F-4FC6-A749-AA8589CF17AD}" uniqueName="11" name="Distance_x000a_Travelled_x000a_From Last_x000a_Location" queryTableFieldId="11" dataDxfId="75"/>
    <tableColumn id="12" xr3:uid="{CB9AEF8A-4F53-4841-92FA-59919BFD2AC0}" uniqueName="12" name=" Address / Diagnostic report" queryTableFieldId="12" dataDxfId="74"/>
    <tableColumn id="13" xr3:uid="{3050DC13-02F3-43A0-B0D1-792D0864D099}" uniqueName="13" name="Lat" queryTableFieldId="13" dataDxfId="73"/>
    <tableColumn id="14" xr3:uid="{5A024A8B-7188-449E-9FBD-FE5A10AA3D88}" uniqueName="14" name="Lon" queryTableFieldId="14" dataDxfId="72"/>
    <tableColumn id="15" xr3:uid="{341CF669-BC1E-4C84-9B4B-44D17E8BF432}" uniqueName="15" name="Distance From Base Location " queryTableFieldId="15" dataDxfId="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D8191B-5996-475D-BA4D-2BAFB730A3B8}" name="Table1_15" displayName="Table1_15" ref="A1:P4831" tableType="queryTable" totalsRowShown="0">
  <autoFilter ref="A1:P4831" xr:uid="{C1D8191B-5996-475D-BA4D-2BAFB730A3B8}"/>
  <tableColumns count="16">
    <tableColumn id="1" xr3:uid="{942F623F-A52F-401B-BC78-5C40C4E24757}" uniqueName="1" name="Employee Name" queryTableFieldId="1"/>
    <tableColumn id="2" xr3:uid="{9FD91050-8226-4F6C-A299-EF62E505B981}" uniqueName="2" name="Mobile_x000a_Number" queryTableFieldId="2"/>
    <tableColumn id="3" xr3:uid="{5D97AC8C-9579-4AB0-BA40-04C1ACB38E4C}" uniqueName="3" name="Deg" queryTableFieldId="3"/>
    <tableColumn id="4" xr3:uid="{02BCC5BC-4759-4BA2-8E60-050FF2AABD84}" uniqueName="4" name="Group" queryTableFieldId="4"/>
    <tableColumn id="5" xr3:uid="{9FD2CAA7-F634-4B08-9D15-22BC0117DE18}" uniqueName="5" name="Date" queryTableFieldId="5" dataDxfId="70"/>
    <tableColumn id="6" xr3:uid="{08F6AF35-6265-4DBC-821D-6F55B2A92887}" uniqueName="6" name="Day" queryTableFieldId="6" dataDxfId="69"/>
    <tableColumn id="7" xr3:uid="{3A530071-0172-4231-879F-700B7E197B73}" uniqueName="7" name="Start Time" queryTableFieldId="7" dataDxfId="68"/>
    <tableColumn id="8" xr3:uid="{93EF5AC3-8208-4D84-A585-D8296FF114D7}" uniqueName="8" name="End Time" queryTableFieldId="8" dataDxfId="67"/>
    <tableColumn id="9" xr3:uid="{893F6F9A-FCBA-4C34-B66E-90D8B5CA27C3}" uniqueName="9" name="Avg Duration _x000a_(hr)" queryTableFieldId="9"/>
    <tableColumn id="10" xr3:uid="{1F0E7F79-1708-42F5-8B1B-EA52351F744E}" uniqueName="10" name="Status" queryTableFieldId="10" dataDxfId="66"/>
    <tableColumn id="11" xr3:uid="{00571868-9487-438B-9DF4-C5AFAEC79556}" uniqueName="11" name="Tp Visit" queryTableFieldId="11"/>
    <tableColumn id="12" xr3:uid="{DCD554A4-8378-4706-A57B-5B5FEDF74861}" uniqueName="12" name="Distance_x000a_Travelled_x000a_From Last_x000a_Location" queryTableFieldId="12" dataDxfId="65"/>
    <tableColumn id="13" xr3:uid="{1034EF72-C9F9-4FF5-801C-5A2D05D0F4C1}" uniqueName="13" name=" Address / Diagnostic report" queryTableFieldId="13" dataDxfId="64"/>
    <tableColumn id="14" xr3:uid="{7B5F2366-4230-4FDB-80B8-2863918BB7E0}" uniqueName="14" name="Lat" queryTableFieldId="14" dataDxfId="63"/>
    <tableColumn id="15" xr3:uid="{56D8B0B4-5FFF-4181-80C6-C319B4797937}" uniqueName="15" name="Lon" queryTableFieldId="15" dataDxfId="62"/>
    <tableColumn id="16" xr3:uid="{4ECD740D-B070-4164-A773-E21B1473ACC5}" uniqueName="16" name="Distance From Base Location " queryTableFieldId="16" dataDxfId="6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1drv.ms/i/c/43ae19b50f43f106/IQTTVFHOlanIS7PwSlrz4zwiAQx3B6iYEbGKhDzCTnO-V7c?width=682&amp;height=71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8BFB-58AD-4C65-A181-7653CA70C5F5}">
  <sheetPr>
    <tabColor rgb="FFFFFF00"/>
  </sheetPr>
  <dimension ref="A1:P13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P188"/>
    </sheetView>
  </sheetViews>
  <sheetFormatPr defaultRowHeight="14.5" x14ac:dyDescent="0.35"/>
  <cols>
    <col min="1" max="1" width="15.08984375" style="24" customWidth="1"/>
    <col min="2" max="2" width="22.08984375" style="24" customWidth="1"/>
    <col min="3" max="3" width="9.81640625" style="24" customWidth="1"/>
    <col min="4" max="4" width="9.453125" style="24" customWidth="1"/>
    <col min="5" max="5" width="12.54296875" style="24" customWidth="1"/>
    <col min="6" max="6" width="13.453125" style="24" customWidth="1"/>
    <col min="7" max="7" width="15.1796875" style="24" bestFit="1" customWidth="1"/>
    <col min="8" max="8" width="11.54296875" style="24" customWidth="1"/>
    <col min="9" max="9" width="15.90625" style="24" customWidth="1"/>
    <col min="10" max="10" width="13.453125" style="24" bestFit="1" customWidth="1"/>
    <col min="11" max="11" width="9.453125" style="24" customWidth="1"/>
    <col min="12" max="12" width="8.81640625" style="24" customWidth="1"/>
    <col min="13" max="13" width="8.7265625" style="24"/>
    <col min="14" max="14" width="11.1796875" style="24" customWidth="1"/>
    <col min="15" max="15" width="18" style="24" customWidth="1"/>
    <col min="16" max="16" width="32" style="24" bestFit="1" customWidth="1"/>
    <col min="17" max="16384" width="8.7265625" style="24"/>
  </cols>
  <sheetData>
    <row r="1" spans="1:16" ht="29" x14ac:dyDescent="0.35">
      <c r="A1" s="1" t="s">
        <v>0</v>
      </c>
      <c r="B1" s="23" t="s">
        <v>23</v>
      </c>
      <c r="C1" s="1" t="s">
        <v>16</v>
      </c>
      <c r="D1" s="1" t="s">
        <v>17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9</v>
      </c>
      <c r="J1" s="2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22</v>
      </c>
    </row>
    <row r="2" spans="1:16" x14ac:dyDescent="0.35">
      <c r="A2" s="37">
        <v>1313762456</v>
      </c>
      <c r="B2" s="37" t="s">
        <v>91</v>
      </c>
      <c r="C2" s="35" t="s">
        <v>18</v>
      </c>
      <c r="D2" s="37" t="s">
        <v>20</v>
      </c>
      <c r="E2" s="38">
        <v>46204</v>
      </c>
      <c r="F2" s="35" t="s">
        <v>3</v>
      </c>
      <c r="G2" s="35">
        <v>11</v>
      </c>
      <c r="H2" s="39">
        <v>4.3499999999999979</v>
      </c>
      <c r="I2" s="39">
        <f>(G2-H2)</f>
        <v>6.6500000000000021</v>
      </c>
      <c r="J2" s="39">
        <v>13.049999999999992</v>
      </c>
      <c r="K2" s="36">
        <f>I2/G2</f>
        <v>0.60454545454545472</v>
      </c>
      <c r="L2" s="36">
        <f>H2/G2</f>
        <v>0.39545454545454528</v>
      </c>
      <c r="M2" s="36">
        <f>J2/20</f>
        <v>0.65249999999999964</v>
      </c>
      <c r="N2" s="40">
        <f>ROUND((MIN(J2/20,1)*50)+(MAX(0,(G2-H2)/G2)*30)+(MAX(0,1-(I2/3))*20),1)/100</f>
        <v>0.50800000000000001</v>
      </c>
      <c r="O2" t="str">
        <f>IF(N2&gt;60%,"productive","Low Prodcutive")</f>
        <v>Low Prodcutive</v>
      </c>
      <c r="P2" t="s">
        <v>133</v>
      </c>
    </row>
    <row r="3" spans="1:16" x14ac:dyDescent="0.35">
      <c r="A3" s="37">
        <v>1313762456</v>
      </c>
      <c r="B3" s="37" t="s">
        <v>91</v>
      </c>
      <c r="C3" s="35" t="s">
        <v>18</v>
      </c>
      <c r="D3" s="37" t="s">
        <v>20</v>
      </c>
      <c r="E3" s="38">
        <v>46205</v>
      </c>
      <c r="F3" s="35" t="s">
        <v>4</v>
      </c>
      <c r="G3" s="35">
        <v>11</v>
      </c>
      <c r="H3" s="39">
        <v>4.6833333333333353</v>
      </c>
      <c r="I3" s="39">
        <f t="shared" ref="I3:I66" si="0">(G3-H3)</f>
        <v>6.3166666666666647</v>
      </c>
      <c r="J3" s="39">
        <v>14.050000000000008</v>
      </c>
      <c r="K3" s="36">
        <f t="shared" ref="K3:K66" si="1">I3/G3</f>
        <v>0.57424242424242411</v>
      </c>
      <c r="L3" s="36">
        <f t="shared" ref="L3:L66" si="2">H3/G3</f>
        <v>0.42575757575757595</v>
      </c>
      <c r="M3" s="36">
        <f t="shared" ref="M3:M66" si="3">J3/20</f>
        <v>0.70250000000000035</v>
      </c>
      <c r="N3" s="40">
        <f t="shared" ref="N3:N66" si="4">ROUND((MIN(J3/20,1)*50)+(MAX(0,(G3-H3)/G3)*30)+(MAX(0,1-(I3/3))*20),1)/100</f>
        <v>0.52400000000000002</v>
      </c>
      <c r="O3" t="str">
        <f t="shared" ref="O3:O66" si="5">IF(N3&gt;60%,"productive","Low Prodcutive")</f>
        <v>Low Prodcutive</v>
      </c>
      <c r="P3" t="s">
        <v>133</v>
      </c>
    </row>
    <row r="4" spans="1:16" x14ac:dyDescent="0.35">
      <c r="A4" s="37">
        <v>1313762456</v>
      </c>
      <c r="B4" s="37" t="s">
        <v>91</v>
      </c>
      <c r="C4" s="35" t="s">
        <v>18</v>
      </c>
      <c r="D4" s="37" t="s">
        <v>20</v>
      </c>
      <c r="E4" s="38">
        <v>46207</v>
      </c>
      <c r="F4" s="35" t="s">
        <v>5</v>
      </c>
      <c r="G4" s="35">
        <v>11</v>
      </c>
      <c r="H4" s="39">
        <v>6.1666666666666661</v>
      </c>
      <c r="I4" s="39">
        <f t="shared" si="0"/>
        <v>4.8333333333333339</v>
      </c>
      <c r="J4" s="39">
        <v>18.5</v>
      </c>
      <c r="K4" s="36">
        <f t="shared" si="1"/>
        <v>0.43939393939393945</v>
      </c>
      <c r="L4" s="36">
        <f t="shared" si="2"/>
        <v>0.56060606060606055</v>
      </c>
      <c r="M4" s="36">
        <f t="shared" si="3"/>
        <v>0.92500000000000004</v>
      </c>
      <c r="N4" s="40">
        <f t="shared" si="4"/>
        <v>0.59399999999999997</v>
      </c>
      <c r="O4" t="str">
        <f t="shared" si="5"/>
        <v>Low Prodcutive</v>
      </c>
      <c r="P4" t="s">
        <v>133</v>
      </c>
    </row>
    <row r="5" spans="1:16" x14ac:dyDescent="0.35">
      <c r="A5" s="41">
        <v>1313762456</v>
      </c>
      <c r="B5" s="37" t="s">
        <v>91</v>
      </c>
      <c r="C5" s="35" t="s">
        <v>18</v>
      </c>
      <c r="D5" s="37" t="s">
        <v>20</v>
      </c>
      <c r="E5" s="38">
        <v>46208</v>
      </c>
      <c r="F5" s="35" t="s">
        <v>6</v>
      </c>
      <c r="G5" s="35">
        <v>11</v>
      </c>
      <c r="H5" s="39">
        <v>4.8333333333333321</v>
      </c>
      <c r="I5" s="39">
        <f t="shared" si="0"/>
        <v>6.1666666666666679</v>
      </c>
      <c r="J5" s="39">
        <v>14.499999999999996</v>
      </c>
      <c r="K5" s="36">
        <f t="shared" si="1"/>
        <v>0.56060606060606066</v>
      </c>
      <c r="L5" s="36">
        <f t="shared" si="2"/>
        <v>0.43939393939393928</v>
      </c>
      <c r="M5" s="36">
        <f t="shared" si="3"/>
        <v>0.72499999999999987</v>
      </c>
      <c r="N5" s="40">
        <f t="shared" si="4"/>
        <v>0.53100000000000003</v>
      </c>
      <c r="O5" t="str">
        <f t="shared" si="5"/>
        <v>Low Prodcutive</v>
      </c>
      <c r="P5" t="s">
        <v>133</v>
      </c>
    </row>
    <row r="6" spans="1:16" x14ac:dyDescent="0.35">
      <c r="A6" s="37">
        <v>1313762582</v>
      </c>
      <c r="B6" s="37" t="s">
        <v>92</v>
      </c>
      <c r="C6" s="35" t="s">
        <v>18</v>
      </c>
      <c r="D6" s="37" t="s">
        <v>20</v>
      </c>
      <c r="E6" s="38">
        <v>46204</v>
      </c>
      <c r="F6" s="35" t="s">
        <v>3</v>
      </c>
      <c r="G6" s="35">
        <v>11</v>
      </c>
      <c r="H6" s="39">
        <v>3.8166666666666651</v>
      </c>
      <c r="I6" s="39">
        <f t="shared" si="0"/>
        <v>7.1833333333333353</v>
      </c>
      <c r="J6" s="39">
        <v>11.449999999999996</v>
      </c>
      <c r="K6" s="36">
        <f t="shared" si="1"/>
        <v>0.65303030303030318</v>
      </c>
      <c r="L6" s="36">
        <f t="shared" si="2"/>
        <v>0.34696969696969682</v>
      </c>
      <c r="M6" s="36">
        <f t="shared" si="3"/>
        <v>0.57249999999999979</v>
      </c>
      <c r="N6" s="40">
        <f t="shared" si="4"/>
        <v>0.48200000000000004</v>
      </c>
      <c r="O6" t="str">
        <f t="shared" si="5"/>
        <v>Low Prodcutive</v>
      </c>
      <c r="P6" t="s">
        <v>133</v>
      </c>
    </row>
    <row r="7" spans="1:16" x14ac:dyDescent="0.35">
      <c r="A7" s="37">
        <v>1313762582</v>
      </c>
      <c r="B7" s="37" t="s">
        <v>92</v>
      </c>
      <c r="C7" s="35" t="s">
        <v>18</v>
      </c>
      <c r="D7" s="37" t="s">
        <v>20</v>
      </c>
      <c r="E7" s="38">
        <v>46205</v>
      </c>
      <c r="F7" s="35" t="s">
        <v>4</v>
      </c>
      <c r="G7" s="35">
        <v>11</v>
      </c>
      <c r="H7" s="39">
        <v>5.9666666666666668</v>
      </c>
      <c r="I7" s="39">
        <f t="shared" si="0"/>
        <v>5.0333333333333332</v>
      </c>
      <c r="J7" s="39">
        <v>17.899999999999999</v>
      </c>
      <c r="K7" s="36">
        <f t="shared" si="1"/>
        <v>0.45757575757575758</v>
      </c>
      <c r="L7" s="36">
        <f t="shared" si="2"/>
        <v>0.54242424242424248</v>
      </c>
      <c r="M7" s="36">
        <f t="shared" si="3"/>
        <v>0.89499999999999991</v>
      </c>
      <c r="N7" s="40">
        <f t="shared" si="4"/>
        <v>0.58499999999999996</v>
      </c>
      <c r="O7" t="str">
        <f t="shared" si="5"/>
        <v>Low Prodcutive</v>
      </c>
      <c r="P7" t="s">
        <v>133</v>
      </c>
    </row>
    <row r="8" spans="1:16" x14ac:dyDescent="0.35">
      <c r="A8" s="37">
        <v>1313762582</v>
      </c>
      <c r="B8" s="37" t="s">
        <v>92</v>
      </c>
      <c r="C8" s="35" t="s">
        <v>18</v>
      </c>
      <c r="D8" s="37" t="s">
        <v>20</v>
      </c>
      <c r="E8" s="38">
        <v>46207</v>
      </c>
      <c r="F8" s="35" t="s">
        <v>5</v>
      </c>
      <c r="G8" s="35">
        <v>11</v>
      </c>
      <c r="H8" s="39">
        <v>5.6500000000000012</v>
      </c>
      <c r="I8" s="39">
        <f t="shared" si="0"/>
        <v>5.3499999999999988</v>
      </c>
      <c r="J8" s="39">
        <v>16.950000000000003</v>
      </c>
      <c r="K8" s="36">
        <f t="shared" si="1"/>
        <v>0.48636363636363628</v>
      </c>
      <c r="L8" s="36">
        <f t="shared" si="2"/>
        <v>0.51363636363636378</v>
      </c>
      <c r="M8" s="36">
        <f t="shared" si="3"/>
        <v>0.84750000000000014</v>
      </c>
      <c r="N8" s="40">
        <f t="shared" si="4"/>
        <v>0.56999999999999995</v>
      </c>
      <c r="O8" t="str">
        <f t="shared" si="5"/>
        <v>Low Prodcutive</v>
      </c>
      <c r="P8" t="s">
        <v>133</v>
      </c>
    </row>
    <row r="9" spans="1:16" x14ac:dyDescent="0.35">
      <c r="A9" s="41">
        <v>1313762582</v>
      </c>
      <c r="B9" s="37" t="s">
        <v>92</v>
      </c>
      <c r="C9" s="35" t="s">
        <v>18</v>
      </c>
      <c r="D9" s="37" t="s">
        <v>20</v>
      </c>
      <c r="E9" s="38">
        <v>46208</v>
      </c>
      <c r="F9" s="35" t="s">
        <v>6</v>
      </c>
      <c r="G9" s="35">
        <v>11</v>
      </c>
      <c r="H9" s="39">
        <v>3.8333333333333357</v>
      </c>
      <c r="I9" s="39">
        <f t="shared" si="0"/>
        <v>7.1666666666666643</v>
      </c>
      <c r="J9" s="39">
        <v>11.500000000000007</v>
      </c>
      <c r="K9" s="36">
        <f t="shared" si="1"/>
        <v>0.65151515151515127</v>
      </c>
      <c r="L9" s="36">
        <f t="shared" si="2"/>
        <v>0.34848484848484867</v>
      </c>
      <c r="M9" s="36">
        <f t="shared" si="3"/>
        <v>0.5750000000000004</v>
      </c>
      <c r="N9" s="40">
        <f t="shared" si="4"/>
        <v>0.48299999999999998</v>
      </c>
      <c r="O9" t="str">
        <f t="shared" si="5"/>
        <v>Low Prodcutive</v>
      </c>
      <c r="P9" t="s">
        <v>133</v>
      </c>
    </row>
    <row r="10" spans="1:16" x14ac:dyDescent="0.35">
      <c r="A10" s="37">
        <v>1322845164</v>
      </c>
      <c r="B10" s="37" t="s">
        <v>93</v>
      </c>
      <c r="C10" s="35" t="s">
        <v>18</v>
      </c>
      <c r="D10" s="37" t="s">
        <v>20</v>
      </c>
      <c r="E10" s="38">
        <v>46204</v>
      </c>
      <c r="F10" s="35" t="s">
        <v>3</v>
      </c>
      <c r="G10" s="35">
        <v>11</v>
      </c>
      <c r="H10" s="39">
        <v>8.6666666666666714</v>
      </c>
      <c r="I10" s="39">
        <f t="shared" si="0"/>
        <v>2.3333333333333286</v>
      </c>
      <c r="J10" s="39">
        <v>21</v>
      </c>
      <c r="K10" s="36">
        <f t="shared" si="1"/>
        <v>0.21212121212121168</v>
      </c>
      <c r="L10" s="36">
        <f t="shared" si="2"/>
        <v>0.78787878787878829</v>
      </c>
      <c r="M10" s="36">
        <f t="shared" si="3"/>
        <v>1.05</v>
      </c>
      <c r="N10" s="40">
        <f t="shared" si="4"/>
        <v>0.60799999999999998</v>
      </c>
      <c r="O10" t="str">
        <f t="shared" si="5"/>
        <v>productive</v>
      </c>
      <c r="P10" t="s">
        <v>133</v>
      </c>
    </row>
    <row r="11" spans="1:16" x14ac:dyDescent="0.35">
      <c r="A11" s="37">
        <v>1322845164</v>
      </c>
      <c r="B11" s="37" t="s">
        <v>93</v>
      </c>
      <c r="C11" s="35" t="s">
        <v>18</v>
      </c>
      <c r="D11" s="37" t="s">
        <v>20</v>
      </c>
      <c r="E11" s="38">
        <v>46205</v>
      </c>
      <c r="F11" s="35" t="s">
        <v>4</v>
      </c>
      <c r="G11" s="35">
        <v>11</v>
      </c>
      <c r="H11" s="39">
        <v>4.6666666666666687</v>
      </c>
      <c r="I11" s="39">
        <f t="shared" si="0"/>
        <v>6.3333333333333313</v>
      </c>
      <c r="J11" s="39">
        <v>14.000000000000005</v>
      </c>
      <c r="K11" s="36">
        <f t="shared" si="1"/>
        <v>0.57575757575757558</v>
      </c>
      <c r="L11" s="36">
        <f t="shared" si="2"/>
        <v>0.42424242424242442</v>
      </c>
      <c r="M11" s="36">
        <f t="shared" si="3"/>
        <v>0.70000000000000029</v>
      </c>
      <c r="N11" s="40">
        <f t="shared" si="4"/>
        <v>0.52300000000000002</v>
      </c>
      <c r="O11" t="str">
        <f t="shared" si="5"/>
        <v>Low Prodcutive</v>
      </c>
      <c r="P11" t="s">
        <v>133</v>
      </c>
    </row>
    <row r="12" spans="1:16" x14ac:dyDescent="0.35">
      <c r="A12" s="37">
        <v>1322845164</v>
      </c>
      <c r="B12" s="37" t="s">
        <v>93</v>
      </c>
      <c r="C12" s="35" t="s">
        <v>18</v>
      </c>
      <c r="D12" s="37" t="s">
        <v>20</v>
      </c>
      <c r="E12" s="38">
        <v>46207</v>
      </c>
      <c r="F12" s="35" t="s">
        <v>5</v>
      </c>
      <c r="G12" s="35">
        <v>11</v>
      </c>
      <c r="H12" s="39">
        <v>5.9333333333333336</v>
      </c>
      <c r="I12" s="39">
        <f t="shared" si="0"/>
        <v>5.0666666666666664</v>
      </c>
      <c r="J12" s="39">
        <v>17.800000000000004</v>
      </c>
      <c r="K12" s="36">
        <f t="shared" si="1"/>
        <v>0.46060606060606057</v>
      </c>
      <c r="L12" s="36">
        <f t="shared" si="2"/>
        <v>0.53939393939393943</v>
      </c>
      <c r="M12" s="36">
        <f t="shared" si="3"/>
        <v>0.89000000000000024</v>
      </c>
      <c r="N12" s="40">
        <f t="shared" si="4"/>
        <v>0.58299999999999996</v>
      </c>
      <c r="O12" t="str">
        <f t="shared" si="5"/>
        <v>Low Prodcutive</v>
      </c>
      <c r="P12" t="s">
        <v>133</v>
      </c>
    </row>
    <row r="13" spans="1:16" x14ac:dyDescent="0.35">
      <c r="A13" s="41">
        <v>1322845164</v>
      </c>
      <c r="B13" s="37" t="s">
        <v>93</v>
      </c>
      <c r="C13" s="35" t="s">
        <v>18</v>
      </c>
      <c r="D13" s="37" t="s">
        <v>20</v>
      </c>
      <c r="E13" s="38">
        <v>46208</v>
      </c>
      <c r="F13" s="35" t="s">
        <v>6</v>
      </c>
      <c r="G13" s="35">
        <v>11</v>
      </c>
      <c r="H13" s="39">
        <v>6.9999999999999973</v>
      </c>
      <c r="I13" s="39">
        <f t="shared" si="0"/>
        <v>4.0000000000000027</v>
      </c>
      <c r="J13" s="39">
        <v>20.999999999999989</v>
      </c>
      <c r="K13" s="36">
        <f t="shared" si="1"/>
        <v>0.36363636363636387</v>
      </c>
      <c r="L13" s="36">
        <f t="shared" si="2"/>
        <v>0.63636363636363613</v>
      </c>
      <c r="M13" s="36">
        <f t="shared" si="3"/>
        <v>1.0499999999999994</v>
      </c>
      <c r="N13" s="40">
        <f t="shared" si="4"/>
        <v>0.60899999999999999</v>
      </c>
      <c r="O13" t="str">
        <f t="shared" si="5"/>
        <v>productive</v>
      </c>
      <c r="P13" t="s">
        <v>133</v>
      </c>
    </row>
    <row r="14" spans="1:16" x14ac:dyDescent="0.35">
      <c r="A14" s="37">
        <v>1322845165</v>
      </c>
      <c r="B14" s="37" t="s">
        <v>94</v>
      </c>
      <c r="C14" s="35" t="s">
        <v>18</v>
      </c>
      <c r="D14" s="37" t="s">
        <v>20</v>
      </c>
      <c r="E14" s="38">
        <v>46204</v>
      </c>
      <c r="F14" s="35" t="s">
        <v>3</v>
      </c>
      <c r="G14" s="35">
        <v>11</v>
      </c>
      <c r="H14" s="39">
        <v>6.8333333333333321</v>
      </c>
      <c r="I14" s="39">
        <f t="shared" si="0"/>
        <v>4.1666666666666679</v>
      </c>
      <c r="J14" s="39">
        <v>20.499999999999996</v>
      </c>
      <c r="K14" s="36">
        <f t="shared" si="1"/>
        <v>0.3787878787878789</v>
      </c>
      <c r="L14" s="36">
        <f t="shared" si="2"/>
        <v>0.6212121212121211</v>
      </c>
      <c r="M14" s="36">
        <f t="shared" si="3"/>
        <v>1.0249999999999999</v>
      </c>
      <c r="N14" s="40">
        <f t="shared" si="4"/>
        <v>0.61399999999999999</v>
      </c>
      <c r="O14" t="str">
        <f t="shared" si="5"/>
        <v>productive</v>
      </c>
      <c r="P14" t="s">
        <v>133</v>
      </c>
    </row>
    <row r="15" spans="1:16" x14ac:dyDescent="0.35">
      <c r="A15" s="37">
        <v>1322845165</v>
      </c>
      <c r="B15" s="37" t="s">
        <v>94</v>
      </c>
      <c r="C15" s="35" t="s">
        <v>18</v>
      </c>
      <c r="D15" s="37" t="s">
        <v>20</v>
      </c>
      <c r="E15" s="38">
        <v>46205</v>
      </c>
      <c r="F15" s="35" t="s">
        <v>4</v>
      </c>
      <c r="G15" s="35">
        <v>11</v>
      </c>
      <c r="H15" s="39">
        <v>6.666666666666659</v>
      </c>
      <c r="I15" s="39">
        <f t="shared" si="0"/>
        <v>4.333333333333341</v>
      </c>
      <c r="J15" s="39">
        <v>19.999999999999975</v>
      </c>
      <c r="K15" s="36">
        <f t="shared" si="1"/>
        <v>0.39393939393939464</v>
      </c>
      <c r="L15" s="36">
        <f t="shared" si="2"/>
        <v>0.60606060606060541</v>
      </c>
      <c r="M15" s="36">
        <f t="shared" si="3"/>
        <v>0.99999999999999878</v>
      </c>
      <c r="N15" s="40">
        <f t="shared" si="4"/>
        <v>0.61799999999999999</v>
      </c>
      <c r="O15" t="str">
        <f t="shared" si="5"/>
        <v>productive</v>
      </c>
      <c r="P15" t="s">
        <v>133</v>
      </c>
    </row>
    <row r="16" spans="1:16" x14ac:dyDescent="0.35">
      <c r="A16" s="37">
        <v>1322845165</v>
      </c>
      <c r="B16" s="37" t="s">
        <v>94</v>
      </c>
      <c r="C16" s="35" t="s">
        <v>18</v>
      </c>
      <c r="D16" s="37" t="s">
        <v>20</v>
      </c>
      <c r="E16" s="38">
        <v>46207</v>
      </c>
      <c r="F16" s="35" t="s">
        <v>5</v>
      </c>
      <c r="G16" s="35">
        <v>11</v>
      </c>
      <c r="H16" s="39">
        <v>6.166666666666667</v>
      </c>
      <c r="I16" s="39">
        <f t="shared" si="0"/>
        <v>4.833333333333333</v>
      </c>
      <c r="J16" s="39">
        <v>18.500000000000004</v>
      </c>
      <c r="K16" s="36">
        <f t="shared" si="1"/>
        <v>0.43939393939393939</v>
      </c>
      <c r="L16" s="36">
        <f t="shared" si="2"/>
        <v>0.56060606060606066</v>
      </c>
      <c r="M16" s="36">
        <f t="shared" si="3"/>
        <v>0.92500000000000016</v>
      </c>
      <c r="N16" s="40">
        <f t="shared" si="4"/>
        <v>0.59399999999999997</v>
      </c>
      <c r="O16" t="str">
        <f t="shared" si="5"/>
        <v>Low Prodcutive</v>
      </c>
      <c r="P16" t="s">
        <v>133</v>
      </c>
    </row>
    <row r="17" spans="1:16" x14ac:dyDescent="0.35">
      <c r="A17" s="41">
        <v>1322845165</v>
      </c>
      <c r="B17" s="37" t="s">
        <v>94</v>
      </c>
      <c r="C17" s="35" t="s">
        <v>18</v>
      </c>
      <c r="D17" s="37" t="s">
        <v>20</v>
      </c>
      <c r="E17" s="38">
        <v>46208</v>
      </c>
      <c r="F17" s="35" t="s">
        <v>6</v>
      </c>
      <c r="G17" s="35">
        <v>11</v>
      </c>
      <c r="H17" s="39">
        <v>5.3333333333333313</v>
      </c>
      <c r="I17" s="39">
        <f t="shared" si="0"/>
        <v>5.6666666666666687</v>
      </c>
      <c r="J17" s="39">
        <v>15.999999999999996</v>
      </c>
      <c r="K17" s="36">
        <f t="shared" si="1"/>
        <v>0.51515151515151536</v>
      </c>
      <c r="L17" s="36">
        <f t="shared" si="2"/>
        <v>0.48484848484848464</v>
      </c>
      <c r="M17" s="36">
        <f t="shared" si="3"/>
        <v>0.79999999999999982</v>
      </c>
      <c r="N17" s="40">
        <f t="shared" si="4"/>
        <v>0.55500000000000005</v>
      </c>
      <c r="O17" t="str">
        <f t="shared" si="5"/>
        <v>Low Prodcutive</v>
      </c>
      <c r="P17" t="s">
        <v>133</v>
      </c>
    </row>
    <row r="18" spans="1:16" x14ac:dyDescent="0.35">
      <c r="A18" s="37">
        <v>1322845166</v>
      </c>
      <c r="B18" s="37" t="s">
        <v>95</v>
      </c>
      <c r="C18" s="35" t="s">
        <v>18</v>
      </c>
      <c r="D18" s="37" t="s">
        <v>20</v>
      </c>
      <c r="E18" s="38">
        <v>46205</v>
      </c>
      <c r="F18" s="35" t="s">
        <v>4</v>
      </c>
      <c r="G18" s="35">
        <v>11</v>
      </c>
      <c r="H18" s="39">
        <v>6.8333333333333321</v>
      </c>
      <c r="I18" s="39">
        <f t="shared" si="0"/>
        <v>4.1666666666666679</v>
      </c>
      <c r="J18" s="39">
        <v>20.499999999999996</v>
      </c>
      <c r="K18" s="36">
        <f t="shared" si="1"/>
        <v>0.3787878787878789</v>
      </c>
      <c r="L18" s="36">
        <f t="shared" si="2"/>
        <v>0.6212121212121211</v>
      </c>
      <c r="M18" s="36">
        <f t="shared" si="3"/>
        <v>1.0249999999999999</v>
      </c>
      <c r="N18" s="40">
        <f t="shared" si="4"/>
        <v>0.61399999999999999</v>
      </c>
      <c r="O18" t="str">
        <f t="shared" si="5"/>
        <v>productive</v>
      </c>
      <c r="P18" t="s">
        <v>133</v>
      </c>
    </row>
    <row r="19" spans="1:16" x14ac:dyDescent="0.35">
      <c r="A19" s="37">
        <v>1322845166</v>
      </c>
      <c r="B19" s="37" t="s">
        <v>95</v>
      </c>
      <c r="C19" s="35" t="s">
        <v>18</v>
      </c>
      <c r="D19" s="37" t="s">
        <v>20</v>
      </c>
      <c r="E19" s="38">
        <v>46207</v>
      </c>
      <c r="F19" s="35" t="s">
        <v>5</v>
      </c>
      <c r="G19" s="35">
        <v>11</v>
      </c>
      <c r="H19" s="39">
        <v>4.6666666666666705</v>
      </c>
      <c r="I19" s="39">
        <f t="shared" si="0"/>
        <v>6.3333333333333295</v>
      </c>
      <c r="J19" s="39">
        <v>14.000000000000011</v>
      </c>
      <c r="K19" s="36">
        <f t="shared" si="1"/>
        <v>0.57575757575757536</v>
      </c>
      <c r="L19" s="36">
        <f t="shared" si="2"/>
        <v>0.42424242424242459</v>
      </c>
      <c r="M19" s="36">
        <f t="shared" si="3"/>
        <v>0.70000000000000051</v>
      </c>
      <c r="N19" s="40">
        <f t="shared" si="4"/>
        <v>0.52300000000000002</v>
      </c>
      <c r="O19" t="str">
        <f t="shared" si="5"/>
        <v>Low Prodcutive</v>
      </c>
      <c r="P19" t="s">
        <v>133</v>
      </c>
    </row>
    <row r="20" spans="1:16" x14ac:dyDescent="0.35">
      <c r="A20" s="41">
        <v>1322845166</v>
      </c>
      <c r="B20" s="37" t="s">
        <v>95</v>
      </c>
      <c r="C20" s="35" t="s">
        <v>18</v>
      </c>
      <c r="D20" s="37" t="s">
        <v>20</v>
      </c>
      <c r="E20" s="38">
        <v>46208</v>
      </c>
      <c r="F20" s="35" t="s">
        <v>6</v>
      </c>
      <c r="G20" s="35">
        <v>11</v>
      </c>
      <c r="H20" s="39">
        <v>5.1666666666666723</v>
      </c>
      <c r="I20" s="39">
        <f t="shared" si="0"/>
        <v>5.8333333333333277</v>
      </c>
      <c r="J20" s="39">
        <v>15.500000000000018</v>
      </c>
      <c r="K20" s="36">
        <f t="shared" si="1"/>
        <v>0.53030303030302983</v>
      </c>
      <c r="L20" s="36">
        <f t="shared" si="2"/>
        <v>0.46969696969697022</v>
      </c>
      <c r="M20" s="36">
        <f t="shared" si="3"/>
        <v>0.77500000000000091</v>
      </c>
      <c r="N20" s="40">
        <f t="shared" si="4"/>
        <v>0.54700000000000004</v>
      </c>
      <c r="O20" t="str">
        <f t="shared" si="5"/>
        <v>Low Prodcutive</v>
      </c>
      <c r="P20" t="s">
        <v>133</v>
      </c>
    </row>
    <row r="21" spans="1:16" x14ac:dyDescent="0.35">
      <c r="A21" s="37">
        <v>1322845167</v>
      </c>
      <c r="B21" s="37" t="s">
        <v>82</v>
      </c>
      <c r="C21" s="35" t="s">
        <v>19</v>
      </c>
      <c r="D21" s="37" t="s">
        <v>20</v>
      </c>
      <c r="E21" s="38">
        <v>46207</v>
      </c>
      <c r="F21" s="35" t="s">
        <v>5</v>
      </c>
      <c r="G21" s="35">
        <v>11</v>
      </c>
      <c r="H21" s="39">
        <v>10.333333333333332</v>
      </c>
      <c r="I21" s="39">
        <f t="shared" si="0"/>
        <v>0.66666666666666785</v>
      </c>
      <c r="J21" s="39">
        <v>21</v>
      </c>
      <c r="K21" s="36">
        <f t="shared" si="1"/>
        <v>6.0606060606060712E-2</v>
      </c>
      <c r="L21" s="36">
        <f t="shared" si="2"/>
        <v>0.93939393939393934</v>
      </c>
      <c r="M21" s="36">
        <f t="shared" si="3"/>
        <v>1.05</v>
      </c>
      <c r="N21" s="40">
        <f t="shared" si="4"/>
        <v>0.67400000000000004</v>
      </c>
      <c r="O21" t="str">
        <f t="shared" si="5"/>
        <v>productive</v>
      </c>
      <c r="P21" t="s">
        <v>133</v>
      </c>
    </row>
    <row r="22" spans="1:16" x14ac:dyDescent="0.35">
      <c r="A22" s="37">
        <v>1322845168</v>
      </c>
      <c r="B22" s="37" t="s">
        <v>83</v>
      </c>
      <c r="C22" s="35" t="s">
        <v>19</v>
      </c>
      <c r="D22" s="37" t="s">
        <v>20</v>
      </c>
      <c r="E22" s="38">
        <v>46204</v>
      </c>
      <c r="F22" s="35" t="s">
        <v>3</v>
      </c>
      <c r="G22" s="35">
        <v>11</v>
      </c>
      <c r="H22" s="39">
        <v>4.6666666666666696</v>
      </c>
      <c r="I22" s="39">
        <f t="shared" si="0"/>
        <v>6.3333333333333304</v>
      </c>
      <c r="J22" s="39">
        <v>14.000000000000009</v>
      </c>
      <c r="K22" s="36">
        <f t="shared" si="1"/>
        <v>0.57575757575757547</v>
      </c>
      <c r="L22" s="36">
        <f t="shared" si="2"/>
        <v>0.42424242424242453</v>
      </c>
      <c r="M22" s="36">
        <f t="shared" si="3"/>
        <v>0.7000000000000004</v>
      </c>
      <c r="N22" s="40">
        <f t="shared" si="4"/>
        <v>0.52300000000000002</v>
      </c>
      <c r="O22" t="str">
        <f t="shared" si="5"/>
        <v>Low Prodcutive</v>
      </c>
      <c r="P22" t="s">
        <v>133</v>
      </c>
    </row>
    <row r="23" spans="1:16" x14ac:dyDescent="0.35">
      <c r="A23" s="37">
        <v>1322845168</v>
      </c>
      <c r="B23" s="37" t="s">
        <v>83</v>
      </c>
      <c r="C23" s="35" t="s">
        <v>19</v>
      </c>
      <c r="D23" s="37" t="s">
        <v>20</v>
      </c>
      <c r="E23" s="38">
        <v>46205</v>
      </c>
      <c r="F23" s="35" t="s">
        <v>4</v>
      </c>
      <c r="G23" s="35">
        <v>11</v>
      </c>
      <c r="H23" s="39">
        <v>6.1666666666666741</v>
      </c>
      <c r="I23" s="39">
        <f t="shared" si="0"/>
        <v>4.8333333333333259</v>
      </c>
      <c r="J23" s="39">
        <v>18.500000000000021</v>
      </c>
      <c r="K23" s="36">
        <f t="shared" si="1"/>
        <v>0.43939393939393873</v>
      </c>
      <c r="L23" s="36">
        <f t="shared" si="2"/>
        <v>0.56060606060606133</v>
      </c>
      <c r="M23" s="36">
        <f t="shared" si="3"/>
        <v>0.92500000000000104</v>
      </c>
      <c r="N23" s="40">
        <f t="shared" si="4"/>
        <v>0.59399999999999997</v>
      </c>
      <c r="O23" t="str">
        <f t="shared" si="5"/>
        <v>Low Prodcutive</v>
      </c>
      <c r="P23" t="s">
        <v>133</v>
      </c>
    </row>
    <row r="24" spans="1:16" x14ac:dyDescent="0.35">
      <c r="A24" s="37">
        <v>1322845168</v>
      </c>
      <c r="B24" s="37" t="s">
        <v>83</v>
      </c>
      <c r="C24" s="35" t="s">
        <v>19</v>
      </c>
      <c r="D24" s="37" t="s">
        <v>20</v>
      </c>
      <c r="E24" s="38">
        <v>46207</v>
      </c>
      <c r="F24" s="35" t="s">
        <v>5</v>
      </c>
      <c r="G24" s="35">
        <v>11</v>
      </c>
      <c r="H24" s="39">
        <v>5.3333333333333348</v>
      </c>
      <c r="I24" s="39">
        <f t="shared" si="0"/>
        <v>5.6666666666666652</v>
      </c>
      <c r="J24" s="39">
        <v>16.000000000000004</v>
      </c>
      <c r="K24" s="36">
        <f t="shared" si="1"/>
        <v>0.51515151515151503</v>
      </c>
      <c r="L24" s="36">
        <f t="shared" si="2"/>
        <v>0.48484848484848497</v>
      </c>
      <c r="M24" s="36">
        <f t="shared" si="3"/>
        <v>0.80000000000000016</v>
      </c>
      <c r="N24" s="40">
        <f t="shared" si="4"/>
        <v>0.55500000000000005</v>
      </c>
      <c r="O24" t="str">
        <f t="shared" si="5"/>
        <v>Low Prodcutive</v>
      </c>
      <c r="P24" t="s">
        <v>133</v>
      </c>
    </row>
    <row r="25" spans="1:16" x14ac:dyDescent="0.35">
      <c r="A25" s="41">
        <v>1322845168</v>
      </c>
      <c r="B25" s="37" t="s">
        <v>83</v>
      </c>
      <c r="C25" s="35" t="s">
        <v>19</v>
      </c>
      <c r="D25" s="37" t="s">
        <v>20</v>
      </c>
      <c r="E25" s="38">
        <v>46208</v>
      </c>
      <c r="F25" s="35" t="s">
        <v>6</v>
      </c>
      <c r="G25" s="35">
        <v>11</v>
      </c>
      <c r="H25" s="39">
        <v>6</v>
      </c>
      <c r="I25" s="39">
        <f t="shared" si="0"/>
        <v>5</v>
      </c>
      <c r="J25" s="39">
        <v>18</v>
      </c>
      <c r="K25" s="36">
        <f t="shared" si="1"/>
        <v>0.45454545454545453</v>
      </c>
      <c r="L25" s="36">
        <f t="shared" si="2"/>
        <v>0.54545454545454541</v>
      </c>
      <c r="M25" s="36">
        <f t="shared" si="3"/>
        <v>0.9</v>
      </c>
      <c r="N25" s="40">
        <f t="shared" si="4"/>
        <v>0.58599999999999997</v>
      </c>
      <c r="O25" t="str">
        <f t="shared" si="5"/>
        <v>Low Prodcutive</v>
      </c>
      <c r="P25" t="s">
        <v>133</v>
      </c>
    </row>
    <row r="26" spans="1:16" x14ac:dyDescent="0.35">
      <c r="A26" s="37">
        <v>1322845170</v>
      </c>
      <c r="B26" s="37" t="s">
        <v>96</v>
      </c>
      <c r="C26" s="35" t="s">
        <v>18</v>
      </c>
      <c r="D26" s="37" t="s">
        <v>21</v>
      </c>
      <c r="E26" s="38">
        <v>46204</v>
      </c>
      <c r="F26" s="35" t="s">
        <v>3</v>
      </c>
      <c r="G26" s="35">
        <v>11</v>
      </c>
      <c r="H26" s="39">
        <v>5.1666666666666696</v>
      </c>
      <c r="I26" s="39">
        <f t="shared" si="0"/>
        <v>5.8333333333333304</v>
      </c>
      <c r="J26" s="39">
        <v>15.500000000000011</v>
      </c>
      <c r="K26" s="36">
        <f t="shared" si="1"/>
        <v>0.53030303030303005</v>
      </c>
      <c r="L26" s="36">
        <f t="shared" si="2"/>
        <v>0.46969696969696995</v>
      </c>
      <c r="M26" s="36">
        <f t="shared" si="3"/>
        <v>0.77500000000000058</v>
      </c>
      <c r="N26" s="40">
        <f t="shared" si="4"/>
        <v>0.54700000000000004</v>
      </c>
      <c r="O26" t="str">
        <f t="shared" si="5"/>
        <v>Low Prodcutive</v>
      </c>
      <c r="P26" t="s">
        <v>133</v>
      </c>
    </row>
    <row r="27" spans="1:16" x14ac:dyDescent="0.35">
      <c r="A27" s="37">
        <v>1322845170</v>
      </c>
      <c r="B27" s="37" t="s">
        <v>96</v>
      </c>
      <c r="C27" s="35" t="s">
        <v>18</v>
      </c>
      <c r="D27" s="37" t="s">
        <v>21</v>
      </c>
      <c r="E27" s="38">
        <v>46205</v>
      </c>
      <c r="F27" s="35" t="s">
        <v>4</v>
      </c>
      <c r="G27" s="35">
        <v>11</v>
      </c>
      <c r="H27" s="39">
        <v>5.1666666666666643</v>
      </c>
      <c r="I27" s="39">
        <f t="shared" si="0"/>
        <v>5.8333333333333357</v>
      </c>
      <c r="J27" s="39">
        <v>15.499999999999993</v>
      </c>
      <c r="K27" s="36">
        <f t="shared" si="1"/>
        <v>0.5303030303030305</v>
      </c>
      <c r="L27" s="36">
        <f t="shared" si="2"/>
        <v>0.4696969696969695</v>
      </c>
      <c r="M27" s="36">
        <f t="shared" si="3"/>
        <v>0.77499999999999969</v>
      </c>
      <c r="N27" s="40">
        <f t="shared" si="4"/>
        <v>0.54700000000000004</v>
      </c>
      <c r="O27" t="str">
        <f t="shared" si="5"/>
        <v>Low Prodcutive</v>
      </c>
      <c r="P27" t="s">
        <v>133</v>
      </c>
    </row>
    <row r="28" spans="1:16" x14ac:dyDescent="0.35">
      <c r="A28" s="37">
        <v>1322845170</v>
      </c>
      <c r="B28" s="37" t="s">
        <v>96</v>
      </c>
      <c r="C28" s="35" t="s">
        <v>18</v>
      </c>
      <c r="D28" s="37" t="s">
        <v>21</v>
      </c>
      <c r="E28" s="38">
        <v>46207</v>
      </c>
      <c r="F28" s="35" t="s">
        <v>5</v>
      </c>
      <c r="G28" s="35">
        <v>11</v>
      </c>
      <c r="H28" s="39">
        <v>4.1666666666666652</v>
      </c>
      <c r="I28" s="39">
        <f t="shared" si="0"/>
        <v>6.8333333333333348</v>
      </c>
      <c r="J28" s="39">
        <v>12.499999999999995</v>
      </c>
      <c r="K28" s="36">
        <f t="shared" si="1"/>
        <v>0.62121212121212133</v>
      </c>
      <c r="L28" s="36">
        <f t="shared" si="2"/>
        <v>0.37878787878787867</v>
      </c>
      <c r="M28" s="36">
        <f t="shared" si="3"/>
        <v>0.62499999999999978</v>
      </c>
      <c r="N28" s="40">
        <f t="shared" si="4"/>
        <v>0.499</v>
      </c>
      <c r="O28" t="str">
        <f t="shared" si="5"/>
        <v>Low Prodcutive</v>
      </c>
      <c r="P28" t="s">
        <v>133</v>
      </c>
    </row>
    <row r="29" spans="1:16" x14ac:dyDescent="0.35">
      <c r="A29" s="41">
        <v>1322845170</v>
      </c>
      <c r="B29" s="37" t="s">
        <v>96</v>
      </c>
      <c r="C29" s="35" t="s">
        <v>18</v>
      </c>
      <c r="D29" s="37" t="s">
        <v>21</v>
      </c>
      <c r="E29" s="38">
        <v>46208</v>
      </c>
      <c r="F29" s="35" t="s">
        <v>6</v>
      </c>
      <c r="G29" s="35">
        <v>11</v>
      </c>
      <c r="H29" s="39">
        <v>3.1666666666666683</v>
      </c>
      <c r="I29" s="39">
        <f t="shared" si="0"/>
        <v>7.8333333333333321</v>
      </c>
      <c r="J29" s="39">
        <v>9.5000000000000071</v>
      </c>
      <c r="K29" s="36">
        <f t="shared" si="1"/>
        <v>0.71212121212121204</v>
      </c>
      <c r="L29" s="36">
        <f t="shared" si="2"/>
        <v>0.28787878787878801</v>
      </c>
      <c r="M29" s="36">
        <f t="shared" si="3"/>
        <v>0.47500000000000037</v>
      </c>
      <c r="N29" s="40">
        <f t="shared" si="4"/>
        <v>0.45100000000000001</v>
      </c>
      <c r="O29" t="str">
        <f t="shared" si="5"/>
        <v>Low Prodcutive</v>
      </c>
      <c r="P29" t="s">
        <v>133</v>
      </c>
    </row>
    <row r="30" spans="1:16" x14ac:dyDescent="0.35">
      <c r="A30" s="37">
        <v>1322845171</v>
      </c>
      <c r="B30" s="37" t="s">
        <v>84</v>
      </c>
      <c r="C30" s="35" t="s">
        <v>19</v>
      </c>
      <c r="D30" s="37" t="s">
        <v>20</v>
      </c>
      <c r="E30" s="38">
        <v>46204</v>
      </c>
      <c r="F30" s="35" t="s">
        <v>3</v>
      </c>
      <c r="G30" s="35">
        <v>11</v>
      </c>
      <c r="H30" s="39">
        <v>5.4499999999999993</v>
      </c>
      <c r="I30" s="39">
        <f t="shared" si="0"/>
        <v>5.5500000000000007</v>
      </c>
      <c r="J30" s="39">
        <v>16.350000000000001</v>
      </c>
      <c r="K30" s="36">
        <f t="shared" si="1"/>
        <v>0.50454545454545463</v>
      </c>
      <c r="L30" s="36">
        <f t="shared" si="2"/>
        <v>0.49545454545454537</v>
      </c>
      <c r="M30" s="36">
        <f t="shared" si="3"/>
        <v>0.81750000000000012</v>
      </c>
      <c r="N30" s="40">
        <f t="shared" si="4"/>
        <v>0.56000000000000005</v>
      </c>
      <c r="O30" t="str">
        <f t="shared" si="5"/>
        <v>Low Prodcutive</v>
      </c>
      <c r="P30" t="s">
        <v>133</v>
      </c>
    </row>
    <row r="31" spans="1:16" x14ac:dyDescent="0.35">
      <c r="A31" s="37">
        <v>1322845171</v>
      </c>
      <c r="B31" s="37" t="s">
        <v>84</v>
      </c>
      <c r="C31" s="35" t="s">
        <v>19</v>
      </c>
      <c r="D31" s="37" t="s">
        <v>20</v>
      </c>
      <c r="E31" s="38">
        <v>46205</v>
      </c>
      <c r="F31" s="35" t="s">
        <v>4</v>
      </c>
      <c r="G31" s="35">
        <v>11</v>
      </c>
      <c r="H31" s="39">
        <v>7.6666666666666723</v>
      </c>
      <c r="I31" s="39">
        <f t="shared" si="0"/>
        <v>3.3333333333333277</v>
      </c>
      <c r="J31" s="39">
        <v>23.000000000000014</v>
      </c>
      <c r="K31" s="36">
        <f t="shared" si="1"/>
        <v>0.30303030303030254</v>
      </c>
      <c r="L31" s="36">
        <f t="shared" si="2"/>
        <v>0.69696969696969746</v>
      </c>
      <c r="M31" s="36">
        <f t="shared" si="3"/>
        <v>1.1500000000000008</v>
      </c>
      <c r="N31" s="40">
        <f t="shared" si="4"/>
        <v>0.59099999999999997</v>
      </c>
      <c r="O31" t="str">
        <f t="shared" si="5"/>
        <v>Low Prodcutive</v>
      </c>
      <c r="P31" t="s">
        <v>133</v>
      </c>
    </row>
    <row r="32" spans="1:16" x14ac:dyDescent="0.35">
      <c r="A32" s="37">
        <v>1322845171</v>
      </c>
      <c r="B32" s="37" t="s">
        <v>84</v>
      </c>
      <c r="C32" s="35" t="s">
        <v>19</v>
      </c>
      <c r="D32" s="37" t="s">
        <v>20</v>
      </c>
      <c r="E32" s="38">
        <v>46207</v>
      </c>
      <c r="F32" s="35" t="s">
        <v>5</v>
      </c>
      <c r="G32" s="35">
        <v>11</v>
      </c>
      <c r="H32" s="39">
        <v>5.9833333333333334</v>
      </c>
      <c r="I32" s="39">
        <f t="shared" si="0"/>
        <v>5.0166666666666666</v>
      </c>
      <c r="J32" s="39">
        <v>17.950000000000003</v>
      </c>
      <c r="K32" s="36">
        <f t="shared" si="1"/>
        <v>0.45606060606060606</v>
      </c>
      <c r="L32" s="36">
        <f t="shared" si="2"/>
        <v>0.54393939393939394</v>
      </c>
      <c r="M32" s="36">
        <f t="shared" si="3"/>
        <v>0.89750000000000019</v>
      </c>
      <c r="N32" s="40">
        <f t="shared" si="4"/>
        <v>0.58599999999999997</v>
      </c>
      <c r="O32" t="str">
        <f t="shared" si="5"/>
        <v>Low Prodcutive</v>
      </c>
      <c r="P32" t="s">
        <v>133</v>
      </c>
    </row>
    <row r="33" spans="1:16" x14ac:dyDescent="0.35">
      <c r="A33" s="41">
        <v>1322845171</v>
      </c>
      <c r="B33" s="37" t="s">
        <v>84</v>
      </c>
      <c r="C33" s="35" t="s">
        <v>19</v>
      </c>
      <c r="D33" s="37" t="s">
        <v>20</v>
      </c>
      <c r="E33" s="38">
        <v>46208</v>
      </c>
      <c r="F33" s="35" t="s">
        <v>6</v>
      </c>
      <c r="G33" s="35">
        <v>11</v>
      </c>
      <c r="H33" s="39">
        <v>8.3333333333333357</v>
      </c>
      <c r="I33" s="39">
        <f t="shared" si="0"/>
        <v>2.6666666666666643</v>
      </c>
      <c r="J33" s="39">
        <v>21</v>
      </c>
      <c r="K33" s="36">
        <f t="shared" si="1"/>
        <v>0.24242424242424221</v>
      </c>
      <c r="L33" s="36">
        <f t="shared" si="2"/>
        <v>0.75757575757575779</v>
      </c>
      <c r="M33" s="36">
        <f t="shared" si="3"/>
        <v>1.05</v>
      </c>
      <c r="N33" s="40">
        <f t="shared" si="4"/>
        <v>0.59499999999999997</v>
      </c>
      <c r="O33" t="str">
        <f t="shared" si="5"/>
        <v>Low Prodcutive</v>
      </c>
      <c r="P33" t="s">
        <v>133</v>
      </c>
    </row>
    <row r="34" spans="1:16" x14ac:dyDescent="0.35">
      <c r="A34" s="37">
        <v>1322845172</v>
      </c>
      <c r="B34" s="37" t="s">
        <v>97</v>
      </c>
      <c r="C34" s="35" t="s">
        <v>18</v>
      </c>
      <c r="D34" s="37" t="s">
        <v>20</v>
      </c>
      <c r="E34" s="38">
        <v>46204</v>
      </c>
      <c r="F34" s="35" t="s">
        <v>3</v>
      </c>
      <c r="G34" s="35">
        <v>11</v>
      </c>
      <c r="H34" s="39">
        <v>6.1666666666666661</v>
      </c>
      <c r="I34" s="39">
        <f t="shared" si="0"/>
        <v>4.8333333333333339</v>
      </c>
      <c r="J34" s="39">
        <v>18.5</v>
      </c>
      <c r="K34" s="36">
        <f t="shared" si="1"/>
        <v>0.43939393939393945</v>
      </c>
      <c r="L34" s="36">
        <f t="shared" si="2"/>
        <v>0.56060606060606055</v>
      </c>
      <c r="M34" s="36">
        <f t="shared" si="3"/>
        <v>0.92500000000000004</v>
      </c>
      <c r="N34" s="40">
        <f t="shared" si="4"/>
        <v>0.59399999999999997</v>
      </c>
      <c r="O34" t="str">
        <f t="shared" si="5"/>
        <v>Low Prodcutive</v>
      </c>
      <c r="P34" t="s">
        <v>133</v>
      </c>
    </row>
    <row r="35" spans="1:16" x14ac:dyDescent="0.35">
      <c r="A35" s="37">
        <v>1322845172</v>
      </c>
      <c r="B35" s="37" t="s">
        <v>97</v>
      </c>
      <c r="C35" s="35" t="s">
        <v>18</v>
      </c>
      <c r="D35" s="37" t="s">
        <v>20</v>
      </c>
      <c r="E35" s="38">
        <v>46205</v>
      </c>
      <c r="F35" s="35" t="s">
        <v>4</v>
      </c>
      <c r="G35" s="35">
        <v>11</v>
      </c>
      <c r="H35" s="39">
        <v>10.666666666666664</v>
      </c>
      <c r="I35" s="39">
        <f t="shared" si="0"/>
        <v>0.3333333333333357</v>
      </c>
      <c r="J35" s="39">
        <v>17</v>
      </c>
      <c r="K35" s="36">
        <f t="shared" si="1"/>
        <v>3.0303030303030519E-2</v>
      </c>
      <c r="L35" s="36">
        <f t="shared" si="2"/>
        <v>0.9696969696969695</v>
      </c>
      <c r="M35" s="36">
        <f t="shared" si="3"/>
        <v>0.85</v>
      </c>
      <c r="N35" s="40">
        <f t="shared" si="4"/>
        <v>0.61199999999999999</v>
      </c>
      <c r="O35" t="str">
        <f t="shared" si="5"/>
        <v>productive</v>
      </c>
      <c r="P35" t="s">
        <v>133</v>
      </c>
    </row>
    <row r="36" spans="1:16" x14ac:dyDescent="0.35">
      <c r="A36" s="37">
        <v>1322845172</v>
      </c>
      <c r="B36" s="37" t="s">
        <v>97</v>
      </c>
      <c r="C36" s="35" t="s">
        <v>18</v>
      </c>
      <c r="D36" s="37" t="s">
        <v>20</v>
      </c>
      <c r="E36" s="38">
        <v>46207</v>
      </c>
      <c r="F36" s="35" t="s">
        <v>5</v>
      </c>
      <c r="G36" s="35">
        <v>11</v>
      </c>
      <c r="H36" s="39">
        <v>4.9999999999999982</v>
      </c>
      <c r="I36" s="39">
        <f t="shared" si="0"/>
        <v>6.0000000000000018</v>
      </c>
      <c r="J36" s="39">
        <v>14.999999999999996</v>
      </c>
      <c r="K36" s="36">
        <f t="shared" si="1"/>
        <v>0.54545454545454564</v>
      </c>
      <c r="L36" s="36">
        <f t="shared" si="2"/>
        <v>0.45454545454545436</v>
      </c>
      <c r="M36" s="36">
        <f t="shared" si="3"/>
        <v>0.74999999999999978</v>
      </c>
      <c r="N36" s="40">
        <f t="shared" si="4"/>
        <v>0.53900000000000003</v>
      </c>
      <c r="O36" t="str">
        <f t="shared" si="5"/>
        <v>Low Prodcutive</v>
      </c>
      <c r="P36" t="s">
        <v>133</v>
      </c>
    </row>
    <row r="37" spans="1:16" x14ac:dyDescent="0.35">
      <c r="A37" s="41">
        <v>1322845172</v>
      </c>
      <c r="B37" s="37" t="s">
        <v>97</v>
      </c>
      <c r="C37" s="35" t="s">
        <v>18</v>
      </c>
      <c r="D37" s="37" t="s">
        <v>20</v>
      </c>
      <c r="E37" s="38">
        <v>46208</v>
      </c>
      <c r="F37" s="35" t="s">
        <v>6</v>
      </c>
      <c r="G37" s="35">
        <v>11</v>
      </c>
      <c r="H37" s="39">
        <v>6.4333333333333318</v>
      </c>
      <c r="I37" s="39">
        <f t="shared" si="0"/>
        <v>4.5666666666666682</v>
      </c>
      <c r="J37" s="39">
        <v>19.299999999999997</v>
      </c>
      <c r="K37" s="36">
        <f t="shared" si="1"/>
        <v>0.41515151515151527</v>
      </c>
      <c r="L37" s="36">
        <f t="shared" si="2"/>
        <v>0.58484848484848473</v>
      </c>
      <c r="M37" s="36">
        <f t="shared" si="3"/>
        <v>0.96499999999999986</v>
      </c>
      <c r="N37" s="40">
        <f t="shared" si="4"/>
        <v>0.60699999999999998</v>
      </c>
      <c r="O37" t="str">
        <f t="shared" si="5"/>
        <v>productive</v>
      </c>
      <c r="P37" t="s">
        <v>133</v>
      </c>
    </row>
    <row r="38" spans="1:16" x14ac:dyDescent="0.35">
      <c r="A38" s="37">
        <v>1322845173</v>
      </c>
      <c r="B38" s="37" t="s">
        <v>98</v>
      </c>
      <c r="C38" s="35" t="s">
        <v>18</v>
      </c>
      <c r="D38" s="37" t="s">
        <v>20</v>
      </c>
      <c r="E38" s="38">
        <v>46204</v>
      </c>
      <c r="F38" s="35" t="s">
        <v>3</v>
      </c>
      <c r="G38" s="35">
        <v>11</v>
      </c>
      <c r="H38" s="39">
        <v>7.1666666666666625</v>
      </c>
      <c r="I38" s="39">
        <f t="shared" si="0"/>
        <v>3.8333333333333375</v>
      </c>
      <c r="J38" s="39">
        <v>21.499999999999989</v>
      </c>
      <c r="K38" s="36">
        <f t="shared" si="1"/>
        <v>0.34848484848484884</v>
      </c>
      <c r="L38" s="36">
        <f t="shared" si="2"/>
        <v>0.65151515151515116</v>
      </c>
      <c r="M38" s="36">
        <f t="shared" si="3"/>
        <v>1.0749999999999995</v>
      </c>
      <c r="N38" s="40">
        <f t="shared" si="4"/>
        <v>0.60499999999999998</v>
      </c>
      <c r="O38" t="str">
        <f t="shared" si="5"/>
        <v>productive</v>
      </c>
      <c r="P38" t="s">
        <v>133</v>
      </c>
    </row>
    <row r="39" spans="1:16" x14ac:dyDescent="0.35">
      <c r="A39" s="37">
        <v>1322845173</v>
      </c>
      <c r="B39" s="37" t="s">
        <v>98</v>
      </c>
      <c r="C39" s="35" t="s">
        <v>18</v>
      </c>
      <c r="D39" s="37" t="s">
        <v>20</v>
      </c>
      <c r="E39" s="38">
        <v>46205</v>
      </c>
      <c r="F39" s="35" t="s">
        <v>4</v>
      </c>
      <c r="G39" s="35">
        <v>11</v>
      </c>
      <c r="H39" s="39">
        <v>4.4999999999999947</v>
      </c>
      <c r="I39" s="39">
        <f t="shared" si="0"/>
        <v>6.5000000000000053</v>
      </c>
      <c r="J39" s="39">
        <v>13.499999999999986</v>
      </c>
      <c r="K39" s="36">
        <f t="shared" si="1"/>
        <v>0.59090909090909138</v>
      </c>
      <c r="L39" s="36">
        <f t="shared" si="2"/>
        <v>0.40909090909090862</v>
      </c>
      <c r="M39" s="36">
        <f t="shared" si="3"/>
        <v>0.67499999999999927</v>
      </c>
      <c r="N39" s="40">
        <f t="shared" si="4"/>
        <v>0.51500000000000001</v>
      </c>
      <c r="O39" t="str">
        <f t="shared" si="5"/>
        <v>Low Prodcutive</v>
      </c>
      <c r="P39" t="s">
        <v>133</v>
      </c>
    </row>
    <row r="40" spans="1:16" x14ac:dyDescent="0.35">
      <c r="A40" s="37">
        <v>1322845173</v>
      </c>
      <c r="B40" s="37" t="s">
        <v>98</v>
      </c>
      <c r="C40" s="35" t="s">
        <v>18</v>
      </c>
      <c r="D40" s="37" t="s">
        <v>20</v>
      </c>
      <c r="E40" s="38">
        <v>46207</v>
      </c>
      <c r="F40" s="35" t="s">
        <v>5</v>
      </c>
      <c r="G40" s="35">
        <v>11</v>
      </c>
      <c r="H40" s="39">
        <v>5.1666666666666714</v>
      </c>
      <c r="I40" s="39">
        <f t="shared" si="0"/>
        <v>5.8333333333333286</v>
      </c>
      <c r="J40" s="39">
        <v>15.500000000000014</v>
      </c>
      <c r="K40" s="36">
        <f t="shared" si="1"/>
        <v>0.53030303030302983</v>
      </c>
      <c r="L40" s="36">
        <f t="shared" si="2"/>
        <v>0.46969696969697011</v>
      </c>
      <c r="M40" s="36">
        <f t="shared" si="3"/>
        <v>0.77500000000000069</v>
      </c>
      <c r="N40" s="40">
        <f t="shared" si="4"/>
        <v>0.54700000000000004</v>
      </c>
      <c r="O40" t="str">
        <f t="shared" si="5"/>
        <v>Low Prodcutive</v>
      </c>
      <c r="P40" t="s">
        <v>133</v>
      </c>
    </row>
    <row r="41" spans="1:16" x14ac:dyDescent="0.35">
      <c r="A41" s="41">
        <v>1322845173</v>
      </c>
      <c r="B41" s="37" t="s">
        <v>98</v>
      </c>
      <c r="C41" s="35" t="s">
        <v>18</v>
      </c>
      <c r="D41" s="37" t="s">
        <v>20</v>
      </c>
      <c r="E41" s="38">
        <v>46208</v>
      </c>
      <c r="F41" s="35" t="s">
        <v>6</v>
      </c>
      <c r="G41" s="35">
        <v>11</v>
      </c>
      <c r="H41" s="39">
        <v>2.5000000000000018</v>
      </c>
      <c r="I41" s="39">
        <f t="shared" si="0"/>
        <v>8.4999999999999982</v>
      </c>
      <c r="J41" s="39">
        <v>7.5000000000000053</v>
      </c>
      <c r="K41" s="36">
        <f t="shared" si="1"/>
        <v>0.7727272727272726</v>
      </c>
      <c r="L41" s="36">
        <f t="shared" si="2"/>
        <v>0.22727272727272743</v>
      </c>
      <c r="M41" s="36">
        <f t="shared" si="3"/>
        <v>0.37500000000000028</v>
      </c>
      <c r="N41" s="40">
        <f t="shared" si="4"/>
        <v>0.41899999999999998</v>
      </c>
      <c r="O41" t="str">
        <f t="shared" si="5"/>
        <v>Low Prodcutive</v>
      </c>
      <c r="P41" t="s">
        <v>133</v>
      </c>
    </row>
    <row r="42" spans="1:16" x14ac:dyDescent="0.35">
      <c r="A42" s="37">
        <v>1322845174</v>
      </c>
      <c r="B42" s="37" t="s">
        <v>99</v>
      </c>
      <c r="C42" s="35" t="s">
        <v>18</v>
      </c>
      <c r="D42" s="37" t="s">
        <v>21</v>
      </c>
      <c r="E42" s="38">
        <v>46204</v>
      </c>
      <c r="F42" s="35" t="s">
        <v>3</v>
      </c>
      <c r="G42" s="35">
        <v>11</v>
      </c>
      <c r="H42" s="39">
        <v>5.3500000000000032</v>
      </c>
      <c r="I42" s="39">
        <f t="shared" si="0"/>
        <v>5.6499999999999968</v>
      </c>
      <c r="J42" s="39">
        <v>16.050000000000011</v>
      </c>
      <c r="K42" s="36">
        <f t="shared" si="1"/>
        <v>0.51363636363636334</v>
      </c>
      <c r="L42" s="36">
        <f t="shared" si="2"/>
        <v>0.48636363636363666</v>
      </c>
      <c r="M42" s="36">
        <f t="shared" si="3"/>
        <v>0.80250000000000055</v>
      </c>
      <c r="N42" s="40">
        <f t="shared" si="4"/>
        <v>0.55500000000000005</v>
      </c>
      <c r="O42" t="str">
        <f t="shared" si="5"/>
        <v>Low Prodcutive</v>
      </c>
      <c r="P42" t="s">
        <v>133</v>
      </c>
    </row>
    <row r="43" spans="1:16" x14ac:dyDescent="0.35">
      <c r="A43" s="37">
        <v>1322845174</v>
      </c>
      <c r="B43" s="37" t="s">
        <v>99</v>
      </c>
      <c r="C43" s="35" t="s">
        <v>18</v>
      </c>
      <c r="D43" s="37" t="s">
        <v>21</v>
      </c>
      <c r="E43" s="38">
        <v>46205</v>
      </c>
      <c r="F43" s="35" t="s">
        <v>4</v>
      </c>
      <c r="G43" s="35">
        <v>11</v>
      </c>
      <c r="H43" s="39">
        <v>6.666666666666667</v>
      </c>
      <c r="I43" s="39">
        <f t="shared" si="0"/>
        <v>4.333333333333333</v>
      </c>
      <c r="J43" s="39">
        <v>20</v>
      </c>
      <c r="K43" s="36">
        <f t="shared" si="1"/>
        <v>0.39393939393939392</v>
      </c>
      <c r="L43" s="36">
        <f t="shared" si="2"/>
        <v>0.60606060606060608</v>
      </c>
      <c r="M43" s="36">
        <f t="shared" si="3"/>
        <v>1</v>
      </c>
      <c r="N43" s="40">
        <f t="shared" si="4"/>
        <v>0.61799999999999999</v>
      </c>
      <c r="O43" t="str">
        <f t="shared" si="5"/>
        <v>productive</v>
      </c>
      <c r="P43" t="s">
        <v>133</v>
      </c>
    </row>
    <row r="44" spans="1:16" x14ac:dyDescent="0.35">
      <c r="A44" s="37">
        <v>1322845174</v>
      </c>
      <c r="B44" s="37" t="s">
        <v>99</v>
      </c>
      <c r="C44" s="35" t="s">
        <v>18</v>
      </c>
      <c r="D44" s="37" t="s">
        <v>21</v>
      </c>
      <c r="E44" s="38">
        <v>46207</v>
      </c>
      <c r="F44" s="35" t="s">
        <v>5</v>
      </c>
      <c r="G44" s="35">
        <v>11</v>
      </c>
      <c r="H44" s="39">
        <v>8.3333333333333357</v>
      </c>
      <c r="I44" s="39">
        <f t="shared" si="0"/>
        <v>2.6666666666666643</v>
      </c>
      <c r="J44" s="39">
        <v>21</v>
      </c>
      <c r="K44" s="36">
        <f t="shared" si="1"/>
        <v>0.24242424242424221</v>
      </c>
      <c r="L44" s="36">
        <f t="shared" si="2"/>
        <v>0.75757575757575779</v>
      </c>
      <c r="M44" s="36">
        <f t="shared" si="3"/>
        <v>1.05</v>
      </c>
      <c r="N44" s="40">
        <f t="shared" si="4"/>
        <v>0.59499999999999997</v>
      </c>
      <c r="O44" t="str">
        <f t="shared" si="5"/>
        <v>Low Prodcutive</v>
      </c>
      <c r="P44" t="s">
        <v>133</v>
      </c>
    </row>
    <row r="45" spans="1:16" x14ac:dyDescent="0.35">
      <c r="A45" s="41">
        <v>1322845174</v>
      </c>
      <c r="B45" s="37" t="s">
        <v>99</v>
      </c>
      <c r="C45" s="35" t="s">
        <v>18</v>
      </c>
      <c r="D45" s="37" t="s">
        <v>21</v>
      </c>
      <c r="E45" s="38">
        <v>46208</v>
      </c>
      <c r="F45" s="35" t="s">
        <v>6</v>
      </c>
      <c r="G45" s="35">
        <v>11</v>
      </c>
      <c r="H45" s="39">
        <v>1.6666666666666661</v>
      </c>
      <c r="I45" s="39">
        <f t="shared" si="0"/>
        <v>9.3333333333333339</v>
      </c>
      <c r="J45" s="39">
        <v>4.9999999999999982</v>
      </c>
      <c r="K45" s="36">
        <f t="shared" si="1"/>
        <v>0.84848484848484851</v>
      </c>
      <c r="L45" s="36">
        <f t="shared" si="2"/>
        <v>0.15151515151515146</v>
      </c>
      <c r="M45" s="36">
        <f t="shared" si="3"/>
        <v>0.24999999999999992</v>
      </c>
      <c r="N45" s="40">
        <f t="shared" si="4"/>
        <v>0.38</v>
      </c>
      <c r="O45" t="str">
        <f t="shared" si="5"/>
        <v>Low Prodcutive</v>
      </c>
      <c r="P45" t="s">
        <v>133</v>
      </c>
    </row>
    <row r="46" spans="1:16" x14ac:dyDescent="0.35">
      <c r="A46" s="37">
        <v>1322845175</v>
      </c>
      <c r="B46" s="37" t="s">
        <v>100</v>
      </c>
      <c r="C46" s="35" t="s">
        <v>18</v>
      </c>
      <c r="D46" s="37" t="s">
        <v>20</v>
      </c>
      <c r="E46" s="38">
        <v>46204</v>
      </c>
      <c r="F46" s="35" t="s">
        <v>3</v>
      </c>
      <c r="G46" s="35">
        <v>11</v>
      </c>
      <c r="H46" s="39">
        <v>7.3333333333333366</v>
      </c>
      <c r="I46" s="39">
        <f t="shared" si="0"/>
        <v>3.6666666666666634</v>
      </c>
      <c r="J46" s="39">
        <v>22.000000000000007</v>
      </c>
      <c r="K46" s="36">
        <f t="shared" si="1"/>
        <v>0.33333333333333304</v>
      </c>
      <c r="L46" s="36">
        <f t="shared" si="2"/>
        <v>0.66666666666666696</v>
      </c>
      <c r="M46" s="36">
        <f t="shared" si="3"/>
        <v>1.1000000000000003</v>
      </c>
      <c r="N46" s="40">
        <f t="shared" si="4"/>
        <v>0.6</v>
      </c>
      <c r="O46" t="str">
        <f t="shared" si="5"/>
        <v>Low Prodcutive</v>
      </c>
      <c r="P46" t="s">
        <v>133</v>
      </c>
    </row>
    <row r="47" spans="1:16" x14ac:dyDescent="0.35">
      <c r="A47" s="37">
        <v>1322845175</v>
      </c>
      <c r="B47" s="37" t="s">
        <v>100</v>
      </c>
      <c r="C47" s="35" t="s">
        <v>18</v>
      </c>
      <c r="D47" s="37" t="s">
        <v>20</v>
      </c>
      <c r="E47" s="38">
        <v>46205</v>
      </c>
      <c r="F47" s="35" t="s">
        <v>4</v>
      </c>
      <c r="G47" s="35">
        <v>11</v>
      </c>
      <c r="H47" s="39">
        <v>6.833333333333333</v>
      </c>
      <c r="I47" s="39">
        <f t="shared" si="0"/>
        <v>4.166666666666667</v>
      </c>
      <c r="J47" s="39">
        <v>20.499999999999996</v>
      </c>
      <c r="K47" s="36">
        <f t="shared" si="1"/>
        <v>0.37878787878787884</v>
      </c>
      <c r="L47" s="36">
        <f t="shared" si="2"/>
        <v>0.62121212121212122</v>
      </c>
      <c r="M47" s="36">
        <f t="shared" si="3"/>
        <v>1.0249999999999999</v>
      </c>
      <c r="N47" s="40">
        <f t="shared" si="4"/>
        <v>0.61399999999999999</v>
      </c>
      <c r="O47" t="str">
        <f t="shared" si="5"/>
        <v>productive</v>
      </c>
      <c r="P47" t="s">
        <v>133</v>
      </c>
    </row>
    <row r="48" spans="1:16" x14ac:dyDescent="0.35">
      <c r="A48" s="37">
        <v>1322845175</v>
      </c>
      <c r="B48" s="37" t="s">
        <v>100</v>
      </c>
      <c r="C48" s="35" t="s">
        <v>18</v>
      </c>
      <c r="D48" s="37" t="s">
        <v>20</v>
      </c>
      <c r="E48" s="38">
        <v>46207</v>
      </c>
      <c r="F48" s="35" t="s">
        <v>5</v>
      </c>
      <c r="G48" s="35">
        <v>11</v>
      </c>
      <c r="H48" s="39">
        <v>6.0000000000000027</v>
      </c>
      <c r="I48" s="39">
        <f t="shared" si="0"/>
        <v>4.9999999999999973</v>
      </c>
      <c r="J48" s="39">
        <v>18.000000000000007</v>
      </c>
      <c r="K48" s="36">
        <f t="shared" si="1"/>
        <v>0.45454545454545431</v>
      </c>
      <c r="L48" s="36">
        <f t="shared" si="2"/>
        <v>0.54545454545454575</v>
      </c>
      <c r="M48" s="36">
        <f t="shared" si="3"/>
        <v>0.90000000000000036</v>
      </c>
      <c r="N48" s="40">
        <f t="shared" si="4"/>
        <v>0.58599999999999997</v>
      </c>
      <c r="O48" t="str">
        <f t="shared" si="5"/>
        <v>Low Prodcutive</v>
      </c>
      <c r="P48" t="s">
        <v>133</v>
      </c>
    </row>
    <row r="49" spans="1:16" x14ac:dyDescent="0.35">
      <c r="A49" s="41">
        <v>1322845175</v>
      </c>
      <c r="B49" s="37" t="s">
        <v>100</v>
      </c>
      <c r="C49" s="35" t="s">
        <v>18</v>
      </c>
      <c r="D49" s="37" t="s">
        <v>20</v>
      </c>
      <c r="E49" s="38">
        <v>46208</v>
      </c>
      <c r="F49" s="35" t="s">
        <v>6</v>
      </c>
      <c r="G49" s="35">
        <v>11</v>
      </c>
      <c r="H49" s="39">
        <v>6.1666666666666607</v>
      </c>
      <c r="I49" s="39">
        <f t="shared" si="0"/>
        <v>4.8333333333333393</v>
      </c>
      <c r="J49" s="39">
        <v>18.499999999999986</v>
      </c>
      <c r="K49" s="36">
        <f t="shared" si="1"/>
        <v>0.43939393939393995</v>
      </c>
      <c r="L49" s="36">
        <f t="shared" si="2"/>
        <v>0.56060606060606011</v>
      </c>
      <c r="M49" s="36">
        <f t="shared" si="3"/>
        <v>0.92499999999999927</v>
      </c>
      <c r="N49" s="40">
        <f t="shared" si="4"/>
        <v>0.59399999999999997</v>
      </c>
      <c r="O49" t="str">
        <f t="shared" si="5"/>
        <v>Low Prodcutive</v>
      </c>
      <c r="P49" t="s">
        <v>133</v>
      </c>
    </row>
    <row r="50" spans="1:16" x14ac:dyDescent="0.35">
      <c r="A50" s="37">
        <v>1322845176</v>
      </c>
      <c r="B50" s="37" t="s">
        <v>101</v>
      </c>
      <c r="C50" s="35" t="s">
        <v>18</v>
      </c>
      <c r="D50" s="37" t="s">
        <v>21</v>
      </c>
      <c r="E50" s="38">
        <v>46204</v>
      </c>
      <c r="F50" s="35" t="s">
        <v>3</v>
      </c>
      <c r="G50" s="35">
        <v>11</v>
      </c>
      <c r="H50" s="39">
        <v>6.3333333333333348</v>
      </c>
      <c r="I50" s="39">
        <f t="shared" si="0"/>
        <v>4.6666666666666652</v>
      </c>
      <c r="J50" s="39">
        <v>19.000000000000007</v>
      </c>
      <c r="K50" s="36">
        <f t="shared" si="1"/>
        <v>0.42424242424242409</v>
      </c>
      <c r="L50" s="36">
        <f t="shared" si="2"/>
        <v>0.57575757575757591</v>
      </c>
      <c r="M50" s="36">
        <f t="shared" si="3"/>
        <v>0.9500000000000004</v>
      </c>
      <c r="N50" s="40">
        <f t="shared" si="4"/>
        <v>0.60199999999999998</v>
      </c>
      <c r="O50" t="str">
        <f t="shared" si="5"/>
        <v>productive</v>
      </c>
      <c r="P50" t="s">
        <v>133</v>
      </c>
    </row>
    <row r="51" spans="1:16" x14ac:dyDescent="0.35">
      <c r="A51" s="37">
        <v>1322845176</v>
      </c>
      <c r="B51" s="37" t="s">
        <v>101</v>
      </c>
      <c r="C51" s="35" t="s">
        <v>18</v>
      </c>
      <c r="D51" s="37" t="s">
        <v>21</v>
      </c>
      <c r="E51" s="38">
        <v>46205</v>
      </c>
      <c r="F51" s="35" t="s">
        <v>4</v>
      </c>
      <c r="G51" s="35">
        <v>11</v>
      </c>
      <c r="H51" s="39">
        <v>8.4999999999999964</v>
      </c>
      <c r="I51" s="39">
        <f t="shared" si="0"/>
        <v>2.5000000000000036</v>
      </c>
      <c r="J51" s="39">
        <v>21</v>
      </c>
      <c r="K51" s="36">
        <f t="shared" si="1"/>
        <v>0.2272727272727276</v>
      </c>
      <c r="L51" s="36">
        <f t="shared" si="2"/>
        <v>0.77272727272727237</v>
      </c>
      <c r="M51" s="36">
        <f t="shared" si="3"/>
        <v>1.05</v>
      </c>
      <c r="N51" s="40">
        <f t="shared" si="4"/>
        <v>0.60199999999999998</v>
      </c>
      <c r="O51" t="str">
        <f t="shared" si="5"/>
        <v>productive</v>
      </c>
      <c r="P51" t="s">
        <v>133</v>
      </c>
    </row>
    <row r="52" spans="1:16" x14ac:dyDescent="0.35">
      <c r="A52" s="37">
        <v>1322845176</v>
      </c>
      <c r="B52" s="37" t="s">
        <v>101</v>
      </c>
      <c r="C52" s="35" t="s">
        <v>18</v>
      </c>
      <c r="D52" s="37" t="s">
        <v>21</v>
      </c>
      <c r="E52" s="38">
        <v>46207</v>
      </c>
      <c r="F52" s="35" t="s">
        <v>5</v>
      </c>
      <c r="G52" s="35">
        <v>11</v>
      </c>
      <c r="H52" s="39">
        <v>6.6666666666666652</v>
      </c>
      <c r="I52" s="39">
        <f t="shared" si="0"/>
        <v>4.3333333333333348</v>
      </c>
      <c r="J52" s="39">
        <v>19.999999999999993</v>
      </c>
      <c r="K52" s="36">
        <f t="shared" si="1"/>
        <v>0.39393939393939409</v>
      </c>
      <c r="L52" s="36">
        <f t="shared" si="2"/>
        <v>0.60606060606060597</v>
      </c>
      <c r="M52" s="36">
        <f t="shared" si="3"/>
        <v>0.99999999999999967</v>
      </c>
      <c r="N52" s="40">
        <f t="shared" si="4"/>
        <v>0.61799999999999999</v>
      </c>
      <c r="O52" t="str">
        <f t="shared" si="5"/>
        <v>productive</v>
      </c>
      <c r="P52" t="s">
        <v>133</v>
      </c>
    </row>
    <row r="53" spans="1:16" x14ac:dyDescent="0.35">
      <c r="A53" s="41">
        <v>1322845176</v>
      </c>
      <c r="B53" s="37" t="s">
        <v>101</v>
      </c>
      <c r="C53" s="35" t="s">
        <v>18</v>
      </c>
      <c r="D53" s="37" t="s">
        <v>21</v>
      </c>
      <c r="E53" s="38">
        <v>46208</v>
      </c>
      <c r="F53" s="35" t="s">
        <v>6</v>
      </c>
      <c r="G53" s="35">
        <v>11</v>
      </c>
      <c r="H53" s="39">
        <v>7.3333333333333339</v>
      </c>
      <c r="I53" s="39">
        <f t="shared" si="0"/>
        <v>3.6666666666666661</v>
      </c>
      <c r="J53" s="39">
        <v>22</v>
      </c>
      <c r="K53" s="36">
        <f t="shared" si="1"/>
        <v>0.33333333333333326</v>
      </c>
      <c r="L53" s="36">
        <f t="shared" si="2"/>
        <v>0.66666666666666674</v>
      </c>
      <c r="M53" s="36">
        <f t="shared" si="3"/>
        <v>1.1000000000000001</v>
      </c>
      <c r="N53" s="40">
        <f t="shared" si="4"/>
        <v>0.6</v>
      </c>
      <c r="O53" t="str">
        <f t="shared" si="5"/>
        <v>Low Prodcutive</v>
      </c>
      <c r="P53" t="s">
        <v>133</v>
      </c>
    </row>
    <row r="54" spans="1:16" x14ac:dyDescent="0.35">
      <c r="A54" s="37">
        <v>1322845177</v>
      </c>
      <c r="B54" s="37" t="s">
        <v>102</v>
      </c>
      <c r="C54" s="35" t="s">
        <v>18</v>
      </c>
      <c r="D54" s="37" t="s">
        <v>20</v>
      </c>
      <c r="E54" s="38">
        <v>46204</v>
      </c>
      <c r="F54" s="35" t="s">
        <v>3</v>
      </c>
      <c r="G54" s="35">
        <v>11</v>
      </c>
      <c r="H54" s="39">
        <v>7.1666666666666643</v>
      </c>
      <c r="I54" s="39">
        <f t="shared" si="0"/>
        <v>3.8333333333333357</v>
      </c>
      <c r="J54" s="39">
        <v>21.499999999999993</v>
      </c>
      <c r="K54" s="36">
        <f t="shared" si="1"/>
        <v>0.34848484848484867</v>
      </c>
      <c r="L54" s="36">
        <f t="shared" si="2"/>
        <v>0.65151515151515127</v>
      </c>
      <c r="M54" s="36">
        <f t="shared" si="3"/>
        <v>1.0749999999999997</v>
      </c>
      <c r="N54" s="40">
        <f t="shared" si="4"/>
        <v>0.60499999999999998</v>
      </c>
      <c r="O54" t="str">
        <f t="shared" si="5"/>
        <v>productive</v>
      </c>
      <c r="P54" t="s">
        <v>133</v>
      </c>
    </row>
    <row r="55" spans="1:16" x14ac:dyDescent="0.35">
      <c r="A55" s="37">
        <v>1322845177</v>
      </c>
      <c r="B55" s="37" t="s">
        <v>102</v>
      </c>
      <c r="C55" s="35" t="s">
        <v>18</v>
      </c>
      <c r="D55" s="37" t="s">
        <v>20</v>
      </c>
      <c r="E55" s="38">
        <v>46205</v>
      </c>
      <c r="F55" s="35" t="s">
        <v>4</v>
      </c>
      <c r="G55" s="35">
        <v>11</v>
      </c>
      <c r="H55" s="39">
        <v>5.3166666666666682</v>
      </c>
      <c r="I55" s="39">
        <f t="shared" si="0"/>
        <v>5.6833333333333318</v>
      </c>
      <c r="J55" s="39">
        <v>15.95</v>
      </c>
      <c r="K55" s="36">
        <f t="shared" si="1"/>
        <v>0.5166666666666665</v>
      </c>
      <c r="L55" s="36">
        <f t="shared" si="2"/>
        <v>0.48333333333333345</v>
      </c>
      <c r="M55" s="36">
        <f t="shared" si="3"/>
        <v>0.79749999999999999</v>
      </c>
      <c r="N55" s="40">
        <f t="shared" si="4"/>
        <v>0.55399999999999994</v>
      </c>
      <c r="O55" t="str">
        <f t="shared" si="5"/>
        <v>Low Prodcutive</v>
      </c>
      <c r="P55" t="s">
        <v>133</v>
      </c>
    </row>
    <row r="56" spans="1:16" x14ac:dyDescent="0.35">
      <c r="A56" s="37">
        <v>1322845177</v>
      </c>
      <c r="B56" s="37" t="s">
        <v>102</v>
      </c>
      <c r="C56" s="35" t="s">
        <v>18</v>
      </c>
      <c r="D56" s="37" t="s">
        <v>20</v>
      </c>
      <c r="E56" s="38">
        <v>46207</v>
      </c>
      <c r="F56" s="35" t="s">
        <v>5</v>
      </c>
      <c r="G56" s="35">
        <v>11</v>
      </c>
      <c r="H56" s="39">
        <v>2.166666666666667</v>
      </c>
      <c r="I56" s="39">
        <f t="shared" si="0"/>
        <v>8.8333333333333321</v>
      </c>
      <c r="J56" s="39">
        <v>6.5000000000000009</v>
      </c>
      <c r="K56" s="36">
        <f t="shared" si="1"/>
        <v>0.80303030303030287</v>
      </c>
      <c r="L56" s="36">
        <f t="shared" si="2"/>
        <v>0.19696969696969699</v>
      </c>
      <c r="M56" s="36">
        <f t="shared" si="3"/>
        <v>0.32500000000000007</v>
      </c>
      <c r="N56" s="40">
        <f t="shared" si="4"/>
        <v>0.40299999999999997</v>
      </c>
      <c r="O56" t="str">
        <f t="shared" si="5"/>
        <v>Low Prodcutive</v>
      </c>
      <c r="P56" t="s">
        <v>133</v>
      </c>
    </row>
    <row r="57" spans="1:16" x14ac:dyDescent="0.35">
      <c r="A57" s="41">
        <v>1322845177</v>
      </c>
      <c r="B57" s="37" t="s">
        <v>102</v>
      </c>
      <c r="C57" s="35" t="s">
        <v>18</v>
      </c>
      <c r="D57" s="37" t="s">
        <v>20</v>
      </c>
      <c r="E57" s="38">
        <v>46208</v>
      </c>
      <c r="F57" s="35" t="s">
        <v>6</v>
      </c>
      <c r="G57" s="35">
        <v>11</v>
      </c>
      <c r="H57" s="39">
        <v>4.1500000000000021</v>
      </c>
      <c r="I57" s="39">
        <f t="shared" si="0"/>
        <v>6.8499999999999979</v>
      </c>
      <c r="J57" s="39">
        <v>12.450000000000006</v>
      </c>
      <c r="K57" s="36">
        <f t="shared" si="1"/>
        <v>0.62272727272727257</v>
      </c>
      <c r="L57" s="36">
        <f t="shared" si="2"/>
        <v>0.37727272727272748</v>
      </c>
      <c r="M57" s="36">
        <f t="shared" si="3"/>
        <v>0.62250000000000028</v>
      </c>
      <c r="N57" s="40">
        <f t="shared" si="4"/>
        <v>0.498</v>
      </c>
      <c r="O57" t="str">
        <f t="shared" si="5"/>
        <v>Low Prodcutive</v>
      </c>
      <c r="P57" t="s">
        <v>133</v>
      </c>
    </row>
    <row r="58" spans="1:16" x14ac:dyDescent="0.35">
      <c r="A58" s="37">
        <v>1322845179</v>
      </c>
      <c r="B58" s="37" t="s">
        <v>103</v>
      </c>
      <c r="C58" s="35" t="s">
        <v>18</v>
      </c>
      <c r="D58" s="37" t="s">
        <v>21</v>
      </c>
      <c r="E58" s="38">
        <v>46204</v>
      </c>
      <c r="F58" s="35" t="s">
        <v>3</v>
      </c>
      <c r="G58" s="35">
        <v>11</v>
      </c>
      <c r="H58" s="39">
        <v>6.5000000000000071</v>
      </c>
      <c r="I58" s="39">
        <f t="shared" si="0"/>
        <v>4.4999999999999929</v>
      </c>
      <c r="J58" s="39">
        <v>19.500000000000021</v>
      </c>
      <c r="K58" s="36">
        <f t="shared" si="1"/>
        <v>0.40909090909090845</v>
      </c>
      <c r="L58" s="36">
        <f t="shared" si="2"/>
        <v>0.59090909090909161</v>
      </c>
      <c r="M58" s="36">
        <f t="shared" si="3"/>
        <v>0.97500000000000109</v>
      </c>
      <c r="N58" s="40">
        <f t="shared" si="4"/>
        <v>0.61</v>
      </c>
      <c r="O58" t="str">
        <f t="shared" si="5"/>
        <v>productive</v>
      </c>
      <c r="P58" t="s">
        <v>133</v>
      </c>
    </row>
    <row r="59" spans="1:16" x14ac:dyDescent="0.35">
      <c r="A59" s="37">
        <v>1322845179</v>
      </c>
      <c r="B59" s="37" t="s">
        <v>103</v>
      </c>
      <c r="C59" s="35" t="s">
        <v>18</v>
      </c>
      <c r="D59" s="37" t="s">
        <v>21</v>
      </c>
      <c r="E59" s="38">
        <v>46205</v>
      </c>
      <c r="F59" s="35" t="s">
        <v>4</v>
      </c>
      <c r="G59" s="35">
        <v>11</v>
      </c>
      <c r="H59" s="39">
        <v>2.6666666666666665</v>
      </c>
      <c r="I59" s="39">
        <f t="shared" si="0"/>
        <v>8.3333333333333339</v>
      </c>
      <c r="J59" s="39">
        <v>7.9999999999999991</v>
      </c>
      <c r="K59" s="36">
        <f t="shared" si="1"/>
        <v>0.75757575757575768</v>
      </c>
      <c r="L59" s="36">
        <f t="shared" si="2"/>
        <v>0.2424242424242424</v>
      </c>
      <c r="M59" s="36">
        <f t="shared" si="3"/>
        <v>0.39999999999999997</v>
      </c>
      <c r="N59" s="40">
        <f t="shared" si="4"/>
        <v>0.42700000000000005</v>
      </c>
      <c r="O59" t="str">
        <f t="shared" si="5"/>
        <v>Low Prodcutive</v>
      </c>
      <c r="P59" t="s">
        <v>133</v>
      </c>
    </row>
    <row r="60" spans="1:16" x14ac:dyDescent="0.35">
      <c r="A60" s="37">
        <v>1322845179</v>
      </c>
      <c r="B60" s="37" t="s">
        <v>103</v>
      </c>
      <c r="C60" s="35" t="s">
        <v>18</v>
      </c>
      <c r="D60" s="37" t="s">
        <v>21</v>
      </c>
      <c r="E60" s="38">
        <v>46207</v>
      </c>
      <c r="F60" s="35" t="s">
        <v>5</v>
      </c>
      <c r="G60" s="35">
        <v>11</v>
      </c>
      <c r="H60" s="39">
        <v>4.8333333333333321</v>
      </c>
      <c r="I60" s="39">
        <f t="shared" si="0"/>
        <v>6.1666666666666679</v>
      </c>
      <c r="J60" s="39">
        <v>14.499999999999995</v>
      </c>
      <c r="K60" s="36">
        <f t="shared" si="1"/>
        <v>0.56060606060606066</v>
      </c>
      <c r="L60" s="36">
        <f t="shared" si="2"/>
        <v>0.43939393939393928</v>
      </c>
      <c r="M60" s="36">
        <f t="shared" si="3"/>
        <v>0.72499999999999976</v>
      </c>
      <c r="N60" s="40">
        <f t="shared" si="4"/>
        <v>0.53100000000000003</v>
      </c>
      <c r="O60" t="str">
        <f t="shared" si="5"/>
        <v>Low Prodcutive</v>
      </c>
      <c r="P60" t="s">
        <v>133</v>
      </c>
    </row>
    <row r="61" spans="1:16" x14ac:dyDescent="0.35">
      <c r="A61" s="41">
        <v>1322845179</v>
      </c>
      <c r="B61" s="37" t="s">
        <v>103</v>
      </c>
      <c r="C61" s="35" t="s">
        <v>18</v>
      </c>
      <c r="D61" s="37" t="s">
        <v>21</v>
      </c>
      <c r="E61" s="38">
        <v>46208</v>
      </c>
      <c r="F61" s="35" t="s">
        <v>6</v>
      </c>
      <c r="G61" s="35">
        <v>11</v>
      </c>
      <c r="H61" s="39">
        <v>4.1666666666666625</v>
      </c>
      <c r="I61" s="39">
        <f t="shared" si="0"/>
        <v>6.8333333333333375</v>
      </c>
      <c r="J61" s="39">
        <v>12.499999999999989</v>
      </c>
      <c r="K61" s="36">
        <f t="shared" si="1"/>
        <v>0.62121212121212155</v>
      </c>
      <c r="L61" s="36">
        <f t="shared" si="2"/>
        <v>0.3787878787878784</v>
      </c>
      <c r="M61" s="36">
        <f t="shared" si="3"/>
        <v>0.62499999999999944</v>
      </c>
      <c r="N61" s="40">
        <f t="shared" si="4"/>
        <v>0.499</v>
      </c>
      <c r="O61" t="str">
        <f t="shared" si="5"/>
        <v>Low Prodcutive</v>
      </c>
      <c r="P61" t="s">
        <v>133</v>
      </c>
    </row>
    <row r="62" spans="1:16" x14ac:dyDescent="0.35">
      <c r="A62" s="37">
        <v>1324725622</v>
      </c>
      <c r="B62" s="37" t="s">
        <v>104</v>
      </c>
      <c r="C62" s="35" t="s">
        <v>18</v>
      </c>
      <c r="D62" s="37" t="s">
        <v>21</v>
      </c>
      <c r="E62" s="38">
        <v>46204</v>
      </c>
      <c r="F62" s="35" t="s">
        <v>3</v>
      </c>
      <c r="G62" s="35">
        <v>11</v>
      </c>
      <c r="H62" s="39">
        <v>8.6666666666666679</v>
      </c>
      <c r="I62" s="39">
        <f t="shared" si="0"/>
        <v>2.3333333333333321</v>
      </c>
      <c r="J62" s="39">
        <v>21</v>
      </c>
      <c r="K62" s="36">
        <f t="shared" si="1"/>
        <v>0.21212121212121202</v>
      </c>
      <c r="L62" s="36">
        <f t="shared" si="2"/>
        <v>0.78787878787878796</v>
      </c>
      <c r="M62" s="36">
        <f t="shared" si="3"/>
        <v>1.05</v>
      </c>
      <c r="N62" s="40">
        <f t="shared" si="4"/>
        <v>0.60799999999999998</v>
      </c>
      <c r="O62" t="str">
        <f t="shared" si="5"/>
        <v>productive</v>
      </c>
      <c r="P62" t="s">
        <v>133</v>
      </c>
    </row>
    <row r="63" spans="1:16" x14ac:dyDescent="0.35">
      <c r="A63" s="37">
        <v>1324725622</v>
      </c>
      <c r="B63" s="37" t="s">
        <v>104</v>
      </c>
      <c r="C63" s="35" t="s">
        <v>18</v>
      </c>
      <c r="D63" s="37" t="s">
        <v>21</v>
      </c>
      <c r="E63" s="38">
        <v>46205</v>
      </c>
      <c r="F63" s="35" t="s">
        <v>4</v>
      </c>
      <c r="G63" s="35">
        <v>11</v>
      </c>
      <c r="H63" s="39">
        <v>6.166666666666667</v>
      </c>
      <c r="I63" s="39">
        <f t="shared" si="0"/>
        <v>4.833333333333333</v>
      </c>
      <c r="J63" s="39">
        <v>18.499999999999996</v>
      </c>
      <c r="K63" s="36">
        <f t="shared" si="1"/>
        <v>0.43939393939393939</v>
      </c>
      <c r="L63" s="36">
        <f t="shared" si="2"/>
        <v>0.56060606060606066</v>
      </c>
      <c r="M63" s="36">
        <f t="shared" si="3"/>
        <v>0.92499999999999982</v>
      </c>
      <c r="N63" s="40">
        <f t="shared" si="4"/>
        <v>0.59399999999999997</v>
      </c>
      <c r="O63" t="str">
        <f t="shared" si="5"/>
        <v>Low Prodcutive</v>
      </c>
      <c r="P63" t="s">
        <v>133</v>
      </c>
    </row>
    <row r="64" spans="1:16" x14ac:dyDescent="0.35">
      <c r="A64" s="37">
        <v>1324725622</v>
      </c>
      <c r="B64" s="37" t="s">
        <v>104</v>
      </c>
      <c r="C64" s="35" t="s">
        <v>18</v>
      </c>
      <c r="D64" s="37" t="s">
        <v>21</v>
      </c>
      <c r="E64" s="38">
        <v>46207</v>
      </c>
      <c r="F64" s="35" t="s">
        <v>5</v>
      </c>
      <c r="G64" s="35">
        <v>11</v>
      </c>
      <c r="H64" s="39">
        <v>8.8333333333333393</v>
      </c>
      <c r="I64" s="39">
        <f t="shared" si="0"/>
        <v>2.1666666666666607</v>
      </c>
      <c r="J64" s="39">
        <v>21</v>
      </c>
      <c r="K64" s="36">
        <f t="shared" si="1"/>
        <v>0.19696969696969643</v>
      </c>
      <c r="L64" s="36">
        <f t="shared" si="2"/>
        <v>0.80303030303030354</v>
      </c>
      <c r="M64" s="36">
        <f t="shared" si="3"/>
        <v>1.05</v>
      </c>
      <c r="N64" s="40">
        <f t="shared" si="4"/>
        <v>0.61499999999999999</v>
      </c>
      <c r="O64" t="str">
        <f t="shared" si="5"/>
        <v>productive</v>
      </c>
      <c r="P64" t="s">
        <v>133</v>
      </c>
    </row>
    <row r="65" spans="1:16" x14ac:dyDescent="0.35">
      <c r="A65" s="41">
        <v>1324725622</v>
      </c>
      <c r="B65" s="37" t="s">
        <v>104</v>
      </c>
      <c r="C65" s="35" t="s">
        <v>18</v>
      </c>
      <c r="D65" s="37" t="s">
        <v>21</v>
      </c>
      <c r="E65" s="38">
        <v>46208</v>
      </c>
      <c r="F65" s="35" t="s">
        <v>6</v>
      </c>
      <c r="G65" s="35">
        <v>11</v>
      </c>
      <c r="H65" s="39">
        <v>5.166666666666667</v>
      </c>
      <c r="I65" s="39">
        <f t="shared" si="0"/>
        <v>5.833333333333333</v>
      </c>
      <c r="J65" s="39">
        <v>15.500000000000002</v>
      </c>
      <c r="K65" s="36">
        <f t="shared" si="1"/>
        <v>0.53030303030303028</v>
      </c>
      <c r="L65" s="36">
        <f t="shared" si="2"/>
        <v>0.46969696969696972</v>
      </c>
      <c r="M65" s="36">
        <f t="shared" si="3"/>
        <v>0.77500000000000013</v>
      </c>
      <c r="N65" s="40">
        <f t="shared" si="4"/>
        <v>0.54700000000000004</v>
      </c>
      <c r="O65" t="str">
        <f t="shared" si="5"/>
        <v>Low Prodcutive</v>
      </c>
      <c r="P65" t="s">
        <v>133</v>
      </c>
    </row>
    <row r="66" spans="1:16" x14ac:dyDescent="0.35">
      <c r="A66" s="37">
        <v>1324725625</v>
      </c>
      <c r="B66" s="37" t="s">
        <v>105</v>
      </c>
      <c r="C66" s="35" t="s">
        <v>18</v>
      </c>
      <c r="D66" s="37" t="s">
        <v>20</v>
      </c>
      <c r="E66" s="38">
        <v>46204</v>
      </c>
      <c r="F66" s="35" t="s">
        <v>3</v>
      </c>
      <c r="G66" s="35">
        <v>11</v>
      </c>
      <c r="H66" s="39">
        <v>5.2000000000000037</v>
      </c>
      <c r="I66" s="39">
        <f t="shared" si="0"/>
        <v>5.7999999999999963</v>
      </c>
      <c r="J66" s="39">
        <v>15.600000000000014</v>
      </c>
      <c r="K66" s="36">
        <f t="shared" si="1"/>
        <v>0.52727272727272689</v>
      </c>
      <c r="L66" s="36">
        <f t="shared" si="2"/>
        <v>0.47272727272727305</v>
      </c>
      <c r="M66" s="36">
        <f t="shared" si="3"/>
        <v>0.78000000000000069</v>
      </c>
      <c r="N66" s="40">
        <f t="shared" si="4"/>
        <v>0.54799999999999993</v>
      </c>
      <c r="O66" t="str">
        <f t="shared" si="5"/>
        <v>Low Prodcutive</v>
      </c>
      <c r="P66" t="s">
        <v>133</v>
      </c>
    </row>
    <row r="67" spans="1:16" x14ac:dyDescent="0.35">
      <c r="A67" s="37">
        <v>1324725625</v>
      </c>
      <c r="B67" s="37" t="s">
        <v>105</v>
      </c>
      <c r="C67" s="35" t="s">
        <v>18</v>
      </c>
      <c r="D67" s="37" t="s">
        <v>20</v>
      </c>
      <c r="E67" s="38">
        <v>46205</v>
      </c>
      <c r="F67" s="35" t="s">
        <v>4</v>
      </c>
      <c r="G67" s="35">
        <v>11</v>
      </c>
      <c r="H67" s="39">
        <v>5.8333333333333366</v>
      </c>
      <c r="I67" s="39">
        <f t="shared" ref="I67:I130" si="6">(G67-H67)</f>
        <v>5.1666666666666634</v>
      </c>
      <c r="J67" s="39">
        <v>17.500000000000011</v>
      </c>
      <c r="K67" s="36">
        <f t="shared" ref="K67:K130" si="7">I67/G67</f>
        <v>0.46969696969696939</v>
      </c>
      <c r="L67" s="36">
        <f t="shared" ref="L67:L130" si="8">H67/G67</f>
        <v>0.53030303030303061</v>
      </c>
      <c r="M67" s="36">
        <f t="shared" ref="M67:M130" si="9">J67/20</f>
        <v>0.87500000000000056</v>
      </c>
      <c r="N67" s="40">
        <f t="shared" ref="N67:N130" si="10">ROUND((MIN(J67/20,1)*50)+(MAX(0,(G67-H67)/G67)*30)+(MAX(0,1-(I67/3))*20),1)/100</f>
        <v>0.57799999999999996</v>
      </c>
      <c r="O67" t="str">
        <f t="shared" ref="O67:O130" si="11">IF(N67&gt;60%,"productive","Low Prodcutive")</f>
        <v>Low Prodcutive</v>
      </c>
      <c r="P67" t="s">
        <v>133</v>
      </c>
    </row>
    <row r="68" spans="1:16" x14ac:dyDescent="0.35">
      <c r="A68" s="37">
        <v>1324725625</v>
      </c>
      <c r="B68" s="37" t="s">
        <v>105</v>
      </c>
      <c r="C68" s="35" t="s">
        <v>18</v>
      </c>
      <c r="D68" s="37" t="s">
        <v>20</v>
      </c>
      <c r="E68" s="38">
        <v>46207</v>
      </c>
      <c r="F68" s="35" t="s">
        <v>5</v>
      </c>
      <c r="G68" s="35">
        <v>11</v>
      </c>
      <c r="H68" s="39">
        <v>7.5000000000000009</v>
      </c>
      <c r="I68" s="39">
        <f t="shared" si="6"/>
        <v>3.4999999999999991</v>
      </c>
      <c r="J68" s="39">
        <v>22.500000000000004</v>
      </c>
      <c r="K68" s="36">
        <f t="shared" si="7"/>
        <v>0.31818181818181812</v>
      </c>
      <c r="L68" s="36">
        <f t="shared" si="8"/>
        <v>0.68181818181818188</v>
      </c>
      <c r="M68" s="36">
        <f t="shared" si="9"/>
        <v>1.1250000000000002</v>
      </c>
      <c r="N68" s="40">
        <f t="shared" si="10"/>
        <v>0.59499999999999997</v>
      </c>
      <c r="O68" t="str">
        <f t="shared" si="11"/>
        <v>Low Prodcutive</v>
      </c>
      <c r="P68" t="s">
        <v>133</v>
      </c>
    </row>
    <row r="69" spans="1:16" x14ac:dyDescent="0.35">
      <c r="A69" s="41">
        <v>1324725625</v>
      </c>
      <c r="B69" s="37" t="s">
        <v>105</v>
      </c>
      <c r="C69" s="35" t="s">
        <v>18</v>
      </c>
      <c r="D69" s="37" t="s">
        <v>20</v>
      </c>
      <c r="E69" s="38">
        <v>46208</v>
      </c>
      <c r="F69" s="35" t="s">
        <v>6</v>
      </c>
      <c r="G69" s="35">
        <v>11</v>
      </c>
      <c r="H69" s="39">
        <v>6.1333333333333329</v>
      </c>
      <c r="I69" s="39">
        <f t="shared" si="6"/>
        <v>4.8666666666666671</v>
      </c>
      <c r="J69" s="39">
        <v>18.399999999999999</v>
      </c>
      <c r="K69" s="36">
        <f t="shared" si="7"/>
        <v>0.44242424242424244</v>
      </c>
      <c r="L69" s="36">
        <f t="shared" si="8"/>
        <v>0.5575757575757575</v>
      </c>
      <c r="M69" s="36">
        <f t="shared" si="9"/>
        <v>0.91999999999999993</v>
      </c>
      <c r="N69" s="40">
        <f t="shared" si="10"/>
        <v>0.59299999999999997</v>
      </c>
      <c r="O69" t="str">
        <f t="shared" si="11"/>
        <v>Low Prodcutive</v>
      </c>
      <c r="P69" t="s">
        <v>133</v>
      </c>
    </row>
    <row r="70" spans="1:16" x14ac:dyDescent="0.35">
      <c r="A70" s="37">
        <v>1324725648</v>
      </c>
      <c r="B70" s="37" t="s">
        <v>106</v>
      </c>
      <c r="C70" s="35" t="s">
        <v>18</v>
      </c>
      <c r="D70" s="37" t="s">
        <v>21</v>
      </c>
      <c r="E70" s="38">
        <v>46204</v>
      </c>
      <c r="F70" s="35" t="s">
        <v>3</v>
      </c>
      <c r="G70" s="35">
        <v>11</v>
      </c>
      <c r="H70" s="39">
        <v>6.8333333333333295</v>
      </c>
      <c r="I70" s="39">
        <f t="shared" si="6"/>
        <v>4.1666666666666705</v>
      </c>
      <c r="J70" s="39">
        <v>20.499999999999986</v>
      </c>
      <c r="K70" s="36">
        <f t="shared" si="7"/>
        <v>0.37878787878787912</v>
      </c>
      <c r="L70" s="36">
        <f t="shared" si="8"/>
        <v>0.62121212121212088</v>
      </c>
      <c r="M70" s="36">
        <f t="shared" si="9"/>
        <v>1.0249999999999992</v>
      </c>
      <c r="N70" s="40">
        <f t="shared" si="10"/>
        <v>0.61399999999999999</v>
      </c>
      <c r="O70" t="str">
        <f t="shared" si="11"/>
        <v>productive</v>
      </c>
      <c r="P70" t="s">
        <v>133</v>
      </c>
    </row>
    <row r="71" spans="1:16" x14ac:dyDescent="0.35">
      <c r="A71" s="37">
        <v>1324725648</v>
      </c>
      <c r="B71" s="37" t="s">
        <v>106</v>
      </c>
      <c r="C71" s="35" t="s">
        <v>18</v>
      </c>
      <c r="D71" s="37" t="s">
        <v>21</v>
      </c>
      <c r="E71" s="38">
        <v>46205</v>
      </c>
      <c r="F71" s="35" t="s">
        <v>4</v>
      </c>
      <c r="G71" s="35">
        <v>11</v>
      </c>
      <c r="H71" s="39">
        <v>4.8333333333333339</v>
      </c>
      <c r="I71" s="39">
        <f t="shared" si="6"/>
        <v>6.1666666666666661</v>
      </c>
      <c r="J71" s="39">
        <v>14.5</v>
      </c>
      <c r="K71" s="36">
        <f t="shared" si="7"/>
        <v>0.56060606060606055</v>
      </c>
      <c r="L71" s="36">
        <f t="shared" si="8"/>
        <v>0.43939393939393945</v>
      </c>
      <c r="M71" s="36">
        <f t="shared" si="9"/>
        <v>0.72499999999999998</v>
      </c>
      <c r="N71" s="40">
        <f t="shared" si="10"/>
        <v>0.53100000000000003</v>
      </c>
      <c r="O71" t="str">
        <f t="shared" si="11"/>
        <v>Low Prodcutive</v>
      </c>
      <c r="P71" t="s">
        <v>133</v>
      </c>
    </row>
    <row r="72" spans="1:16" x14ac:dyDescent="0.35">
      <c r="A72" s="37">
        <v>1324725648</v>
      </c>
      <c r="B72" s="37" t="s">
        <v>106</v>
      </c>
      <c r="C72" s="35" t="s">
        <v>18</v>
      </c>
      <c r="D72" s="37" t="s">
        <v>21</v>
      </c>
      <c r="E72" s="38">
        <v>46207</v>
      </c>
      <c r="F72" s="35" t="s">
        <v>5</v>
      </c>
      <c r="G72" s="35">
        <v>11</v>
      </c>
      <c r="H72" s="39">
        <v>6.6666666666666652</v>
      </c>
      <c r="I72" s="39">
        <f t="shared" si="6"/>
        <v>4.3333333333333348</v>
      </c>
      <c r="J72" s="39">
        <v>19.999999999999996</v>
      </c>
      <c r="K72" s="36">
        <f t="shared" si="7"/>
        <v>0.39393939393939409</v>
      </c>
      <c r="L72" s="36">
        <f t="shared" si="8"/>
        <v>0.60606060606060597</v>
      </c>
      <c r="M72" s="36">
        <f t="shared" si="9"/>
        <v>0.99999999999999978</v>
      </c>
      <c r="N72" s="40">
        <f t="shared" si="10"/>
        <v>0.61799999999999999</v>
      </c>
      <c r="O72" t="str">
        <f t="shared" si="11"/>
        <v>productive</v>
      </c>
      <c r="P72" t="s">
        <v>133</v>
      </c>
    </row>
    <row r="73" spans="1:16" x14ac:dyDescent="0.35">
      <c r="A73" s="41">
        <v>1324725648</v>
      </c>
      <c r="B73" s="37" t="s">
        <v>106</v>
      </c>
      <c r="C73" s="35" t="s">
        <v>18</v>
      </c>
      <c r="D73" s="37" t="s">
        <v>21</v>
      </c>
      <c r="E73" s="38">
        <v>46208</v>
      </c>
      <c r="F73" s="35" t="s">
        <v>6</v>
      </c>
      <c r="G73" s="35">
        <v>11</v>
      </c>
      <c r="H73" s="39">
        <v>11.000000000000002</v>
      </c>
      <c r="I73" s="39">
        <f t="shared" si="6"/>
        <v>-1.7763568394002505E-15</v>
      </c>
      <c r="J73" s="39">
        <v>17</v>
      </c>
      <c r="K73" s="36">
        <f t="shared" si="7"/>
        <v>-1.6148698540002277E-16</v>
      </c>
      <c r="L73" s="36">
        <f t="shared" si="8"/>
        <v>1.0000000000000002</v>
      </c>
      <c r="M73" s="36">
        <f t="shared" si="9"/>
        <v>0.85</v>
      </c>
      <c r="N73" s="40">
        <f t="shared" si="10"/>
        <v>0.625</v>
      </c>
      <c r="O73" t="str">
        <f t="shared" si="11"/>
        <v>productive</v>
      </c>
      <c r="P73" t="s">
        <v>134</v>
      </c>
    </row>
    <row r="74" spans="1:16" x14ac:dyDescent="0.35">
      <c r="A74" s="37">
        <v>1324725678</v>
      </c>
      <c r="B74" s="37" t="s">
        <v>107</v>
      </c>
      <c r="C74" s="35" t="s">
        <v>18</v>
      </c>
      <c r="D74" s="37" t="s">
        <v>21</v>
      </c>
      <c r="E74" s="38">
        <v>46204</v>
      </c>
      <c r="F74" s="35" t="s">
        <v>3</v>
      </c>
      <c r="G74" s="35">
        <v>11</v>
      </c>
      <c r="H74" s="39">
        <v>8.8166666666666682</v>
      </c>
      <c r="I74" s="39">
        <f t="shared" si="6"/>
        <v>2.1833333333333318</v>
      </c>
      <c r="J74" s="39">
        <v>21</v>
      </c>
      <c r="K74" s="36">
        <f t="shared" si="7"/>
        <v>0.19848484848484835</v>
      </c>
      <c r="L74" s="36">
        <f t="shared" si="8"/>
        <v>0.80151515151515162</v>
      </c>
      <c r="M74" s="36">
        <f t="shared" si="9"/>
        <v>1.05</v>
      </c>
      <c r="N74" s="40">
        <f t="shared" si="10"/>
        <v>0.61399999999999999</v>
      </c>
      <c r="O74" t="str">
        <f t="shared" si="11"/>
        <v>productive</v>
      </c>
      <c r="P74" t="s">
        <v>133</v>
      </c>
    </row>
    <row r="75" spans="1:16" x14ac:dyDescent="0.35">
      <c r="A75" s="37">
        <v>1324725678</v>
      </c>
      <c r="B75" s="37" t="s">
        <v>107</v>
      </c>
      <c r="C75" s="35" t="s">
        <v>18</v>
      </c>
      <c r="D75" s="37" t="s">
        <v>21</v>
      </c>
      <c r="E75" s="38">
        <v>46205</v>
      </c>
      <c r="F75" s="35" t="s">
        <v>4</v>
      </c>
      <c r="G75" s="35">
        <v>11</v>
      </c>
      <c r="H75" s="39">
        <v>3.849999999999997</v>
      </c>
      <c r="I75" s="39">
        <f t="shared" si="6"/>
        <v>7.150000000000003</v>
      </c>
      <c r="J75" s="39">
        <v>11.54999999999999</v>
      </c>
      <c r="K75" s="36">
        <f t="shared" si="7"/>
        <v>0.65000000000000024</v>
      </c>
      <c r="L75" s="36">
        <f t="shared" si="8"/>
        <v>0.3499999999999997</v>
      </c>
      <c r="M75" s="36">
        <f t="shared" si="9"/>
        <v>0.57749999999999946</v>
      </c>
      <c r="N75" s="40">
        <f t="shared" si="10"/>
        <v>0.48399999999999999</v>
      </c>
      <c r="O75" t="str">
        <f t="shared" si="11"/>
        <v>Low Prodcutive</v>
      </c>
      <c r="P75" t="s">
        <v>133</v>
      </c>
    </row>
    <row r="76" spans="1:16" x14ac:dyDescent="0.35">
      <c r="A76" s="37">
        <v>1324725678</v>
      </c>
      <c r="B76" s="37" t="s">
        <v>107</v>
      </c>
      <c r="C76" s="35" t="s">
        <v>18</v>
      </c>
      <c r="D76" s="37" t="s">
        <v>21</v>
      </c>
      <c r="E76" s="38">
        <v>46207</v>
      </c>
      <c r="F76" s="35" t="s">
        <v>5</v>
      </c>
      <c r="G76" s="35">
        <v>11</v>
      </c>
      <c r="H76" s="39">
        <v>6.5000000000000018</v>
      </c>
      <c r="I76" s="39">
        <f t="shared" si="6"/>
        <v>4.4999999999999982</v>
      </c>
      <c r="J76" s="39">
        <v>19.500000000000004</v>
      </c>
      <c r="K76" s="36">
        <f t="shared" si="7"/>
        <v>0.40909090909090895</v>
      </c>
      <c r="L76" s="36">
        <f t="shared" si="8"/>
        <v>0.59090909090909105</v>
      </c>
      <c r="M76" s="36">
        <f t="shared" si="9"/>
        <v>0.9750000000000002</v>
      </c>
      <c r="N76" s="40">
        <f t="shared" si="10"/>
        <v>0.61</v>
      </c>
      <c r="O76" t="str">
        <f t="shared" si="11"/>
        <v>productive</v>
      </c>
      <c r="P76" t="s">
        <v>133</v>
      </c>
    </row>
    <row r="77" spans="1:16" x14ac:dyDescent="0.35">
      <c r="A77" s="41">
        <v>1324725678</v>
      </c>
      <c r="B77" s="37" t="s">
        <v>107</v>
      </c>
      <c r="C77" s="35" t="s">
        <v>18</v>
      </c>
      <c r="D77" s="37" t="s">
        <v>21</v>
      </c>
      <c r="E77" s="38">
        <v>46208</v>
      </c>
      <c r="F77" s="35" t="s">
        <v>6</v>
      </c>
      <c r="G77" s="35">
        <v>11</v>
      </c>
      <c r="H77" s="39">
        <v>4.6666666666666661</v>
      </c>
      <c r="I77" s="39">
        <f t="shared" si="6"/>
        <v>6.3333333333333339</v>
      </c>
      <c r="J77" s="39">
        <v>13.999999999999998</v>
      </c>
      <c r="K77" s="36">
        <f t="shared" si="7"/>
        <v>0.5757575757575758</v>
      </c>
      <c r="L77" s="36">
        <f t="shared" si="8"/>
        <v>0.4242424242424242</v>
      </c>
      <c r="M77" s="36">
        <f t="shared" si="9"/>
        <v>0.7</v>
      </c>
      <c r="N77" s="40">
        <f t="shared" si="10"/>
        <v>0.52300000000000002</v>
      </c>
      <c r="O77" t="str">
        <f t="shared" si="11"/>
        <v>Low Prodcutive</v>
      </c>
      <c r="P77" t="s">
        <v>133</v>
      </c>
    </row>
    <row r="78" spans="1:16" x14ac:dyDescent="0.35">
      <c r="A78" s="37">
        <v>1324725688</v>
      </c>
      <c r="B78" s="37" t="s">
        <v>108</v>
      </c>
      <c r="C78" s="35" t="s">
        <v>18</v>
      </c>
      <c r="D78" s="37" t="s">
        <v>21</v>
      </c>
      <c r="E78" s="38">
        <v>46204</v>
      </c>
      <c r="F78" s="35" t="s">
        <v>3</v>
      </c>
      <c r="G78" s="35">
        <v>11</v>
      </c>
      <c r="H78" s="39">
        <v>4.1833333333333371</v>
      </c>
      <c r="I78" s="39">
        <f t="shared" si="6"/>
        <v>6.8166666666666629</v>
      </c>
      <c r="J78" s="39">
        <v>12.550000000000015</v>
      </c>
      <c r="K78" s="36">
        <f t="shared" si="7"/>
        <v>0.6196969696969693</v>
      </c>
      <c r="L78" s="36">
        <f t="shared" si="8"/>
        <v>0.38030303030303064</v>
      </c>
      <c r="M78" s="36">
        <f t="shared" si="9"/>
        <v>0.62750000000000072</v>
      </c>
      <c r="N78" s="40">
        <f t="shared" si="10"/>
        <v>0.5</v>
      </c>
      <c r="O78" t="str">
        <f t="shared" si="11"/>
        <v>Low Prodcutive</v>
      </c>
      <c r="P78" t="s">
        <v>133</v>
      </c>
    </row>
    <row r="79" spans="1:16" x14ac:dyDescent="0.35">
      <c r="A79" s="37">
        <v>1324725688</v>
      </c>
      <c r="B79" s="37" t="s">
        <v>108</v>
      </c>
      <c r="C79" s="35" t="s">
        <v>18</v>
      </c>
      <c r="D79" s="37" t="s">
        <v>21</v>
      </c>
      <c r="E79" s="38">
        <v>46205</v>
      </c>
      <c r="F79" s="35" t="s">
        <v>4</v>
      </c>
      <c r="G79" s="35">
        <v>11</v>
      </c>
      <c r="H79" s="39">
        <v>6.6666666666666696</v>
      </c>
      <c r="I79" s="39">
        <f t="shared" si="6"/>
        <v>4.3333333333333304</v>
      </c>
      <c r="J79" s="39">
        <v>20.000000000000007</v>
      </c>
      <c r="K79" s="36">
        <f t="shared" si="7"/>
        <v>0.39393939393939365</v>
      </c>
      <c r="L79" s="36">
        <f t="shared" si="8"/>
        <v>0.6060606060606063</v>
      </c>
      <c r="M79" s="36">
        <f t="shared" si="9"/>
        <v>1.0000000000000004</v>
      </c>
      <c r="N79" s="40">
        <f t="shared" si="10"/>
        <v>0.61799999999999999</v>
      </c>
      <c r="O79" t="str">
        <f t="shared" si="11"/>
        <v>productive</v>
      </c>
      <c r="P79" t="s">
        <v>133</v>
      </c>
    </row>
    <row r="80" spans="1:16" x14ac:dyDescent="0.35">
      <c r="A80" s="37">
        <v>1324725688</v>
      </c>
      <c r="B80" s="37" t="s">
        <v>108</v>
      </c>
      <c r="C80" s="35" t="s">
        <v>18</v>
      </c>
      <c r="D80" s="37" t="s">
        <v>21</v>
      </c>
      <c r="E80" s="38">
        <v>46207</v>
      </c>
      <c r="F80" s="35" t="s">
        <v>5</v>
      </c>
      <c r="G80" s="35">
        <v>11</v>
      </c>
      <c r="H80" s="39">
        <v>6.15</v>
      </c>
      <c r="I80" s="39">
        <f t="shared" si="6"/>
        <v>4.8499999999999996</v>
      </c>
      <c r="J80" s="39">
        <v>18.450000000000003</v>
      </c>
      <c r="K80" s="36">
        <f t="shared" si="7"/>
        <v>0.44090909090909086</v>
      </c>
      <c r="L80" s="36">
        <f t="shared" si="8"/>
        <v>0.55909090909090908</v>
      </c>
      <c r="M80" s="36">
        <f t="shared" si="9"/>
        <v>0.9225000000000001</v>
      </c>
      <c r="N80" s="40">
        <f t="shared" si="10"/>
        <v>0.59399999999999997</v>
      </c>
      <c r="O80" t="str">
        <f t="shared" si="11"/>
        <v>Low Prodcutive</v>
      </c>
      <c r="P80" t="s">
        <v>133</v>
      </c>
    </row>
    <row r="81" spans="1:16" x14ac:dyDescent="0.35">
      <c r="A81" s="41">
        <v>1324725688</v>
      </c>
      <c r="B81" s="37" t="s">
        <v>108</v>
      </c>
      <c r="C81" s="35" t="s">
        <v>18</v>
      </c>
      <c r="D81" s="37" t="s">
        <v>21</v>
      </c>
      <c r="E81" s="38">
        <v>46208</v>
      </c>
      <c r="F81" s="35" t="s">
        <v>6</v>
      </c>
      <c r="G81" s="35">
        <v>11</v>
      </c>
      <c r="H81" s="39">
        <v>3.3166666666666682</v>
      </c>
      <c r="I81" s="39">
        <f t="shared" si="6"/>
        <v>7.6833333333333318</v>
      </c>
      <c r="J81" s="39">
        <v>9.9500000000000046</v>
      </c>
      <c r="K81" s="36">
        <f t="shared" si="7"/>
        <v>0.69848484848484838</v>
      </c>
      <c r="L81" s="36">
        <f t="shared" si="8"/>
        <v>0.30151515151515168</v>
      </c>
      <c r="M81" s="36">
        <f t="shared" si="9"/>
        <v>0.49750000000000022</v>
      </c>
      <c r="N81" s="40">
        <f t="shared" si="10"/>
        <v>0.45799999999999996</v>
      </c>
      <c r="O81" t="str">
        <f t="shared" si="11"/>
        <v>Low Prodcutive</v>
      </c>
      <c r="P81" t="s">
        <v>133</v>
      </c>
    </row>
    <row r="82" spans="1:16" x14ac:dyDescent="0.35">
      <c r="A82" s="37">
        <v>1324725712</v>
      </c>
      <c r="B82" s="37" t="s">
        <v>109</v>
      </c>
      <c r="C82" s="35" t="s">
        <v>18</v>
      </c>
      <c r="D82" s="37" t="s">
        <v>20</v>
      </c>
      <c r="E82" s="38">
        <v>46204</v>
      </c>
      <c r="F82" s="35" t="s">
        <v>3</v>
      </c>
      <c r="G82" s="35">
        <v>11</v>
      </c>
      <c r="H82" s="39">
        <v>10.499999999999998</v>
      </c>
      <c r="I82" s="39">
        <f t="shared" si="6"/>
        <v>0.50000000000000178</v>
      </c>
      <c r="J82" s="39">
        <v>16</v>
      </c>
      <c r="K82" s="36">
        <f t="shared" si="7"/>
        <v>4.5454545454545615E-2</v>
      </c>
      <c r="L82" s="36">
        <f t="shared" si="8"/>
        <v>0.95454545454545436</v>
      </c>
      <c r="M82" s="36">
        <f t="shared" si="9"/>
        <v>0.8</v>
      </c>
      <c r="N82" s="40">
        <f t="shared" si="10"/>
        <v>0.57999999999999996</v>
      </c>
      <c r="O82" t="str">
        <f t="shared" si="11"/>
        <v>Low Prodcutive</v>
      </c>
      <c r="P82" t="s">
        <v>133</v>
      </c>
    </row>
    <row r="83" spans="1:16" x14ac:dyDescent="0.35">
      <c r="A83" s="37">
        <v>1324725712</v>
      </c>
      <c r="B83" s="37" t="s">
        <v>109</v>
      </c>
      <c r="C83" s="35" t="s">
        <v>18</v>
      </c>
      <c r="D83" s="37" t="s">
        <v>20</v>
      </c>
      <c r="E83" s="38">
        <v>46205</v>
      </c>
      <c r="F83" s="35" t="s">
        <v>4</v>
      </c>
      <c r="G83" s="35">
        <v>11</v>
      </c>
      <c r="H83" s="39">
        <v>5.1666666666666661</v>
      </c>
      <c r="I83" s="39">
        <f t="shared" si="6"/>
        <v>5.8333333333333339</v>
      </c>
      <c r="J83" s="39">
        <v>15.499999999999998</v>
      </c>
      <c r="K83" s="36">
        <f t="shared" si="7"/>
        <v>0.53030303030303039</v>
      </c>
      <c r="L83" s="36">
        <f t="shared" si="8"/>
        <v>0.46969696969696967</v>
      </c>
      <c r="M83" s="36">
        <f t="shared" si="9"/>
        <v>0.77499999999999991</v>
      </c>
      <c r="N83" s="40">
        <f t="shared" si="10"/>
        <v>0.54700000000000004</v>
      </c>
      <c r="O83" t="str">
        <f t="shared" si="11"/>
        <v>Low Prodcutive</v>
      </c>
      <c r="P83" t="s">
        <v>133</v>
      </c>
    </row>
    <row r="84" spans="1:16" x14ac:dyDescent="0.35">
      <c r="A84" s="37">
        <v>1324725712</v>
      </c>
      <c r="B84" s="37" t="s">
        <v>109</v>
      </c>
      <c r="C84" s="35" t="s">
        <v>18</v>
      </c>
      <c r="D84" s="37" t="s">
        <v>20</v>
      </c>
      <c r="E84" s="38">
        <v>46207</v>
      </c>
      <c r="F84" s="35" t="s">
        <v>5</v>
      </c>
      <c r="G84" s="35">
        <v>11</v>
      </c>
      <c r="H84" s="39">
        <v>4.3333333333333304</v>
      </c>
      <c r="I84" s="39">
        <f t="shared" si="6"/>
        <v>6.6666666666666696</v>
      </c>
      <c r="J84" s="39">
        <v>12.999999999999989</v>
      </c>
      <c r="K84" s="36">
        <f t="shared" si="7"/>
        <v>0.6060606060606063</v>
      </c>
      <c r="L84" s="36">
        <f t="shared" si="8"/>
        <v>0.39393939393939365</v>
      </c>
      <c r="M84" s="36">
        <f t="shared" si="9"/>
        <v>0.64999999999999947</v>
      </c>
      <c r="N84" s="40">
        <f t="shared" si="10"/>
        <v>0.50700000000000001</v>
      </c>
      <c r="O84" t="str">
        <f t="shared" si="11"/>
        <v>Low Prodcutive</v>
      </c>
      <c r="P84" t="s">
        <v>133</v>
      </c>
    </row>
    <row r="85" spans="1:16" x14ac:dyDescent="0.35">
      <c r="A85" s="41">
        <v>1324725712</v>
      </c>
      <c r="B85" s="37" t="s">
        <v>109</v>
      </c>
      <c r="C85" s="35" t="s">
        <v>18</v>
      </c>
      <c r="D85" s="37" t="s">
        <v>20</v>
      </c>
      <c r="E85" s="38">
        <v>46208</v>
      </c>
      <c r="F85" s="35" t="s">
        <v>6</v>
      </c>
      <c r="G85" s="35">
        <v>11</v>
      </c>
      <c r="H85" s="39">
        <v>7.8333333333333321</v>
      </c>
      <c r="I85" s="39">
        <f t="shared" si="6"/>
        <v>3.1666666666666679</v>
      </c>
      <c r="J85" s="39">
        <v>21</v>
      </c>
      <c r="K85" s="36">
        <f t="shared" si="7"/>
        <v>0.28787878787878801</v>
      </c>
      <c r="L85" s="36">
        <f t="shared" si="8"/>
        <v>0.71212121212121204</v>
      </c>
      <c r="M85" s="36">
        <f t="shared" si="9"/>
        <v>1.05</v>
      </c>
      <c r="N85" s="40">
        <f t="shared" si="10"/>
        <v>0.58599999999999997</v>
      </c>
      <c r="O85" t="str">
        <f t="shared" si="11"/>
        <v>Low Prodcutive</v>
      </c>
      <c r="P85" t="s">
        <v>133</v>
      </c>
    </row>
    <row r="86" spans="1:16" x14ac:dyDescent="0.35">
      <c r="A86" s="37">
        <v>1324732630</v>
      </c>
      <c r="B86" s="37" t="s">
        <v>85</v>
      </c>
      <c r="C86" s="35" t="s">
        <v>19</v>
      </c>
      <c r="D86" s="37" t="s">
        <v>20</v>
      </c>
      <c r="E86" s="38">
        <v>46204</v>
      </c>
      <c r="F86" s="35" t="s">
        <v>3</v>
      </c>
      <c r="G86" s="35">
        <v>11</v>
      </c>
      <c r="H86" s="39">
        <v>5.5000000000000036</v>
      </c>
      <c r="I86" s="39">
        <f t="shared" si="6"/>
        <v>5.4999999999999964</v>
      </c>
      <c r="J86" s="39">
        <v>16.500000000000007</v>
      </c>
      <c r="K86" s="36">
        <f t="shared" si="7"/>
        <v>0.49999999999999967</v>
      </c>
      <c r="L86" s="36">
        <f t="shared" si="8"/>
        <v>0.50000000000000033</v>
      </c>
      <c r="M86" s="36">
        <f t="shared" si="9"/>
        <v>0.8250000000000004</v>
      </c>
      <c r="N86" s="40">
        <f t="shared" si="10"/>
        <v>0.56299999999999994</v>
      </c>
      <c r="O86" t="str">
        <f t="shared" si="11"/>
        <v>Low Prodcutive</v>
      </c>
      <c r="P86" t="s">
        <v>133</v>
      </c>
    </row>
    <row r="87" spans="1:16" x14ac:dyDescent="0.35">
      <c r="A87" s="37">
        <v>1324732630</v>
      </c>
      <c r="B87" s="37" t="s">
        <v>85</v>
      </c>
      <c r="C87" s="35" t="s">
        <v>19</v>
      </c>
      <c r="D87" s="37" t="s">
        <v>20</v>
      </c>
      <c r="E87" s="38">
        <v>46205</v>
      </c>
      <c r="F87" s="35" t="s">
        <v>4</v>
      </c>
      <c r="G87" s="35">
        <v>11</v>
      </c>
      <c r="H87" s="39">
        <v>5.3333333333333393</v>
      </c>
      <c r="I87" s="39">
        <f t="shared" si="6"/>
        <v>5.6666666666666607</v>
      </c>
      <c r="J87" s="39">
        <v>16.000000000000021</v>
      </c>
      <c r="K87" s="36">
        <f t="shared" si="7"/>
        <v>0.51515151515151458</v>
      </c>
      <c r="L87" s="36">
        <f t="shared" si="8"/>
        <v>0.48484848484848536</v>
      </c>
      <c r="M87" s="36">
        <f t="shared" si="9"/>
        <v>0.80000000000000104</v>
      </c>
      <c r="N87" s="40">
        <f t="shared" si="10"/>
        <v>0.55500000000000005</v>
      </c>
      <c r="O87" t="str">
        <f t="shared" si="11"/>
        <v>Low Prodcutive</v>
      </c>
      <c r="P87" t="s">
        <v>133</v>
      </c>
    </row>
    <row r="88" spans="1:16" x14ac:dyDescent="0.35">
      <c r="A88" s="37">
        <v>1324732630</v>
      </c>
      <c r="B88" s="37" t="s">
        <v>85</v>
      </c>
      <c r="C88" s="35" t="s">
        <v>19</v>
      </c>
      <c r="D88" s="37" t="s">
        <v>20</v>
      </c>
      <c r="E88" s="38">
        <v>46207</v>
      </c>
      <c r="F88" s="35" t="s">
        <v>5</v>
      </c>
      <c r="G88" s="35">
        <v>11</v>
      </c>
      <c r="H88" s="39">
        <v>5.6666666666666625</v>
      </c>
      <c r="I88" s="39">
        <f t="shared" si="6"/>
        <v>5.3333333333333375</v>
      </c>
      <c r="J88" s="39">
        <v>16.999999999999986</v>
      </c>
      <c r="K88" s="36">
        <f t="shared" si="7"/>
        <v>0.48484848484848525</v>
      </c>
      <c r="L88" s="36">
        <f t="shared" si="8"/>
        <v>0.5151515151515148</v>
      </c>
      <c r="M88" s="36">
        <f t="shared" si="9"/>
        <v>0.84999999999999931</v>
      </c>
      <c r="N88" s="40">
        <f t="shared" si="10"/>
        <v>0.56999999999999995</v>
      </c>
      <c r="O88" t="str">
        <f t="shared" si="11"/>
        <v>Low Prodcutive</v>
      </c>
      <c r="P88" t="s">
        <v>133</v>
      </c>
    </row>
    <row r="89" spans="1:16" x14ac:dyDescent="0.35">
      <c r="A89" s="41">
        <v>1324732630</v>
      </c>
      <c r="B89" s="37" t="s">
        <v>85</v>
      </c>
      <c r="C89" s="35" t="s">
        <v>19</v>
      </c>
      <c r="D89" s="37" t="s">
        <v>20</v>
      </c>
      <c r="E89" s="38">
        <v>46208</v>
      </c>
      <c r="F89" s="35" t="s">
        <v>6</v>
      </c>
      <c r="G89" s="35">
        <v>11</v>
      </c>
      <c r="H89" s="39">
        <v>5.6666666666666661</v>
      </c>
      <c r="I89" s="39">
        <f t="shared" si="6"/>
        <v>5.3333333333333339</v>
      </c>
      <c r="J89" s="39">
        <v>17</v>
      </c>
      <c r="K89" s="36">
        <f t="shared" si="7"/>
        <v>0.48484848484848492</v>
      </c>
      <c r="L89" s="36">
        <f t="shared" si="8"/>
        <v>0.51515151515151514</v>
      </c>
      <c r="M89" s="36">
        <f t="shared" si="9"/>
        <v>0.85</v>
      </c>
      <c r="N89" s="40">
        <f t="shared" si="10"/>
        <v>0.56999999999999995</v>
      </c>
      <c r="O89" t="str">
        <f t="shared" si="11"/>
        <v>Low Prodcutive</v>
      </c>
      <c r="P89" t="s">
        <v>133</v>
      </c>
    </row>
    <row r="90" spans="1:16" x14ac:dyDescent="0.35">
      <c r="A90" s="37">
        <v>1324732631</v>
      </c>
      <c r="B90" s="37" t="s">
        <v>110</v>
      </c>
      <c r="C90" s="35" t="s">
        <v>18</v>
      </c>
      <c r="D90" s="37" t="s">
        <v>21</v>
      </c>
      <c r="E90" s="38">
        <v>46204</v>
      </c>
      <c r="F90" s="35" t="s">
        <v>3</v>
      </c>
      <c r="G90" s="35">
        <v>11</v>
      </c>
      <c r="H90" s="39">
        <v>3.5000000000000018</v>
      </c>
      <c r="I90" s="39">
        <f t="shared" si="6"/>
        <v>7.4999999999999982</v>
      </c>
      <c r="J90" s="39">
        <v>10.500000000000007</v>
      </c>
      <c r="K90" s="36">
        <f t="shared" si="7"/>
        <v>0.68181818181818166</v>
      </c>
      <c r="L90" s="36">
        <f t="shared" si="8"/>
        <v>0.31818181818181834</v>
      </c>
      <c r="M90" s="36">
        <f t="shared" si="9"/>
        <v>0.52500000000000036</v>
      </c>
      <c r="N90" s="40">
        <f t="shared" si="10"/>
        <v>0.46700000000000003</v>
      </c>
      <c r="O90" t="str">
        <f t="shared" si="11"/>
        <v>Low Prodcutive</v>
      </c>
      <c r="P90" t="s">
        <v>133</v>
      </c>
    </row>
    <row r="91" spans="1:16" x14ac:dyDescent="0.35">
      <c r="A91" s="37">
        <v>1324732631</v>
      </c>
      <c r="B91" s="37" t="s">
        <v>110</v>
      </c>
      <c r="C91" s="35" t="s">
        <v>18</v>
      </c>
      <c r="D91" s="37" t="s">
        <v>21</v>
      </c>
      <c r="E91" s="38">
        <v>46205</v>
      </c>
      <c r="F91" s="35" t="s">
        <v>4</v>
      </c>
      <c r="G91" s="35">
        <v>11</v>
      </c>
      <c r="H91" s="39">
        <v>5.4999999999999991</v>
      </c>
      <c r="I91" s="39">
        <f t="shared" si="6"/>
        <v>5.5000000000000009</v>
      </c>
      <c r="J91" s="39">
        <v>16.5</v>
      </c>
      <c r="K91" s="36">
        <f t="shared" si="7"/>
        <v>0.50000000000000011</v>
      </c>
      <c r="L91" s="36">
        <f t="shared" si="8"/>
        <v>0.49999999999999994</v>
      </c>
      <c r="M91" s="36">
        <f t="shared" si="9"/>
        <v>0.82499999999999996</v>
      </c>
      <c r="N91" s="40">
        <f t="shared" si="10"/>
        <v>0.56299999999999994</v>
      </c>
      <c r="O91" t="str">
        <f t="shared" si="11"/>
        <v>Low Prodcutive</v>
      </c>
      <c r="P91" t="s">
        <v>133</v>
      </c>
    </row>
    <row r="92" spans="1:16" x14ac:dyDescent="0.35">
      <c r="A92" s="37">
        <v>1324732631</v>
      </c>
      <c r="B92" s="37" t="s">
        <v>110</v>
      </c>
      <c r="C92" s="35" t="s">
        <v>18</v>
      </c>
      <c r="D92" s="37" t="s">
        <v>21</v>
      </c>
      <c r="E92" s="38">
        <v>46207</v>
      </c>
      <c r="F92" s="35" t="s">
        <v>5</v>
      </c>
      <c r="G92" s="35">
        <v>11</v>
      </c>
      <c r="H92" s="39">
        <v>4.3333333333333321</v>
      </c>
      <c r="I92" s="39">
        <f t="shared" si="6"/>
        <v>6.6666666666666679</v>
      </c>
      <c r="J92" s="39">
        <v>12.999999999999996</v>
      </c>
      <c r="K92" s="36">
        <f t="shared" si="7"/>
        <v>0.60606060606060619</v>
      </c>
      <c r="L92" s="36">
        <f t="shared" si="8"/>
        <v>0.39393939393939381</v>
      </c>
      <c r="M92" s="36">
        <f t="shared" si="9"/>
        <v>0.6499999999999998</v>
      </c>
      <c r="N92" s="40">
        <f t="shared" si="10"/>
        <v>0.50700000000000001</v>
      </c>
      <c r="O92" t="str">
        <f t="shared" si="11"/>
        <v>Low Prodcutive</v>
      </c>
      <c r="P92" t="s">
        <v>133</v>
      </c>
    </row>
    <row r="93" spans="1:16" x14ac:dyDescent="0.35">
      <c r="A93" s="41">
        <v>1324732631</v>
      </c>
      <c r="B93" s="37" t="s">
        <v>110</v>
      </c>
      <c r="C93" s="35" t="s">
        <v>18</v>
      </c>
      <c r="D93" s="37" t="s">
        <v>21</v>
      </c>
      <c r="E93" s="38">
        <v>46208</v>
      </c>
      <c r="F93" s="35" t="s">
        <v>6</v>
      </c>
      <c r="G93" s="35">
        <v>11</v>
      </c>
      <c r="H93" s="39">
        <v>3.8333333333333313</v>
      </c>
      <c r="I93" s="39">
        <f t="shared" si="6"/>
        <v>7.1666666666666687</v>
      </c>
      <c r="J93" s="39">
        <v>11.499999999999995</v>
      </c>
      <c r="K93" s="36">
        <f t="shared" si="7"/>
        <v>0.65151515151515171</v>
      </c>
      <c r="L93" s="36">
        <f t="shared" si="8"/>
        <v>0.34848484848484829</v>
      </c>
      <c r="M93" s="36">
        <f t="shared" si="9"/>
        <v>0.57499999999999973</v>
      </c>
      <c r="N93" s="40">
        <f t="shared" si="10"/>
        <v>0.48299999999999998</v>
      </c>
      <c r="O93" t="str">
        <f t="shared" si="11"/>
        <v>Low Prodcutive</v>
      </c>
      <c r="P93" t="s">
        <v>133</v>
      </c>
    </row>
    <row r="94" spans="1:16" x14ac:dyDescent="0.35">
      <c r="A94" s="37">
        <v>1324732687</v>
      </c>
      <c r="B94" s="37" t="s">
        <v>111</v>
      </c>
      <c r="C94" s="35" t="s">
        <v>18</v>
      </c>
      <c r="D94" s="37" t="s">
        <v>20</v>
      </c>
      <c r="E94" s="38">
        <v>46204</v>
      </c>
      <c r="F94" s="35" t="s">
        <v>3</v>
      </c>
      <c r="G94" s="35">
        <v>11</v>
      </c>
      <c r="H94" s="39">
        <v>11</v>
      </c>
      <c r="I94" s="39">
        <f t="shared" si="6"/>
        <v>0</v>
      </c>
      <c r="J94" s="39">
        <v>7</v>
      </c>
      <c r="K94" s="36">
        <f t="shared" si="7"/>
        <v>0</v>
      </c>
      <c r="L94" s="36">
        <f t="shared" si="8"/>
        <v>1</v>
      </c>
      <c r="M94" s="36">
        <f t="shared" si="9"/>
        <v>0.35</v>
      </c>
      <c r="N94" s="40">
        <f t="shared" si="10"/>
        <v>0.375</v>
      </c>
      <c r="O94" t="str">
        <f t="shared" si="11"/>
        <v>Low Prodcutive</v>
      </c>
      <c r="P94" t="s">
        <v>135</v>
      </c>
    </row>
    <row r="95" spans="1:16" x14ac:dyDescent="0.35">
      <c r="A95" s="37">
        <v>1324732687</v>
      </c>
      <c r="B95" s="37" t="s">
        <v>111</v>
      </c>
      <c r="C95" s="35" t="s">
        <v>18</v>
      </c>
      <c r="D95" s="37" t="s">
        <v>20</v>
      </c>
      <c r="E95" s="38">
        <v>46205</v>
      </c>
      <c r="F95" s="35" t="s">
        <v>4</v>
      </c>
      <c r="G95" s="35">
        <v>11</v>
      </c>
      <c r="H95" s="39">
        <v>4.3333333333333384</v>
      </c>
      <c r="I95" s="39">
        <f t="shared" si="6"/>
        <v>6.6666666666666616</v>
      </c>
      <c r="J95" s="39">
        <v>13.000000000000014</v>
      </c>
      <c r="K95" s="36">
        <f t="shared" si="7"/>
        <v>0.60606060606060563</v>
      </c>
      <c r="L95" s="36">
        <f t="shared" si="8"/>
        <v>0.39393939393939442</v>
      </c>
      <c r="M95" s="36">
        <f t="shared" si="9"/>
        <v>0.65000000000000069</v>
      </c>
      <c r="N95" s="40">
        <f t="shared" si="10"/>
        <v>0.50700000000000001</v>
      </c>
      <c r="O95" t="str">
        <f t="shared" si="11"/>
        <v>Low Prodcutive</v>
      </c>
      <c r="P95" t="s">
        <v>133</v>
      </c>
    </row>
    <row r="96" spans="1:16" x14ac:dyDescent="0.35">
      <c r="A96" s="37">
        <v>1324732687</v>
      </c>
      <c r="B96" s="37" t="s">
        <v>111</v>
      </c>
      <c r="C96" s="35" t="s">
        <v>18</v>
      </c>
      <c r="D96" s="37" t="s">
        <v>20</v>
      </c>
      <c r="E96" s="38">
        <v>46207</v>
      </c>
      <c r="F96" s="35" t="s">
        <v>5</v>
      </c>
      <c r="G96" s="35">
        <v>11</v>
      </c>
      <c r="H96" s="39">
        <v>7.1666666666666661</v>
      </c>
      <c r="I96" s="39">
        <f t="shared" si="6"/>
        <v>3.8333333333333339</v>
      </c>
      <c r="J96" s="39">
        <v>21.499999999999996</v>
      </c>
      <c r="K96" s="36">
        <f t="shared" si="7"/>
        <v>0.34848484848484856</v>
      </c>
      <c r="L96" s="36">
        <f t="shared" si="8"/>
        <v>0.65151515151515149</v>
      </c>
      <c r="M96" s="36">
        <f t="shared" si="9"/>
        <v>1.0749999999999997</v>
      </c>
      <c r="N96" s="40">
        <f t="shared" si="10"/>
        <v>0.60499999999999998</v>
      </c>
      <c r="O96" t="str">
        <f t="shared" si="11"/>
        <v>productive</v>
      </c>
      <c r="P96" t="s">
        <v>133</v>
      </c>
    </row>
    <row r="97" spans="1:16" x14ac:dyDescent="0.35">
      <c r="A97" s="41">
        <v>1324732687</v>
      </c>
      <c r="B97" s="37" t="s">
        <v>111</v>
      </c>
      <c r="C97" s="35" t="s">
        <v>18</v>
      </c>
      <c r="D97" s="37" t="s">
        <v>20</v>
      </c>
      <c r="E97" s="38">
        <v>46208</v>
      </c>
      <c r="F97" s="35" t="s">
        <v>6</v>
      </c>
      <c r="G97" s="35">
        <v>11</v>
      </c>
      <c r="H97" s="39">
        <v>7.3333333333333348</v>
      </c>
      <c r="I97" s="39">
        <f t="shared" si="6"/>
        <v>3.6666666666666652</v>
      </c>
      <c r="J97" s="39">
        <v>22.000000000000007</v>
      </c>
      <c r="K97" s="36">
        <f t="shared" si="7"/>
        <v>0.3333333333333332</v>
      </c>
      <c r="L97" s="36">
        <f t="shared" si="8"/>
        <v>0.66666666666666685</v>
      </c>
      <c r="M97" s="36">
        <f t="shared" si="9"/>
        <v>1.1000000000000003</v>
      </c>
      <c r="N97" s="40">
        <f t="shared" si="10"/>
        <v>0.6</v>
      </c>
      <c r="O97" t="str">
        <f t="shared" si="11"/>
        <v>Low Prodcutive</v>
      </c>
      <c r="P97" t="s">
        <v>133</v>
      </c>
    </row>
    <row r="98" spans="1:16" x14ac:dyDescent="0.35">
      <c r="A98" s="37">
        <v>1324732688</v>
      </c>
      <c r="B98" s="37" t="s">
        <v>112</v>
      </c>
      <c r="C98" s="35" t="s">
        <v>18</v>
      </c>
      <c r="D98" s="37" t="s">
        <v>20</v>
      </c>
      <c r="E98" s="38">
        <v>46204</v>
      </c>
      <c r="F98" s="35" t="s">
        <v>3</v>
      </c>
      <c r="G98" s="35">
        <v>11</v>
      </c>
      <c r="H98" s="39">
        <v>6.8333333333333357</v>
      </c>
      <c r="I98" s="39">
        <f t="shared" si="6"/>
        <v>4.1666666666666643</v>
      </c>
      <c r="J98" s="39">
        <v>20.500000000000007</v>
      </c>
      <c r="K98" s="36">
        <f t="shared" si="7"/>
        <v>0.37878787878787856</v>
      </c>
      <c r="L98" s="36">
        <f t="shared" si="8"/>
        <v>0.62121212121212144</v>
      </c>
      <c r="M98" s="36">
        <f t="shared" si="9"/>
        <v>1.0250000000000004</v>
      </c>
      <c r="N98" s="40">
        <f t="shared" si="10"/>
        <v>0.61399999999999999</v>
      </c>
      <c r="O98" t="str">
        <f t="shared" si="11"/>
        <v>productive</v>
      </c>
      <c r="P98" t="s">
        <v>133</v>
      </c>
    </row>
    <row r="99" spans="1:16" x14ac:dyDescent="0.35">
      <c r="A99" s="37">
        <v>1324732688</v>
      </c>
      <c r="B99" s="37" t="s">
        <v>112</v>
      </c>
      <c r="C99" s="35" t="s">
        <v>18</v>
      </c>
      <c r="D99" s="37" t="s">
        <v>20</v>
      </c>
      <c r="E99" s="38">
        <v>46205</v>
      </c>
      <c r="F99" s="35" t="s">
        <v>4</v>
      </c>
      <c r="G99" s="35">
        <v>11</v>
      </c>
      <c r="H99" s="39">
        <v>9.3333333333333304</v>
      </c>
      <c r="I99" s="39">
        <f t="shared" si="6"/>
        <v>1.6666666666666696</v>
      </c>
      <c r="J99" s="39">
        <v>21</v>
      </c>
      <c r="K99" s="36">
        <f t="shared" si="7"/>
        <v>0.1515151515151518</v>
      </c>
      <c r="L99" s="36">
        <f t="shared" si="8"/>
        <v>0.84848484848484818</v>
      </c>
      <c r="M99" s="36">
        <f t="shared" si="9"/>
        <v>1.05</v>
      </c>
      <c r="N99" s="40">
        <f t="shared" si="10"/>
        <v>0.63400000000000001</v>
      </c>
      <c r="O99" t="str">
        <f t="shared" si="11"/>
        <v>productive</v>
      </c>
      <c r="P99" t="s">
        <v>133</v>
      </c>
    </row>
    <row r="100" spans="1:16" x14ac:dyDescent="0.35">
      <c r="A100" s="37">
        <v>1324732688</v>
      </c>
      <c r="B100" s="37" t="s">
        <v>112</v>
      </c>
      <c r="C100" s="35" t="s">
        <v>18</v>
      </c>
      <c r="D100" s="37" t="s">
        <v>20</v>
      </c>
      <c r="E100" s="38">
        <v>46207</v>
      </c>
      <c r="F100" s="35" t="s">
        <v>5</v>
      </c>
      <c r="G100" s="35">
        <v>11</v>
      </c>
      <c r="H100" s="39">
        <v>4.6666666666666652</v>
      </c>
      <c r="I100" s="39">
        <f t="shared" si="6"/>
        <v>6.3333333333333348</v>
      </c>
      <c r="J100" s="39">
        <v>13.999999999999995</v>
      </c>
      <c r="K100" s="36">
        <f t="shared" si="7"/>
        <v>0.57575757575757591</v>
      </c>
      <c r="L100" s="36">
        <f t="shared" si="8"/>
        <v>0.42424242424242409</v>
      </c>
      <c r="M100" s="36">
        <f t="shared" si="9"/>
        <v>0.69999999999999973</v>
      </c>
      <c r="N100" s="40">
        <f t="shared" si="10"/>
        <v>0.52300000000000002</v>
      </c>
      <c r="O100" t="str">
        <f t="shared" si="11"/>
        <v>Low Prodcutive</v>
      </c>
      <c r="P100" t="s">
        <v>133</v>
      </c>
    </row>
    <row r="101" spans="1:16" x14ac:dyDescent="0.35">
      <c r="A101" s="41">
        <v>1324732688</v>
      </c>
      <c r="B101" s="37" t="s">
        <v>112</v>
      </c>
      <c r="C101" s="35" t="s">
        <v>18</v>
      </c>
      <c r="D101" s="37" t="s">
        <v>20</v>
      </c>
      <c r="E101" s="38">
        <v>46208</v>
      </c>
      <c r="F101" s="35" t="s">
        <v>6</v>
      </c>
      <c r="G101" s="35">
        <v>11</v>
      </c>
      <c r="H101" s="39">
        <v>4.8333333333333393</v>
      </c>
      <c r="I101" s="39">
        <f t="shared" si="6"/>
        <v>6.1666666666666607</v>
      </c>
      <c r="J101" s="39">
        <v>14.500000000000018</v>
      </c>
      <c r="K101" s="36">
        <f t="shared" si="7"/>
        <v>0.56060606060606011</v>
      </c>
      <c r="L101" s="36">
        <f t="shared" si="8"/>
        <v>0.43939393939393995</v>
      </c>
      <c r="M101" s="36">
        <f t="shared" si="9"/>
        <v>0.72500000000000087</v>
      </c>
      <c r="N101" s="40">
        <f t="shared" si="10"/>
        <v>0.53100000000000003</v>
      </c>
      <c r="O101" t="str">
        <f t="shared" si="11"/>
        <v>Low Prodcutive</v>
      </c>
      <c r="P101" t="s">
        <v>133</v>
      </c>
    </row>
    <row r="102" spans="1:16" x14ac:dyDescent="0.35">
      <c r="A102" s="37">
        <v>1324732735</v>
      </c>
      <c r="B102" s="37" t="s">
        <v>86</v>
      </c>
      <c r="C102" s="35" t="s">
        <v>19</v>
      </c>
      <c r="D102" s="37" t="s">
        <v>20</v>
      </c>
      <c r="E102" s="38">
        <v>46204</v>
      </c>
      <c r="F102" s="35" t="s">
        <v>3</v>
      </c>
      <c r="G102" s="35">
        <v>11</v>
      </c>
      <c r="H102" s="39">
        <v>7.0666666666666647</v>
      </c>
      <c r="I102" s="39">
        <f t="shared" si="6"/>
        <v>3.9333333333333353</v>
      </c>
      <c r="J102" s="39">
        <v>21.199999999999992</v>
      </c>
      <c r="K102" s="36">
        <f t="shared" si="7"/>
        <v>0.35757575757575777</v>
      </c>
      <c r="L102" s="36">
        <f t="shared" si="8"/>
        <v>0.64242424242424223</v>
      </c>
      <c r="M102" s="36">
        <f t="shared" si="9"/>
        <v>1.0599999999999996</v>
      </c>
      <c r="N102" s="40">
        <f t="shared" si="10"/>
        <v>0.60699999999999998</v>
      </c>
      <c r="O102" t="str">
        <f t="shared" si="11"/>
        <v>productive</v>
      </c>
      <c r="P102" t="s">
        <v>133</v>
      </c>
    </row>
    <row r="103" spans="1:16" x14ac:dyDescent="0.35">
      <c r="A103" s="37">
        <v>1324732735</v>
      </c>
      <c r="B103" s="37" t="s">
        <v>86</v>
      </c>
      <c r="C103" s="35" t="s">
        <v>19</v>
      </c>
      <c r="D103" s="37" t="s">
        <v>20</v>
      </c>
      <c r="E103" s="38">
        <v>46205</v>
      </c>
      <c r="F103" s="35" t="s">
        <v>4</v>
      </c>
      <c r="G103" s="35">
        <v>11</v>
      </c>
      <c r="H103" s="39">
        <v>6.8333333333333304</v>
      </c>
      <c r="I103" s="39">
        <f t="shared" si="6"/>
        <v>4.1666666666666696</v>
      </c>
      <c r="J103" s="39">
        <v>20.499999999999993</v>
      </c>
      <c r="K103" s="36">
        <f t="shared" si="7"/>
        <v>0.37878787878787906</v>
      </c>
      <c r="L103" s="36">
        <f t="shared" si="8"/>
        <v>0.62121212121212099</v>
      </c>
      <c r="M103" s="36">
        <f t="shared" si="9"/>
        <v>1.0249999999999997</v>
      </c>
      <c r="N103" s="40">
        <f t="shared" si="10"/>
        <v>0.61399999999999999</v>
      </c>
      <c r="O103" t="str">
        <f t="shared" si="11"/>
        <v>productive</v>
      </c>
      <c r="P103" t="s">
        <v>133</v>
      </c>
    </row>
    <row r="104" spans="1:16" x14ac:dyDescent="0.35">
      <c r="A104" s="37">
        <v>1324732735</v>
      </c>
      <c r="B104" s="37" t="s">
        <v>86</v>
      </c>
      <c r="C104" s="35" t="s">
        <v>19</v>
      </c>
      <c r="D104" s="37" t="s">
        <v>20</v>
      </c>
      <c r="E104" s="38">
        <v>46207</v>
      </c>
      <c r="F104" s="35" t="s">
        <v>5</v>
      </c>
      <c r="G104" s="35">
        <v>11</v>
      </c>
      <c r="H104" s="39">
        <v>6.3333333333333304</v>
      </c>
      <c r="I104" s="39">
        <f t="shared" si="6"/>
        <v>4.6666666666666696</v>
      </c>
      <c r="J104" s="39">
        <v>18.999999999999993</v>
      </c>
      <c r="K104" s="36">
        <f t="shared" si="7"/>
        <v>0.42424242424242453</v>
      </c>
      <c r="L104" s="36">
        <f t="shared" si="8"/>
        <v>0.57575757575757547</v>
      </c>
      <c r="M104" s="36">
        <f t="shared" si="9"/>
        <v>0.94999999999999962</v>
      </c>
      <c r="N104" s="40">
        <f t="shared" si="10"/>
        <v>0.60199999999999998</v>
      </c>
      <c r="O104" t="str">
        <f t="shared" si="11"/>
        <v>productive</v>
      </c>
      <c r="P104" t="s">
        <v>133</v>
      </c>
    </row>
    <row r="105" spans="1:16" x14ac:dyDescent="0.35">
      <c r="A105" s="41">
        <v>1324732735</v>
      </c>
      <c r="B105" s="37" t="s">
        <v>86</v>
      </c>
      <c r="C105" s="35" t="s">
        <v>19</v>
      </c>
      <c r="D105" s="37" t="s">
        <v>20</v>
      </c>
      <c r="E105" s="38">
        <v>46208</v>
      </c>
      <c r="F105" s="35" t="s">
        <v>6</v>
      </c>
      <c r="G105" s="35">
        <v>11</v>
      </c>
      <c r="H105" s="39">
        <v>5.6166666666666663</v>
      </c>
      <c r="I105" s="39">
        <f t="shared" si="6"/>
        <v>5.3833333333333337</v>
      </c>
      <c r="J105" s="39">
        <v>16.849999999999998</v>
      </c>
      <c r="K105" s="36">
        <f t="shared" si="7"/>
        <v>0.48939393939393944</v>
      </c>
      <c r="L105" s="36">
        <f t="shared" si="8"/>
        <v>0.51060606060606062</v>
      </c>
      <c r="M105" s="36">
        <f t="shared" si="9"/>
        <v>0.84249999999999992</v>
      </c>
      <c r="N105" s="40">
        <f t="shared" si="10"/>
        <v>0.56799999999999995</v>
      </c>
      <c r="O105" t="str">
        <f t="shared" si="11"/>
        <v>Low Prodcutive</v>
      </c>
      <c r="P105" t="s">
        <v>133</v>
      </c>
    </row>
    <row r="106" spans="1:16" x14ac:dyDescent="0.35">
      <c r="A106" s="37">
        <v>1329668962</v>
      </c>
      <c r="B106" s="37" t="s">
        <v>113</v>
      </c>
      <c r="C106" s="35" t="s">
        <v>18</v>
      </c>
      <c r="D106" s="37" t="s">
        <v>20</v>
      </c>
      <c r="E106" s="38">
        <v>46204</v>
      </c>
      <c r="F106" s="35" t="s">
        <v>3</v>
      </c>
      <c r="G106" s="35">
        <v>11</v>
      </c>
      <c r="H106" s="39">
        <v>5.9833333333333334</v>
      </c>
      <c r="I106" s="39">
        <f t="shared" si="6"/>
        <v>5.0166666666666666</v>
      </c>
      <c r="J106" s="39">
        <v>17.950000000000003</v>
      </c>
      <c r="K106" s="36">
        <f t="shared" si="7"/>
        <v>0.45606060606060606</v>
      </c>
      <c r="L106" s="36">
        <f t="shared" si="8"/>
        <v>0.54393939393939394</v>
      </c>
      <c r="M106" s="36">
        <f t="shared" si="9"/>
        <v>0.89750000000000019</v>
      </c>
      <c r="N106" s="40">
        <f t="shared" si="10"/>
        <v>0.58599999999999997</v>
      </c>
      <c r="O106" t="str">
        <f t="shared" si="11"/>
        <v>Low Prodcutive</v>
      </c>
      <c r="P106" t="s">
        <v>133</v>
      </c>
    </row>
    <row r="107" spans="1:16" x14ac:dyDescent="0.35">
      <c r="A107" s="37">
        <v>1329668962</v>
      </c>
      <c r="B107" s="37" t="s">
        <v>113</v>
      </c>
      <c r="C107" s="35" t="s">
        <v>18</v>
      </c>
      <c r="D107" s="37" t="s">
        <v>20</v>
      </c>
      <c r="E107" s="38">
        <v>46205</v>
      </c>
      <c r="F107" s="35" t="s">
        <v>4</v>
      </c>
      <c r="G107" s="35">
        <v>11</v>
      </c>
      <c r="H107" s="39">
        <v>5.8333333333333357</v>
      </c>
      <c r="I107" s="39">
        <f t="shared" si="6"/>
        <v>5.1666666666666643</v>
      </c>
      <c r="J107" s="39">
        <v>17.500000000000007</v>
      </c>
      <c r="K107" s="36">
        <f t="shared" si="7"/>
        <v>0.4696969696969695</v>
      </c>
      <c r="L107" s="36">
        <f t="shared" si="8"/>
        <v>0.5303030303030305</v>
      </c>
      <c r="M107" s="36">
        <f t="shared" si="9"/>
        <v>0.87500000000000033</v>
      </c>
      <c r="N107" s="40">
        <f t="shared" si="10"/>
        <v>0.57799999999999996</v>
      </c>
      <c r="O107" t="str">
        <f t="shared" si="11"/>
        <v>Low Prodcutive</v>
      </c>
      <c r="P107" t="s">
        <v>133</v>
      </c>
    </row>
    <row r="108" spans="1:16" x14ac:dyDescent="0.35">
      <c r="A108" s="37">
        <v>1329668962</v>
      </c>
      <c r="B108" s="37" t="s">
        <v>113</v>
      </c>
      <c r="C108" s="35" t="s">
        <v>18</v>
      </c>
      <c r="D108" s="37" t="s">
        <v>20</v>
      </c>
      <c r="E108" s="38">
        <v>46207</v>
      </c>
      <c r="F108" s="35" t="s">
        <v>5</v>
      </c>
      <c r="G108" s="35">
        <v>11</v>
      </c>
      <c r="H108" s="39">
        <v>6.1666666666666607</v>
      </c>
      <c r="I108" s="39">
        <f t="shared" si="6"/>
        <v>4.8333333333333393</v>
      </c>
      <c r="J108" s="39">
        <v>18.499999999999986</v>
      </c>
      <c r="K108" s="36">
        <f t="shared" si="7"/>
        <v>0.43939393939393995</v>
      </c>
      <c r="L108" s="36">
        <f t="shared" si="8"/>
        <v>0.56060606060606011</v>
      </c>
      <c r="M108" s="36">
        <f t="shared" si="9"/>
        <v>0.92499999999999927</v>
      </c>
      <c r="N108" s="40">
        <f t="shared" si="10"/>
        <v>0.59399999999999997</v>
      </c>
      <c r="O108" t="str">
        <f t="shared" si="11"/>
        <v>Low Prodcutive</v>
      </c>
      <c r="P108" t="s">
        <v>133</v>
      </c>
    </row>
    <row r="109" spans="1:16" x14ac:dyDescent="0.35">
      <c r="A109" s="41">
        <v>1329668962</v>
      </c>
      <c r="B109" s="37" t="s">
        <v>113</v>
      </c>
      <c r="C109" s="35" t="s">
        <v>18</v>
      </c>
      <c r="D109" s="37" t="s">
        <v>20</v>
      </c>
      <c r="E109" s="38">
        <v>46208</v>
      </c>
      <c r="F109" s="35" t="s">
        <v>6</v>
      </c>
      <c r="G109" s="35">
        <v>11</v>
      </c>
      <c r="H109" s="39">
        <v>3.3333333333333321</v>
      </c>
      <c r="I109" s="39">
        <f t="shared" si="6"/>
        <v>7.6666666666666679</v>
      </c>
      <c r="J109" s="39">
        <v>9.9999999999999964</v>
      </c>
      <c r="K109" s="36">
        <f t="shared" si="7"/>
        <v>0.69696969696969713</v>
      </c>
      <c r="L109" s="36">
        <f t="shared" si="8"/>
        <v>0.30303030303030293</v>
      </c>
      <c r="M109" s="36">
        <f t="shared" si="9"/>
        <v>0.49999999999999983</v>
      </c>
      <c r="N109" s="40">
        <f t="shared" si="10"/>
        <v>0.45899999999999996</v>
      </c>
      <c r="O109" t="str">
        <f t="shared" si="11"/>
        <v>Low Prodcutive</v>
      </c>
      <c r="P109" t="s">
        <v>133</v>
      </c>
    </row>
    <row r="110" spans="1:16" x14ac:dyDescent="0.35">
      <c r="A110" s="37">
        <v>1335197833</v>
      </c>
      <c r="B110" s="37" t="s">
        <v>114</v>
      </c>
      <c r="C110" s="35" t="s">
        <v>18</v>
      </c>
      <c r="D110" s="37" t="s">
        <v>21</v>
      </c>
      <c r="E110" s="38">
        <v>46204</v>
      </c>
      <c r="F110" s="35" t="s">
        <v>3</v>
      </c>
      <c r="G110" s="35">
        <v>11</v>
      </c>
      <c r="H110" s="39">
        <v>7.3333333333333348</v>
      </c>
      <c r="I110" s="39">
        <f t="shared" si="6"/>
        <v>3.6666666666666652</v>
      </c>
      <c r="J110" s="39">
        <v>22.000000000000007</v>
      </c>
      <c r="K110" s="36">
        <f t="shared" si="7"/>
        <v>0.3333333333333332</v>
      </c>
      <c r="L110" s="36">
        <f t="shared" si="8"/>
        <v>0.66666666666666685</v>
      </c>
      <c r="M110" s="36">
        <f t="shared" si="9"/>
        <v>1.1000000000000003</v>
      </c>
      <c r="N110" s="40">
        <f t="shared" si="10"/>
        <v>0.6</v>
      </c>
      <c r="O110" t="str">
        <f t="shared" si="11"/>
        <v>Low Prodcutive</v>
      </c>
      <c r="P110" t="s">
        <v>133</v>
      </c>
    </row>
    <row r="111" spans="1:16" x14ac:dyDescent="0.35">
      <c r="A111" s="37">
        <v>1335197833</v>
      </c>
      <c r="B111" s="37" t="s">
        <v>114</v>
      </c>
      <c r="C111" s="35" t="s">
        <v>18</v>
      </c>
      <c r="D111" s="37" t="s">
        <v>21</v>
      </c>
      <c r="E111" s="38">
        <v>46205</v>
      </c>
      <c r="F111" s="35" t="s">
        <v>4</v>
      </c>
      <c r="G111" s="35">
        <v>11</v>
      </c>
      <c r="H111" s="39">
        <v>5.9999999999999964</v>
      </c>
      <c r="I111" s="39">
        <f t="shared" si="6"/>
        <v>5.0000000000000036</v>
      </c>
      <c r="J111" s="39">
        <v>17.999999999999986</v>
      </c>
      <c r="K111" s="36">
        <f t="shared" si="7"/>
        <v>0.45454545454545486</v>
      </c>
      <c r="L111" s="36">
        <f t="shared" si="8"/>
        <v>0.54545454545454508</v>
      </c>
      <c r="M111" s="36">
        <f t="shared" si="9"/>
        <v>0.89999999999999925</v>
      </c>
      <c r="N111" s="40">
        <f t="shared" si="10"/>
        <v>0.58599999999999997</v>
      </c>
      <c r="O111" t="str">
        <f t="shared" si="11"/>
        <v>Low Prodcutive</v>
      </c>
      <c r="P111" t="s">
        <v>133</v>
      </c>
    </row>
    <row r="112" spans="1:16" x14ac:dyDescent="0.35">
      <c r="A112" s="37">
        <v>1335197833</v>
      </c>
      <c r="B112" s="37" t="s">
        <v>114</v>
      </c>
      <c r="C112" s="35" t="s">
        <v>18</v>
      </c>
      <c r="D112" s="37" t="s">
        <v>21</v>
      </c>
      <c r="E112" s="38">
        <v>46207</v>
      </c>
      <c r="F112" s="35" t="s">
        <v>5</v>
      </c>
      <c r="G112" s="35">
        <v>11</v>
      </c>
      <c r="H112" s="39">
        <v>3.3333333333333361</v>
      </c>
      <c r="I112" s="39">
        <f t="shared" si="6"/>
        <v>7.6666666666666643</v>
      </c>
      <c r="J112" s="39">
        <v>10.000000000000009</v>
      </c>
      <c r="K112" s="36">
        <f t="shared" si="7"/>
        <v>0.69696969696969679</v>
      </c>
      <c r="L112" s="36">
        <f t="shared" si="8"/>
        <v>0.30303030303030326</v>
      </c>
      <c r="M112" s="36">
        <f t="shared" si="9"/>
        <v>0.50000000000000044</v>
      </c>
      <c r="N112" s="40">
        <f t="shared" si="10"/>
        <v>0.45899999999999996</v>
      </c>
      <c r="O112" t="str">
        <f t="shared" si="11"/>
        <v>Low Prodcutive</v>
      </c>
      <c r="P112" t="s">
        <v>133</v>
      </c>
    </row>
    <row r="113" spans="1:16" x14ac:dyDescent="0.35">
      <c r="A113" s="41">
        <v>1335197833</v>
      </c>
      <c r="B113" s="37" t="s">
        <v>114</v>
      </c>
      <c r="C113" s="35" t="s">
        <v>18</v>
      </c>
      <c r="D113" s="37" t="s">
        <v>21</v>
      </c>
      <c r="E113" s="38">
        <v>46208</v>
      </c>
      <c r="F113" s="35" t="s">
        <v>6</v>
      </c>
      <c r="G113" s="35">
        <v>11</v>
      </c>
      <c r="H113" s="39">
        <v>4.8333333333333321</v>
      </c>
      <c r="I113" s="39">
        <f t="shared" si="6"/>
        <v>6.1666666666666679</v>
      </c>
      <c r="J113" s="39">
        <v>14.499999999999996</v>
      </c>
      <c r="K113" s="36">
        <f t="shared" si="7"/>
        <v>0.56060606060606066</v>
      </c>
      <c r="L113" s="36">
        <f t="shared" si="8"/>
        <v>0.43939393939393928</v>
      </c>
      <c r="M113" s="36">
        <f t="shared" si="9"/>
        <v>0.72499999999999987</v>
      </c>
      <c r="N113" s="40">
        <f t="shared" si="10"/>
        <v>0.53100000000000003</v>
      </c>
      <c r="O113" t="str">
        <f t="shared" si="11"/>
        <v>Low Prodcutive</v>
      </c>
      <c r="P113" t="s">
        <v>133</v>
      </c>
    </row>
    <row r="114" spans="1:16" x14ac:dyDescent="0.35">
      <c r="A114" s="37">
        <v>1335197835</v>
      </c>
      <c r="B114" s="37" t="s">
        <v>115</v>
      </c>
      <c r="C114" s="35" t="s">
        <v>18</v>
      </c>
      <c r="D114" s="37" t="s">
        <v>20</v>
      </c>
      <c r="E114" s="38">
        <v>46204</v>
      </c>
      <c r="F114" s="35" t="s">
        <v>3</v>
      </c>
      <c r="G114" s="35">
        <v>11</v>
      </c>
      <c r="H114" s="39">
        <v>8.3333333333333375</v>
      </c>
      <c r="I114" s="39">
        <f t="shared" si="6"/>
        <v>2.6666666666666625</v>
      </c>
      <c r="J114" s="39">
        <v>21</v>
      </c>
      <c r="K114" s="36">
        <f t="shared" si="7"/>
        <v>0.24242424242424204</v>
      </c>
      <c r="L114" s="36">
        <f t="shared" si="8"/>
        <v>0.7575757575757579</v>
      </c>
      <c r="M114" s="36">
        <f t="shared" si="9"/>
        <v>1.05</v>
      </c>
      <c r="N114" s="40">
        <f t="shared" si="10"/>
        <v>0.59499999999999997</v>
      </c>
      <c r="O114" t="str">
        <f t="shared" si="11"/>
        <v>Low Prodcutive</v>
      </c>
      <c r="P114" t="s">
        <v>133</v>
      </c>
    </row>
    <row r="115" spans="1:16" x14ac:dyDescent="0.35">
      <c r="A115" s="37">
        <v>1335197835</v>
      </c>
      <c r="B115" s="37" t="s">
        <v>115</v>
      </c>
      <c r="C115" s="35" t="s">
        <v>18</v>
      </c>
      <c r="D115" s="37" t="s">
        <v>20</v>
      </c>
      <c r="E115" s="38">
        <v>46205</v>
      </c>
      <c r="F115" s="35" t="s">
        <v>4</v>
      </c>
      <c r="G115" s="35">
        <v>11</v>
      </c>
      <c r="H115" s="39">
        <v>5.0000000000000009</v>
      </c>
      <c r="I115" s="39">
        <f t="shared" si="6"/>
        <v>5.9999999999999991</v>
      </c>
      <c r="J115" s="39">
        <v>15.000000000000004</v>
      </c>
      <c r="K115" s="36">
        <f t="shared" si="7"/>
        <v>0.54545454545454541</v>
      </c>
      <c r="L115" s="36">
        <f t="shared" si="8"/>
        <v>0.45454545454545464</v>
      </c>
      <c r="M115" s="36">
        <f t="shared" si="9"/>
        <v>0.75000000000000022</v>
      </c>
      <c r="N115" s="40">
        <f t="shared" si="10"/>
        <v>0.53900000000000003</v>
      </c>
      <c r="O115" t="str">
        <f t="shared" si="11"/>
        <v>Low Prodcutive</v>
      </c>
      <c r="P115" t="s">
        <v>133</v>
      </c>
    </row>
    <row r="116" spans="1:16" x14ac:dyDescent="0.35">
      <c r="A116" s="37">
        <v>1335197835</v>
      </c>
      <c r="B116" s="37" t="s">
        <v>115</v>
      </c>
      <c r="C116" s="35" t="s">
        <v>18</v>
      </c>
      <c r="D116" s="37" t="s">
        <v>20</v>
      </c>
      <c r="E116" s="38">
        <v>46207</v>
      </c>
      <c r="F116" s="35" t="s">
        <v>5</v>
      </c>
      <c r="G116" s="35">
        <v>11</v>
      </c>
      <c r="H116" s="39">
        <v>5.9999999999999973</v>
      </c>
      <c r="I116" s="39">
        <f t="shared" si="6"/>
        <v>5.0000000000000027</v>
      </c>
      <c r="J116" s="39">
        <v>17.999999999999993</v>
      </c>
      <c r="K116" s="36">
        <f t="shared" si="7"/>
        <v>0.45454545454545481</v>
      </c>
      <c r="L116" s="36">
        <f t="shared" si="8"/>
        <v>0.54545454545454519</v>
      </c>
      <c r="M116" s="36">
        <f t="shared" si="9"/>
        <v>0.89999999999999969</v>
      </c>
      <c r="N116" s="40">
        <f t="shared" si="10"/>
        <v>0.58599999999999997</v>
      </c>
      <c r="O116" t="str">
        <f t="shared" si="11"/>
        <v>Low Prodcutive</v>
      </c>
      <c r="P116" t="s">
        <v>133</v>
      </c>
    </row>
    <row r="117" spans="1:16" x14ac:dyDescent="0.35">
      <c r="A117" s="41">
        <v>1335197835</v>
      </c>
      <c r="B117" s="37" t="s">
        <v>115</v>
      </c>
      <c r="C117" s="35" t="s">
        <v>18</v>
      </c>
      <c r="D117" s="37" t="s">
        <v>20</v>
      </c>
      <c r="E117" s="38">
        <v>46208</v>
      </c>
      <c r="F117" s="35" t="s">
        <v>6</v>
      </c>
      <c r="G117" s="35">
        <v>11</v>
      </c>
      <c r="H117" s="39">
        <v>4.8333333333333321</v>
      </c>
      <c r="I117" s="39">
        <f t="shared" si="6"/>
        <v>6.1666666666666679</v>
      </c>
      <c r="J117" s="39">
        <v>14.499999999999996</v>
      </c>
      <c r="K117" s="36">
        <f t="shared" si="7"/>
        <v>0.56060606060606066</v>
      </c>
      <c r="L117" s="36">
        <f t="shared" si="8"/>
        <v>0.43939393939393928</v>
      </c>
      <c r="M117" s="36">
        <f t="shared" si="9"/>
        <v>0.72499999999999987</v>
      </c>
      <c r="N117" s="40">
        <f t="shared" si="10"/>
        <v>0.53100000000000003</v>
      </c>
      <c r="O117" t="str">
        <f t="shared" si="11"/>
        <v>Low Prodcutive</v>
      </c>
      <c r="P117" t="s">
        <v>133</v>
      </c>
    </row>
    <row r="118" spans="1:16" x14ac:dyDescent="0.35">
      <c r="A118" s="37">
        <v>1700702245</v>
      </c>
      <c r="B118" s="37" t="s">
        <v>116</v>
      </c>
      <c r="C118" s="35" t="s">
        <v>18</v>
      </c>
      <c r="D118" s="37" t="s">
        <v>21</v>
      </c>
      <c r="E118" s="38">
        <v>46204</v>
      </c>
      <c r="F118" s="35" t="s">
        <v>3</v>
      </c>
      <c r="G118" s="35">
        <v>11</v>
      </c>
      <c r="H118" s="39">
        <v>4</v>
      </c>
      <c r="I118" s="39">
        <f t="shared" si="6"/>
        <v>7</v>
      </c>
      <c r="J118" s="39">
        <v>12.000000000000002</v>
      </c>
      <c r="K118" s="36">
        <f t="shared" si="7"/>
        <v>0.63636363636363635</v>
      </c>
      <c r="L118" s="36">
        <f t="shared" si="8"/>
        <v>0.36363636363636365</v>
      </c>
      <c r="M118" s="36">
        <f t="shared" si="9"/>
        <v>0.60000000000000009</v>
      </c>
      <c r="N118" s="40">
        <f t="shared" si="10"/>
        <v>0.49099999999999999</v>
      </c>
      <c r="O118" t="str">
        <f t="shared" si="11"/>
        <v>Low Prodcutive</v>
      </c>
      <c r="P118" t="s">
        <v>133</v>
      </c>
    </row>
    <row r="119" spans="1:16" x14ac:dyDescent="0.35">
      <c r="A119" s="37">
        <v>1700702245</v>
      </c>
      <c r="B119" s="37" t="s">
        <v>116</v>
      </c>
      <c r="C119" s="35" t="s">
        <v>18</v>
      </c>
      <c r="D119" s="37" t="s">
        <v>21</v>
      </c>
      <c r="E119" s="38">
        <v>46205</v>
      </c>
      <c r="F119" s="35" t="s">
        <v>4</v>
      </c>
      <c r="G119" s="35">
        <v>11</v>
      </c>
      <c r="H119" s="39">
        <v>8.8333333333333339</v>
      </c>
      <c r="I119" s="39">
        <f t="shared" si="6"/>
        <v>2.1666666666666661</v>
      </c>
      <c r="J119" s="39">
        <v>21</v>
      </c>
      <c r="K119" s="36">
        <f t="shared" si="7"/>
        <v>0.19696969696969691</v>
      </c>
      <c r="L119" s="36">
        <f t="shared" si="8"/>
        <v>0.80303030303030309</v>
      </c>
      <c r="M119" s="36">
        <f t="shared" si="9"/>
        <v>1.05</v>
      </c>
      <c r="N119" s="40">
        <f t="shared" si="10"/>
        <v>0.61499999999999999</v>
      </c>
      <c r="O119" t="str">
        <f t="shared" si="11"/>
        <v>productive</v>
      </c>
      <c r="P119" t="s">
        <v>133</v>
      </c>
    </row>
    <row r="120" spans="1:16" x14ac:dyDescent="0.35">
      <c r="A120" s="37">
        <v>1700702245</v>
      </c>
      <c r="B120" s="37" t="s">
        <v>116</v>
      </c>
      <c r="C120" s="35" t="s">
        <v>18</v>
      </c>
      <c r="D120" s="37" t="s">
        <v>21</v>
      </c>
      <c r="E120" s="38">
        <v>46207</v>
      </c>
      <c r="F120" s="35" t="s">
        <v>5</v>
      </c>
      <c r="G120" s="35">
        <v>11</v>
      </c>
      <c r="H120" s="39">
        <v>11</v>
      </c>
      <c r="I120" s="39">
        <f t="shared" si="6"/>
        <v>0</v>
      </c>
      <c r="J120" s="39">
        <v>19</v>
      </c>
      <c r="K120" s="36">
        <f t="shared" si="7"/>
        <v>0</v>
      </c>
      <c r="L120" s="36">
        <f t="shared" si="8"/>
        <v>1</v>
      </c>
      <c r="M120" s="36">
        <f t="shared" si="9"/>
        <v>0.95</v>
      </c>
      <c r="N120" s="40">
        <f t="shared" si="10"/>
        <v>0.67500000000000004</v>
      </c>
      <c r="O120" t="str">
        <f t="shared" si="11"/>
        <v>productive</v>
      </c>
      <c r="P120" t="s">
        <v>136</v>
      </c>
    </row>
    <row r="121" spans="1:16" x14ac:dyDescent="0.35">
      <c r="A121" s="41">
        <v>1700702245</v>
      </c>
      <c r="B121" s="37" t="s">
        <v>116</v>
      </c>
      <c r="C121" s="35" t="s">
        <v>18</v>
      </c>
      <c r="D121" s="37" t="s">
        <v>21</v>
      </c>
      <c r="E121" s="38">
        <v>46208</v>
      </c>
      <c r="F121" s="35" t="s">
        <v>6</v>
      </c>
      <c r="G121" s="35">
        <v>11</v>
      </c>
      <c r="H121" s="39">
        <v>5.6666666666666652</v>
      </c>
      <c r="I121" s="39">
        <f t="shared" si="6"/>
        <v>5.3333333333333348</v>
      </c>
      <c r="J121" s="39">
        <v>16.999999999999996</v>
      </c>
      <c r="K121" s="36">
        <f t="shared" si="7"/>
        <v>0.48484848484848497</v>
      </c>
      <c r="L121" s="36">
        <f t="shared" si="8"/>
        <v>0.51515151515151503</v>
      </c>
      <c r="M121" s="36">
        <f t="shared" si="9"/>
        <v>0.84999999999999987</v>
      </c>
      <c r="N121" s="40">
        <f t="shared" si="10"/>
        <v>0.56999999999999995</v>
      </c>
      <c r="O121" t="str">
        <f t="shared" si="11"/>
        <v>Low Prodcutive</v>
      </c>
      <c r="P121" t="s">
        <v>133</v>
      </c>
    </row>
    <row r="122" spans="1:16" x14ac:dyDescent="0.35">
      <c r="A122" s="37">
        <v>1700702246</v>
      </c>
      <c r="B122" s="37" t="s">
        <v>87</v>
      </c>
      <c r="C122" s="35" t="s">
        <v>19</v>
      </c>
      <c r="D122" s="37" t="s">
        <v>21</v>
      </c>
      <c r="E122" s="38">
        <v>46205</v>
      </c>
      <c r="F122" s="35" t="s">
        <v>4</v>
      </c>
      <c r="G122" s="35">
        <v>11</v>
      </c>
      <c r="H122" s="39">
        <v>0.49999999999999822</v>
      </c>
      <c r="I122" s="39">
        <f t="shared" si="6"/>
        <v>10.500000000000002</v>
      </c>
      <c r="J122" s="39">
        <v>1.4999999999999947</v>
      </c>
      <c r="K122" s="36">
        <f t="shared" si="7"/>
        <v>0.9545454545454547</v>
      </c>
      <c r="L122" s="36">
        <f t="shared" si="8"/>
        <v>4.5454545454545296E-2</v>
      </c>
      <c r="M122" s="36">
        <f t="shared" si="9"/>
        <v>7.4999999999999734E-2</v>
      </c>
      <c r="N122" s="40">
        <f t="shared" si="10"/>
        <v>0.32400000000000001</v>
      </c>
      <c r="O122" t="str">
        <f t="shared" si="11"/>
        <v>Low Prodcutive</v>
      </c>
      <c r="P122" t="s">
        <v>133</v>
      </c>
    </row>
    <row r="123" spans="1:16" x14ac:dyDescent="0.35">
      <c r="A123" s="37">
        <v>1700702246</v>
      </c>
      <c r="B123" s="37" t="s">
        <v>87</v>
      </c>
      <c r="C123" s="35" t="s">
        <v>19</v>
      </c>
      <c r="D123" s="37" t="s">
        <v>21</v>
      </c>
      <c r="E123" s="38">
        <v>46207</v>
      </c>
      <c r="F123" s="35" t="s">
        <v>5</v>
      </c>
      <c r="G123" s="35">
        <v>11</v>
      </c>
      <c r="H123" s="39">
        <v>6.3333333333333321</v>
      </c>
      <c r="I123" s="39">
        <f t="shared" si="6"/>
        <v>4.6666666666666679</v>
      </c>
      <c r="J123" s="39">
        <v>18.999999999999993</v>
      </c>
      <c r="K123" s="36">
        <f t="shared" si="7"/>
        <v>0.42424242424242437</v>
      </c>
      <c r="L123" s="36">
        <f t="shared" si="8"/>
        <v>0.57575757575757569</v>
      </c>
      <c r="M123" s="36">
        <f t="shared" si="9"/>
        <v>0.94999999999999962</v>
      </c>
      <c r="N123" s="40">
        <f t="shared" si="10"/>
        <v>0.60199999999999998</v>
      </c>
      <c r="O123" t="str">
        <f t="shared" si="11"/>
        <v>productive</v>
      </c>
      <c r="P123" t="s">
        <v>133</v>
      </c>
    </row>
    <row r="124" spans="1:16" x14ac:dyDescent="0.35">
      <c r="A124" s="41">
        <v>1700702246</v>
      </c>
      <c r="B124" s="37" t="s">
        <v>87</v>
      </c>
      <c r="C124" s="35" t="s">
        <v>19</v>
      </c>
      <c r="D124" s="37" t="s">
        <v>21</v>
      </c>
      <c r="E124" s="38">
        <v>46208</v>
      </c>
      <c r="F124" s="35" t="s">
        <v>6</v>
      </c>
      <c r="G124" s="35">
        <v>11</v>
      </c>
      <c r="H124" s="39">
        <v>4.3166666666666647</v>
      </c>
      <c r="I124" s="39">
        <f t="shared" si="6"/>
        <v>6.6833333333333353</v>
      </c>
      <c r="J124" s="39">
        <v>12.949999999999992</v>
      </c>
      <c r="K124" s="36">
        <f t="shared" si="7"/>
        <v>0.60757575757575777</v>
      </c>
      <c r="L124" s="36">
        <f t="shared" si="8"/>
        <v>0.39242424242424223</v>
      </c>
      <c r="M124" s="36">
        <f t="shared" si="9"/>
        <v>0.64749999999999963</v>
      </c>
      <c r="N124" s="40">
        <f t="shared" si="10"/>
        <v>0.50600000000000001</v>
      </c>
      <c r="O124" t="str">
        <f t="shared" si="11"/>
        <v>Low Prodcutive</v>
      </c>
      <c r="P124" t="s">
        <v>133</v>
      </c>
    </row>
    <row r="125" spans="1:16" x14ac:dyDescent="0.35">
      <c r="A125" s="37">
        <v>1700702247</v>
      </c>
      <c r="B125" s="37" t="s">
        <v>117</v>
      </c>
      <c r="C125" s="35" t="s">
        <v>18</v>
      </c>
      <c r="D125" s="37" t="s">
        <v>20</v>
      </c>
      <c r="E125" s="38">
        <v>46204</v>
      </c>
      <c r="F125" s="35" t="s">
        <v>3</v>
      </c>
      <c r="G125" s="35">
        <v>11</v>
      </c>
      <c r="H125" s="39">
        <v>4.1666666666666687</v>
      </c>
      <c r="I125" s="39">
        <f t="shared" si="6"/>
        <v>6.8333333333333313</v>
      </c>
      <c r="J125" s="39">
        <v>12.500000000000007</v>
      </c>
      <c r="K125" s="36">
        <f t="shared" si="7"/>
        <v>0.62121212121212099</v>
      </c>
      <c r="L125" s="36">
        <f t="shared" si="8"/>
        <v>0.37878787878787895</v>
      </c>
      <c r="M125" s="36">
        <f t="shared" si="9"/>
        <v>0.62500000000000033</v>
      </c>
      <c r="N125" s="40">
        <f t="shared" si="10"/>
        <v>0.499</v>
      </c>
      <c r="O125" t="str">
        <f t="shared" si="11"/>
        <v>Low Prodcutive</v>
      </c>
      <c r="P125" t="s">
        <v>133</v>
      </c>
    </row>
    <row r="126" spans="1:16" x14ac:dyDescent="0.35">
      <c r="A126" s="37">
        <v>1700702247</v>
      </c>
      <c r="B126" s="37" t="s">
        <v>117</v>
      </c>
      <c r="C126" s="35" t="s">
        <v>18</v>
      </c>
      <c r="D126" s="37" t="s">
        <v>20</v>
      </c>
      <c r="E126" s="38">
        <v>46205</v>
      </c>
      <c r="F126" s="35" t="s">
        <v>4</v>
      </c>
      <c r="G126" s="35">
        <v>11</v>
      </c>
      <c r="H126" s="39">
        <v>6.3499999999999988</v>
      </c>
      <c r="I126" s="39">
        <f t="shared" si="6"/>
        <v>4.6500000000000012</v>
      </c>
      <c r="J126" s="39">
        <v>19.049999999999997</v>
      </c>
      <c r="K126" s="36">
        <f t="shared" si="7"/>
        <v>0.42272727272727284</v>
      </c>
      <c r="L126" s="36">
        <f t="shared" si="8"/>
        <v>0.57727272727272716</v>
      </c>
      <c r="M126" s="36">
        <f t="shared" si="9"/>
        <v>0.9524999999999999</v>
      </c>
      <c r="N126" s="40">
        <f t="shared" si="10"/>
        <v>0.60299999999999998</v>
      </c>
      <c r="O126" t="str">
        <f t="shared" si="11"/>
        <v>productive</v>
      </c>
      <c r="P126" t="s">
        <v>133</v>
      </c>
    </row>
    <row r="127" spans="1:16" x14ac:dyDescent="0.35">
      <c r="A127" s="37">
        <v>1700702247</v>
      </c>
      <c r="B127" s="37" t="s">
        <v>117</v>
      </c>
      <c r="C127" s="35" t="s">
        <v>18</v>
      </c>
      <c r="D127" s="37" t="s">
        <v>20</v>
      </c>
      <c r="E127" s="38">
        <v>46207</v>
      </c>
      <c r="F127" s="35" t="s">
        <v>5</v>
      </c>
      <c r="G127" s="35">
        <v>11</v>
      </c>
      <c r="H127" s="39">
        <v>5.3333333333333366</v>
      </c>
      <c r="I127" s="39">
        <f t="shared" si="6"/>
        <v>5.6666666666666634</v>
      </c>
      <c r="J127" s="39">
        <v>16.000000000000007</v>
      </c>
      <c r="K127" s="36">
        <f t="shared" si="7"/>
        <v>0.5151515151515148</v>
      </c>
      <c r="L127" s="36">
        <f t="shared" si="8"/>
        <v>0.48484848484848514</v>
      </c>
      <c r="M127" s="36">
        <f t="shared" si="9"/>
        <v>0.80000000000000038</v>
      </c>
      <c r="N127" s="40">
        <f t="shared" si="10"/>
        <v>0.55500000000000005</v>
      </c>
      <c r="O127" t="str">
        <f t="shared" si="11"/>
        <v>Low Prodcutive</v>
      </c>
      <c r="P127" t="s">
        <v>133</v>
      </c>
    </row>
    <row r="128" spans="1:16" x14ac:dyDescent="0.35">
      <c r="A128" s="41">
        <v>1700702247</v>
      </c>
      <c r="B128" s="37" t="s">
        <v>117</v>
      </c>
      <c r="C128" s="35" t="s">
        <v>18</v>
      </c>
      <c r="D128" s="37" t="s">
        <v>20</v>
      </c>
      <c r="E128" s="38">
        <v>46208</v>
      </c>
      <c r="F128" s="35" t="s">
        <v>6</v>
      </c>
      <c r="G128" s="35">
        <v>11</v>
      </c>
      <c r="H128" s="39">
        <v>5.833333333333333</v>
      </c>
      <c r="I128" s="39">
        <f t="shared" si="6"/>
        <v>5.166666666666667</v>
      </c>
      <c r="J128" s="39">
        <v>17.5</v>
      </c>
      <c r="K128" s="36">
        <f t="shared" si="7"/>
        <v>0.46969696969696972</v>
      </c>
      <c r="L128" s="36">
        <f t="shared" si="8"/>
        <v>0.53030303030303028</v>
      </c>
      <c r="M128" s="36">
        <f t="shared" si="9"/>
        <v>0.875</v>
      </c>
      <c r="N128" s="40">
        <f t="shared" si="10"/>
        <v>0.57799999999999996</v>
      </c>
      <c r="O128" t="str">
        <f t="shared" si="11"/>
        <v>Low Prodcutive</v>
      </c>
      <c r="P128" t="s">
        <v>133</v>
      </c>
    </row>
    <row r="129" spans="1:16" x14ac:dyDescent="0.35">
      <c r="A129" s="37">
        <v>1700702248</v>
      </c>
      <c r="B129" s="37" t="s">
        <v>88</v>
      </c>
      <c r="C129" s="35" t="s">
        <v>19</v>
      </c>
      <c r="D129" s="37" t="s">
        <v>20</v>
      </c>
      <c r="E129" s="38">
        <v>46204</v>
      </c>
      <c r="F129" s="35" t="s">
        <v>3</v>
      </c>
      <c r="G129" s="35">
        <v>11</v>
      </c>
      <c r="H129" s="39">
        <v>4.1666666666666625</v>
      </c>
      <c r="I129" s="39">
        <f t="shared" si="6"/>
        <v>6.8333333333333375</v>
      </c>
      <c r="J129" s="39">
        <v>12.499999999999989</v>
      </c>
      <c r="K129" s="36">
        <f t="shared" si="7"/>
        <v>0.62121212121212155</v>
      </c>
      <c r="L129" s="36">
        <f t="shared" si="8"/>
        <v>0.3787878787878784</v>
      </c>
      <c r="M129" s="36">
        <f t="shared" si="9"/>
        <v>0.62499999999999944</v>
      </c>
      <c r="N129" s="40">
        <f t="shared" si="10"/>
        <v>0.499</v>
      </c>
      <c r="O129" t="str">
        <f t="shared" si="11"/>
        <v>Low Prodcutive</v>
      </c>
      <c r="P129" t="s">
        <v>133</v>
      </c>
    </row>
    <row r="130" spans="1:16" x14ac:dyDescent="0.35">
      <c r="A130" s="37">
        <v>1700702248</v>
      </c>
      <c r="B130" s="37" t="s">
        <v>88</v>
      </c>
      <c r="C130" s="35" t="s">
        <v>19</v>
      </c>
      <c r="D130" s="37" t="s">
        <v>20</v>
      </c>
      <c r="E130" s="38">
        <v>46207</v>
      </c>
      <c r="F130" s="35" t="s">
        <v>5</v>
      </c>
      <c r="G130" s="35">
        <v>11</v>
      </c>
      <c r="H130" s="39">
        <v>6.9999999999999982</v>
      </c>
      <c r="I130" s="39">
        <f t="shared" si="6"/>
        <v>4.0000000000000018</v>
      </c>
      <c r="J130" s="39">
        <v>20.999999999999993</v>
      </c>
      <c r="K130" s="36">
        <f t="shared" si="7"/>
        <v>0.36363636363636381</v>
      </c>
      <c r="L130" s="36">
        <f t="shared" si="8"/>
        <v>0.63636363636363624</v>
      </c>
      <c r="M130" s="36">
        <f t="shared" si="9"/>
        <v>1.0499999999999996</v>
      </c>
      <c r="N130" s="40">
        <f t="shared" si="10"/>
        <v>0.60899999999999999</v>
      </c>
      <c r="O130" t="str">
        <f t="shared" si="11"/>
        <v>productive</v>
      </c>
      <c r="P130" t="s">
        <v>133</v>
      </c>
    </row>
    <row r="131" spans="1:16" x14ac:dyDescent="0.35">
      <c r="A131" s="41">
        <v>1700702248</v>
      </c>
      <c r="B131" s="37" t="s">
        <v>88</v>
      </c>
      <c r="C131" s="35" t="s">
        <v>19</v>
      </c>
      <c r="D131" s="37" t="s">
        <v>20</v>
      </c>
      <c r="E131" s="38">
        <v>46208</v>
      </c>
      <c r="F131" s="35" t="s">
        <v>6</v>
      </c>
      <c r="G131" s="35">
        <v>11</v>
      </c>
      <c r="H131" s="39">
        <v>6.3333333333333304</v>
      </c>
      <c r="I131" s="39">
        <f t="shared" ref="I131:I188" si="12">(G131-H131)</f>
        <v>4.6666666666666696</v>
      </c>
      <c r="J131" s="39">
        <v>19</v>
      </c>
      <c r="K131" s="36">
        <f t="shared" ref="K131:K188" si="13">I131/G131</f>
        <v>0.42424242424242453</v>
      </c>
      <c r="L131" s="36">
        <f t="shared" ref="L131:L188" si="14">H131/G131</f>
        <v>0.57575757575757547</v>
      </c>
      <c r="M131" s="36">
        <f t="shared" ref="M131:M188" si="15">J131/20</f>
        <v>0.95</v>
      </c>
      <c r="N131" s="40">
        <f t="shared" ref="N131:N188" si="16">ROUND((MIN(J131/20,1)*50)+(MAX(0,(G131-H131)/G131)*30)+(MAX(0,1-(I131/3))*20),1)/100</f>
        <v>0.60199999999999998</v>
      </c>
      <c r="O131" t="str">
        <f t="shared" ref="O131:O188" si="17">IF(N131&gt;60%,"productive","Low Prodcutive")</f>
        <v>productive</v>
      </c>
      <c r="P131" t="s">
        <v>133</v>
      </c>
    </row>
    <row r="132" spans="1:16" x14ac:dyDescent="0.35">
      <c r="A132" s="37">
        <v>1700702275</v>
      </c>
      <c r="B132" s="37" t="s">
        <v>118</v>
      </c>
      <c r="C132" s="35" t="s">
        <v>18</v>
      </c>
      <c r="D132" s="37" t="s">
        <v>21</v>
      </c>
      <c r="E132" s="38">
        <v>46204</v>
      </c>
      <c r="F132" s="35" t="s">
        <v>3</v>
      </c>
      <c r="G132" s="35">
        <v>11</v>
      </c>
      <c r="H132" s="39">
        <v>9.9999999999999982</v>
      </c>
      <c r="I132" s="39">
        <f t="shared" si="12"/>
        <v>1.0000000000000018</v>
      </c>
      <c r="J132" s="39">
        <v>21</v>
      </c>
      <c r="K132" s="36">
        <f t="shared" si="13"/>
        <v>9.0909090909091064E-2</v>
      </c>
      <c r="L132" s="36">
        <f t="shared" si="14"/>
        <v>0.90909090909090895</v>
      </c>
      <c r="M132" s="36">
        <f t="shared" si="15"/>
        <v>1.05</v>
      </c>
      <c r="N132" s="40">
        <f t="shared" si="16"/>
        <v>0.66099999999999992</v>
      </c>
      <c r="O132" t="str">
        <f t="shared" si="17"/>
        <v>productive</v>
      </c>
      <c r="P132" t="s">
        <v>133</v>
      </c>
    </row>
    <row r="133" spans="1:16" x14ac:dyDescent="0.35">
      <c r="A133" s="37">
        <v>1700702275</v>
      </c>
      <c r="B133" s="37" t="s">
        <v>118</v>
      </c>
      <c r="C133" s="35" t="s">
        <v>18</v>
      </c>
      <c r="D133" s="37" t="s">
        <v>21</v>
      </c>
      <c r="E133" s="38">
        <v>46205</v>
      </c>
      <c r="F133" s="35" t="s">
        <v>4</v>
      </c>
      <c r="G133" s="35">
        <v>11</v>
      </c>
      <c r="H133" s="39">
        <v>4.6833333333333353</v>
      </c>
      <c r="I133" s="39">
        <f t="shared" si="12"/>
        <v>6.3166666666666647</v>
      </c>
      <c r="J133" s="39">
        <v>14.050000000000008</v>
      </c>
      <c r="K133" s="36">
        <f t="shared" si="13"/>
        <v>0.57424242424242411</v>
      </c>
      <c r="L133" s="36">
        <f t="shared" si="14"/>
        <v>0.42575757575757595</v>
      </c>
      <c r="M133" s="36">
        <f t="shared" si="15"/>
        <v>0.70250000000000035</v>
      </c>
      <c r="N133" s="40">
        <f t="shared" si="16"/>
        <v>0.52400000000000002</v>
      </c>
      <c r="O133" t="str">
        <f t="shared" si="17"/>
        <v>Low Prodcutive</v>
      </c>
      <c r="P133" t="s">
        <v>133</v>
      </c>
    </row>
    <row r="134" spans="1:16" x14ac:dyDescent="0.35">
      <c r="A134" s="37">
        <v>1700702275</v>
      </c>
      <c r="B134" s="37" t="s">
        <v>118</v>
      </c>
      <c r="C134" s="35" t="s">
        <v>18</v>
      </c>
      <c r="D134" s="37" t="s">
        <v>21</v>
      </c>
      <c r="E134" s="38">
        <v>46207</v>
      </c>
      <c r="F134" s="35" t="s">
        <v>5</v>
      </c>
      <c r="G134" s="35">
        <v>11</v>
      </c>
      <c r="H134" s="39">
        <v>5.8333333333333366</v>
      </c>
      <c r="I134" s="39">
        <f t="shared" si="12"/>
        <v>5.1666666666666634</v>
      </c>
      <c r="J134" s="39">
        <v>17.500000000000011</v>
      </c>
      <c r="K134" s="36">
        <f t="shared" si="13"/>
        <v>0.46969696969696939</v>
      </c>
      <c r="L134" s="36">
        <f t="shared" si="14"/>
        <v>0.53030303030303061</v>
      </c>
      <c r="M134" s="36">
        <f t="shared" si="15"/>
        <v>0.87500000000000056</v>
      </c>
      <c r="N134" s="40">
        <f t="shared" si="16"/>
        <v>0.57799999999999996</v>
      </c>
      <c r="O134" t="str">
        <f t="shared" si="17"/>
        <v>Low Prodcutive</v>
      </c>
      <c r="P134" t="s">
        <v>133</v>
      </c>
    </row>
    <row r="135" spans="1:16" x14ac:dyDescent="0.35">
      <c r="A135" s="41">
        <v>1700702275</v>
      </c>
      <c r="B135" s="37" t="s">
        <v>118</v>
      </c>
      <c r="C135" s="35" t="s">
        <v>18</v>
      </c>
      <c r="D135" s="37" t="s">
        <v>21</v>
      </c>
      <c r="E135" s="38">
        <v>46208</v>
      </c>
      <c r="F135" s="35" t="s">
        <v>6</v>
      </c>
      <c r="G135" s="35">
        <v>11</v>
      </c>
      <c r="H135" s="39">
        <v>8.1666666666666679</v>
      </c>
      <c r="I135" s="39">
        <f t="shared" si="12"/>
        <v>2.8333333333333321</v>
      </c>
      <c r="J135" s="39">
        <v>21</v>
      </c>
      <c r="K135" s="36">
        <f t="shared" si="13"/>
        <v>0.25757575757575746</v>
      </c>
      <c r="L135" s="36">
        <f t="shared" si="14"/>
        <v>0.74242424242424254</v>
      </c>
      <c r="M135" s="36">
        <f t="shared" si="15"/>
        <v>1.05</v>
      </c>
      <c r="N135" s="40">
        <f t="shared" si="16"/>
        <v>0.58799999999999997</v>
      </c>
      <c r="O135" t="str">
        <f t="shared" si="17"/>
        <v>Low Prodcutive</v>
      </c>
      <c r="P135" t="s">
        <v>133</v>
      </c>
    </row>
    <row r="136" spans="1:16" x14ac:dyDescent="0.35">
      <c r="A136" s="37">
        <v>1701216039</v>
      </c>
      <c r="B136" s="37" t="s">
        <v>119</v>
      </c>
      <c r="C136" s="35" t="s">
        <v>18</v>
      </c>
      <c r="D136" s="37" t="s">
        <v>20</v>
      </c>
      <c r="E136" s="38">
        <v>46204</v>
      </c>
      <c r="F136" s="35" t="s">
        <v>3</v>
      </c>
      <c r="G136" s="35">
        <v>11</v>
      </c>
      <c r="H136" s="39">
        <v>2.8333333333333299</v>
      </c>
      <c r="I136" s="39">
        <f t="shared" si="12"/>
        <v>8.1666666666666696</v>
      </c>
      <c r="J136" s="39">
        <v>8.4999999999999893</v>
      </c>
      <c r="K136" s="36">
        <f t="shared" si="13"/>
        <v>0.74242424242424265</v>
      </c>
      <c r="L136" s="36">
        <f t="shared" si="14"/>
        <v>0.25757575757575729</v>
      </c>
      <c r="M136" s="36">
        <f t="shared" si="15"/>
        <v>0.42499999999999949</v>
      </c>
      <c r="N136" s="40">
        <f t="shared" si="16"/>
        <v>0.435</v>
      </c>
      <c r="O136" t="str">
        <f t="shared" si="17"/>
        <v>Low Prodcutive</v>
      </c>
      <c r="P136" t="s">
        <v>133</v>
      </c>
    </row>
    <row r="137" spans="1:16" x14ac:dyDescent="0.35">
      <c r="A137" s="37">
        <v>1701216039</v>
      </c>
      <c r="B137" s="37" t="s">
        <v>119</v>
      </c>
      <c r="C137" s="35" t="s">
        <v>18</v>
      </c>
      <c r="D137" s="37" t="s">
        <v>20</v>
      </c>
      <c r="E137" s="38">
        <v>46205</v>
      </c>
      <c r="F137" s="35" t="s">
        <v>4</v>
      </c>
      <c r="G137" s="35">
        <v>11</v>
      </c>
      <c r="H137" s="39">
        <v>6.4999999999999982</v>
      </c>
      <c r="I137" s="39">
        <f t="shared" si="12"/>
        <v>4.5000000000000018</v>
      </c>
      <c r="J137" s="39">
        <v>19.499999999999993</v>
      </c>
      <c r="K137" s="36">
        <f t="shared" si="13"/>
        <v>0.40909090909090923</v>
      </c>
      <c r="L137" s="36">
        <f t="shared" si="14"/>
        <v>0.59090909090909072</v>
      </c>
      <c r="M137" s="36">
        <f t="shared" si="15"/>
        <v>0.97499999999999964</v>
      </c>
      <c r="N137" s="40">
        <f t="shared" si="16"/>
        <v>0.61</v>
      </c>
      <c r="O137" t="str">
        <f t="shared" si="17"/>
        <v>productive</v>
      </c>
      <c r="P137" t="s">
        <v>133</v>
      </c>
    </row>
    <row r="138" spans="1:16" x14ac:dyDescent="0.35">
      <c r="A138" s="37">
        <v>1701216039</v>
      </c>
      <c r="B138" s="37" t="s">
        <v>119</v>
      </c>
      <c r="C138" s="35" t="s">
        <v>18</v>
      </c>
      <c r="D138" s="37" t="s">
        <v>20</v>
      </c>
      <c r="E138" s="38">
        <v>46207</v>
      </c>
      <c r="F138" s="35" t="s">
        <v>5</v>
      </c>
      <c r="G138" s="35">
        <v>11</v>
      </c>
      <c r="H138" s="39">
        <v>5.5</v>
      </c>
      <c r="I138" s="39">
        <f t="shared" si="12"/>
        <v>5.5</v>
      </c>
      <c r="J138" s="39">
        <v>16.5</v>
      </c>
      <c r="K138" s="36">
        <f t="shared" si="13"/>
        <v>0.5</v>
      </c>
      <c r="L138" s="36">
        <f t="shared" si="14"/>
        <v>0.5</v>
      </c>
      <c r="M138" s="36">
        <f t="shared" si="15"/>
        <v>0.82499999999999996</v>
      </c>
      <c r="N138" s="40">
        <f t="shared" si="16"/>
        <v>0.56299999999999994</v>
      </c>
      <c r="O138" t="str">
        <f t="shared" si="17"/>
        <v>Low Prodcutive</v>
      </c>
      <c r="P138" t="s">
        <v>133</v>
      </c>
    </row>
    <row r="139" spans="1:16" x14ac:dyDescent="0.35">
      <c r="A139" s="41">
        <v>1701216039</v>
      </c>
      <c r="B139" s="37" t="s">
        <v>119</v>
      </c>
      <c r="C139" s="35" t="s">
        <v>18</v>
      </c>
      <c r="D139" s="37" t="s">
        <v>20</v>
      </c>
      <c r="E139" s="38">
        <v>46208</v>
      </c>
      <c r="F139" s="35" t="s">
        <v>6</v>
      </c>
      <c r="G139" s="35">
        <v>11</v>
      </c>
      <c r="H139" s="39">
        <v>3.666666666666667</v>
      </c>
      <c r="I139" s="39">
        <f t="shared" si="12"/>
        <v>7.333333333333333</v>
      </c>
      <c r="J139" s="39">
        <v>11</v>
      </c>
      <c r="K139" s="36">
        <f t="shared" si="13"/>
        <v>0.66666666666666663</v>
      </c>
      <c r="L139" s="36">
        <f t="shared" si="14"/>
        <v>0.33333333333333337</v>
      </c>
      <c r="M139" s="36">
        <f t="shared" si="15"/>
        <v>0.55000000000000004</v>
      </c>
      <c r="N139" s="40">
        <f t="shared" si="16"/>
        <v>0.47499999999999998</v>
      </c>
      <c r="O139" t="str">
        <f t="shared" si="17"/>
        <v>Low Prodcutive</v>
      </c>
      <c r="P139" t="s">
        <v>133</v>
      </c>
    </row>
    <row r="140" spans="1:16" x14ac:dyDescent="0.35">
      <c r="A140" s="37">
        <v>1701216041</v>
      </c>
      <c r="B140" s="37" t="s">
        <v>89</v>
      </c>
      <c r="C140" s="35" t="s">
        <v>19</v>
      </c>
      <c r="D140" s="37" t="s">
        <v>21</v>
      </c>
      <c r="E140" s="38">
        <v>46207</v>
      </c>
      <c r="F140" s="35" t="s">
        <v>5</v>
      </c>
      <c r="G140" s="35">
        <v>11</v>
      </c>
      <c r="H140" s="39">
        <v>5.6666666666666625</v>
      </c>
      <c r="I140" s="39">
        <f t="shared" si="12"/>
        <v>5.3333333333333375</v>
      </c>
      <c r="J140" s="39">
        <v>16.999999999999986</v>
      </c>
      <c r="K140" s="36">
        <f t="shared" si="13"/>
        <v>0.48484848484848525</v>
      </c>
      <c r="L140" s="36">
        <f t="shared" si="14"/>
        <v>0.5151515151515148</v>
      </c>
      <c r="M140" s="36">
        <f t="shared" si="15"/>
        <v>0.84999999999999931</v>
      </c>
      <c r="N140" s="40">
        <f t="shared" si="16"/>
        <v>0.56999999999999995</v>
      </c>
      <c r="O140" t="str">
        <f t="shared" si="17"/>
        <v>Low Prodcutive</v>
      </c>
      <c r="P140" t="s">
        <v>133</v>
      </c>
    </row>
    <row r="141" spans="1:16" x14ac:dyDescent="0.35">
      <c r="A141" s="41">
        <v>1701216041</v>
      </c>
      <c r="B141" s="37" t="s">
        <v>89</v>
      </c>
      <c r="C141" s="35" t="s">
        <v>19</v>
      </c>
      <c r="D141" s="37" t="s">
        <v>21</v>
      </c>
      <c r="E141" s="38">
        <v>46208</v>
      </c>
      <c r="F141" s="35" t="s">
        <v>6</v>
      </c>
      <c r="G141" s="35">
        <v>11</v>
      </c>
      <c r="H141" s="39">
        <v>3.833333333333333</v>
      </c>
      <c r="I141" s="39">
        <f t="shared" si="12"/>
        <v>7.166666666666667</v>
      </c>
      <c r="J141" s="39">
        <v>11.499999999999998</v>
      </c>
      <c r="K141" s="36">
        <f t="shared" si="13"/>
        <v>0.65151515151515149</v>
      </c>
      <c r="L141" s="36">
        <f t="shared" si="14"/>
        <v>0.34848484848484845</v>
      </c>
      <c r="M141" s="36">
        <f t="shared" si="15"/>
        <v>0.57499999999999996</v>
      </c>
      <c r="N141" s="40">
        <f t="shared" si="16"/>
        <v>0.48299999999999998</v>
      </c>
      <c r="O141" t="str">
        <f t="shared" si="17"/>
        <v>Low Prodcutive</v>
      </c>
      <c r="P141" t="s">
        <v>133</v>
      </c>
    </row>
    <row r="142" spans="1:16" x14ac:dyDescent="0.35">
      <c r="A142" s="37">
        <v>1701216087</v>
      </c>
      <c r="B142" s="37" t="s">
        <v>120</v>
      </c>
      <c r="C142" s="35" t="s">
        <v>18</v>
      </c>
      <c r="D142" s="37" t="s">
        <v>20</v>
      </c>
      <c r="E142" s="38">
        <v>46204</v>
      </c>
      <c r="F142" s="35" t="s">
        <v>3</v>
      </c>
      <c r="G142" s="35">
        <v>11</v>
      </c>
      <c r="H142" s="39">
        <v>4.4999999999999964</v>
      </c>
      <c r="I142" s="39">
        <f t="shared" si="12"/>
        <v>6.5000000000000036</v>
      </c>
      <c r="J142" s="39">
        <v>13.499999999999988</v>
      </c>
      <c r="K142" s="36">
        <f t="shared" si="13"/>
        <v>0.59090909090909127</v>
      </c>
      <c r="L142" s="36">
        <f t="shared" si="14"/>
        <v>0.40909090909090878</v>
      </c>
      <c r="M142" s="36">
        <f t="shared" si="15"/>
        <v>0.67499999999999938</v>
      </c>
      <c r="N142" s="40">
        <f t="shared" si="16"/>
        <v>0.51500000000000001</v>
      </c>
      <c r="O142" t="str">
        <f t="shared" si="17"/>
        <v>Low Prodcutive</v>
      </c>
      <c r="P142" t="s">
        <v>133</v>
      </c>
    </row>
    <row r="143" spans="1:16" x14ac:dyDescent="0.35">
      <c r="A143" s="37">
        <v>1701216087</v>
      </c>
      <c r="B143" s="37" t="s">
        <v>120</v>
      </c>
      <c r="C143" s="35" t="s">
        <v>18</v>
      </c>
      <c r="D143" s="37" t="s">
        <v>20</v>
      </c>
      <c r="E143" s="38">
        <v>46205</v>
      </c>
      <c r="F143" s="35" t="s">
        <v>4</v>
      </c>
      <c r="G143" s="35">
        <v>11</v>
      </c>
      <c r="H143" s="39">
        <v>6.9999999999999991</v>
      </c>
      <c r="I143" s="39">
        <f t="shared" si="12"/>
        <v>4.0000000000000009</v>
      </c>
      <c r="J143" s="39">
        <v>21</v>
      </c>
      <c r="K143" s="36">
        <f t="shared" si="13"/>
        <v>0.3636363636363637</v>
      </c>
      <c r="L143" s="36">
        <f t="shared" si="14"/>
        <v>0.63636363636363624</v>
      </c>
      <c r="M143" s="36">
        <f t="shared" si="15"/>
        <v>1.05</v>
      </c>
      <c r="N143" s="40">
        <f t="shared" si="16"/>
        <v>0.60899999999999999</v>
      </c>
      <c r="O143" t="str">
        <f t="shared" si="17"/>
        <v>productive</v>
      </c>
      <c r="P143" t="s">
        <v>133</v>
      </c>
    </row>
    <row r="144" spans="1:16" x14ac:dyDescent="0.35">
      <c r="A144" s="37">
        <v>1701216087</v>
      </c>
      <c r="B144" s="37" t="s">
        <v>120</v>
      </c>
      <c r="C144" s="35" t="s">
        <v>18</v>
      </c>
      <c r="D144" s="37" t="s">
        <v>20</v>
      </c>
      <c r="E144" s="38">
        <v>46207</v>
      </c>
      <c r="F144" s="35" t="s">
        <v>5</v>
      </c>
      <c r="G144" s="35">
        <v>11</v>
      </c>
      <c r="H144" s="39">
        <v>1.5000000000000013</v>
      </c>
      <c r="I144" s="39">
        <f t="shared" si="12"/>
        <v>9.4999999999999982</v>
      </c>
      <c r="J144" s="39">
        <v>4.5000000000000036</v>
      </c>
      <c r="K144" s="36">
        <f t="shared" si="13"/>
        <v>0.86363636363636342</v>
      </c>
      <c r="L144" s="36">
        <f t="shared" si="14"/>
        <v>0.13636363636363649</v>
      </c>
      <c r="M144" s="36">
        <f t="shared" si="15"/>
        <v>0.22500000000000017</v>
      </c>
      <c r="N144" s="40">
        <f t="shared" si="16"/>
        <v>0.37200000000000005</v>
      </c>
      <c r="O144" t="str">
        <f t="shared" si="17"/>
        <v>Low Prodcutive</v>
      </c>
      <c r="P144" t="s">
        <v>133</v>
      </c>
    </row>
    <row r="145" spans="1:16" x14ac:dyDescent="0.35">
      <c r="A145" s="41">
        <v>1701216087</v>
      </c>
      <c r="B145" s="37" t="s">
        <v>120</v>
      </c>
      <c r="C145" s="35" t="s">
        <v>18</v>
      </c>
      <c r="D145" s="37" t="s">
        <v>20</v>
      </c>
      <c r="E145" s="38">
        <v>46208</v>
      </c>
      <c r="F145" s="35" t="s">
        <v>6</v>
      </c>
      <c r="G145" s="35">
        <v>11</v>
      </c>
      <c r="H145" s="39">
        <v>4.8333333333333304</v>
      </c>
      <c r="I145" s="39">
        <f t="shared" si="12"/>
        <v>6.1666666666666696</v>
      </c>
      <c r="J145" s="39">
        <v>14.499999999999991</v>
      </c>
      <c r="K145" s="36">
        <f t="shared" si="13"/>
        <v>0.56060606060606089</v>
      </c>
      <c r="L145" s="36">
        <f t="shared" si="14"/>
        <v>0.43939393939393911</v>
      </c>
      <c r="M145" s="36">
        <f t="shared" si="15"/>
        <v>0.72499999999999953</v>
      </c>
      <c r="N145" s="40">
        <f t="shared" si="16"/>
        <v>0.53100000000000003</v>
      </c>
      <c r="O145" t="str">
        <f t="shared" si="17"/>
        <v>Low Prodcutive</v>
      </c>
      <c r="P145" t="s">
        <v>133</v>
      </c>
    </row>
    <row r="146" spans="1:16" x14ac:dyDescent="0.35">
      <c r="A146" s="37">
        <v>1701216088</v>
      </c>
      <c r="B146" s="37" t="s">
        <v>121</v>
      </c>
      <c r="C146" s="35" t="s">
        <v>18</v>
      </c>
      <c r="D146" s="37" t="s">
        <v>20</v>
      </c>
      <c r="E146" s="38">
        <v>46204</v>
      </c>
      <c r="F146" s="35" t="s">
        <v>3</v>
      </c>
      <c r="G146" s="35">
        <v>11</v>
      </c>
      <c r="H146" s="39">
        <v>7.8333333333333321</v>
      </c>
      <c r="I146" s="39">
        <f t="shared" si="12"/>
        <v>3.1666666666666679</v>
      </c>
      <c r="J146" s="39">
        <v>21</v>
      </c>
      <c r="K146" s="36">
        <f t="shared" si="13"/>
        <v>0.28787878787878801</v>
      </c>
      <c r="L146" s="36">
        <f t="shared" si="14"/>
        <v>0.71212121212121204</v>
      </c>
      <c r="M146" s="36">
        <f t="shared" si="15"/>
        <v>1.05</v>
      </c>
      <c r="N146" s="40">
        <f t="shared" si="16"/>
        <v>0.58599999999999997</v>
      </c>
      <c r="O146" t="str">
        <f t="shared" si="17"/>
        <v>Low Prodcutive</v>
      </c>
      <c r="P146" t="s">
        <v>133</v>
      </c>
    </row>
    <row r="147" spans="1:16" x14ac:dyDescent="0.35">
      <c r="A147" s="37">
        <v>1701216088</v>
      </c>
      <c r="B147" s="37" t="s">
        <v>121</v>
      </c>
      <c r="C147" s="35" t="s">
        <v>18</v>
      </c>
      <c r="D147" s="37" t="s">
        <v>20</v>
      </c>
      <c r="E147" s="38">
        <v>46205</v>
      </c>
      <c r="F147" s="35" t="s">
        <v>4</v>
      </c>
      <c r="G147" s="35">
        <v>11</v>
      </c>
      <c r="H147" s="39">
        <v>4.6666666666666581</v>
      </c>
      <c r="I147" s="39">
        <f t="shared" si="12"/>
        <v>6.3333333333333419</v>
      </c>
      <c r="J147" s="39">
        <v>13.999999999999973</v>
      </c>
      <c r="K147" s="36">
        <f t="shared" si="13"/>
        <v>0.57575757575757658</v>
      </c>
      <c r="L147" s="36">
        <f t="shared" si="14"/>
        <v>0.42424242424242348</v>
      </c>
      <c r="M147" s="36">
        <f t="shared" si="15"/>
        <v>0.69999999999999862</v>
      </c>
      <c r="N147" s="40">
        <f t="shared" si="16"/>
        <v>0.52300000000000002</v>
      </c>
      <c r="O147" t="str">
        <f t="shared" si="17"/>
        <v>Low Prodcutive</v>
      </c>
      <c r="P147" t="s">
        <v>133</v>
      </c>
    </row>
    <row r="148" spans="1:16" x14ac:dyDescent="0.35">
      <c r="A148" s="37">
        <v>1701216088</v>
      </c>
      <c r="B148" s="37" t="s">
        <v>121</v>
      </c>
      <c r="C148" s="35" t="s">
        <v>18</v>
      </c>
      <c r="D148" s="37" t="s">
        <v>20</v>
      </c>
      <c r="E148" s="38">
        <v>46207</v>
      </c>
      <c r="F148" s="35" t="s">
        <v>5</v>
      </c>
      <c r="G148" s="35">
        <v>11</v>
      </c>
      <c r="H148" s="39">
        <v>5.6666666666666652</v>
      </c>
      <c r="I148" s="39">
        <f t="shared" si="12"/>
        <v>5.3333333333333348</v>
      </c>
      <c r="J148" s="39">
        <v>16.999999999999996</v>
      </c>
      <c r="K148" s="36">
        <f t="shared" si="13"/>
        <v>0.48484848484848497</v>
      </c>
      <c r="L148" s="36">
        <f t="shared" si="14"/>
        <v>0.51515151515151503</v>
      </c>
      <c r="M148" s="36">
        <f t="shared" si="15"/>
        <v>0.84999999999999987</v>
      </c>
      <c r="N148" s="40">
        <f t="shared" si="16"/>
        <v>0.56999999999999995</v>
      </c>
      <c r="O148" t="str">
        <f t="shared" si="17"/>
        <v>Low Prodcutive</v>
      </c>
      <c r="P148" t="s">
        <v>133</v>
      </c>
    </row>
    <row r="149" spans="1:16" x14ac:dyDescent="0.35">
      <c r="A149" s="41">
        <v>1701216088</v>
      </c>
      <c r="B149" s="37" t="s">
        <v>121</v>
      </c>
      <c r="C149" s="35" t="s">
        <v>18</v>
      </c>
      <c r="D149" s="37" t="s">
        <v>20</v>
      </c>
      <c r="E149" s="38">
        <v>46208</v>
      </c>
      <c r="F149" s="35" t="s">
        <v>6</v>
      </c>
      <c r="G149" s="35">
        <v>11</v>
      </c>
      <c r="H149" s="39">
        <v>6.3333333333333321</v>
      </c>
      <c r="I149" s="39">
        <f t="shared" si="12"/>
        <v>4.6666666666666679</v>
      </c>
      <c r="J149" s="39">
        <v>18.999999999999993</v>
      </c>
      <c r="K149" s="36">
        <f t="shared" si="13"/>
        <v>0.42424242424242437</v>
      </c>
      <c r="L149" s="36">
        <f t="shared" si="14"/>
        <v>0.57575757575757569</v>
      </c>
      <c r="M149" s="36">
        <f t="shared" si="15"/>
        <v>0.94999999999999962</v>
      </c>
      <c r="N149" s="40">
        <f t="shared" si="16"/>
        <v>0.60199999999999998</v>
      </c>
      <c r="O149" t="str">
        <f t="shared" si="17"/>
        <v>productive</v>
      </c>
      <c r="P149" t="s">
        <v>133</v>
      </c>
    </row>
    <row r="150" spans="1:16" x14ac:dyDescent="0.35">
      <c r="A150" s="37">
        <v>1701216090</v>
      </c>
      <c r="B150" s="37" t="s">
        <v>122</v>
      </c>
      <c r="C150" s="35" t="s">
        <v>18</v>
      </c>
      <c r="D150" s="37" t="s">
        <v>21</v>
      </c>
      <c r="E150" s="38">
        <v>46204</v>
      </c>
      <c r="F150" s="35" t="s">
        <v>3</v>
      </c>
      <c r="G150" s="35">
        <v>11</v>
      </c>
      <c r="H150" s="39">
        <v>6.8333333333333357</v>
      </c>
      <c r="I150" s="39">
        <f t="shared" si="12"/>
        <v>4.1666666666666643</v>
      </c>
      <c r="J150" s="39">
        <v>20.500000000000007</v>
      </c>
      <c r="K150" s="36">
        <f t="shared" si="13"/>
        <v>0.37878787878787856</v>
      </c>
      <c r="L150" s="36">
        <f t="shared" si="14"/>
        <v>0.62121212121212144</v>
      </c>
      <c r="M150" s="36">
        <f t="shared" si="15"/>
        <v>1.0250000000000004</v>
      </c>
      <c r="N150" s="40">
        <f t="shared" si="16"/>
        <v>0.61399999999999999</v>
      </c>
      <c r="O150" t="str">
        <f t="shared" si="17"/>
        <v>productive</v>
      </c>
      <c r="P150" t="s">
        <v>133</v>
      </c>
    </row>
    <row r="151" spans="1:16" x14ac:dyDescent="0.35">
      <c r="A151" s="37">
        <v>1701216090</v>
      </c>
      <c r="B151" s="37" t="s">
        <v>122</v>
      </c>
      <c r="C151" s="35" t="s">
        <v>18</v>
      </c>
      <c r="D151" s="37" t="s">
        <v>21</v>
      </c>
      <c r="E151" s="38">
        <v>46205</v>
      </c>
      <c r="F151" s="35" t="s">
        <v>4</v>
      </c>
      <c r="G151" s="35">
        <v>11</v>
      </c>
      <c r="H151" s="39">
        <v>4.1666666666666696</v>
      </c>
      <c r="I151" s="39">
        <f t="shared" si="12"/>
        <v>6.8333333333333304</v>
      </c>
      <c r="J151" s="39">
        <v>12.500000000000007</v>
      </c>
      <c r="K151" s="36">
        <f t="shared" si="13"/>
        <v>0.62121212121212099</v>
      </c>
      <c r="L151" s="36">
        <f t="shared" si="14"/>
        <v>0.37878787878787906</v>
      </c>
      <c r="M151" s="36">
        <f t="shared" si="15"/>
        <v>0.62500000000000033</v>
      </c>
      <c r="N151" s="40">
        <f t="shared" si="16"/>
        <v>0.499</v>
      </c>
      <c r="O151" t="str">
        <f t="shared" si="17"/>
        <v>Low Prodcutive</v>
      </c>
      <c r="P151" t="s">
        <v>133</v>
      </c>
    </row>
    <row r="152" spans="1:16" x14ac:dyDescent="0.35">
      <c r="A152" s="37">
        <v>1701216090</v>
      </c>
      <c r="B152" s="37" t="s">
        <v>122</v>
      </c>
      <c r="C152" s="35" t="s">
        <v>18</v>
      </c>
      <c r="D152" s="37" t="s">
        <v>21</v>
      </c>
      <c r="E152" s="38">
        <v>46207</v>
      </c>
      <c r="F152" s="35" t="s">
        <v>5</v>
      </c>
      <c r="G152" s="35">
        <v>11</v>
      </c>
      <c r="H152" s="39">
        <v>6.4999999999999991</v>
      </c>
      <c r="I152" s="39">
        <f t="shared" si="12"/>
        <v>4.5000000000000009</v>
      </c>
      <c r="J152" s="39">
        <v>19.499999999999996</v>
      </c>
      <c r="K152" s="36">
        <f t="shared" si="13"/>
        <v>0.40909090909090917</v>
      </c>
      <c r="L152" s="36">
        <f t="shared" si="14"/>
        <v>0.59090909090909083</v>
      </c>
      <c r="M152" s="36">
        <f t="shared" si="15"/>
        <v>0.97499999999999987</v>
      </c>
      <c r="N152" s="40">
        <f t="shared" si="16"/>
        <v>0.61</v>
      </c>
      <c r="O152" t="str">
        <f t="shared" si="17"/>
        <v>productive</v>
      </c>
      <c r="P152" t="s">
        <v>133</v>
      </c>
    </row>
    <row r="153" spans="1:16" x14ac:dyDescent="0.35">
      <c r="A153" s="41">
        <v>1701216090</v>
      </c>
      <c r="B153" s="37" t="s">
        <v>122</v>
      </c>
      <c r="C153" s="35" t="s">
        <v>18</v>
      </c>
      <c r="D153" s="37" t="s">
        <v>21</v>
      </c>
      <c r="E153" s="38">
        <v>46208</v>
      </c>
      <c r="F153" s="35" t="s">
        <v>6</v>
      </c>
      <c r="G153" s="35">
        <v>11</v>
      </c>
      <c r="H153" s="39">
        <v>2.4999999999999991</v>
      </c>
      <c r="I153" s="39">
        <f t="shared" si="12"/>
        <v>8.5</v>
      </c>
      <c r="J153" s="39">
        <v>7.4999999999999973</v>
      </c>
      <c r="K153" s="36">
        <f t="shared" si="13"/>
        <v>0.77272727272727271</v>
      </c>
      <c r="L153" s="36">
        <f t="shared" si="14"/>
        <v>0.22727272727272718</v>
      </c>
      <c r="M153" s="36">
        <f t="shared" si="15"/>
        <v>0.37499999999999989</v>
      </c>
      <c r="N153" s="40">
        <f t="shared" si="16"/>
        <v>0.41899999999999998</v>
      </c>
      <c r="O153" t="str">
        <f t="shared" si="17"/>
        <v>Low Prodcutive</v>
      </c>
      <c r="P153" t="s">
        <v>133</v>
      </c>
    </row>
    <row r="154" spans="1:16" x14ac:dyDescent="0.35">
      <c r="A154" s="37">
        <v>1701216091</v>
      </c>
      <c r="B154" s="37" t="s">
        <v>90</v>
      </c>
      <c r="C154" s="35" t="s">
        <v>19</v>
      </c>
      <c r="D154" s="37" t="s">
        <v>21</v>
      </c>
      <c r="E154" s="38">
        <v>46204</v>
      </c>
      <c r="F154" s="35" t="s">
        <v>3</v>
      </c>
      <c r="G154" s="35">
        <v>11</v>
      </c>
      <c r="H154" s="39">
        <v>5.9833333333333334</v>
      </c>
      <c r="I154" s="39">
        <f t="shared" si="12"/>
        <v>5.0166666666666666</v>
      </c>
      <c r="J154" s="39">
        <v>17.95</v>
      </c>
      <c r="K154" s="36">
        <f t="shared" si="13"/>
        <v>0.45606060606060606</v>
      </c>
      <c r="L154" s="36">
        <f t="shared" si="14"/>
        <v>0.54393939393939394</v>
      </c>
      <c r="M154" s="36">
        <f t="shared" si="15"/>
        <v>0.89749999999999996</v>
      </c>
      <c r="N154" s="40">
        <f t="shared" si="16"/>
        <v>0.58599999999999997</v>
      </c>
      <c r="O154" t="str">
        <f t="shared" si="17"/>
        <v>Low Prodcutive</v>
      </c>
      <c r="P154" t="s">
        <v>133</v>
      </c>
    </row>
    <row r="155" spans="1:16" x14ac:dyDescent="0.35">
      <c r="A155" s="37">
        <v>1701216091</v>
      </c>
      <c r="B155" s="37" t="s">
        <v>90</v>
      </c>
      <c r="C155" s="35" t="s">
        <v>19</v>
      </c>
      <c r="D155" s="37" t="s">
        <v>21</v>
      </c>
      <c r="E155" s="38">
        <v>46205</v>
      </c>
      <c r="F155" s="35" t="s">
        <v>4</v>
      </c>
      <c r="G155" s="35">
        <v>11</v>
      </c>
      <c r="H155" s="39">
        <v>1.5166666666666666</v>
      </c>
      <c r="I155" s="39">
        <f t="shared" si="12"/>
        <v>9.4833333333333343</v>
      </c>
      <c r="J155" s="39">
        <v>4.55</v>
      </c>
      <c r="K155" s="36">
        <f t="shared" si="13"/>
        <v>0.86212121212121218</v>
      </c>
      <c r="L155" s="36">
        <f t="shared" si="14"/>
        <v>0.13787878787878788</v>
      </c>
      <c r="M155" s="36">
        <f t="shared" si="15"/>
        <v>0.22749999999999998</v>
      </c>
      <c r="N155" s="40">
        <f t="shared" si="16"/>
        <v>0.37200000000000005</v>
      </c>
      <c r="O155" t="str">
        <f t="shared" si="17"/>
        <v>Low Prodcutive</v>
      </c>
      <c r="P155" t="s">
        <v>133</v>
      </c>
    </row>
    <row r="156" spans="1:16" x14ac:dyDescent="0.35">
      <c r="A156" s="37">
        <v>1701216091</v>
      </c>
      <c r="B156" s="37" t="s">
        <v>90</v>
      </c>
      <c r="C156" s="35" t="s">
        <v>19</v>
      </c>
      <c r="D156" s="37" t="s">
        <v>21</v>
      </c>
      <c r="E156" s="38">
        <v>46207</v>
      </c>
      <c r="F156" s="35" t="s">
        <v>5</v>
      </c>
      <c r="G156" s="35">
        <v>11</v>
      </c>
      <c r="H156" s="39">
        <v>6.5666666666666709</v>
      </c>
      <c r="I156" s="39">
        <f t="shared" si="12"/>
        <v>4.4333333333333291</v>
      </c>
      <c r="J156" s="39">
        <v>19.700000000000017</v>
      </c>
      <c r="K156" s="36">
        <f t="shared" si="13"/>
        <v>0.40303030303030263</v>
      </c>
      <c r="L156" s="36">
        <f t="shared" si="14"/>
        <v>0.59696969696969737</v>
      </c>
      <c r="M156" s="36">
        <f t="shared" si="15"/>
        <v>0.98500000000000087</v>
      </c>
      <c r="N156" s="40">
        <f t="shared" si="16"/>
        <v>0.61299999999999999</v>
      </c>
      <c r="O156" t="str">
        <f t="shared" si="17"/>
        <v>productive</v>
      </c>
      <c r="P156" t="s">
        <v>133</v>
      </c>
    </row>
    <row r="157" spans="1:16" x14ac:dyDescent="0.35">
      <c r="A157" s="41">
        <v>1701216091</v>
      </c>
      <c r="B157" s="37" t="s">
        <v>90</v>
      </c>
      <c r="C157" s="35" t="s">
        <v>19</v>
      </c>
      <c r="D157" s="37" t="s">
        <v>21</v>
      </c>
      <c r="E157" s="38">
        <v>46208</v>
      </c>
      <c r="F157" s="35" t="s">
        <v>6</v>
      </c>
      <c r="G157" s="35">
        <v>11</v>
      </c>
      <c r="H157" s="39">
        <v>3.8666666666666645</v>
      </c>
      <c r="I157" s="39">
        <f t="shared" si="12"/>
        <v>7.1333333333333355</v>
      </c>
      <c r="J157" s="39">
        <v>11.599999999999994</v>
      </c>
      <c r="K157" s="36">
        <f t="shared" si="13"/>
        <v>0.64848484848484866</v>
      </c>
      <c r="L157" s="36">
        <f t="shared" si="14"/>
        <v>0.35151515151515134</v>
      </c>
      <c r="M157" s="36">
        <f t="shared" si="15"/>
        <v>0.57999999999999974</v>
      </c>
      <c r="N157" s="40">
        <f t="shared" si="16"/>
        <v>0.48499999999999999</v>
      </c>
      <c r="O157" t="str">
        <f t="shared" si="17"/>
        <v>Low Prodcutive</v>
      </c>
      <c r="P157" t="s">
        <v>133</v>
      </c>
    </row>
    <row r="158" spans="1:16" x14ac:dyDescent="0.35">
      <c r="A158" s="37">
        <v>1701216133</v>
      </c>
      <c r="B158" s="37" t="s">
        <v>123</v>
      </c>
      <c r="C158" s="35" t="s">
        <v>18</v>
      </c>
      <c r="D158" s="37" t="s">
        <v>21</v>
      </c>
      <c r="E158" s="38">
        <v>46204</v>
      </c>
      <c r="F158" s="35" t="s">
        <v>3</v>
      </c>
      <c r="G158" s="35">
        <v>11</v>
      </c>
      <c r="H158" s="39">
        <v>7.1666666666666661</v>
      </c>
      <c r="I158" s="39">
        <f t="shared" si="12"/>
        <v>3.8333333333333339</v>
      </c>
      <c r="J158" s="39">
        <v>21.5</v>
      </c>
      <c r="K158" s="36">
        <f t="shared" si="13"/>
        <v>0.34848484848484856</v>
      </c>
      <c r="L158" s="36">
        <f t="shared" si="14"/>
        <v>0.65151515151515149</v>
      </c>
      <c r="M158" s="36">
        <f t="shared" si="15"/>
        <v>1.075</v>
      </c>
      <c r="N158" s="40">
        <f t="shared" si="16"/>
        <v>0.60499999999999998</v>
      </c>
      <c r="O158" t="str">
        <f t="shared" si="17"/>
        <v>productive</v>
      </c>
      <c r="P158" t="s">
        <v>133</v>
      </c>
    </row>
    <row r="159" spans="1:16" x14ac:dyDescent="0.35">
      <c r="A159" s="37">
        <v>1701216133</v>
      </c>
      <c r="B159" s="37" t="s">
        <v>123</v>
      </c>
      <c r="C159" s="35" t="s">
        <v>18</v>
      </c>
      <c r="D159" s="37" t="s">
        <v>21</v>
      </c>
      <c r="E159" s="38">
        <v>46205</v>
      </c>
      <c r="F159" s="35" t="s">
        <v>4</v>
      </c>
      <c r="G159" s="35">
        <v>11</v>
      </c>
      <c r="H159" s="39">
        <v>8.1666666666666679</v>
      </c>
      <c r="I159" s="39">
        <f t="shared" si="12"/>
        <v>2.8333333333333321</v>
      </c>
      <c r="J159" s="39">
        <v>21</v>
      </c>
      <c r="K159" s="36">
        <f t="shared" si="13"/>
        <v>0.25757575757575746</v>
      </c>
      <c r="L159" s="36">
        <f t="shared" si="14"/>
        <v>0.74242424242424254</v>
      </c>
      <c r="M159" s="36">
        <f t="shared" si="15"/>
        <v>1.05</v>
      </c>
      <c r="N159" s="40">
        <f t="shared" si="16"/>
        <v>0.58799999999999997</v>
      </c>
      <c r="O159" t="str">
        <f t="shared" si="17"/>
        <v>Low Prodcutive</v>
      </c>
      <c r="P159" t="s">
        <v>133</v>
      </c>
    </row>
    <row r="160" spans="1:16" x14ac:dyDescent="0.35">
      <c r="A160" s="37">
        <v>1701216133</v>
      </c>
      <c r="B160" s="37" t="s">
        <v>123</v>
      </c>
      <c r="C160" s="35" t="s">
        <v>18</v>
      </c>
      <c r="D160" s="37" t="s">
        <v>21</v>
      </c>
      <c r="E160" s="38">
        <v>46207</v>
      </c>
      <c r="F160" s="35" t="s">
        <v>5</v>
      </c>
      <c r="G160" s="35">
        <v>11</v>
      </c>
      <c r="H160" s="39">
        <v>5.3333333333333357</v>
      </c>
      <c r="I160" s="39">
        <f t="shared" si="12"/>
        <v>5.6666666666666643</v>
      </c>
      <c r="J160" s="39">
        <v>16.000000000000007</v>
      </c>
      <c r="K160" s="36">
        <f t="shared" si="13"/>
        <v>0.51515151515151492</v>
      </c>
      <c r="L160" s="36">
        <f t="shared" si="14"/>
        <v>0.48484848484848508</v>
      </c>
      <c r="M160" s="36">
        <f t="shared" si="15"/>
        <v>0.80000000000000038</v>
      </c>
      <c r="N160" s="40">
        <f t="shared" si="16"/>
        <v>0.55500000000000005</v>
      </c>
      <c r="O160" t="str">
        <f t="shared" si="17"/>
        <v>Low Prodcutive</v>
      </c>
      <c r="P160" t="s">
        <v>133</v>
      </c>
    </row>
    <row r="161" spans="1:16" x14ac:dyDescent="0.35">
      <c r="A161" s="41">
        <v>1701216133</v>
      </c>
      <c r="B161" s="37" t="s">
        <v>123</v>
      </c>
      <c r="C161" s="35" t="s">
        <v>18</v>
      </c>
      <c r="D161" s="37" t="s">
        <v>21</v>
      </c>
      <c r="E161" s="38">
        <v>46208</v>
      </c>
      <c r="F161" s="35" t="s">
        <v>6</v>
      </c>
      <c r="G161" s="35">
        <v>11</v>
      </c>
      <c r="H161" s="39">
        <v>5.1666666666666625</v>
      </c>
      <c r="I161" s="39">
        <f t="shared" si="12"/>
        <v>5.8333333333333375</v>
      </c>
      <c r="J161" s="39">
        <v>15.499999999999989</v>
      </c>
      <c r="K161" s="36">
        <f t="shared" si="13"/>
        <v>0.53030303030303072</v>
      </c>
      <c r="L161" s="36">
        <f t="shared" si="14"/>
        <v>0.46969696969696934</v>
      </c>
      <c r="M161" s="36">
        <f t="shared" si="15"/>
        <v>0.77499999999999947</v>
      </c>
      <c r="N161" s="40">
        <f t="shared" si="16"/>
        <v>0.54700000000000004</v>
      </c>
      <c r="O161" t="str">
        <f t="shared" si="17"/>
        <v>Low Prodcutive</v>
      </c>
      <c r="P161" t="s">
        <v>133</v>
      </c>
    </row>
    <row r="162" spans="1:16" x14ac:dyDescent="0.35">
      <c r="A162" s="37">
        <v>1701216134</v>
      </c>
      <c r="B162" s="37" t="s">
        <v>124</v>
      </c>
      <c r="C162" s="35" t="s">
        <v>18</v>
      </c>
      <c r="D162" s="37" t="s">
        <v>20</v>
      </c>
      <c r="E162" s="38">
        <v>46204</v>
      </c>
      <c r="F162" s="35" t="s">
        <v>3</v>
      </c>
      <c r="G162" s="35">
        <v>11</v>
      </c>
      <c r="H162" s="39">
        <v>6.166666666666667</v>
      </c>
      <c r="I162" s="39">
        <f t="shared" si="12"/>
        <v>4.833333333333333</v>
      </c>
      <c r="J162" s="39">
        <v>18.500000000000007</v>
      </c>
      <c r="K162" s="36">
        <f t="shared" si="13"/>
        <v>0.43939393939393939</v>
      </c>
      <c r="L162" s="36">
        <f t="shared" si="14"/>
        <v>0.56060606060606066</v>
      </c>
      <c r="M162" s="36">
        <f t="shared" si="15"/>
        <v>0.92500000000000038</v>
      </c>
      <c r="N162" s="40">
        <f t="shared" si="16"/>
        <v>0.59399999999999997</v>
      </c>
      <c r="O162" t="str">
        <f t="shared" si="17"/>
        <v>Low Prodcutive</v>
      </c>
      <c r="P162" t="s">
        <v>133</v>
      </c>
    </row>
    <row r="163" spans="1:16" x14ac:dyDescent="0.35">
      <c r="A163" s="37">
        <v>1701216134</v>
      </c>
      <c r="B163" s="37" t="s">
        <v>124</v>
      </c>
      <c r="C163" s="35" t="s">
        <v>18</v>
      </c>
      <c r="D163" s="37" t="s">
        <v>20</v>
      </c>
      <c r="E163" s="38">
        <v>46205</v>
      </c>
      <c r="F163" s="35" t="s">
        <v>4</v>
      </c>
      <c r="G163" s="35">
        <v>11</v>
      </c>
      <c r="H163" s="39">
        <v>0.66666666666666696</v>
      </c>
      <c r="I163" s="39">
        <f t="shared" si="12"/>
        <v>10.333333333333332</v>
      </c>
      <c r="J163" s="39">
        <v>2.0000000000000009</v>
      </c>
      <c r="K163" s="36">
        <f t="shared" si="13"/>
        <v>0.93939393939393934</v>
      </c>
      <c r="L163" s="36">
        <f t="shared" si="14"/>
        <v>6.0606060606060635E-2</v>
      </c>
      <c r="M163" s="36">
        <f t="shared" si="15"/>
        <v>0.10000000000000005</v>
      </c>
      <c r="N163" s="40">
        <f t="shared" si="16"/>
        <v>0.33200000000000002</v>
      </c>
      <c r="O163" t="str">
        <f t="shared" si="17"/>
        <v>Low Prodcutive</v>
      </c>
      <c r="P163" t="s">
        <v>133</v>
      </c>
    </row>
    <row r="164" spans="1:16" x14ac:dyDescent="0.35">
      <c r="A164" s="37">
        <v>1701216134</v>
      </c>
      <c r="B164" s="37" t="s">
        <v>124</v>
      </c>
      <c r="C164" s="35" t="s">
        <v>18</v>
      </c>
      <c r="D164" s="37" t="s">
        <v>20</v>
      </c>
      <c r="E164" s="38">
        <v>46207</v>
      </c>
      <c r="F164" s="35" t="s">
        <v>5</v>
      </c>
      <c r="G164" s="35">
        <v>11</v>
      </c>
      <c r="H164" s="39">
        <v>4.4999999999999973</v>
      </c>
      <c r="I164" s="39">
        <f t="shared" si="12"/>
        <v>6.5000000000000027</v>
      </c>
      <c r="J164" s="39">
        <v>13.499999999999991</v>
      </c>
      <c r="K164" s="36">
        <f t="shared" si="13"/>
        <v>0.59090909090909116</v>
      </c>
      <c r="L164" s="36">
        <f t="shared" si="14"/>
        <v>0.40909090909090884</v>
      </c>
      <c r="M164" s="36">
        <f t="shared" si="15"/>
        <v>0.6749999999999996</v>
      </c>
      <c r="N164" s="40">
        <f t="shared" si="16"/>
        <v>0.51500000000000001</v>
      </c>
      <c r="O164" t="str">
        <f t="shared" si="17"/>
        <v>Low Prodcutive</v>
      </c>
      <c r="P164" t="s">
        <v>133</v>
      </c>
    </row>
    <row r="165" spans="1:16" x14ac:dyDescent="0.35">
      <c r="A165" s="41">
        <v>1701216134</v>
      </c>
      <c r="B165" s="37" t="s">
        <v>124</v>
      </c>
      <c r="C165" s="35" t="s">
        <v>18</v>
      </c>
      <c r="D165" s="37" t="s">
        <v>20</v>
      </c>
      <c r="E165" s="38">
        <v>46208</v>
      </c>
      <c r="F165" s="35" t="s">
        <v>6</v>
      </c>
      <c r="G165" s="35">
        <v>11</v>
      </c>
      <c r="H165" s="39">
        <v>6.6666666666666696</v>
      </c>
      <c r="I165" s="39">
        <f t="shared" si="12"/>
        <v>4.3333333333333304</v>
      </c>
      <c r="J165" s="39">
        <v>20.000000000000011</v>
      </c>
      <c r="K165" s="36">
        <f t="shared" si="13"/>
        <v>0.39393939393939365</v>
      </c>
      <c r="L165" s="36">
        <f t="shared" si="14"/>
        <v>0.6060606060606063</v>
      </c>
      <c r="M165" s="36">
        <f t="shared" si="15"/>
        <v>1.0000000000000004</v>
      </c>
      <c r="N165" s="40">
        <f t="shared" si="16"/>
        <v>0.61799999999999999</v>
      </c>
      <c r="O165" t="str">
        <f t="shared" si="17"/>
        <v>productive</v>
      </c>
      <c r="P165" t="s">
        <v>133</v>
      </c>
    </row>
    <row r="166" spans="1:16" x14ac:dyDescent="0.35">
      <c r="A166" s="37">
        <v>1704123809</v>
      </c>
      <c r="B166" s="37" t="s">
        <v>125</v>
      </c>
      <c r="C166" s="35" t="s">
        <v>18</v>
      </c>
      <c r="D166" s="37" t="s">
        <v>21</v>
      </c>
      <c r="E166" s="38">
        <v>46204</v>
      </c>
      <c r="F166" s="35" t="s">
        <v>3</v>
      </c>
      <c r="G166" s="35">
        <v>11</v>
      </c>
      <c r="H166" s="39">
        <v>3.833333333333333</v>
      </c>
      <c r="I166" s="39">
        <f t="shared" si="12"/>
        <v>7.166666666666667</v>
      </c>
      <c r="J166" s="39">
        <v>11.5</v>
      </c>
      <c r="K166" s="36">
        <f t="shared" si="13"/>
        <v>0.65151515151515149</v>
      </c>
      <c r="L166" s="36">
        <f t="shared" si="14"/>
        <v>0.34848484848484845</v>
      </c>
      <c r="M166" s="36">
        <f t="shared" si="15"/>
        <v>0.57499999999999996</v>
      </c>
      <c r="N166" s="40">
        <f t="shared" si="16"/>
        <v>0.48299999999999998</v>
      </c>
      <c r="O166" t="str">
        <f t="shared" si="17"/>
        <v>Low Prodcutive</v>
      </c>
      <c r="P166" t="s">
        <v>133</v>
      </c>
    </row>
    <row r="167" spans="1:16" x14ac:dyDescent="0.35">
      <c r="A167" s="37">
        <v>1704123809</v>
      </c>
      <c r="B167" s="37" t="s">
        <v>125</v>
      </c>
      <c r="C167" s="35" t="s">
        <v>18</v>
      </c>
      <c r="D167" s="37" t="s">
        <v>21</v>
      </c>
      <c r="E167" s="38">
        <v>46205</v>
      </c>
      <c r="F167" s="35" t="s">
        <v>4</v>
      </c>
      <c r="G167" s="35">
        <v>11</v>
      </c>
      <c r="H167" s="39">
        <v>11.666666666666668</v>
      </c>
      <c r="I167" s="39">
        <f t="shared" si="12"/>
        <v>-0.66666666666666785</v>
      </c>
      <c r="J167" s="39">
        <v>11</v>
      </c>
      <c r="K167" s="36">
        <f t="shared" si="13"/>
        <v>-6.0606060606060712E-2</v>
      </c>
      <c r="L167" s="36">
        <f t="shared" si="14"/>
        <v>1.0606060606060608</v>
      </c>
      <c r="M167" s="36">
        <f t="shared" si="15"/>
        <v>0.55000000000000004</v>
      </c>
      <c r="N167" s="40">
        <f t="shared" si="16"/>
        <v>0.51900000000000002</v>
      </c>
      <c r="O167" t="str">
        <f t="shared" si="17"/>
        <v>Low Prodcutive</v>
      </c>
      <c r="P167" t="s">
        <v>137</v>
      </c>
    </row>
    <row r="168" spans="1:16" x14ac:dyDescent="0.35">
      <c r="A168" s="37">
        <v>1704123809</v>
      </c>
      <c r="B168" s="37" t="s">
        <v>125</v>
      </c>
      <c r="C168" s="35" t="s">
        <v>18</v>
      </c>
      <c r="D168" s="37" t="s">
        <v>21</v>
      </c>
      <c r="E168" s="38">
        <v>46207</v>
      </c>
      <c r="F168" s="35" t="s">
        <v>5</v>
      </c>
      <c r="G168" s="35">
        <v>11</v>
      </c>
      <c r="H168" s="39">
        <v>7.3333333333333321</v>
      </c>
      <c r="I168" s="39">
        <f t="shared" si="12"/>
        <v>3.6666666666666679</v>
      </c>
      <c r="J168" s="39">
        <v>22</v>
      </c>
      <c r="K168" s="36">
        <f t="shared" si="13"/>
        <v>0.33333333333333343</v>
      </c>
      <c r="L168" s="36">
        <f t="shared" si="14"/>
        <v>0.66666666666666652</v>
      </c>
      <c r="M168" s="36">
        <f t="shared" si="15"/>
        <v>1.1000000000000001</v>
      </c>
      <c r="N168" s="40">
        <f t="shared" si="16"/>
        <v>0.6</v>
      </c>
      <c r="O168" t="str">
        <f t="shared" si="17"/>
        <v>Low Prodcutive</v>
      </c>
      <c r="P168" t="s">
        <v>133</v>
      </c>
    </row>
    <row r="169" spans="1:16" x14ac:dyDescent="0.35">
      <c r="A169" s="41">
        <v>1704123809</v>
      </c>
      <c r="B169" s="37" t="s">
        <v>125</v>
      </c>
      <c r="C169" s="35" t="s">
        <v>18</v>
      </c>
      <c r="D169" s="37" t="s">
        <v>21</v>
      </c>
      <c r="E169" s="38">
        <v>46208</v>
      </c>
      <c r="F169" s="35" t="s">
        <v>6</v>
      </c>
      <c r="G169" s="35">
        <v>11</v>
      </c>
      <c r="H169" s="39">
        <v>4.4999999999999982</v>
      </c>
      <c r="I169" s="39">
        <f t="shared" si="12"/>
        <v>6.5000000000000018</v>
      </c>
      <c r="J169" s="39">
        <v>13.499999999999996</v>
      </c>
      <c r="K169" s="36">
        <f t="shared" si="13"/>
        <v>0.59090909090909105</v>
      </c>
      <c r="L169" s="36">
        <f t="shared" si="14"/>
        <v>0.40909090909090895</v>
      </c>
      <c r="M169" s="36">
        <f t="shared" si="15"/>
        <v>0.67499999999999982</v>
      </c>
      <c r="N169" s="40">
        <f t="shared" si="16"/>
        <v>0.51500000000000001</v>
      </c>
      <c r="O169" t="str">
        <f t="shared" si="17"/>
        <v>Low Prodcutive</v>
      </c>
      <c r="P169" t="s">
        <v>133</v>
      </c>
    </row>
    <row r="170" spans="1:16" x14ac:dyDescent="0.35">
      <c r="A170" s="37">
        <v>1704124000</v>
      </c>
      <c r="B170" s="37" t="s">
        <v>126</v>
      </c>
      <c r="C170" s="35" t="s">
        <v>18</v>
      </c>
      <c r="D170" s="37" t="s">
        <v>20</v>
      </c>
      <c r="E170" s="38">
        <v>46204</v>
      </c>
      <c r="F170" s="35" t="s">
        <v>3</v>
      </c>
      <c r="G170" s="35">
        <v>11</v>
      </c>
      <c r="H170" s="39">
        <v>6.5000000000000027</v>
      </c>
      <c r="I170" s="39">
        <f t="shared" si="12"/>
        <v>4.4999999999999973</v>
      </c>
      <c r="J170" s="39">
        <v>19.500000000000007</v>
      </c>
      <c r="K170" s="36">
        <f t="shared" si="13"/>
        <v>0.40909090909090884</v>
      </c>
      <c r="L170" s="36">
        <f t="shared" si="14"/>
        <v>0.59090909090909116</v>
      </c>
      <c r="M170" s="36">
        <f t="shared" si="15"/>
        <v>0.97500000000000031</v>
      </c>
      <c r="N170" s="40">
        <f t="shared" si="16"/>
        <v>0.61</v>
      </c>
      <c r="O170" t="str">
        <f t="shared" si="17"/>
        <v>productive</v>
      </c>
      <c r="P170" t="s">
        <v>133</v>
      </c>
    </row>
    <row r="171" spans="1:16" x14ac:dyDescent="0.35">
      <c r="A171" s="37">
        <v>1704124000</v>
      </c>
      <c r="B171" s="37" t="s">
        <v>126</v>
      </c>
      <c r="C171" s="35" t="s">
        <v>18</v>
      </c>
      <c r="D171" s="37" t="s">
        <v>20</v>
      </c>
      <c r="E171" s="38">
        <v>46205</v>
      </c>
      <c r="F171" s="35" t="s">
        <v>4</v>
      </c>
      <c r="G171" s="35">
        <v>11</v>
      </c>
      <c r="H171" s="39">
        <v>5.6666666666666696</v>
      </c>
      <c r="I171" s="39">
        <f t="shared" si="12"/>
        <v>5.3333333333333304</v>
      </c>
      <c r="J171" s="39">
        <v>17.000000000000007</v>
      </c>
      <c r="K171" s="36">
        <f t="shared" si="13"/>
        <v>0.48484848484848458</v>
      </c>
      <c r="L171" s="36">
        <f t="shared" si="14"/>
        <v>0.51515151515151547</v>
      </c>
      <c r="M171" s="36">
        <f t="shared" si="15"/>
        <v>0.85000000000000031</v>
      </c>
      <c r="N171" s="40">
        <f t="shared" si="16"/>
        <v>0.56999999999999995</v>
      </c>
      <c r="O171" t="str">
        <f t="shared" si="17"/>
        <v>Low Prodcutive</v>
      </c>
      <c r="P171" t="s">
        <v>133</v>
      </c>
    </row>
    <row r="172" spans="1:16" x14ac:dyDescent="0.35">
      <c r="A172" s="37">
        <v>1704124000</v>
      </c>
      <c r="B172" s="37" t="s">
        <v>126</v>
      </c>
      <c r="C172" s="35" t="s">
        <v>18</v>
      </c>
      <c r="D172" s="37" t="s">
        <v>20</v>
      </c>
      <c r="E172" s="38">
        <v>46207</v>
      </c>
      <c r="F172" s="35" t="s">
        <v>5</v>
      </c>
      <c r="G172" s="35">
        <v>11</v>
      </c>
      <c r="H172" s="39">
        <v>7.8333333333333357</v>
      </c>
      <c r="I172" s="39">
        <f t="shared" si="12"/>
        <v>3.1666666666666643</v>
      </c>
      <c r="J172" s="39">
        <v>21</v>
      </c>
      <c r="K172" s="36">
        <f t="shared" si="13"/>
        <v>0.28787878787878768</v>
      </c>
      <c r="L172" s="36">
        <f t="shared" si="14"/>
        <v>0.71212121212121238</v>
      </c>
      <c r="M172" s="36">
        <f t="shared" si="15"/>
        <v>1.05</v>
      </c>
      <c r="N172" s="40">
        <f t="shared" si="16"/>
        <v>0.58599999999999997</v>
      </c>
      <c r="O172" t="str">
        <f t="shared" si="17"/>
        <v>Low Prodcutive</v>
      </c>
      <c r="P172" t="s">
        <v>133</v>
      </c>
    </row>
    <row r="173" spans="1:16" x14ac:dyDescent="0.35">
      <c r="A173" s="41">
        <v>1704124000</v>
      </c>
      <c r="B173" s="37" t="s">
        <v>126</v>
      </c>
      <c r="C173" s="35" t="s">
        <v>18</v>
      </c>
      <c r="D173" s="37" t="s">
        <v>20</v>
      </c>
      <c r="E173" s="38">
        <v>46208</v>
      </c>
      <c r="F173" s="35" t="s">
        <v>6</v>
      </c>
      <c r="G173" s="35">
        <v>11</v>
      </c>
      <c r="H173" s="39">
        <v>7.3333333333333348</v>
      </c>
      <c r="I173" s="39">
        <f t="shared" si="12"/>
        <v>3.6666666666666652</v>
      </c>
      <c r="J173" s="39">
        <v>22.000000000000007</v>
      </c>
      <c r="K173" s="36">
        <f t="shared" si="13"/>
        <v>0.3333333333333332</v>
      </c>
      <c r="L173" s="36">
        <f t="shared" si="14"/>
        <v>0.66666666666666685</v>
      </c>
      <c r="M173" s="36">
        <f t="shared" si="15"/>
        <v>1.1000000000000003</v>
      </c>
      <c r="N173" s="40">
        <f t="shared" si="16"/>
        <v>0.6</v>
      </c>
      <c r="O173" t="str">
        <f t="shared" si="17"/>
        <v>Low Prodcutive</v>
      </c>
      <c r="P173" t="s">
        <v>133</v>
      </c>
    </row>
    <row r="174" spans="1:16" x14ac:dyDescent="0.35">
      <c r="A174" s="37">
        <v>1704124001</v>
      </c>
      <c r="B174" s="37" t="s">
        <v>127</v>
      </c>
      <c r="C174" s="35" t="s">
        <v>18</v>
      </c>
      <c r="D174" s="37" t="s">
        <v>21</v>
      </c>
      <c r="E174" s="38">
        <v>46204</v>
      </c>
      <c r="F174" s="35" t="s">
        <v>3</v>
      </c>
      <c r="G174" s="35">
        <v>11</v>
      </c>
      <c r="H174" s="39">
        <v>5.3333333333333339</v>
      </c>
      <c r="I174" s="39">
        <f t="shared" si="12"/>
        <v>5.6666666666666661</v>
      </c>
      <c r="J174" s="39">
        <v>16</v>
      </c>
      <c r="K174" s="36">
        <f t="shared" si="13"/>
        <v>0.51515151515151514</v>
      </c>
      <c r="L174" s="36">
        <f t="shared" si="14"/>
        <v>0.48484848484848492</v>
      </c>
      <c r="M174" s="36">
        <f t="shared" si="15"/>
        <v>0.8</v>
      </c>
      <c r="N174" s="40">
        <f t="shared" si="16"/>
        <v>0.55500000000000005</v>
      </c>
      <c r="O174" t="str">
        <f t="shared" si="17"/>
        <v>Low Prodcutive</v>
      </c>
      <c r="P174" t="s">
        <v>133</v>
      </c>
    </row>
    <row r="175" spans="1:16" x14ac:dyDescent="0.35">
      <c r="A175" s="37">
        <v>1704124001</v>
      </c>
      <c r="B175" s="37" t="s">
        <v>127</v>
      </c>
      <c r="C175" s="35" t="s">
        <v>18</v>
      </c>
      <c r="D175" s="37" t="s">
        <v>21</v>
      </c>
      <c r="E175" s="38">
        <v>46205</v>
      </c>
      <c r="F175" s="35" t="s">
        <v>4</v>
      </c>
      <c r="G175" s="35">
        <v>11</v>
      </c>
      <c r="H175" s="39">
        <v>2.8333333333333375</v>
      </c>
      <c r="I175" s="39">
        <f t="shared" si="12"/>
        <v>8.1666666666666625</v>
      </c>
      <c r="J175" s="39">
        <v>8.5000000000000124</v>
      </c>
      <c r="K175" s="36">
        <f t="shared" si="13"/>
        <v>0.7424242424242421</v>
      </c>
      <c r="L175" s="36">
        <f t="shared" si="14"/>
        <v>0.25757575757575796</v>
      </c>
      <c r="M175" s="36">
        <f t="shared" si="15"/>
        <v>0.4250000000000006</v>
      </c>
      <c r="N175" s="40">
        <f t="shared" si="16"/>
        <v>0.435</v>
      </c>
      <c r="O175" t="str">
        <f t="shared" si="17"/>
        <v>Low Prodcutive</v>
      </c>
      <c r="P175" t="s">
        <v>133</v>
      </c>
    </row>
    <row r="176" spans="1:16" x14ac:dyDescent="0.35">
      <c r="A176" s="37">
        <v>1704124001</v>
      </c>
      <c r="B176" s="37" t="s">
        <v>127</v>
      </c>
      <c r="C176" s="35" t="s">
        <v>18</v>
      </c>
      <c r="D176" s="37" t="s">
        <v>21</v>
      </c>
      <c r="E176" s="38">
        <v>46207</v>
      </c>
      <c r="F176" s="35" t="s">
        <v>5</v>
      </c>
      <c r="G176" s="35">
        <v>11</v>
      </c>
      <c r="H176" s="39">
        <v>3.799999999999998</v>
      </c>
      <c r="I176" s="39">
        <f t="shared" si="12"/>
        <v>7.200000000000002</v>
      </c>
      <c r="J176" s="39">
        <v>11.399999999999995</v>
      </c>
      <c r="K176" s="36">
        <f t="shared" si="13"/>
        <v>0.65454545454545476</v>
      </c>
      <c r="L176" s="36">
        <f t="shared" si="14"/>
        <v>0.34545454545454529</v>
      </c>
      <c r="M176" s="36">
        <f t="shared" si="15"/>
        <v>0.56999999999999973</v>
      </c>
      <c r="N176" s="40">
        <f t="shared" si="16"/>
        <v>0.48100000000000004</v>
      </c>
      <c r="O176" t="str">
        <f t="shared" si="17"/>
        <v>Low Prodcutive</v>
      </c>
      <c r="P176" t="s">
        <v>133</v>
      </c>
    </row>
    <row r="177" spans="1:16" x14ac:dyDescent="0.35">
      <c r="A177" s="41">
        <v>1704124001</v>
      </c>
      <c r="B177" s="37" t="s">
        <v>127</v>
      </c>
      <c r="C177" s="35" t="s">
        <v>18</v>
      </c>
      <c r="D177" s="37" t="s">
        <v>21</v>
      </c>
      <c r="E177" s="38">
        <v>46208</v>
      </c>
      <c r="F177" s="35" t="s">
        <v>6</v>
      </c>
      <c r="G177" s="35">
        <v>11</v>
      </c>
      <c r="H177" s="39">
        <v>6.0000000000000027</v>
      </c>
      <c r="I177" s="39">
        <f t="shared" si="12"/>
        <v>4.9999999999999973</v>
      </c>
      <c r="J177" s="39">
        <v>18.000000000000007</v>
      </c>
      <c r="K177" s="36">
        <f t="shared" si="13"/>
        <v>0.45454545454545431</v>
      </c>
      <c r="L177" s="36">
        <f t="shared" si="14"/>
        <v>0.54545454545454575</v>
      </c>
      <c r="M177" s="36">
        <f t="shared" si="15"/>
        <v>0.90000000000000036</v>
      </c>
      <c r="N177" s="40">
        <f t="shared" si="16"/>
        <v>0.58599999999999997</v>
      </c>
      <c r="O177" t="str">
        <f t="shared" si="17"/>
        <v>Low Prodcutive</v>
      </c>
      <c r="P177" t="s">
        <v>133</v>
      </c>
    </row>
    <row r="178" spans="1:16" x14ac:dyDescent="0.35">
      <c r="A178" s="37">
        <v>1704124003</v>
      </c>
      <c r="B178" s="37" t="s">
        <v>128</v>
      </c>
      <c r="C178" s="35" t="s">
        <v>18</v>
      </c>
      <c r="D178" s="37" t="s">
        <v>21</v>
      </c>
      <c r="E178" s="38">
        <v>46204</v>
      </c>
      <c r="F178" s="35" t="s">
        <v>3</v>
      </c>
      <c r="G178" s="35">
        <v>11</v>
      </c>
      <c r="H178" s="39">
        <v>3.8166666666666664</v>
      </c>
      <c r="I178" s="39">
        <f t="shared" si="12"/>
        <v>7.1833333333333336</v>
      </c>
      <c r="J178" s="39">
        <v>11.450000000000001</v>
      </c>
      <c r="K178" s="36">
        <f t="shared" si="13"/>
        <v>0.65303030303030307</v>
      </c>
      <c r="L178" s="36">
        <f t="shared" si="14"/>
        <v>0.34696969696969693</v>
      </c>
      <c r="M178" s="36">
        <f t="shared" si="15"/>
        <v>0.57250000000000001</v>
      </c>
      <c r="N178" s="40">
        <f t="shared" si="16"/>
        <v>0.48200000000000004</v>
      </c>
      <c r="O178" t="str">
        <f t="shared" si="17"/>
        <v>Low Prodcutive</v>
      </c>
      <c r="P178" t="s">
        <v>133</v>
      </c>
    </row>
    <row r="179" spans="1:16" x14ac:dyDescent="0.35">
      <c r="A179" s="37">
        <v>1704124003</v>
      </c>
      <c r="B179" s="37" t="s">
        <v>128</v>
      </c>
      <c r="C179" s="35" t="s">
        <v>18</v>
      </c>
      <c r="D179" s="37" t="s">
        <v>21</v>
      </c>
      <c r="E179" s="38">
        <v>46205</v>
      </c>
      <c r="F179" s="35" t="s">
        <v>4</v>
      </c>
      <c r="G179" s="35">
        <v>11</v>
      </c>
      <c r="H179" s="39">
        <v>5.1833333333333336</v>
      </c>
      <c r="I179" s="39">
        <f t="shared" si="12"/>
        <v>5.8166666666666664</v>
      </c>
      <c r="J179" s="39">
        <v>15.55</v>
      </c>
      <c r="K179" s="36">
        <f t="shared" si="13"/>
        <v>0.52878787878787881</v>
      </c>
      <c r="L179" s="36">
        <f t="shared" si="14"/>
        <v>0.47121212121212125</v>
      </c>
      <c r="M179" s="36">
        <f t="shared" si="15"/>
        <v>0.77750000000000008</v>
      </c>
      <c r="N179" s="40">
        <f t="shared" si="16"/>
        <v>0.54700000000000004</v>
      </c>
      <c r="O179" t="str">
        <f t="shared" si="17"/>
        <v>Low Prodcutive</v>
      </c>
      <c r="P179" t="s">
        <v>133</v>
      </c>
    </row>
    <row r="180" spans="1:16" x14ac:dyDescent="0.35">
      <c r="A180" s="37">
        <v>1704124003</v>
      </c>
      <c r="B180" s="37" t="s">
        <v>128</v>
      </c>
      <c r="C180" s="35" t="s">
        <v>18</v>
      </c>
      <c r="D180" s="37" t="s">
        <v>21</v>
      </c>
      <c r="E180" s="38">
        <v>46207</v>
      </c>
      <c r="F180" s="35" t="s">
        <v>5</v>
      </c>
      <c r="G180" s="35">
        <v>11</v>
      </c>
      <c r="H180" s="39">
        <v>7.2333333333333352</v>
      </c>
      <c r="I180" s="39">
        <f t="shared" si="12"/>
        <v>3.7666666666666648</v>
      </c>
      <c r="J180" s="39">
        <v>21.700000000000003</v>
      </c>
      <c r="K180" s="36">
        <f t="shared" si="13"/>
        <v>0.34242424242424224</v>
      </c>
      <c r="L180" s="36">
        <f t="shared" si="14"/>
        <v>0.6575757575757577</v>
      </c>
      <c r="M180" s="36">
        <f t="shared" si="15"/>
        <v>1.0850000000000002</v>
      </c>
      <c r="N180" s="40">
        <f t="shared" si="16"/>
        <v>0.60299999999999998</v>
      </c>
      <c r="O180" t="str">
        <f t="shared" si="17"/>
        <v>productive</v>
      </c>
      <c r="P180" t="s">
        <v>133</v>
      </c>
    </row>
    <row r="181" spans="1:16" x14ac:dyDescent="0.35">
      <c r="A181" s="41">
        <v>1704124003</v>
      </c>
      <c r="B181" s="37" t="s">
        <v>128</v>
      </c>
      <c r="C181" s="35" t="s">
        <v>18</v>
      </c>
      <c r="D181" s="37" t="s">
        <v>21</v>
      </c>
      <c r="E181" s="38">
        <v>46208</v>
      </c>
      <c r="F181" s="35" t="s">
        <v>6</v>
      </c>
      <c r="G181" s="35">
        <v>11</v>
      </c>
      <c r="H181" s="39">
        <v>5.9833333333333298</v>
      </c>
      <c r="I181" s="39">
        <f t="shared" si="12"/>
        <v>5.0166666666666702</v>
      </c>
      <c r="J181" s="39">
        <v>17.949999999999989</v>
      </c>
      <c r="K181" s="36">
        <f t="shared" si="13"/>
        <v>0.45606060606060639</v>
      </c>
      <c r="L181" s="36">
        <f t="shared" si="14"/>
        <v>0.54393939393939361</v>
      </c>
      <c r="M181" s="36">
        <f t="shared" si="15"/>
        <v>0.89749999999999941</v>
      </c>
      <c r="N181" s="40">
        <f t="shared" si="16"/>
        <v>0.58599999999999997</v>
      </c>
      <c r="O181" t="str">
        <f t="shared" si="17"/>
        <v>Low Prodcutive</v>
      </c>
      <c r="P181" t="s">
        <v>133</v>
      </c>
    </row>
    <row r="182" spans="1:16" x14ac:dyDescent="0.35">
      <c r="A182" s="37">
        <v>1704124042</v>
      </c>
      <c r="B182" s="37" t="s">
        <v>129</v>
      </c>
      <c r="C182" s="35" t="s">
        <v>18</v>
      </c>
      <c r="D182" s="37" t="s">
        <v>21</v>
      </c>
      <c r="E182" s="38">
        <v>46204</v>
      </c>
      <c r="F182" s="35" t="s">
        <v>3</v>
      </c>
      <c r="G182" s="35">
        <v>11</v>
      </c>
      <c r="H182" s="39">
        <v>6.8333333333333339</v>
      </c>
      <c r="I182" s="39">
        <f t="shared" si="12"/>
        <v>4.1666666666666661</v>
      </c>
      <c r="J182" s="39">
        <v>20.500000000000007</v>
      </c>
      <c r="K182" s="36">
        <f t="shared" si="13"/>
        <v>0.37878787878787873</v>
      </c>
      <c r="L182" s="36">
        <f t="shared" si="14"/>
        <v>0.62121212121212122</v>
      </c>
      <c r="M182" s="36">
        <f t="shared" si="15"/>
        <v>1.0250000000000004</v>
      </c>
      <c r="N182" s="40">
        <f t="shared" si="16"/>
        <v>0.61399999999999999</v>
      </c>
      <c r="O182" t="str">
        <f t="shared" si="17"/>
        <v>productive</v>
      </c>
      <c r="P182" t="s">
        <v>133</v>
      </c>
    </row>
    <row r="183" spans="1:16" x14ac:dyDescent="0.35">
      <c r="A183" s="37">
        <v>1704124042</v>
      </c>
      <c r="B183" s="37" t="s">
        <v>129</v>
      </c>
      <c r="C183" s="35" t="s">
        <v>18</v>
      </c>
      <c r="D183" s="37" t="s">
        <v>21</v>
      </c>
      <c r="E183" s="38">
        <v>46205</v>
      </c>
      <c r="F183" s="35" t="s">
        <v>4</v>
      </c>
      <c r="G183" s="35">
        <v>11</v>
      </c>
      <c r="H183" s="39">
        <v>7.6666666666666661</v>
      </c>
      <c r="I183" s="39">
        <f t="shared" si="12"/>
        <v>3.3333333333333339</v>
      </c>
      <c r="J183" s="39">
        <v>23</v>
      </c>
      <c r="K183" s="36">
        <f t="shared" si="13"/>
        <v>0.30303030303030309</v>
      </c>
      <c r="L183" s="36">
        <f t="shared" si="14"/>
        <v>0.69696969696969691</v>
      </c>
      <c r="M183" s="36">
        <f t="shared" si="15"/>
        <v>1.1499999999999999</v>
      </c>
      <c r="N183" s="40">
        <f t="shared" si="16"/>
        <v>0.59099999999999997</v>
      </c>
      <c r="O183" t="str">
        <f t="shared" si="17"/>
        <v>Low Prodcutive</v>
      </c>
      <c r="P183" t="s">
        <v>133</v>
      </c>
    </row>
    <row r="184" spans="1:16" x14ac:dyDescent="0.35">
      <c r="A184" s="37">
        <v>1704124042</v>
      </c>
      <c r="B184" s="37" t="s">
        <v>129</v>
      </c>
      <c r="C184" s="35" t="s">
        <v>18</v>
      </c>
      <c r="D184" s="37" t="s">
        <v>21</v>
      </c>
      <c r="E184" s="38">
        <v>46207</v>
      </c>
      <c r="F184" s="35" t="s">
        <v>5</v>
      </c>
      <c r="G184" s="35">
        <v>11</v>
      </c>
      <c r="H184" s="39">
        <v>7.9999999999999929</v>
      </c>
      <c r="I184" s="39">
        <f t="shared" si="12"/>
        <v>3.0000000000000071</v>
      </c>
      <c r="J184" s="39">
        <v>21</v>
      </c>
      <c r="K184" s="36">
        <f t="shared" si="13"/>
        <v>0.27272727272727337</v>
      </c>
      <c r="L184" s="36">
        <f t="shared" si="14"/>
        <v>0.72727272727272663</v>
      </c>
      <c r="M184" s="36">
        <f t="shared" si="15"/>
        <v>1.05</v>
      </c>
      <c r="N184" s="40">
        <f t="shared" si="16"/>
        <v>0.58200000000000007</v>
      </c>
      <c r="O184" t="str">
        <f t="shared" si="17"/>
        <v>Low Prodcutive</v>
      </c>
      <c r="P184" t="s">
        <v>133</v>
      </c>
    </row>
    <row r="185" spans="1:16" x14ac:dyDescent="0.35">
      <c r="A185" s="41">
        <v>1704124042</v>
      </c>
      <c r="B185" s="37" t="s">
        <v>129</v>
      </c>
      <c r="C185" s="35" t="s">
        <v>18</v>
      </c>
      <c r="D185" s="37" t="s">
        <v>21</v>
      </c>
      <c r="E185" s="38">
        <v>46208</v>
      </c>
      <c r="F185" s="35" t="s">
        <v>6</v>
      </c>
      <c r="G185" s="35">
        <v>11</v>
      </c>
      <c r="H185" s="39">
        <v>2.8333333333333339</v>
      </c>
      <c r="I185" s="39">
        <f t="shared" si="12"/>
        <v>8.1666666666666661</v>
      </c>
      <c r="J185" s="39">
        <v>8.5000000000000018</v>
      </c>
      <c r="K185" s="36">
        <f t="shared" si="13"/>
        <v>0.74242424242424232</v>
      </c>
      <c r="L185" s="36">
        <f t="shared" si="14"/>
        <v>0.25757575757575762</v>
      </c>
      <c r="M185" s="36">
        <f t="shared" si="15"/>
        <v>0.4250000000000001</v>
      </c>
      <c r="N185" s="40">
        <f t="shared" si="16"/>
        <v>0.435</v>
      </c>
      <c r="O185" t="str">
        <f t="shared" si="17"/>
        <v>Low Prodcutive</v>
      </c>
      <c r="P185" t="s">
        <v>133</v>
      </c>
    </row>
    <row r="186" spans="1:16" x14ac:dyDescent="0.35">
      <c r="A186" s="37">
        <v>1748464976</v>
      </c>
      <c r="B186" s="37" t="s">
        <v>130</v>
      </c>
      <c r="C186" s="35" t="s">
        <v>18</v>
      </c>
      <c r="D186" s="37" t="s">
        <v>21</v>
      </c>
      <c r="E186" s="38">
        <v>46205</v>
      </c>
      <c r="F186" s="35" t="s">
        <v>4</v>
      </c>
      <c r="G186" s="35">
        <v>11</v>
      </c>
      <c r="H186" s="39">
        <v>2.8333333333333273</v>
      </c>
      <c r="I186" s="39">
        <f t="shared" si="12"/>
        <v>8.1666666666666732</v>
      </c>
      <c r="J186" s="39">
        <v>8.4999999999999822</v>
      </c>
      <c r="K186" s="36">
        <f t="shared" si="13"/>
        <v>0.74242424242424299</v>
      </c>
      <c r="L186" s="36">
        <f t="shared" si="14"/>
        <v>0.25757575757575701</v>
      </c>
      <c r="M186" s="36">
        <f t="shared" si="15"/>
        <v>0.4249999999999991</v>
      </c>
      <c r="N186" s="40">
        <f t="shared" si="16"/>
        <v>0.435</v>
      </c>
      <c r="O186" t="str">
        <f t="shared" si="17"/>
        <v>Low Prodcutive</v>
      </c>
      <c r="P186" t="s">
        <v>133</v>
      </c>
    </row>
    <row r="187" spans="1:16" x14ac:dyDescent="0.35">
      <c r="A187" s="37">
        <v>1748464976</v>
      </c>
      <c r="B187" s="37" t="s">
        <v>130</v>
      </c>
      <c r="C187" s="35" t="s">
        <v>18</v>
      </c>
      <c r="D187" s="37" t="s">
        <v>21</v>
      </c>
      <c r="E187" s="38">
        <v>46207</v>
      </c>
      <c r="F187" s="35" t="s">
        <v>5</v>
      </c>
      <c r="G187" s="35">
        <v>11</v>
      </c>
      <c r="H187" s="39">
        <v>4.1666666666666661</v>
      </c>
      <c r="I187" s="39">
        <f t="shared" si="12"/>
        <v>6.8333333333333339</v>
      </c>
      <c r="J187" s="39">
        <v>12.499999999999998</v>
      </c>
      <c r="K187" s="36">
        <f t="shared" si="13"/>
        <v>0.62121212121212122</v>
      </c>
      <c r="L187" s="36">
        <f t="shared" si="14"/>
        <v>0.37878787878787873</v>
      </c>
      <c r="M187" s="36">
        <f t="shared" si="15"/>
        <v>0.62499999999999989</v>
      </c>
      <c r="N187" s="40">
        <f t="shared" si="16"/>
        <v>0.499</v>
      </c>
      <c r="O187" t="str">
        <f t="shared" si="17"/>
        <v>Low Prodcutive</v>
      </c>
      <c r="P187" t="s">
        <v>133</v>
      </c>
    </row>
    <row r="188" spans="1:16" x14ac:dyDescent="0.35">
      <c r="A188" s="41">
        <v>1748464976</v>
      </c>
      <c r="B188" s="37" t="s">
        <v>130</v>
      </c>
      <c r="C188" s="35" t="s">
        <v>18</v>
      </c>
      <c r="D188" s="37" t="s">
        <v>21</v>
      </c>
      <c r="E188" s="38">
        <v>46208</v>
      </c>
      <c r="F188" s="35" t="s">
        <v>6</v>
      </c>
      <c r="G188" s="35">
        <v>11</v>
      </c>
      <c r="H188" s="39">
        <v>7.5</v>
      </c>
      <c r="I188" s="39">
        <f t="shared" si="12"/>
        <v>3.5</v>
      </c>
      <c r="J188" s="39">
        <v>22.5</v>
      </c>
      <c r="K188" s="36">
        <f t="shared" si="13"/>
        <v>0.31818181818181818</v>
      </c>
      <c r="L188" s="36">
        <f t="shared" si="14"/>
        <v>0.68181818181818177</v>
      </c>
      <c r="M188" s="36">
        <f t="shared" si="15"/>
        <v>1.125</v>
      </c>
      <c r="N188" s="40">
        <f t="shared" si="16"/>
        <v>0.59499999999999997</v>
      </c>
      <c r="O188" t="str">
        <f t="shared" si="17"/>
        <v>Low Prodcutive</v>
      </c>
      <c r="P188" t="s">
        <v>133</v>
      </c>
    </row>
    <row r="189" spans="1:16" x14ac:dyDescent="0.35">
      <c r="A189" s="18"/>
      <c r="B189" s="18"/>
      <c r="C189" s="20"/>
      <c r="D189" s="18"/>
      <c r="E189" s="26"/>
      <c r="F189" s="20"/>
      <c r="G189" s="20"/>
      <c r="H189" s="21"/>
      <c r="I189" s="21"/>
      <c r="J189" s="21"/>
      <c r="K189" s="22"/>
      <c r="L189" s="22"/>
      <c r="M189" s="22"/>
      <c r="N189" s="22"/>
      <c r="O189" s="20"/>
      <c r="P189" s="20"/>
    </row>
    <row r="190" spans="1:16" x14ac:dyDescent="0.35">
      <c r="A190" s="18"/>
      <c r="B190" s="18"/>
      <c r="C190" s="20"/>
      <c r="D190" s="18"/>
      <c r="E190" s="26"/>
      <c r="F190" s="20"/>
      <c r="G190" s="20"/>
      <c r="H190" s="21"/>
      <c r="I190" s="21"/>
      <c r="J190" s="21"/>
      <c r="K190" s="22"/>
      <c r="L190" s="22"/>
      <c r="M190" s="22"/>
      <c r="N190" s="22"/>
      <c r="O190" s="20"/>
      <c r="P190" s="20"/>
    </row>
    <row r="191" spans="1:16" x14ac:dyDescent="0.35">
      <c r="A191" s="18"/>
      <c r="B191" s="18"/>
      <c r="C191" s="20"/>
      <c r="D191" s="18"/>
      <c r="E191" s="26"/>
      <c r="F191" s="20"/>
      <c r="G191" s="20"/>
      <c r="H191" s="21"/>
      <c r="I191" s="21"/>
      <c r="J191" s="21"/>
      <c r="K191" s="22"/>
      <c r="L191" s="22"/>
      <c r="M191" s="22"/>
      <c r="N191" s="22"/>
      <c r="O191" s="20"/>
      <c r="P191" s="20"/>
    </row>
    <row r="192" spans="1:16" x14ac:dyDescent="0.35">
      <c r="A192" s="18"/>
      <c r="B192" s="18"/>
      <c r="C192" s="20"/>
      <c r="D192" s="18"/>
      <c r="E192" s="26"/>
      <c r="F192" s="20"/>
      <c r="G192" s="20"/>
      <c r="H192" s="21"/>
      <c r="I192" s="21"/>
      <c r="J192" s="21"/>
      <c r="K192" s="22"/>
      <c r="L192" s="22"/>
      <c r="M192" s="22"/>
      <c r="N192" s="22"/>
      <c r="O192" s="20"/>
      <c r="P192" s="20"/>
    </row>
    <row r="193" spans="1:16" x14ac:dyDescent="0.35">
      <c r="A193" s="18"/>
      <c r="B193" s="18"/>
      <c r="C193" s="20"/>
      <c r="D193" s="18"/>
      <c r="E193" s="26"/>
      <c r="F193" s="20"/>
      <c r="G193" s="20"/>
      <c r="H193" s="21"/>
      <c r="I193" s="21"/>
      <c r="J193" s="21"/>
      <c r="K193" s="22"/>
      <c r="L193" s="22"/>
      <c r="M193" s="22"/>
      <c r="N193" s="22"/>
      <c r="O193" s="20"/>
      <c r="P193" s="20"/>
    </row>
    <row r="194" spans="1:16" x14ac:dyDescent="0.35">
      <c r="A194" s="18"/>
      <c r="B194" s="18"/>
      <c r="C194" s="20"/>
      <c r="D194" s="18"/>
      <c r="E194" s="26"/>
      <c r="F194" s="20"/>
      <c r="G194" s="20"/>
      <c r="H194" s="21"/>
      <c r="I194" s="21"/>
      <c r="J194" s="21"/>
      <c r="K194" s="22"/>
      <c r="L194" s="22"/>
      <c r="M194" s="22"/>
      <c r="N194" s="22"/>
      <c r="O194" s="20"/>
      <c r="P194" s="20"/>
    </row>
    <row r="195" spans="1:16" x14ac:dyDescent="0.35">
      <c r="A195" s="18"/>
      <c r="B195" s="18"/>
      <c r="C195" s="20"/>
      <c r="D195" s="18"/>
      <c r="E195" s="26"/>
      <c r="F195" s="20"/>
      <c r="G195" s="20"/>
      <c r="H195" s="21"/>
      <c r="I195" s="21"/>
      <c r="J195" s="21"/>
      <c r="K195" s="22"/>
      <c r="L195" s="22"/>
      <c r="M195" s="22"/>
      <c r="N195" s="22"/>
      <c r="O195" s="20"/>
      <c r="P195" s="20"/>
    </row>
    <row r="196" spans="1:16" x14ac:dyDescent="0.35">
      <c r="A196" s="18"/>
      <c r="B196" s="18"/>
      <c r="C196" s="20"/>
      <c r="D196" s="18"/>
      <c r="E196" s="26"/>
      <c r="F196" s="20"/>
      <c r="G196" s="20"/>
      <c r="H196" s="21"/>
      <c r="I196" s="21"/>
      <c r="J196" s="21"/>
      <c r="K196" s="22"/>
      <c r="L196" s="22"/>
      <c r="M196" s="22"/>
      <c r="N196" s="22"/>
      <c r="O196" s="20"/>
      <c r="P196" s="20"/>
    </row>
    <row r="197" spans="1:16" x14ac:dyDescent="0.35">
      <c r="A197" s="18"/>
      <c r="B197" s="18"/>
      <c r="C197" s="20"/>
      <c r="D197" s="18"/>
      <c r="E197" s="26"/>
      <c r="F197" s="20"/>
      <c r="G197" s="20"/>
      <c r="H197" s="21"/>
      <c r="I197" s="21"/>
      <c r="J197" s="21"/>
      <c r="K197" s="22"/>
      <c r="L197" s="22"/>
      <c r="M197" s="22"/>
      <c r="N197" s="22"/>
      <c r="O197" s="20"/>
      <c r="P197" s="20"/>
    </row>
    <row r="198" spans="1:16" x14ac:dyDescent="0.35">
      <c r="A198" s="18"/>
      <c r="B198" s="18"/>
      <c r="C198" s="20"/>
      <c r="D198" s="18"/>
      <c r="E198" s="26"/>
      <c r="F198" s="20"/>
      <c r="G198" s="20"/>
      <c r="H198" s="21"/>
      <c r="I198" s="21"/>
      <c r="J198" s="21"/>
      <c r="K198" s="22"/>
      <c r="L198" s="22"/>
      <c r="M198" s="22"/>
      <c r="N198" s="22"/>
      <c r="O198" s="20"/>
      <c r="P198" s="20"/>
    </row>
    <row r="199" spans="1:16" x14ac:dyDescent="0.35">
      <c r="A199" s="18"/>
      <c r="B199" s="18"/>
      <c r="C199" s="20"/>
      <c r="D199" s="18"/>
      <c r="E199" s="26"/>
      <c r="F199" s="20"/>
      <c r="G199" s="20"/>
      <c r="H199" s="21"/>
      <c r="I199" s="21"/>
      <c r="J199" s="21"/>
      <c r="K199" s="22"/>
      <c r="L199" s="22"/>
      <c r="M199" s="22"/>
      <c r="N199" s="22"/>
      <c r="O199" s="20"/>
      <c r="P199" s="20"/>
    </row>
    <row r="200" spans="1:16" x14ac:dyDescent="0.35">
      <c r="A200" s="18"/>
      <c r="B200" s="18"/>
      <c r="C200" s="20"/>
      <c r="D200" s="18"/>
      <c r="E200" s="26"/>
      <c r="F200" s="20"/>
      <c r="G200" s="20"/>
      <c r="H200" s="21"/>
      <c r="I200" s="21"/>
      <c r="J200" s="21"/>
      <c r="K200" s="22"/>
      <c r="L200" s="22"/>
      <c r="M200" s="22"/>
      <c r="N200" s="22"/>
      <c r="O200" s="20"/>
      <c r="P200" s="20"/>
    </row>
    <row r="201" spans="1:16" x14ac:dyDescent="0.35">
      <c r="A201" s="18"/>
      <c r="B201" s="18"/>
      <c r="C201" s="20"/>
      <c r="D201" s="18"/>
      <c r="E201" s="26"/>
      <c r="F201" s="20"/>
      <c r="G201" s="20"/>
      <c r="H201" s="21"/>
      <c r="I201" s="21"/>
      <c r="J201" s="21"/>
      <c r="K201" s="22"/>
      <c r="L201" s="22"/>
      <c r="M201" s="22"/>
      <c r="N201" s="22"/>
      <c r="O201" s="20"/>
      <c r="P201" s="20"/>
    </row>
    <row r="202" spans="1:16" x14ac:dyDescent="0.35">
      <c r="A202" s="18"/>
      <c r="B202" s="18"/>
      <c r="C202" s="20"/>
      <c r="D202" s="18"/>
      <c r="E202" s="26"/>
      <c r="F202" s="20"/>
      <c r="G202" s="20"/>
      <c r="H202" s="21"/>
      <c r="I202" s="21"/>
      <c r="J202" s="21"/>
      <c r="K202" s="22"/>
      <c r="L202" s="22"/>
      <c r="M202" s="22"/>
      <c r="N202" s="22"/>
      <c r="O202" s="20"/>
      <c r="P202" s="20"/>
    </row>
    <row r="203" spans="1:16" x14ac:dyDescent="0.35">
      <c r="A203" s="18"/>
      <c r="B203" s="18"/>
      <c r="C203" s="20"/>
      <c r="D203" s="18"/>
      <c r="E203" s="26"/>
      <c r="F203" s="20"/>
      <c r="G203" s="20"/>
      <c r="H203" s="21"/>
      <c r="I203" s="21"/>
      <c r="J203" s="21"/>
      <c r="K203" s="22"/>
      <c r="L203" s="22"/>
      <c r="M203" s="22"/>
      <c r="N203" s="22"/>
      <c r="O203" s="20"/>
      <c r="P203" s="20"/>
    </row>
    <row r="204" spans="1:16" x14ac:dyDescent="0.35">
      <c r="A204" s="18"/>
      <c r="B204" s="18"/>
      <c r="C204" s="20"/>
      <c r="D204" s="18"/>
      <c r="E204" s="26"/>
      <c r="F204" s="20"/>
      <c r="G204" s="20"/>
      <c r="H204" s="21"/>
      <c r="I204" s="21"/>
      <c r="J204" s="21"/>
      <c r="K204" s="22"/>
      <c r="L204" s="22"/>
      <c r="M204" s="22"/>
      <c r="N204" s="22"/>
      <c r="O204" s="20"/>
      <c r="P204" s="20"/>
    </row>
    <row r="205" spans="1:16" x14ac:dyDescent="0.35">
      <c r="A205" s="18"/>
      <c r="B205" s="18"/>
      <c r="C205" s="20"/>
      <c r="D205" s="18"/>
      <c r="E205" s="26"/>
      <c r="F205" s="20"/>
      <c r="G205" s="20"/>
      <c r="H205" s="21"/>
      <c r="I205" s="21"/>
      <c r="J205" s="21"/>
      <c r="K205" s="22"/>
      <c r="L205" s="22"/>
      <c r="M205" s="22"/>
      <c r="N205" s="22"/>
      <c r="O205" s="20"/>
      <c r="P205" s="20"/>
    </row>
    <row r="206" spans="1:16" x14ac:dyDescent="0.35">
      <c r="A206" s="18"/>
      <c r="B206" s="18"/>
      <c r="C206" s="20"/>
      <c r="D206" s="18"/>
      <c r="E206" s="26"/>
      <c r="F206" s="20"/>
      <c r="G206" s="20"/>
      <c r="H206" s="21"/>
      <c r="I206" s="21"/>
      <c r="J206" s="21"/>
      <c r="K206" s="22"/>
      <c r="L206" s="22"/>
      <c r="M206" s="22"/>
      <c r="N206" s="22"/>
      <c r="O206" s="20"/>
      <c r="P206" s="20"/>
    </row>
    <row r="207" spans="1:16" x14ac:dyDescent="0.35">
      <c r="A207" s="18"/>
      <c r="B207" s="18"/>
      <c r="C207" s="20"/>
      <c r="D207" s="18"/>
      <c r="E207" s="26"/>
      <c r="F207" s="20"/>
      <c r="G207" s="20"/>
      <c r="H207" s="21"/>
      <c r="I207" s="21"/>
      <c r="J207" s="21"/>
      <c r="K207" s="22"/>
      <c r="L207" s="22"/>
      <c r="M207" s="22"/>
      <c r="N207" s="22"/>
      <c r="O207" s="20"/>
      <c r="P207" s="20"/>
    </row>
    <row r="208" spans="1:16" x14ac:dyDescent="0.35">
      <c r="A208" s="18"/>
      <c r="B208" s="18"/>
      <c r="C208" s="20"/>
      <c r="D208" s="18"/>
      <c r="E208" s="26"/>
      <c r="F208" s="20"/>
      <c r="G208" s="20"/>
      <c r="H208" s="21"/>
      <c r="I208" s="21"/>
      <c r="J208" s="21"/>
      <c r="K208" s="22"/>
      <c r="L208" s="22"/>
      <c r="M208" s="22"/>
      <c r="N208" s="22"/>
      <c r="O208" s="20"/>
      <c r="P208" s="20"/>
    </row>
    <row r="209" spans="1:16" x14ac:dyDescent="0.35">
      <c r="A209" s="18"/>
      <c r="B209" s="18"/>
      <c r="C209" s="20"/>
      <c r="D209" s="18"/>
      <c r="E209" s="26"/>
      <c r="F209" s="20"/>
      <c r="G209" s="20"/>
      <c r="H209" s="21"/>
      <c r="I209" s="21"/>
      <c r="J209" s="21"/>
      <c r="K209" s="22"/>
      <c r="L209" s="22"/>
      <c r="M209" s="22"/>
      <c r="N209" s="22"/>
      <c r="O209" s="20"/>
      <c r="P209" s="20"/>
    </row>
    <row r="210" spans="1:16" x14ac:dyDescent="0.35">
      <c r="A210" s="18"/>
      <c r="B210" s="18"/>
      <c r="C210" s="20"/>
      <c r="D210" s="18"/>
      <c r="E210" s="26"/>
      <c r="F210" s="20"/>
      <c r="G210" s="20"/>
      <c r="H210" s="21"/>
      <c r="I210" s="21"/>
      <c r="J210" s="21"/>
      <c r="K210" s="22"/>
      <c r="L210" s="22"/>
      <c r="M210" s="22"/>
      <c r="N210" s="22"/>
      <c r="O210" s="20"/>
      <c r="P210" s="20"/>
    </row>
    <row r="211" spans="1:16" x14ac:dyDescent="0.35">
      <c r="A211" s="18"/>
      <c r="B211" s="18"/>
      <c r="C211" s="20"/>
      <c r="D211" s="18"/>
      <c r="E211" s="26"/>
      <c r="F211" s="20"/>
      <c r="G211" s="20"/>
      <c r="H211" s="21"/>
      <c r="I211" s="21"/>
      <c r="J211" s="21"/>
      <c r="K211" s="22"/>
      <c r="L211" s="22"/>
      <c r="M211" s="22"/>
      <c r="N211" s="22"/>
      <c r="O211" s="20"/>
      <c r="P211" s="20"/>
    </row>
    <row r="212" spans="1:16" x14ac:dyDescent="0.35">
      <c r="A212" s="18"/>
      <c r="B212" s="18"/>
      <c r="C212" s="20"/>
      <c r="D212" s="18"/>
      <c r="E212" s="26"/>
      <c r="F212" s="20"/>
      <c r="G212" s="20"/>
      <c r="H212" s="21"/>
      <c r="I212" s="21"/>
      <c r="J212" s="21"/>
      <c r="K212" s="22"/>
      <c r="L212" s="22"/>
      <c r="M212" s="22"/>
      <c r="N212" s="22"/>
      <c r="O212" s="20"/>
      <c r="P212" s="20"/>
    </row>
    <row r="213" spans="1:16" x14ac:dyDescent="0.35">
      <c r="A213" s="18"/>
      <c r="B213" s="18"/>
      <c r="C213" s="20"/>
      <c r="D213" s="18"/>
      <c r="E213" s="26"/>
      <c r="F213" s="20"/>
      <c r="G213" s="20"/>
      <c r="H213" s="21"/>
      <c r="I213" s="21"/>
      <c r="J213" s="21"/>
      <c r="K213" s="22"/>
      <c r="L213" s="22"/>
      <c r="M213" s="22"/>
      <c r="N213" s="22"/>
      <c r="O213" s="20"/>
      <c r="P213" s="20"/>
    </row>
    <row r="214" spans="1:16" x14ac:dyDescent="0.35">
      <c r="A214" s="18"/>
      <c r="B214" s="18"/>
      <c r="C214" s="20"/>
      <c r="D214" s="18"/>
      <c r="E214" s="26"/>
      <c r="F214" s="20"/>
      <c r="G214" s="20"/>
      <c r="H214" s="21"/>
      <c r="I214" s="21"/>
      <c r="J214" s="21"/>
      <c r="K214" s="22"/>
      <c r="L214" s="22"/>
      <c r="M214" s="22"/>
      <c r="N214" s="22"/>
      <c r="O214" s="20"/>
      <c r="P214" s="20"/>
    </row>
    <row r="215" spans="1:16" x14ac:dyDescent="0.35">
      <c r="A215" s="18"/>
      <c r="B215" s="18"/>
      <c r="C215" s="20"/>
      <c r="D215" s="18"/>
      <c r="E215" s="26"/>
      <c r="F215" s="20"/>
      <c r="G215" s="20"/>
      <c r="H215" s="21"/>
      <c r="I215" s="21"/>
      <c r="J215" s="21"/>
      <c r="K215" s="22"/>
      <c r="L215" s="22"/>
      <c r="M215" s="22"/>
      <c r="N215" s="22"/>
      <c r="O215" s="20"/>
      <c r="P215" s="20"/>
    </row>
    <row r="216" spans="1:16" x14ac:dyDescent="0.35">
      <c r="A216" s="18"/>
      <c r="B216" s="18"/>
      <c r="C216" s="20"/>
      <c r="D216" s="18"/>
      <c r="E216" s="26"/>
      <c r="F216" s="20"/>
      <c r="G216" s="20"/>
      <c r="H216" s="21"/>
      <c r="I216" s="21"/>
      <c r="J216" s="21"/>
      <c r="K216" s="22"/>
      <c r="L216" s="22"/>
      <c r="M216" s="22"/>
      <c r="N216" s="22"/>
      <c r="O216" s="20"/>
      <c r="P216" s="20"/>
    </row>
    <row r="217" spans="1:16" x14ac:dyDescent="0.35">
      <c r="A217" s="18"/>
      <c r="B217" s="18"/>
      <c r="C217" s="20"/>
      <c r="D217" s="18"/>
      <c r="E217" s="26"/>
      <c r="F217" s="20"/>
      <c r="G217" s="20"/>
      <c r="H217" s="21"/>
      <c r="I217" s="21"/>
      <c r="J217" s="21"/>
      <c r="K217" s="22"/>
      <c r="L217" s="22"/>
      <c r="M217" s="22"/>
      <c r="N217" s="22"/>
      <c r="O217" s="20"/>
      <c r="P217" s="20"/>
    </row>
    <row r="218" spans="1:16" x14ac:dyDescent="0.35">
      <c r="A218" s="18"/>
      <c r="B218" s="18"/>
      <c r="C218" s="20"/>
      <c r="D218" s="18"/>
      <c r="E218" s="26"/>
      <c r="F218" s="20"/>
      <c r="G218" s="20"/>
      <c r="H218" s="21"/>
      <c r="I218" s="21"/>
      <c r="J218" s="21"/>
      <c r="K218" s="22"/>
      <c r="L218" s="22"/>
      <c r="M218" s="22"/>
      <c r="N218" s="22"/>
      <c r="O218" s="20"/>
      <c r="P218" s="20"/>
    </row>
    <row r="219" spans="1:16" x14ac:dyDescent="0.35">
      <c r="A219" s="18"/>
      <c r="B219" s="18"/>
      <c r="C219" s="20"/>
      <c r="D219" s="18"/>
      <c r="E219" s="26"/>
      <c r="F219" s="20"/>
      <c r="G219" s="20"/>
      <c r="H219" s="21"/>
      <c r="I219" s="21"/>
      <c r="J219" s="21"/>
      <c r="K219" s="22"/>
      <c r="L219" s="22"/>
      <c r="M219" s="22"/>
      <c r="N219" s="22"/>
      <c r="O219" s="20"/>
      <c r="P219" s="20"/>
    </row>
    <row r="220" spans="1:16" x14ac:dyDescent="0.35">
      <c r="A220" s="18"/>
      <c r="B220" s="18"/>
      <c r="C220" s="20"/>
      <c r="D220" s="18"/>
      <c r="E220" s="26"/>
      <c r="F220" s="20"/>
      <c r="G220" s="20"/>
      <c r="H220" s="21"/>
      <c r="I220" s="21"/>
      <c r="J220" s="21"/>
      <c r="K220" s="22"/>
      <c r="L220" s="22"/>
      <c r="M220" s="22"/>
      <c r="N220" s="22"/>
      <c r="O220" s="20"/>
      <c r="P220" s="20"/>
    </row>
    <row r="221" spans="1:16" x14ac:dyDescent="0.35">
      <c r="A221" s="18"/>
      <c r="B221" s="18"/>
      <c r="C221" s="20"/>
      <c r="D221" s="18"/>
      <c r="E221" s="26"/>
      <c r="F221" s="20"/>
      <c r="G221" s="20"/>
      <c r="H221" s="21"/>
      <c r="I221" s="21"/>
      <c r="J221" s="21"/>
      <c r="K221" s="22"/>
      <c r="L221" s="22"/>
      <c r="M221" s="22"/>
      <c r="N221" s="22"/>
      <c r="O221" s="20"/>
      <c r="P221" s="20"/>
    </row>
    <row r="222" spans="1:16" x14ac:dyDescent="0.35">
      <c r="A222" s="18"/>
      <c r="B222" s="18"/>
      <c r="C222" s="20"/>
      <c r="D222" s="18"/>
      <c r="E222" s="26"/>
      <c r="F222" s="20"/>
      <c r="G222" s="20"/>
      <c r="H222" s="21"/>
      <c r="I222" s="21"/>
      <c r="J222" s="21"/>
      <c r="K222" s="22"/>
      <c r="L222" s="22"/>
      <c r="M222" s="22"/>
      <c r="N222" s="22"/>
      <c r="O222" s="20"/>
      <c r="P222" s="20"/>
    </row>
    <row r="223" spans="1:16" x14ac:dyDescent="0.35">
      <c r="A223" s="18"/>
      <c r="B223" s="18"/>
      <c r="C223" s="20"/>
      <c r="D223" s="18"/>
      <c r="E223" s="26"/>
      <c r="F223" s="20"/>
      <c r="G223" s="20"/>
      <c r="H223" s="21"/>
      <c r="I223" s="21"/>
      <c r="J223" s="21"/>
      <c r="K223" s="22"/>
      <c r="L223" s="22"/>
      <c r="M223" s="22"/>
      <c r="N223" s="22"/>
      <c r="O223" s="20"/>
      <c r="P223" s="20"/>
    </row>
    <row r="224" spans="1:16" x14ac:dyDescent="0.35">
      <c r="A224" s="18"/>
      <c r="B224" s="18"/>
      <c r="C224" s="20"/>
      <c r="D224" s="18"/>
      <c r="E224" s="26"/>
      <c r="F224" s="20"/>
      <c r="G224" s="20"/>
      <c r="H224" s="21"/>
      <c r="I224" s="21"/>
      <c r="J224" s="21"/>
      <c r="K224" s="22"/>
      <c r="L224" s="22"/>
      <c r="M224" s="22"/>
      <c r="N224" s="22"/>
      <c r="O224" s="20"/>
      <c r="P224" s="20"/>
    </row>
    <row r="225" spans="1:16" x14ac:dyDescent="0.35">
      <c r="A225" s="18"/>
      <c r="B225" s="18"/>
      <c r="C225" s="20"/>
      <c r="D225" s="18"/>
      <c r="E225" s="26"/>
      <c r="F225" s="20"/>
      <c r="G225" s="20"/>
      <c r="H225" s="21"/>
      <c r="I225" s="21"/>
      <c r="J225" s="21"/>
      <c r="K225" s="22"/>
      <c r="L225" s="22"/>
      <c r="M225" s="22"/>
      <c r="N225" s="22"/>
      <c r="O225" s="20"/>
      <c r="P225" s="20"/>
    </row>
    <row r="226" spans="1:16" x14ac:dyDescent="0.35">
      <c r="A226" s="18"/>
      <c r="B226" s="18"/>
      <c r="C226" s="20"/>
      <c r="D226" s="18"/>
      <c r="E226" s="26"/>
      <c r="F226" s="20"/>
      <c r="G226" s="20"/>
      <c r="H226" s="21"/>
      <c r="I226" s="21"/>
      <c r="J226" s="21"/>
      <c r="K226" s="22"/>
      <c r="L226" s="22"/>
      <c r="M226" s="22"/>
      <c r="N226" s="22"/>
      <c r="O226" s="20"/>
      <c r="P226" s="20"/>
    </row>
    <row r="227" spans="1:16" x14ac:dyDescent="0.35">
      <c r="A227" s="18"/>
      <c r="B227" s="18"/>
      <c r="C227" s="20"/>
      <c r="D227" s="18"/>
      <c r="E227" s="26"/>
      <c r="F227" s="20"/>
      <c r="G227" s="20"/>
      <c r="H227" s="21"/>
      <c r="I227" s="21"/>
      <c r="J227" s="21"/>
      <c r="K227" s="22"/>
      <c r="L227" s="22"/>
      <c r="M227" s="22"/>
      <c r="N227" s="22"/>
      <c r="O227" s="20"/>
      <c r="P227" s="20"/>
    </row>
    <row r="228" spans="1:16" x14ac:dyDescent="0.35">
      <c r="A228" s="18"/>
      <c r="B228" s="18"/>
      <c r="C228" s="20"/>
      <c r="D228" s="18"/>
      <c r="E228" s="26"/>
      <c r="F228" s="20"/>
      <c r="G228" s="20"/>
      <c r="H228" s="21"/>
      <c r="I228" s="21"/>
      <c r="J228" s="21"/>
      <c r="K228" s="22"/>
      <c r="L228" s="22"/>
      <c r="M228" s="22"/>
      <c r="N228" s="22"/>
      <c r="O228" s="20"/>
      <c r="P228" s="20"/>
    </row>
    <row r="229" spans="1:16" x14ac:dyDescent="0.35">
      <c r="A229" s="18"/>
      <c r="B229" s="18"/>
      <c r="C229" s="20"/>
      <c r="D229" s="18"/>
      <c r="E229" s="26"/>
      <c r="F229" s="20"/>
      <c r="G229" s="20"/>
      <c r="H229" s="21"/>
      <c r="I229" s="21"/>
      <c r="J229" s="21"/>
      <c r="K229" s="22"/>
      <c r="L229" s="22"/>
      <c r="M229" s="22"/>
      <c r="N229" s="22"/>
      <c r="O229" s="20"/>
      <c r="P229" s="20"/>
    </row>
    <row r="230" spans="1:16" x14ac:dyDescent="0.35">
      <c r="A230" s="18"/>
      <c r="B230" s="18"/>
      <c r="C230" s="20"/>
      <c r="D230" s="18"/>
      <c r="E230" s="26"/>
      <c r="F230" s="20"/>
      <c r="G230" s="20"/>
      <c r="H230" s="21"/>
      <c r="I230" s="21"/>
      <c r="J230" s="21"/>
      <c r="K230" s="22"/>
      <c r="L230" s="22"/>
      <c r="M230" s="22"/>
      <c r="N230" s="22"/>
      <c r="O230" s="20"/>
      <c r="P230" s="20"/>
    </row>
    <row r="231" spans="1:16" x14ac:dyDescent="0.35">
      <c r="A231" s="18"/>
      <c r="B231" s="18"/>
      <c r="C231" s="20"/>
      <c r="D231" s="18"/>
      <c r="E231" s="26"/>
      <c r="F231" s="20"/>
      <c r="G231" s="20"/>
      <c r="H231" s="21"/>
      <c r="I231" s="21"/>
      <c r="J231" s="21"/>
      <c r="K231" s="22"/>
      <c r="L231" s="22"/>
      <c r="M231" s="22"/>
      <c r="N231" s="22"/>
      <c r="O231" s="20"/>
      <c r="P231" s="20"/>
    </row>
    <row r="232" spans="1:16" x14ac:dyDescent="0.35">
      <c r="A232" s="18"/>
      <c r="B232" s="18"/>
      <c r="C232" s="20"/>
      <c r="D232" s="18"/>
      <c r="E232" s="26"/>
      <c r="F232" s="20"/>
      <c r="G232" s="20"/>
      <c r="H232" s="21"/>
      <c r="I232" s="21"/>
      <c r="J232" s="21"/>
      <c r="K232" s="22"/>
      <c r="L232" s="22"/>
      <c r="M232" s="22"/>
      <c r="N232" s="22"/>
      <c r="O232" s="20"/>
      <c r="P232" s="20"/>
    </row>
    <row r="233" spans="1:16" x14ac:dyDescent="0.35">
      <c r="A233" s="18"/>
      <c r="B233" s="18"/>
      <c r="C233" s="20"/>
      <c r="D233" s="18"/>
      <c r="E233" s="26"/>
      <c r="F233" s="20"/>
      <c r="G233" s="20"/>
      <c r="H233" s="21"/>
      <c r="I233" s="21"/>
      <c r="J233" s="21"/>
      <c r="K233" s="22"/>
      <c r="L233" s="22"/>
      <c r="M233" s="22"/>
      <c r="N233" s="22"/>
      <c r="O233" s="20"/>
      <c r="P233" s="20"/>
    </row>
    <row r="234" spans="1:16" x14ac:dyDescent="0.35">
      <c r="A234" s="18"/>
      <c r="B234" s="18"/>
      <c r="C234" s="20"/>
      <c r="D234" s="18"/>
      <c r="E234" s="26"/>
      <c r="F234" s="20"/>
      <c r="G234" s="20"/>
      <c r="H234" s="21"/>
      <c r="I234" s="21"/>
      <c r="J234" s="21"/>
      <c r="K234" s="22"/>
      <c r="L234" s="22"/>
      <c r="M234" s="22"/>
      <c r="N234" s="22"/>
      <c r="O234" s="20"/>
      <c r="P234" s="20"/>
    </row>
    <row r="235" spans="1:16" x14ac:dyDescent="0.35">
      <c r="A235" s="18"/>
      <c r="B235" s="18"/>
      <c r="C235" s="20"/>
      <c r="D235" s="18"/>
      <c r="E235" s="26"/>
      <c r="F235" s="20"/>
      <c r="G235" s="20"/>
      <c r="H235" s="21"/>
      <c r="I235" s="21"/>
      <c r="J235" s="21"/>
      <c r="K235" s="22"/>
      <c r="L235" s="22"/>
      <c r="M235" s="22"/>
      <c r="N235" s="22"/>
      <c r="O235" s="20"/>
      <c r="P235" s="20"/>
    </row>
    <row r="236" spans="1:16" x14ac:dyDescent="0.35">
      <c r="A236" s="18"/>
      <c r="B236" s="18"/>
      <c r="C236" s="20"/>
      <c r="D236" s="18"/>
      <c r="E236" s="26"/>
      <c r="F236" s="20"/>
      <c r="G236" s="20"/>
      <c r="H236" s="21"/>
      <c r="I236" s="21"/>
      <c r="J236" s="21"/>
      <c r="K236" s="22"/>
      <c r="L236" s="22"/>
      <c r="M236" s="22"/>
      <c r="N236" s="22"/>
      <c r="O236" s="20"/>
      <c r="P236" s="20"/>
    </row>
    <row r="237" spans="1:16" x14ac:dyDescent="0.35">
      <c r="A237" s="18"/>
      <c r="B237" s="18"/>
      <c r="C237" s="20"/>
      <c r="D237" s="18"/>
      <c r="E237" s="26"/>
      <c r="F237" s="20"/>
      <c r="G237" s="20"/>
      <c r="H237" s="21"/>
      <c r="I237" s="21"/>
      <c r="J237" s="21"/>
      <c r="K237" s="22"/>
      <c r="L237" s="22"/>
      <c r="M237" s="22"/>
      <c r="N237" s="22"/>
      <c r="O237" s="20"/>
      <c r="P237" s="20"/>
    </row>
    <row r="238" spans="1:16" x14ac:dyDescent="0.35">
      <c r="A238" s="18"/>
      <c r="B238" s="18"/>
      <c r="C238" s="20"/>
      <c r="D238" s="18"/>
      <c r="E238" s="26"/>
      <c r="F238" s="20"/>
      <c r="G238" s="20"/>
      <c r="H238" s="21"/>
      <c r="I238" s="21"/>
      <c r="J238" s="21"/>
      <c r="K238" s="22"/>
      <c r="L238" s="22"/>
      <c r="M238" s="22"/>
      <c r="N238" s="22"/>
      <c r="O238" s="20"/>
      <c r="P238" s="20"/>
    </row>
    <row r="239" spans="1:16" x14ac:dyDescent="0.35">
      <c r="A239" s="18"/>
      <c r="B239" s="18"/>
      <c r="C239" s="20"/>
      <c r="D239" s="18"/>
      <c r="E239" s="26"/>
      <c r="F239" s="20"/>
      <c r="G239" s="20"/>
      <c r="H239" s="21"/>
      <c r="I239" s="21"/>
      <c r="J239" s="21"/>
      <c r="K239" s="22"/>
      <c r="L239" s="22"/>
      <c r="M239" s="22"/>
      <c r="N239" s="22"/>
      <c r="O239" s="20"/>
      <c r="P239" s="20"/>
    </row>
    <row r="240" spans="1:16" x14ac:dyDescent="0.35">
      <c r="A240" s="18"/>
      <c r="B240" s="18"/>
      <c r="C240" s="20"/>
      <c r="D240" s="18"/>
      <c r="E240" s="26"/>
      <c r="F240" s="20"/>
      <c r="G240" s="20"/>
      <c r="H240" s="21"/>
      <c r="I240" s="21"/>
      <c r="J240" s="21"/>
      <c r="K240" s="22"/>
      <c r="L240" s="22"/>
      <c r="M240" s="22"/>
      <c r="N240" s="22"/>
      <c r="O240" s="20"/>
      <c r="P240" s="20"/>
    </row>
    <row r="241" spans="1:16" x14ac:dyDescent="0.35">
      <c r="A241" s="18"/>
      <c r="B241" s="18"/>
      <c r="C241" s="20"/>
      <c r="D241" s="18"/>
      <c r="E241" s="26"/>
      <c r="F241" s="20"/>
      <c r="G241" s="20"/>
      <c r="H241" s="21"/>
      <c r="I241" s="21"/>
      <c r="J241" s="21"/>
      <c r="K241" s="22"/>
      <c r="L241" s="22"/>
      <c r="M241" s="22"/>
      <c r="N241" s="22"/>
      <c r="O241" s="20"/>
      <c r="P241" s="20"/>
    </row>
    <row r="242" spans="1:16" x14ac:dyDescent="0.35">
      <c r="A242" s="18"/>
      <c r="B242" s="18"/>
      <c r="C242" s="20"/>
      <c r="D242" s="18"/>
      <c r="E242" s="26"/>
      <c r="F242" s="20"/>
      <c r="G242" s="20"/>
      <c r="H242" s="21"/>
      <c r="I242" s="21"/>
      <c r="J242" s="21"/>
      <c r="K242" s="22"/>
      <c r="L242" s="22"/>
      <c r="M242" s="22"/>
      <c r="N242" s="22"/>
      <c r="O242" s="20"/>
      <c r="P242" s="20"/>
    </row>
    <row r="243" spans="1:16" x14ac:dyDescent="0.35">
      <c r="A243" s="18"/>
      <c r="B243" s="18"/>
      <c r="C243" s="20"/>
      <c r="D243" s="18"/>
      <c r="E243" s="26"/>
      <c r="F243" s="20"/>
      <c r="G243" s="20"/>
      <c r="H243" s="21"/>
      <c r="I243" s="21"/>
      <c r="J243" s="21"/>
      <c r="K243" s="22"/>
      <c r="L243" s="22"/>
      <c r="M243" s="22"/>
      <c r="N243" s="22"/>
      <c r="O243" s="20"/>
      <c r="P243" s="20"/>
    </row>
    <row r="244" spans="1:16" x14ac:dyDescent="0.35">
      <c r="A244" s="18"/>
      <c r="B244" s="18"/>
      <c r="C244" s="20"/>
      <c r="D244" s="18"/>
      <c r="E244" s="26"/>
      <c r="F244" s="20"/>
      <c r="G244" s="20"/>
      <c r="H244" s="21"/>
      <c r="I244" s="21"/>
      <c r="J244" s="21"/>
      <c r="K244" s="22"/>
      <c r="L244" s="22"/>
      <c r="M244" s="22"/>
      <c r="N244" s="22"/>
      <c r="O244" s="20"/>
      <c r="P244" s="20"/>
    </row>
    <row r="245" spans="1:16" x14ac:dyDescent="0.35">
      <c r="A245" s="18"/>
      <c r="B245" s="18"/>
      <c r="C245" s="20"/>
      <c r="D245" s="18"/>
      <c r="E245" s="26"/>
      <c r="F245" s="20"/>
      <c r="G245" s="20"/>
      <c r="H245" s="21"/>
      <c r="I245" s="21"/>
      <c r="J245" s="21"/>
      <c r="K245" s="22"/>
      <c r="L245" s="22"/>
      <c r="M245" s="22"/>
      <c r="N245" s="22"/>
      <c r="O245" s="20"/>
      <c r="P245" s="20"/>
    </row>
    <row r="246" spans="1:16" x14ac:dyDescent="0.35">
      <c r="A246" s="18"/>
      <c r="B246" s="18"/>
      <c r="C246" s="20"/>
      <c r="D246" s="18"/>
      <c r="E246" s="26"/>
      <c r="F246" s="20"/>
      <c r="G246" s="20"/>
      <c r="H246" s="21"/>
      <c r="I246" s="21"/>
      <c r="J246" s="21"/>
      <c r="K246" s="22"/>
      <c r="L246" s="22"/>
      <c r="M246" s="22"/>
      <c r="N246" s="22"/>
      <c r="O246" s="20"/>
      <c r="P246" s="20"/>
    </row>
    <row r="247" spans="1:16" x14ac:dyDescent="0.35">
      <c r="A247" s="18"/>
      <c r="B247" s="18"/>
      <c r="C247" s="20"/>
      <c r="D247" s="18"/>
      <c r="E247" s="26"/>
      <c r="F247" s="20"/>
      <c r="G247" s="20"/>
      <c r="H247" s="21"/>
      <c r="I247" s="21"/>
      <c r="J247" s="21"/>
      <c r="K247" s="22"/>
      <c r="L247" s="22"/>
      <c r="M247" s="22"/>
      <c r="N247" s="22"/>
      <c r="O247" s="20"/>
      <c r="P247" s="20"/>
    </row>
    <row r="248" spans="1:16" x14ac:dyDescent="0.35">
      <c r="A248" s="18"/>
      <c r="B248" s="18"/>
      <c r="C248" s="20"/>
      <c r="D248" s="18"/>
      <c r="E248" s="26"/>
      <c r="F248" s="20"/>
      <c r="G248" s="20"/>
      <c r="H248" s="21"/>
      <c r="I248" s="21"/>
      <c r="J248" s="21"/>
      <c r="K248" s="22"/>
      <c r="L248" s="22"/>
      <c r="M248" s="22"/>
      <c r="N248" s="22"/>
      <c r="O248" s="20"/>
      <c r="P248" s="20"/>
    </row>
    <row r="249" spans="1:16" x14ac:dyDescent="0.35">
      <c r="A249" s="18"/>
      <c r="B249" s="18"/>
      <c r="C249" s="20"/>
      <c r="D249" s="18"/>
      <c r="E249" s="26"/>
      <c r="F249" s="20"/>
      <c r="G249" s="20"/>
      <c r="H249" s="21"/>
      <c r="I249" s="21"/>
      <c r="J249" s="21"/>
      <c r="K249" s="22"/>
      <c r="L249" s="22"/>
      <c r="M249" s="22"/>
      <c r="N249" s="22"/>
      <c r="O249" s="20"/>
      <c r="P249" s="20"/>
    </row>
    <row r="250" spans="1:16" x14ac:dyDescent="0.35">
      <c r="A250" s="18"/>
      <c r="B250" s="18"/>
      <c r="C250" s="20"/>
      <c r="D250" s="18"/>
      <c r="E250" s="26"/>
      <c r="F250" s="20"/>
      <c r="G250" s="20"/>
      <c r="H250" s="21"/>
      <c r="I250" s="21"/>
      <c r="J250" s="21"/>
      <c r="K250" s="22"/>
      <c r="L250" s="22"/>
      <c r="M250" s="22"/>
      <c r="N250" s="22"/>
      <c r="O250" s="20"/>
      <c r="P250" s="20"/>
    </row>
    <row r="251" spans="1:16" x14ac:dyDescent="0.35">
      <c r="A251" s="18"/>
      <c r="B251" s="18"/>
      <c r="C251" s="20"/>
      <c r="D251" s="18"/>
      <c r="E251" s="26"/>
      <c r="F251" s="20"/>
      <c r="G251" s="20"/>
      <c r="H251" s="21"/>
      <c r="I251" s="21"/>
      <c r="J251" s="21"/>
      <c r="K251" s="22"/>
      <c r="L251" s="22"/>
      <c r="M251" s="22"/>
      <c r="N251" s="22"/>
      <c r="O251" s="20"/>
      <c r="P251" s="20"/>
    </row>
    <row r="252" spans="1:16" x14ac:dyDescent="0.35">
      <c r="A252" s="18"/>
      <c r="B252" s="18"/>
      <c r="C252" s="20"/>
      <c r="D252" s="18"/>
      <c r="E252" s="26"/>
      <c r="F252" s="20"/>
      <c r="G252" s="20"/>
      <c r="H252" s="21"/>
      <c r="I252" s="21"/>
      <c r="J252" s="21"/>
      <c r="K252" s="22"/>
      <c r="L252" s="22"/>
      <c r="M252" s="22"/>
      <c r="N252" s="22"/>
      <c r="O252" s="20"/>
      <c r="P252" s="20"/>
    </row>
    <row r="253" spans="1:16" x14ac:dyDescent="0.35">
      <c r="A253" s="18"/>
      <c r="B253" s="18"/>
      <c r="C253" s="20"/>
      <c r="D253" s="18"/>
      <c r="E253" s="26"/>
      <c r="F253" s="20"/>
      <c r="G253" s="20"/>
      <c r="H253" s="21"/>
      <c r="I253" s="21"/>
      <c r="J253" s="21"/>
      <c r="K253" s="22"/>
      <c r="L253" s="22"/>
      <c r="M253" s="22"/>
      <c r="N253" s="22"/>
      <c r="O253" s="20"/>
      <c r="P253" s="20"/>
    </row>
    <row r="254" spans="1:16" x14ac:dyDescent="0.35">
      <c r="A254" s="18"/>
      <c r="B254" s="18"/>
      <c r="C254" s="20"/>
      <c r="D254" s="18"/>
      <c r="E254" s="26"/>
      <c r="F254" s="20"/>
      <c r="G254" s="20"/>
      <c r="H254" s="21"/>
      <c r="I254" s="21"/>
      <c r="J254" s="21"/>
      <c r="K254" s="22"/>
      <c r="L254" s="22"/>
      <c r="M254" s="22"/>
      <c r="N254" s="22"/>
      <c r="O254" s="20"/>
      <c r="P254" s="20"/>
    </row>
    <row r="255" spans="1:16" x14ac:dyDescent="0.35">
      <c r="A255" s="18"/>
      <c r="B255" s="18"/>
      <c r="C255" s="20"/>
      <c r="D255" s="18"/>
      <c r="E255" s="26"/>
      <c r="F255" s="20"/>
      <c r="G255" s="20"/>
      <c r="H255" s="21"/>
      <c r="I255" s="21"/>
      <c r="J255" s="21"/>
      <c r="K255" s="22"/>
      <c r="L255" s="22"/>
      <c r="M255" s="22"/>
      <c r="N255" s="22"/>
      <c r="O255" s="20"/>
      <c r="P255" s="20"/>
    </row>
    <row r="256" spans="1:16" x14ac:dyDescent="0.35">
      <c r="A256" s="18"/>
      <c r="B256" s="18"/>
      <c r="C256" s="20"/>
      <c r="D256" s="18"/>
      <c r="E256" s="26"/>
      <c r="F256" s="20"/>
      <c r="G256" s="20"/>
      <c r="H256" s="21"/>
      <c r="I256" s="21"/>
      <c r="J256" s="21"/>
      <c r="K256" s="22"/>
      <c r="L256" s="22"/>
      <c r="M256" s="22"/>
      <c r="N256" s="22"/>
      <c r="O256" s="20"/>
      <c r="P256" s="20"/>
    </row>
    <row r="257" spans="1:16" x14ac:dyDescent="0.35">
      <c r="A257" s="18"/>
      <c r="B257" s="18"/>
      <c r="C257" s="20"/>
      <c r="D257" s="18"/>
      <c r="E257" s="26"/>
      <c r="F257" s="20"/>
      <c r="G257" s="20"/>
      <c r="H257" s="21"/>
      <c r="I257" s="21"/>
      <c r="J257" s="21"/>
      <c r="K257" s="22"/>
      <c r="L257" s="22"/>
      <c r="M257" s="22"/>
      <c r="N257" s="22"/>
      <c r="O257" s="20"/>
      <c r="P257" s="20"/>
    </row>
    <row r="258" spans="1:16" x14ac:dyDescent="0.35">
      <c r="A258" s="18"/>
      <c r="B258" s="18"/>
      <c r="C258" s="20"/>
      <c r="D258" s="18"/>
      <c r="E258" s="26"/>
      <c r="F258" s="20"/>
      <c r="G258" s="20"/>
      <c r="H258" s="21"/>
      <c r="I258" s="21"/>
      <c r="J258" s="21"/>
      <c r="K258" s="22"/>
      <c r="L258" s="22"/>
      <c r="M258" s="22"/>
      <c r="N258" s="22"/>
      <c r="O258" s="20"/>
      <c r="P258" s="20"/>
    </row>
    <row r="259" spans="1:16" x14ac:dyDescent="0.35">
      <c r="A259" s="18"/>
      <c r="B259" s="18"/>
      <c r="C259" s="20"/>
      <c r="D259" s="18"/>
      <c r="E259" s="26"/>
      <c r="F259" s="20"/>
      <c r="G259" s="20"/>
      <c r="H259" s="21"/>
      <c r="I259" s="21"/>
      <c r="J259" s="21"/>
      <c r="K259" s="22"/>
      <c r="L259" s="22"/>
      <c r="M259" s="22"/>
      <c r="N259" s="22"/>
      <c r="O259" s="20"/>
      <c r="P259" s="20"/>
    </row>
    <row r="260" spans="1:16" x14ac:dyDescent="0.35">
      <c r="A260" s="18"/>
      <c r="B260" s="18"/>
      <c r="C260" s="20"/>
      <c r="D260" s="18"/>
      <c r="E260" s="26"/>
      <c r="F260" s="20"/>
      <c r="G260" s="20"/>
      <c r="H260" s="21"/>
      <c r="I260" s="21"/>
      <c r="J260" s="21"/>
      <c r="K260" s="22"/>
      <c r="L260" s="22"/>
      <c r="M260" s="22"/>
      <c r="N260" s="22"/>
      <c r="O260" s="20"/>
      <c r="P260" s="20"/>
    </row>
    <row r="261" spans="1:16" x14ac:dyDescent="0.35">
      <c r="A261" s="18"/>
      <c r="B261" s="18"/>
      <c r="C261" s="20"/>
      <c r="D261" s="18"/>
      <c r="E261" s="26"/>
      <c r="F261" s="20"/>
      <c r="G261" s="20"/>
      <c r="H261" s="21"/>
      <c r="I261" s="21"/>
      <c r="J261" s="21"/>
      <c r="K261" s="22"/>
      <c r="L261" s="22"/>
      <c r="M261" s="22"/>
      <c r="N261" s="22"/>
      <c r="O261" s="20"/>
      <c r="P261" s="20"/>
    </row>
    <row r="262" spans="1:16" x14ac:dyDescent="0.35">
      <c r="A262" s="18"/>
      <c r="B262" s="18"/>
      <c r="C262" s="20"/>
      <c r="D262" s="18"/>
      <c r="E262" s="26"/>
      <c r="F262" s="20"/>
      <c r="G262" s="20"/>
      <c r="H262" s="21"/>
      <c r="I262" s="21"/>
      <c r="J262" s="21"/>
      <c r="K262" s="22"/>
      <c r="L262" s="22"/>
      <c r="M262" s="22"/>
      <c r="N262" s="22"/>
      <c r="O262" s="20"/>
      <c r="P262" s="20"/>
    </row>
    <row r="263" spans="1:16" x14ac:dyDescent="0.35">
      <c r="A263" s="18"/>
      <c r="B263" s="18"/>
      <c r="C263" s="20"/>
      <c r="D263" s="18"/>
      <c r="E263" s="26"/>
      <c r="F263" s="20"/>
      <c r="G263" s="20"/>
      <c r="H263" s="21"/>
      <c r="I263" s="21"/>
      <c r="J263" s="21"/>
      <c r="K263" s="22"/>
      <c r="L263" s="22"/>
      <c r="M263" s="22"/>
      <c r="N263" s="22"/>
      <c r="O263" s="20"/>
      <c r="P263" s="20"/>
    </row>
    <row r="264" spans="1:16" x14ac:dyDescent="0.35">
      <c r="A264" s="18"/>
      <c r="B264" s="18"/>
      <c r="C264" s="20"/>
      <c r="D264" s="18"/>
      <c r="E264" s="26"/>
      <c r="F264" s="20"/>
      <c r="G264" s="20"/>
      <c r="H264" s="21"/>
      <c r="I264" s="21"/>
      <c r="J264" s="21"/>
      <c r="K264" s="22"/>
      <c r="L264" s="22"/>
      <c r="M264" s="22"/>
      <c r="N264" s="22"/>
      <c r="O264" s="20"/>
      <c r="P264" s="20"/>
    </row>
    <row r="265" spans="1:16" x14ac:dyDescent="0.35">
      <c r="A265" s="18"/>
      <c r="B265" s="18"/>
      <c r="C265" s="20"/>
      <c r="D265" s="18"/>
      <c r="E265" s="26"/>
      <c r="F265" s="20"/>
      <c r="G265" s="20"/>
      <c r="H265" s="21"/>
      <c r="I265" s="21"/>
      <c r="J265" s="21"/>
      <c r="K265" s="22"/>
      <c r="L265" s="22"/>
      <c r="M265" s="22"/>
      <c r="N265" s="22"/>
      <c r="O265" s="20"/>
      <c r="P265" s="20"/>
    </row>
    <row r="266" spans="1:16" x14ac:dyDescent="0.35">
      <c r="A266" s="18"/>
      <c r="B266" s="18"/>
      <c r="C266" s="20"/>
      <c r="D266" s="18"/>
      <c r="E266" s="26"/>
      <c r="F266" s="20"/>
      <c r="G266" s="20"/>
      <c r="H266" s="21"/>
      <c r="I266" s="21"/>
      <c r="J266" s="21"/>
      <c r="K266" s="22"/>
      <c r="L266" s="22"/>
      <c r="M266" s="22"/>
      <c r="N266" s="22"/>
      <c r="O266" s="20"/>
      <c r="P266" s="20"/>
    </row>
    <row r="267" spans="1:16" x14ac:dyDescent="0.35">
      <c r="A267" s="18"/>
      <c r="B267" s="18"/>
      <c r="C267" s="20"/>
      <c r="D267" s="18"/>
      <c r="E267" s="26"/>
      <c r="F267" s="20"/>
      <c r="G267" s="20"/>
      <c r="H267" s="21"/>
      <c r="I267" s="21"/>
      <c r="J267" s="21"/>
      <c r="K267" s="22"/>
      <c r="L267" s="22"/>
      <c r="M267" s="22"/>
      <c r="N267" s="22"/>
      <c r="O267" s="20"/>
      <c r="P267" s="20"/>
    </row>
    <row r="268" spans="1:16" x14ac:dyDescent="0.35">
      <c r="A268" s="18"/>
      <c r="B268" s="18"/>
      <c r="C268" s="20"/>
      <c r="D268" s="18"/>
      <c r="E268" s="26"/>
      <c r="F268" s="20"/>
      <c r="G268" s="20"/>
      <c r="H268" s="21"/>
      <c r="I268" s="21"/>
      <c r="J268" s="21"/>
      <c r="K268" s="22"/>
      <c r="L268" s="22"/>
      <c r="M268" s="22"/>
      <c r="N268" s="22"/>
      <c r="O268" s="20"/>
      <c r="P268" s="20"/>
    </row>
    <row r="269" spans="1:16" x14ac:dyDescent="0.35">
      <c r="A269" s="18"/>
      <c r="B269" s="18"/>
      <c r="C269" s="20"/>
      <c r="D269" s="18"/>
      <c r="E269" s="26"/>
      <c r="F269" s="20"/>
      <c r="G269" s="20"/>
      <c r="H269" s="21"/>
      <c r="I269" s="21"/>
      <c r="J269" s="21"/>
      <c r="K269" s="22"/>
      <c r="L269" s="22"/>
      <c r="M269" s="22"/>
      <c r="N269" s="22"/>
      <c r="O269" s="20"/>
      <c r="P269" s="20"/>
    </row>
    <row r="270" spans="1:16" x14ac:dyDescent="0.35">
      <c r="A270" s="18"/>
      <c r="B270" s="18"/>
      <c r="C270" s="20"/>
      <c r="D270" s="18"/>
      <c r="E270" s="26"/>
      <c r="F270" s="20"/>
      <c r="G270" s="20"/>
      <c r="H270" s="21"/>
      <c r="I270" s="21"/>
      <c r="J270" s="21"/>
      <c r="K270" s="22"/>
      <c r="L270" s="22"/>
      <c r="M270" s="22"/>
      <c r="N270" s="22"/>
      <c r="O270" s="20"/>
      <c r="P270" s="20"/>
    </row>
    <row r="271" spans="1:16" x14ac:dyDescent="0.35">
      <c r="A271" s="18"/>
      <c r="B271" s="18"/>
      <c r="C271" s="20"/>
      <c r="D271" s="18"/>
      <c r="E271" s="26"/>
      <c r="F271" s="20"/>
      <c r="G271" s="20"/>
      <c r="H271" s="21"/>
      <c r="I271" s="21"/>
      <c r="J271" s="21"/>
      <c r="K271" s="22"/>
      <c r="L271" s="22"/>
      <c r="M271" s="22"/>
      <c r="N271" s="22"/>
      <c r="O271" s="20"/>
      <c r="P271" s="20"/>
    </row>
    <row r="272" spans="1:16" x14ac:dyDescent="0.35">
      <c r="A272" s="18"/>
      <c r="B272" s="18"/>
      <c r="C272" s="20"/>
      <c r="D272" s="18"/>
      <c r="E272" s="26"/>
      <c r="F272" s="20"/>
      <c r="G272" s="20"/>
      <c r="H272" s="21"/>
      <c r="I272" s="21"/>
      <c r="J272" s="21"/>
      <c r="K272" s="22"/>
      <c r="L272" s="22"/>
      <c r="M272" s="22"/>
      <c r="N272" s="22"/>
      <c r="O272" s="20"/>
      <c r="P272" s="20"/>
    </row>
    <row r="273" spans="1:16" x14ac:dyDescent="0.35">
      <c r="A273" s="18"/>
      <c r="B273" s="18"/>
      <c r="C273" s="20"/>
      <c r="D273" s="18"/>
      <c r="E273" s="26"/>
      <c r="F273" s="20"/>
      <c r="G273" s="20"/>
      <c r="H273" s="21"/>
      <c r="I273" s="21"/>
      <c r="J273" s="21"/>
      <c r="K273" s="22"/>
      <c r="L273" s="22"/>
      <c r="M273" s="22"/>
      <c r="N273" s="22"/>
      <c r="O273" s="20"/>
      <c r="P273" s="20"/>
    </row>
    <row r="274" spans="1:16" x14ac:dyDescent="0.35">
      <c r="A274" s="18"/>
      <c r="B274" s="18"/>
      <c r="C274" s="20"/>
      <c r="D274" s="18"/>
      <c r="E274" s="26"/>
      <c r="F274" s="20"/>
      <c r="G274" s="20"/>
      <c r="H274" s="21"/>
      <c r="I274" s="21"/>
      <c r="J274" s="21"/>
      <c r="K274" s="22"/>
      <c r="L274" s="22"/>
      <c r="M274" s="22"/>
      <c r="N274" s="22"/>
      <c r="O274" s="20"/>
      <c r="P274" s="20"/>
    </row>
    <row r="275" spans="1:16" x14ac:dyDescent="0.35">
      <c r="A275" s="18"/>
      <c r="B275" s="18"/>
      <c r="C275" s="20"/>
      <c r="D275" s="18"/>
      <c r="E275" s="26"/>
      <c r="F275" s="20"/>
      <c r="G275" s="20"/>
      <c r="H275" s="21"/>
      <c r="I275" s="21"/>
      <c r="J275" s="21"/>
      <c r="K275" s="22"/>
      <c r="L275" s="22"/>
      <c r="M275" s="22"/>
      <c r="N275" s="22"/>
      <c r="O275" s="20"/>
      <c r="P275" s="20"/>
    </row>
    <row r="276" spans="1:16" x14ac:dyDescent="0.35">
      <c r="A276" s="18"/>
      <c r="B276" s="18"/>
      <c r="C276" s="20"/>
      <c r="D276" s="18"/>
      <c r="E276" s="26"/>
      <c r="F276" s="20"/>
      <c r="G276" s="20"/>
      <c r="H276" s="21"/>
      <c r="I276" s="21"/>
      <c r="J276" s="21"/>
      <c r="K276" s="22"/>
      <c r="L276" s="22"/>
      <c r="M276" s="22"/>
      <c r="N276" s="22"/>
      <c r="O276" s="20"/>
      <c r="P276" s="20"/>
    </row>
    <row r="277" spans="1:16" x14ac:dyDescent="0.35">
      <c r="A277" s="18"/>
      <c r="B277" s="18"/>
      <c r="C277" s="20"/>
      <c r="D277" s="18"/>
      <c r="E277" s="26"/>
      <c r="F277" s="20"/>
      <c r="G277" s="20"/>
      <c r="H277" s="21"/>
      <c r="I277" s="21"/>
      <c r="J277" s="21"/>
      <c r="K277" s="22"/>
      <c r="L277" s="22"/>
      <c r="M277" s="22"/>
      <c r="N277" s="22"/>
      <c r="O277" s="20"/>
      <c r="P277" s="20"/>
    </row>
    <row r="278" spans="1:16" x14ac:dyDescent="0.35">
      <c r="A278" s="18"/>
      <c r="B278" s="18"/>
      <c r="C278" s="20"/>
      <c r="D278" s="18"/>
      <c r="E278" s="26"/>
      <c r="F278" s="20"/>
      <c r="G278" s="20"/>
      <c r="H278" s="21"/>
      <c r="I278" s="21"/>
      <c r="J278" s="21"/>
      <c r="K278" s="22"/>
      <c r="L278" s="22"/>
      <c r="M278" s="22"/>
      <c r="N278" s="22"/>
      <c r="O278" s="20"/>
      <c r="P278" s="20"/>
    </row>
    <row r="279" spans="1:16" x14ac:dyDescent="0.35">
      <c r="A279" s="18"/>
      <c r="B279" s="18"/>
      <c r="C279" s="20"/>
      <c r="D279" s="18"/>
      <c r="E279" s="26"/>
      <c r="F279" s="20"/>
      <c r="G279" s="20"/>
      <c r="H279" s="21"/>
      <c r="I279" s="21"/>
      <c r="J279" s="21"/>
      <c r="K279" s="22"/>
      <c r="L279" s="22"/>
      <c r="M279" s="22"/>
      <c r="N279" s="22"/>
      <c r="O279" s="20"/>
      <c r="P279" s="20"/>
    </row>
    <row r="280" spans="1:16" x14ac:dyDescent="0.35">
      <c r="A280" s="18"/>
      <c r="B280" s="18"/>
      <c r="C280" s="20"/>
      <c r="D280" s="18"/>
      <c r="E280" s="26"/>
      <c r="F280" s="20"/>
      <c r="G280" s="20"/>
      <c r="H280" s="21"/>
      <c r="I280" s="21"/>
      <c r="J280" s="21"/>
      <c r="K280" s="22"/>
      <c r="L280" s="22"/>
      <c r="M280" s="22"/>
      <c r="N280" s="22"/>
      <c r="O280" s="20"/>
      <c r="P280" s="20"/>
    </row>
    <row r="281" spans="1:16" x14ac:dyDescent="0.35">
      <c r="A281" s="18"/>
      <c r="B281" s="18"/>
      <c r="C281" s="20"/>
      <c r="D281" s="18"/>
      <c r="E281" s="26"/>
      <c r="F281" s="20"/>
      <c r="G281" s="20"/>
      <c r="H281" s="21"/>
      <c r="I281" s="21"/>
      <c r="J281" s="21"/>
      <c r="K281" s="22"/>
      <c r="L281" s="22"/>
      <c r="M281" s="22"/>
      <c r="N281" s="22"/>
      <c r="O281" s="20"/>
      <c r="P281" s="20"/>
    </row>
    <row r="282" spans="1:16" x14ac:dyDescent="0.35">
      <c r="A282" s="18"/>
      <c r="B282" s="18"/>
      <c r="C282" s="20"/>
      <c r="D282" s="18"/>
      <c r="E282" s="26"/>
      <c r="F282" s="20"/>
      <c r="G282" s="20"/>
      <c r="H282" s="21"/>
      <c r="I282" s="21"/>
      <c r="J282" s="21"/>
      <c r="K282" s="22"/>
      <c r="L282" s="22"/>
      <c r="M282" s="22"/>
      <c r="N282" s="22"/>
      <c r="O282" s="20"/>
      <c r="P282" s="20"/>
    </row>
    <row r="283" spans="1:16" x14ac:dyDescent="0.35">
      <c r="A283" s="18"/>
      <c r="B283" s="18"/>
      <c r="C283" s="20"/>
      <c r="D283" s="18"/>
      <c r="E283" s="26"/>
      <c r="F283" s="20"/>
      <c r="G283" s="20"/>
      <c r="H283" s="21"/>
      <c r="I283" s="21"/>
      <c r="J283" s="21"/>
      <c r="K283" s="22"/>
      <c r="L283" s="22"/>
      <c r="M283" s="22"/>
      <c r="N283" s="22"/>
      <c r="O283" s="20"/>
      <c r="P283" s="20"/>
    </row>
    <row r="284" spans="1:16" x14ac:dyDescent="0.35">
      <c r="A284" s="18"/>
      <c r="B284" s="18"/>
      <c r="C284" s="20"/>
      <c r="D284" s="18"/>
      <c r="E284" s="26"/>
      <c r="F284" s="20"/>
      <c r="G284" s="20"/>
      <c r="H284" s="21"/>
      <c r="I284" s="21"/>
      <c r="J284" s="21"/>
      <c r="K284" s="22"/>
      <c r="L284" s="22"/>
      <c r="M284" s="22"/>
      <c r="N284" s="22"/>
      <c r="O284" s="20"/>
      <c r="P284" s="20"/>
    </row>
    <row r="285" spans="1:16" x14ac:dyDescent="0.35">
      <c r="A285" s="18"/>
      <c r="B285" s="18"/>
      <c r="C285" s="18"/>
      <c r="D285" s="18"/>
      <c r="E285" s="19"/>
      <c r="F285" s="18"/>
      <c r="G285" s="20"/>
      <c r="H285" s="21"/>
      <c r="I285" s="21"/>
      <c r="J285" s="21"/>
      <c r="K285" s="22"/>
      <c r="L285" s="22"/>
      <c r="M285" s="22"/>
      <c r="N285" s="22"/>
      <c r="O285" s="20"/>
      <c r="P285" s="20"/>
    </row>
    <row r="286" spans="1:16" x14ac:dyDescent="0.35">
      <c r="A286" s="18"/>
      <c r="B286" s="18"/>
      <c r="C286" s="18"/>
      <c r="D286" s="18"/>
      <c r="E286" s="19"/>
      <c r="F286" s="18"/>
      <c r="G286" s="20"/>
      <c r="H286" s="21"/>
      <c r="I286" s="21"/>
      <c r="J286" s="21"/>
      <c r="K286" s="22"/>
      <c r="L286" s="22"/>
      <c r="M286" s="22"/>
      <c r="N286" s="22"/>
      <c r="O286" s="20"/>
      <c r="P286" s="20"/>
    </row>
    <row r="287" spans="1:16" x14ac:dyDescent="0.35">
      <c r="A287" s="18"/>
      <c r="B287" s="18"/>
      <c r="C287" s="18"/>
      <c r="D287" s="18"/>
      <c r="E287" s="19"/>
      <c r="F287" s="18"/>
      <c r="G287" s="20"/>
      <c r="H287" s="21"/>
      <c r="I287" s="21"/>
      <c r="J287" s="21"/>
      <c r="K287" s="22"/>
      <c r="L287" s="22"/>
      <c r="M287" s="22"/>
      <c r="N287" s="22"/>
      <c r="O287" s="20"/>
      <c r="P287" s="20"/>
    </row>
    <row r="288" spans="1:16" x14ac:dyDescent="0.35">
      <c r="A288" s="18"/>
      <c r="B288" s="18"/>
      <c r="C288" s="18"/>
      <c r="D288" s="18"/>
      <c r="E288" s="19"/>
      <c r="F288" s="18"/>
      <c r="G288" s="20"/>
      <c r="H288" s="21"/>
      <c r="I288" s="21"/>
      <c r="J288" s="21"/>
      <c r="K288" s="22"/>
      <c r="L288" s="22"/>
      <c r="M288" s="22"/>
      <c r="N288" s="22"/>
      <c r="O288" s="20"/>
      <c r="P288" s="20"/>
    </row>
    <row r="289" spans="1:16" x14ac:dyDescent="0.35">
      <c r="A289" s="18"/>
      <c r="B289" s="18"/>
      <c r="C289" s="18"/>
      <c r="D289" s="18"/>
      <c r="E289" s="19"/>
      <c r="F289" s="18"/>
      <c r="G289" s="20"/>
      <c r="H289" s="21"/>
      <c r="I289" s="21"/>
      <c r="J289" s="21"/>
      <c r="K289" s="22"/>
      <c r="L289" s="22"/>
      <c r="M289" s="22"/>
      <c r="N289" s="22"/>
      <c r="O289" s="20"/>
      <c r="P289" s="20"/>
    </row>
    <row r="290" spans="1:16" x14ac:dyDescent="0.35">
      <c r="A290" s="18"/>
      <c r="B290" s="18"/>
      <c r="C290" s="18"/>
      <c r="D290" s="18"/>
      <c r="E290" s="19"/>
      <c r="F290" s="18"/>
      <c r="G290" s="20"/>
      <c r="H290" s="21"/>
      <c r="I290" s="21"/>
      <c r="J290" s="21"/>
      <c r="K290" s="22"/>
      <c r="L290" s="22"/>
      <c r="M290" s="22"/>
      <c r="N290" s="22"/>
      <c r="O290" s="20"/>
      <c r="P290" s="20"/>
    </row>
    <row r="291" spans="1:16" x14ac:dyDescent="0.35">
      <c r="A291" s="18"/>
      <c r="B291" s="18"/>
      <c r="C291" s="18"/>
      <c r="D291" s="18"/>
      <c r="E291" s="19"/>
      <c r="F291" s="18"/>
      <c r="G291" s="20"/>
      <c r="H291" s="21"/>
      <c r="I291" s="21"/>
      <c r="J291" s="21"/>
      <c r="K291" s="22"/>
      <c r="L291" s="22"/>
      <c r="M291" s="22"/>
      <c r="N291" s="22"/>
      <c r="O291" s="20"/>
      <c r="P291" s="20"/>
    </row>
    <row r="292" spans="1:16" x14ac:dyDescent="0.35">
      <c r="A292" s="18"/>
      <c r="B292" s="18"/>
      <c r="C292" s="18"/>
      <c r="D292" s="18"/>
      <c r="E292" s="19"/>
      <c r="F292" s="18"/>
      <c r="G292" s="20"/>
      <c r="H292" s="21"/>
      <c r="I292" s="21"/>
      <c r="J292" s="21"/>
      <c r="K292" s="22"/>
      <c r="L292" s="22"/>
      <c r="M292" s="22"/>
      <c r="N292" s="22"/>
      <c r="O292" s="20"/>
      <c r="P292" s="20"/>
    </row>
    <row r="293" spans="1:16" x14ac:dyDescent="0.35">
      <c r="A293" s="18"/>
      <c r="B293" s="18"/>
      <c r="C293" s="18"/>
      <c r="D293" s="18"/>
      <c r="E293" s="19"/>
      <c r="F293" s="18"/>
      <c r="G293" s="20"/>
      <c r="H293" s="21"/>
      <c r="I293" s="21"/>
      <c r="J293" s="21"/>
      <c r="K293" s="22"/>
      <c r="L293" s="22"/>
      <c r="M293" s="22"/>
      <c r="N293" s="22"/>
      <c r="O293" s="20"/>
      <c r="P293" s="20"/>
    </row>
    <row r="294" spans="1:16" x14ac:dyDescent="0.35">
      <c r="A294" s="18"/>
      <c r="B294" s="18"/>
      <c r="C294" s="18"/>
      <c r="D294" s="18"/>
      <c r="E294" s="19"/>
      <c r="F294" s="18"/>
      <c r="G294" s="20"/>
      <c r="H294" s="21"/>
      <c r="I294" s="21"/>
      <c r="J294" s="21"/>
      <c r="K294" s="22"/>
      <c r="L294" s="22"/>
      <c r="M294" s="22"/>
      <c r="N294" s="22"/>
      <c r="O294" s="20"/>
      <c r="P294" s="20"/>
    </row>
    <row r="295" spans="1:16" x14ac:dyDescent="0.35">
      <c r="A295" s="18"/>
      <c r="B295" s="18"/>
      <c r="C295" s="18"/>
      <c r="D295" s="18"/>
      <c r="E295" s="19"/>
      <c r="F295" s="18"/>
      <c r="G295" s="20"/>
      <c r="H295" s="21"/>
      <c r="I295" s="21"/>
      <c r="J295" s="21"/>
      <c r="K295" s="22"/>
      <c r="L295" s="22"/>
      <c r="M295" s="22"/>
      <c r="N295" s="22"/>
      <c r="O295" s="20"/>
      <c r="P295" s="20"/>
    </row>
    <row r="296" spans="1:16" x14ac:dyDescent="0.35">
      <c r="A296" s="18"/>
      <c r="B296" s="18"/>
      <c r="C296" s="18"/>
      <c r="D296" s="18"/>
      <c r="E296" s="19"/>
      <c r="F296" s="18"/>
      <c r="G296" s="20"/>
      <c r="H296" s="21"/>
      <c r="I296" s="21"/>
      <c r="J296" s="21"/>
      <c r="K296" s="22"/>
      <c r="L296" s="22"/>
      <c r="M296" s="22"/>
      <c r="N296" s="22"/>
      <c r="O296" s="20"/>
      <c r="P296" s="20"/>
    </row>
    <row r="297" spans="1:16" x14ac:dyDescent="0.35">
      <c r="A297" s="18"/>
      <c r="B297" s="18"/>
      <c r="C297" s="18"/>
      <c r="D297" s="18"/>
      <c r="E297" s="19"/>
      <c r="F297" s="18"/>
      <c r="G297" s="20"/>
      <c r="H297" s="21"/>
      <c r="I297" s="21"/>
      <c r="J297" s="21"/>
      <c r="K297" s="22"/>
      <c r="L297" s="22"/>
      <c r="M297" s="22"/>
      <c r="N297" s="22"/>
      <c r="O297" s="20"/>
      <c r="P297" s="20"/>
    </row>
    <row r="298" spans="1:16" x14ac:dyDescent="0.35">
      <c r="A298" s="18"/>
      <c r="B298" s="18"/>
      <c r="C298" s="18"/>
      <c r="D298" s="18"/>
      <c r="E298" s="19"/>
      <c r="F298" s="18"/>
      <c r="G298" s="20"/>
      <c r="H298" s="21"/>
      <c r="I298" s="21"/>
      <c r="J298" s="21"/>
      <c r="K298" s="22"/>
      <c r="L298" s="22"/>
      <c r="M298" s="22"/>
      <c r="N298" s="22"/>
      <c r="O298" s="20"/>
      <c r="P298" s="20"/>
    </row>
    <row r="299" spans="1:16" x14ac:dyDescent="0.35">
      <c r="A299" s="18"/>
      <c r="B299" s="18"/>
      <c r="C299" s="18"/>
      <c r="D299" s="18"/>
      <c r="E299" s="19"/>
      <c r="F299" s="18"/>
      <c r="G299" s="20"/>
      <c r="H299" s="21"/>
      <c r="I299" s="21"/>
      <c r="J299" s="21"/>
      <c r="K299" s="22"/>
      <c r="L299" s="22"/>
      <c r="M299" s="22"/>
      <c r="N299" s="22"/>
      <c r="O299" s="20"/>
      <c r="P299" s="20"/>
    </row>
    <row r="300" spans="1:16" x14ac:dyDescent="0.35">
      <c r="A300" s="18"/>
      <c r="B300" s="18"/>
      <c r="C300" s="18"/>
      <c r="D300" s="18"/>
      <c r="E300" s="19"/>
      <c r="F300" s="18"/>
      <c r="G300" s="20"/>
      <c r="H300" s="21"/>
      <c r="I300" s="21"/>
      <c r="J300" s="21"/>
      <c r="K300" s="22"/>
      <c r="L300" s="22"/>
      <c r="M300" s="22"/>
      <c r="N300" s="22"/>
      <c r="O300" s="20"/>
      <c r="P300" s="20"/>
    </row>
    <row r="301" spans="1:16" x14ac:dyDescent="0.35">
      <c r="A301" s="18"/>
      <c r="B301" s="18"/>
      <c r="C301" s="18"/>
      <c r="D301" s="18"/>
      <c r="E301" s="19"/>
      <c r="F301" s="18"/>
      <c r="G301" s="20"/>
      <c r="H301" s="21"/>
      <c r="I301" s="21"/>
      <c r="J301" s="21"/>
      <c r="K301" s="22"/>
      <c r="L301" s="22"/>
      <c r="M301" s="22"/>
      <c r="N301" s="22"/>
      <c r="O301" s="20"/>
      <c r="P301" s="20"/>
    </row>
    <row r="302" spans="1:16" x14ac:dyDescent="0.35">
      <c r="A302" s="18"/>
      <c r="B302" s="18"/>
      <c r="C302" s="18"/>
      <c r="D302" s="18"/>
      <c r="E302" s="19"/>
      <c r="F302" s="18"/>
      <c r="G302" s="20"/>
      <c r="H302" s="21"/>
      <c r="I302" s="21"/>
      <c r="J302" s="21"/>
      <c r="K302" s="22"/>
      <c r="L302" s="22"/>
      <c r="M302" s="22"/>
      <c r="N302" s="22"/>
      <c r="O302" s="20"/>
      <c r="P302" s="20"/>
    </row>
    <row r="303" spans="1:16" x14ac:dyDescent="0.35">
      <c r="A303" s="18"/>
      <c r="B303" s="18"/>
      <c r="C303" s="18"/>
      <c r="D303" s="18"/>
      <c r="E303" s="19"/>
      <c r="F303" s="18"/>
      <c r="G303" s="20"/>
      <c r="H303" s="21"/>
      <c r="I303" s="21"/>
      <c r="J303" s="21"/>
      <c r="K303" s="22"/>
      <c r="L303" s="22"/>
      <c r="M303" s="22"/>
      <c r="N303" s="22"/>
      <c r="O303" s="20"/>
      <c r="P303" s="20"/>
    </row>
    <row r="304" spans="1:16" x14ac:dyDescent="0.35">
      <c r="A304" s="18"/>
      <c r="B304" s="18"/>
      <c r="C304" s="18"/>
      <c r="D304" s="18"/>
      <c r="E304" s="19"/>
      <c r="F304" s="18"/>
      <c r="G304" s="20"/>
      <c r="H304" s="21"/>
      <c r="I304" s="21"/>
      <c r="J304" s="21"/>
      <c r="K304" s="22"/>
      <c r="L304" s="22"/>
      <c r="M304" s="22"/>
      <c r="N304" s="22"/>
      <c r="O304" s="20"/>
      <c r="P304" s="20"/>
    </row>
    <row r="305" spans="1:16" x14ac:dyDescent="0.35">
      <c r="A305" s="18"/>
      <c r="B305" s="18"/>
      <c r="C305" s="18"/>
      <c r="D305" s="18"/>
      <c r="E305" s="19"/>
      <c r="F305" s="18"/>
      <c r="G305" s="20"/>
      <c r="H305" s="21"/>
      <c r="I305" s="21"/>
      <c r="J305" s="21"/>
      <c r="K305" s="22"/>
      <c r="L305" s="22"/>
      <c r="M305" s="22"/>
      <c r="N305" s="22"/>
      <c r="O305" s="20"/>
      <c r="P305" s="20"/>
    </row>
    <row r="306" spans="1:16" x14ac:dyDescent="0.35">
      <c r="A306" s="18"/>
      <c r="B306" s="18"/>
      <c r="C306" s="18"/>
      <c r="D306" s="18"/>
      <c r="E306" s="19"/>
      <c r="F306" s="18"/>
      <c r="G306" s="20"/>
      <c r="H306" s="21"/>
      <c r="I306" s="21"/>
      <c r="J306" s="21"/>
      <c r="K306" s="22"/>
      <c r="L306" s="22"/>
      <c r="M306" s="22"/>
      <c r="N306" s="22"/>
      <c r="O306" s="20"/>
      <c r="P306" s="20"/>
    </row>
    <row r="307" spans="1:16" x14ac:dyDescent="0.35">
      <c r="A307" s="18"/>
      <c r="B307" s="18"/>
      <c r="C307" s="18"/>
      <c r="D307" s="18"/>
      <c r="E307" s="19"/>
      <c r="F307" s="18"/>
      <c r="G307" s="20"/>
      <c r="H307" s="21"/>
      <c r="I307" s="21"/>
      <c r="J307" s="21"/>
      <c r="K307" s="22"/>
      <c r="L307" s="22"/>
      <c r="M307" s="22"/>
      <c r="N307" s="22"/>
      <c r="O307" s="20"/>
      <c r="P307" s="20"/>
    </row>
    <row r="308" spans="1:16" x14ac:dyDescent="0.35">
      <c r="A308" s="18"/>
      <c r="B308" s="18"/>
      <c r="C308" s="18"/>
      <c r="D308" s="18"/>
      <c r="E308" s="19"/>
      <c r="F308" s="18"/>
      <c r="G308" s="20"/>
      <c r="H308" s="21"/>
      <c r="I308" s="21"/>
      <c r="J308" s="21"/>
      <c r="K308" s="22"/>
      <c r="L308" s="22"/>
      <c r="M308" s="22"/>
      <c r="N308" s="22"/>
      <c r="O308" s="20"/>
      <c r="P308" s="20"/>
    </row>
    <row r="309" spans="1:16" x14ac:dyDescent="0.35">
      <c r="A309" s="18"/>
      <c r="B309" s="18"/>
      <c r="C309" s="18"/>
      <c r="D309" s="18"/>
      <c r="E309" s="19"/>
      <c r="F309" s="18"/>
      <c r="G309" s="20"/>
      <c r="H309" s="21"/>
      <c r="I309" s="21"/>
      <c r="J309" s="21"/>
      <c r="K309" s="22"/>
      <c r="L309" s="22"/>
      <c r="M309" s="22"/>
      <c r="N309" s="22"/>
      <c r="O309" s="20"/>
      <c r="P309" s="20"/>
    </row>
    <row r="310" spans="1:16" x14ac:dyDescent="0.35">
      <c r="A310" s="18"/>
      <c r="B310" s="18"/>
      <c r="C310" s="18"/>
      <c r="D310" s="18"/>
      <c r="E310" s="19"/>
      <c r="F310" s="18"/>
      <c r="G310" s="20"/>
      <c r="H310" s="21"/>
      <c r="I310" s="21"/>
      <c r="J310" s="21"/>
      <c r="K310" s="22"/>
      <c r="L310" s="22"/>
      <c r="M310" s="22"/>
      <c r="N310" s="22"/>
      <c r="O310" s="20"/>
      <c r="P310" s="20"/>
    </row>
    <row r="311" spans="1:16" x14ac:dyDescent="0.35">
      <c r="A311" s="18"/>
      <c r="B311" s="18"/>
      <c r="C311" s="18"/>
      <c r="D311" s="18"/>
      <c r="E311" s="19"/>
      <c r="F311" s="18"/>
      <c r="G311" s="20"/>
      <c r="H311" s="21"/>
      <c r="I311" s="21"/>
      <c r="J311" s="21"/>
      <c r="K311" s="22"/>
      <c r="L311" s="22"/>
      <c r="M311" s="22"/>
      <c r="N311" s="22"/>
      <c r="O311" s="20"/>
      <c r="P311" s="20"/>
    </row>
    <row r="312" spans="1:16" x14ac:dyDescent="0.35">
      <c r="A312" s="18"/>
      <c r="B312" s="18"/>
      <c r="C312" s="18"/>
      <c r="D312" s="18"/>
      <c r="E312" s="19"/>
      <c r="F312" s="18"/>
      <c r="G312" s="20"/>
      <c r="H312" s="21"/>
      <c r="I312" s="21"/>
      <c r="J312" s="21"/>
      <c r="K312" s="22"/>
      <c r="L312" s="22"/>
      <c r="M312" s="22"/>
      <c r="N312" s="22"/>
      <c r="O312" s="20"/>
      <c r="P312" s="20"/>
    </row>
    <row r="313" spans="1:16" x14ac:dyDescent="0.35">
      <c r="A313" s="18"/>
      <c r="B313" s="18"/>
      <c r="C313" s="18"/>
      <c r="D313" s="18"/>
      <c r="E313" s="19"/>
      <c r="F313" s="18"/>
      <c r="G313" s="20"/>
      <c r="H313" s="21"/>
      <c r="I313" s="21"/>
      <c r="J313" s="21"/>
      <c r="K313" s="22"/>
      <c r="L313" s="22"/>
      <c r="M313" s="22"/>
      <c r="N313" s="22"/>
      <c r="O313" s="20"/>
      <c r="P313" s="20"/>
    </row>
    <row r="314" spans="1:16" x14ac:dyDescent="0.35">
      <c r="A314" s="18"/>
      <c r="B314" s="18"/>
      <c r="C314" s="18"/>
      <c r="D314" s="18"/>
      <c r="E314" s="19"/>
      <c r="F314" s="18"/>
      <c r="G314" s="20"/>
      <c r="H314" s="21"/>
      <c r="I314" s="21"/>
      <c r="J314" s="21"/>
      <c r="K314" s="22"/>
      <c r="L314" s="22"/>
      <c r="M314" s="22"/>
      <c r="N314" s="22"/>
      <c r="O314" s="20"/>
      <c r="P314" s="20"/>
    </row>
    <row r="315" spans="1:16" x14ac:dyDescent="0.35">
      <c r="A315" s="18"/>
      <c r="B315" s="18"/>
      <c r="C315" s="18"/>
      <c r="D315" s="18"/>
      <c r="E315" s="19"/>
      <c r="F315" s="18"/>
      <c r="G315" s="20"/>
      <c r="H315" s="21"/>
      <c r="I315" s="21"/>
      <c r="J315" s="21"/>
      <c r="K315" s="22"/>
      <c r="L315" s="22"/>
      <c r="M315" s="22"/>
      <c r="N315" s="22"/>
      <c r="O315" s="20"/>
      <c r="P315" s="20"/>
    </row>
    <row r="316" spans="1:16" x14ac:dyDescent="0.35">
      <c r="A316" s="18"/>
      <c r="B316" s="18"/>
      <c r="C316" s="18"/>
      <c r="D316" s="18"/>
      <c r="E316" s="19"/>
      <c r="F316" s="18"/>
      <c r="G316" s="20"/>
      <c r="H316" s="21"/>
      <c r="I316" s="21"/>
      <c r="J316" s="21"/>
      <c r="K316" s="22"/>
      <c r="L316" s="22"/>
      <c r="M316" s="22"/>
      <c r="N316" s="22"/>
      <c r="O316" s="20"/>
      <c r="P316" s="20"/>
    </row>
    <row r="317" spans="1:16" x14ac:dyDescent="0.35">
      <c r="A317" s="18"/>
      <c r="B317" s="18"/>
      <c r="C317" s="18"/>
      <c r="D317" s="18"/>
      <c r="E317" s="19"/>
      <c r="F317" s="18"/>
      <c r="G317" s="20"/>
      <c r="H317" s="21"/>
      <c r="I317" s="21"/>
      <c r="J317" s="21"/>
      <c r="K317" s="22"/>
      <c r="L317" s="22"/>
      <c r="M317" s="22"/>
      <c r="N317" s="22"/>
      <c r="O317" s="20"/>
      <c r="P317" s="20"/>
    </row>
    <row r="318" spans="1:16" x14ac:dyDescent="0.35">
      <c r="A318" s="18"/>
      <c r="B318" s="18"/>
      <c r="C318" s="18"/>
      <c r="D318" s="18"/>
      <c r="E318" s="19"/>
      <c r="F318" s="18"/>
      <c r="G318" s="20"/>
      <c r="H318" s="21"/>
      <c r="I318" s="21"/>
      <c r="J318" s="21"/>
      <c r="K318" s="22"/>
      <c r="L318" s="22"/>
      <c r="M318" s="22"/>
      <c r="N318" s="22"/>
      <c r="O318" s="20"/>
      <c r="P318" s="20"/>
    </row>
    <row r="319" spans="1:16" x14ac:dyDescent="0.35">
      <c r="A319" s="18"/>
      <c r="B319" s="18"/>
      <c r="C319" s="18"/>
      <c r="D319" s="18"/>
      <c r="E319" s="19"/>
      <c r="F319" s="18"/>
      <c r="G319" s="20"/>
      <c r="H319" s="21"/>
      <c r="I319" s="21"/>
      <c r="J319" s="21"/>
      <c r="K319" s="22"/>
      <c r="L319" s="22"/>
      <c r="M319" s="22"/>
      <c r="N319" s="22"/>
      <c r="O319" s="20"/>
      <c r="P319" s="20"/>
    </row>
    <row r="320" spans="1:16" x14ac:dyDescent="0.35">
      <c r="A320" s="18"/>
      <c r="B320" s="18"/>
      <c r="C320" s="18"/>
      <c r="D320" s="18"/>
      <c r="E320" s="19"/>
      <c r="F320" s="18"/>
      <c r="G320" s="20"/>
      <c r="H320" s="21"/>
      <c r="I320" s="21"/>
      <c r="J320" s="21"/>
      <c r="K320" s="22"/>
      <c r="L320" s="22"/>
      <c r="M320" s="22"/>
      <c r="N320" s="22"/>
      <c r="O320" s="20"/>
      <c r="P320" s="20"/>
    </row>
    <row r="321" spans="1:16" x14ac:dyDescent="0.35">
      <c r="A321" s="18"/>
      <c r="B321" s="18"/>
      <c r="C321" s="18"/>
      <c r="D321" s="18"/>
      <c r="E321" s="19"/>
      <c r="F321" s="18"/>
      <c r="G321" s="20"/>
      <c r="H321" s="21"/>
      <c r="I321" s="21"/>
      <c r="J321" s="21"/>
      <c r="K321" s="22"/>
      <c r="L321" s="22"/>
      <c r="M321" s="22"/>
      <c r="N321" s="22"/>
      <c r="O321" s="20"/>
      <c r="P321" s="20"/>
    </row>
    <row r="322" spans="1:16" x14ac:dyDescent="0.35">
      <c r="A322" s="18"/>
      <c r="B322" s="18"/>
      <c r="C322" s="18"/>
      <c r="D322" s="18"/>
      <c r="E322" s="19"/>
      <c r="F322" s="18"/>
      <c r="G322" s="20"/>
      <c r="H322" s="21"/>
      <c r="I322" s="21"/>
      <c r="J322" s="21"/>
      <c r="K322" s="22"/>
      <c r="L322" s="22"/>
      <c r="M322" s="22"/>
      <c r="N322" s="22"/>
      <c r="O322" s="20"/>
      <c r="P322" s="20"/>
    </row>
    <row r="323" spans="1:16" x14ac:dyDescent="0.35">
      <c r="A323" s="18"/>
      <c r="B323" s="18"/>
      <c r="C323" s="18"/>
      <c r="D323" s="18"/>
      <c r="E323" s="19"/>
      <c r="F323" s="18"/>
      <c r="G323" s="20"/>
      <c r="H323" s="21"/>
      <c r="I323" s="21"/>
      <c r="J323" s="21"/>
      <c r="K323" s="22"/>
      <c r="L323" s="22"/>
      <c r="M323" s="22"/>
      <c r="N323" s="22"/>
      <c r="O323" s="20"/>
      <c r="P323" s="20"/>
    </row>
    <row r="324" spans="1:16" x14ac:dyDescent="0.35">
      <c r="A324" s="18"/>
      <c r="B324" s="18"/>
      <c r="C324" s="18"/>
      <c r="D324" s="18"/>
      <c r="E324" s="19"/>
      <c r="F324" s="18"/>
      <c r="G324" s="20"/>
      <c r="H324" s="21"/>
      <c r="I324" s="21"/>
      <c r="J324" s="21"/>
      <c r="K324" s="22"/>
      <c r="L324" s="22"/>
      <c r="M324" s="22"/>
      <c r="N324" s="22"/>
      <c r="O324" s="20"/>
      <c r="P324" s="20"/>
    </row>
    <row r="325" spans="1:16" x14ac:dyDescent="0.35">
      <c r="A325" s="18"/>
      <c r="B325" s="18"/>
      <c r="C325" s="18"/>
      <c r="D325" s="18"/>
      <c r="E325" s="19"/>
      <c r="F325" s="18"/>
      <c r="G325" s="20"/>
      <c r="H325" s="21"/>
      <c r="I325" s="21"/>
      <c r="J325" s="21"/>
      <c r="K325" s="22"/>
      <c r="L325" s="22"/>
      <c r="M325" s="22"/>
      <c r="N325" s="22"/>
      <c r="O325" s="20"/>
      <c r="P325" s="20"/>
    </row>
    <row r="326" spans="1:16" x14ac:dyDescent="0.35">
      <c r="A326" s="18"/>
      <c r="B326" s="18"/>
      <c r="C326" s="18"/>
      <c r="D326" s="18"/>
      <c r="E326" s="19"/>
      <c r="F326" s="18"/>
      <c r="G326" s="20"/>
      <c r="H326" s="21"/>
      <c r="I326" s="21"/>
      <c r="J326" s="21"/>
      <c r="K326" s="22"/>
      <c r="L326" s="22"/>
      <c r="M326" s="22"/>
      <c r="N326" s="22"/>
      <c r="O326" s="20"/>
      <c r="P326" s="20"/>
    </row>
    <row r="327" spans="1:16" x14ac:dyDescent="0.35">
      <c r="A327" s="18"/>
      <c r="B327" s="18"/>
      <c r="C327" s="18"/>
      <c r="D327" s="18"/>
      <c r="E327" s="19"/>
      <c r="F327" s="18"/>
      <c r="G327" s="20"/>
      <c r="H327" s="21"/>
      <c r="I327" s="21"/>
      <c r="J327" s="21"/>
      <c r="K327" s="22"/>
      <c r="L327" s="22"/>
      <c r="M327" s="22"/>
      <c r="N327" s="22"/>
      <c r="O327" s="20"/>
      <c r="P327" s="20"/>
    </row>
    <row r="328" spans="1:16" x14ac:dyDescent="0.35">
      <c r="A328" s="18"/>
      <c r="B328" s="18"/>
      <c r="C328" s="18"/>
      <c r="D328" s="18"/>
      <c r="E328" s="19"/>
      <c r="F328" s="18"/>
      <c r="G328" s="20"/>
      <c r="H328" s="21"/>
      <c r="I328" s="21"/>
      <c r="J328" s="21"/>
      <c r="K328" s="22"/>
      <c r="L328" s="22"/>
      <c r="M328" s="22"/>
      <c r="N328" s="22"/>
      <c r="O328" s="20"/>
      <c r="P328" s="20"/>
    </row>
    <row r="329" spans="1:16" x14ac:dyDescent="0.35">
      <c r="A329" s="18"/>
      <c r="B329" s="18"/>
      <c r="C329" s="18"/>
      <c r="D329" s="18"/>
      <c r="E329" s="19"/>
      <c r="F329" s="18"/>
      <c r="G329" s="20"/>
      <c r="H329" s="21"/>
      <c r="I329" s="21"/>
      <c r="J329" s="21"/>
      <c r="K329" s="22"/>
      <c r="L329" s="22"/>
      <c r="M329" s="22"/>
      <c r="N329" s="22"/>
      <c r="O329" s="20"/>
      <c r="P329" s="20"/>
    </row>
    <row r="330" spans="1:16" x14ac:dyDescent="0.35">
      <c r="A330" s="18"/>
      <c r="B330" s="18"/>
      <c r="C330" s="18"/>
      <c r="D330" s="18"/>
      <c r="E330" s="19"/>
      <c r="F330" s="18"/>
      <c r="G330" s="20"/>
      <c r="H330" s="21"/>
      <c r="I330" s="21"/>
      <c r="J330" s="21"/>
      <c r="K330" s="22"/>
      <c r="L330" s="22"/>
      <c r="M330" s="22"/>
      <c r="N330" s="22"/>
      <c r="O330" s="20"/>
      <c r="P330" s="20"/>
    </row>
    <row r="331" spans="1:16" x14ac:dyDescent="0.35">
      <c r="A331" s="18"/>
      <c r="B331" s="18"/>
      <c r="C331" s="18"/>
      <c r="D331" s="18"/>
      <c r="E331" s="19"/>
      <c r="F331" s="18"/>
      <c r="G331" s="20"/>
      <c r="H331" s="21"/>
      <c r="I331" s="21"/>
      <c r="J331" s="21"/>
      <c r="K331" s="22"/>
      <c r="L331" s="22"/>
      <c r="M331" s="22"/>
      <c r="N331" s="22"/>
      <c r="O331" s="20"/>
      <c r="P331" s="20"/>
    </row>
    <row r="332" spans="1:16" x14ac:dyDescent="0.35">
      <c r="A332" s="18"/>
      <c r="B332" s="18"/>
      <c r="C332" s="18"/>
      <c r="D332" s="18"/>
      <c r="E332" s="19"/>
      <c r="F332" s="18"/>
      <c r="G332" s="20"/>
      <c r="H332" s="21"/>
      <c r="I332" s="21"/>
      <c r="J332" s="21"/>
      <c r="K332" s="22"/>
      <c r="L332" s="22"/>
      <c r="M332" s="22"/>
      <c r="N332" s="22"/>
      <c r="O332" s="20"/>
      <c r="P332" s="20"/>
    </row>
    <row r="333" spans="1:16" x14ac:dyDescent="0.35">
      <c r="A333" s="18"/>
      <c r="B333" s="18"/>
      <c r="C333" s="18"/>
      <c r="D333" s="18"/>
      <c r="E333" s="19"/>
      <c r="F333" s="18"/>
      <c r="G333" s="20"/>
      <c r="H333" s="21"/>
      <c r="I333" s="21"/>
      <c r="J333" s="21"/>
      <c r="K333" s="22"/>
      <c r="L333" s="22"/>
      <c r="M333" s="22"/>
      <c r="N333" s="22"/>
      <c r="O333" s="20"/>
      <c r="P333" s="20"/>
    </row>
    <row r="334" spans="1:16" x14ac:dyDescent="0.35">
      <c r="A334" s="18"/>
      <c r="B334" s="18"/>
      <c r="C334" s="18"/>
      <c r="D334" s="18"/>
      <c r="E334" s="19"/>
      <c r="F334" s="18"/>
      <c r="G334" s="20"/>
      <c r="H334" s="21"/>
      <c r="I334" s="21"/>
      <c r="J334" s="21"/>
      <c r="K334" s="22"/>
      <c r="L334" s="22"/>
      <c r="M334" s="22"/>
      <c r="N334" s="22"/>
      <c r="O334" s="20"/>
      <c r="P334" s="20"/>
    </row>
    <row r="335" spans="1:16" x14ac:dyDescent="0.35">
      <c r="A335" s="18"/>
      <c r="B335" s="18"/>
      <c r="C335" s="18"/>
      <c r="D335" s="18"/>
      <c r="E335" s="19"/>
      <c r="F335" s="18"/>
      <c r="G335" s="20"/>
      <c r="H335" s="21"/>
      <c r="I335" s="21"/>
      <c r="J335" s="21"/>
      <c r="K335" s="22"/>
      <c r="L335" s="22"/>
      <c r="M335" s="22"/>
      <c r="N335" s="22"/>
      <c r="O335" s="20"/>
      <c r="P335" s="20"/>
    </row>
    <row r="336" spans="1:16" x14ac:dyDescent="0.35">
      <c r="A336" s="18"/>
      <c r="B336" s="18"/>
      <c r="C336" s="18"/>
      <c r="D336" s="18"/>
      <c r="E336" s="19"/>
      <c r="F336" s="18"/>
      <c r="G336" s="20"/>
      <c r="H336" s="21"/>
      <c r="I336" s="21"/>
      <c r="J336" s="21"/>
      <c r="K336" s="22"/>
      <c r="L336" s="22"/>
      <c r="M336" s="22"/>
      <c r="N336" s="22"/>
      <c r="O336" s="20"/>
      <c r="P336" s="20"/>
    </row>
    <row r="337" spans="1:16" x14ac:dyDescent="0.35">
      <c r="A337" s="18"/>
      <c r="B337" s="18"/>
      <c r="C337" s="18"/>
      <c r="D337" s="18"/>
      <c r="E337" s="19"/>
      <c r="F337" s="18"/>
      <c r="G337" s="20"/>
      <c r="H337" s="21"/>
      <c r="I337" s="21"/>
      <c r="J337" s="21"/>
      <c r="K337" s="22"/>
      <c r="L337" s="22"/>
      <c r="M337" s="22"/>
      <c r="N337" s="22"/>
      <c r="O337" s="20"/>
      <c r="P337" s="20"/>
    </row>
    <row r="338" spans="1:16" x14ac:dyDescent="0.35">
      <c r="A338" s="18"/>
      <c r="B338" s="18"/>
      <c r="C338" s="18"/>
      <c r="D338" s="18"/>
      <c r="E338" s="19"/>
      <c r="F338" s="18"/>
      <c r="G338" s="20"/>
      <c r="H338" s="21"/>
      <c r="I338" s="21"/>
      <c r="J338" s="21"/>
      <c r="K338" s="22"/>
      <c r="L338" s="22"/>
      <c r="M338" s="22"/>
      <c r="N338" s="22"/>
      <c r="O338" s="20"/>
      <c r="P338" s="20"/>
    </row>
    <row r="339" spans="1:16" x14ac:dyDescent="0.35">
      <c r="A339" s="18"/>
      <c r="B339" s="18"/>
      <c r="C339" s="18"/>
      <c r="D339" s="18"/>
      <c r="E339" s="19"/>
      <c r="F339" s="18"/>
      <c r="G339" s="20"/>
      <c r="H339" s="21"/>
      <c r="I339" s="21"/>
      <c r="J339" s="21"/>
      <c r="K339" s="22"/>
      <c r="L339" s="22"/>
      <c r="M339" s="22"/>
      <c r="N339" s="22"/>
      <c r="O339" s="20"/>
      <c r="P339" s="20"/>
    </row>
    <row r="340" spans="1:16" x14ac:dyDescent="0.35">
      <c r="A340" s="18"/>
      <c r="B340" s="18"/>
      <c r="C340" s="18"/>
      <c r="D340" s="18"/>
      <c r="E340" s="19"/>
      <c r="F340" s="18"/>
      <c r="G340" s="20"/>
      <c r="H340" s="21"/>
      <c r="I340" s="21"/>
      <c r="J340" s="21"/>
      <c r="K340" s="22"/>
      <c r="L340" s="22"/>
      <c r="M340" s="22"/>
      <c r="N340" s="22"/>
      <c r="O340" s="20"/>
      <c r="P340" s="20"/>
    </row>
    <row r="341" spans="1:16" x14ac:dyDescent="0.35">
      <c r="A341" s="18"/>
      <c r="B341" s="18"/>
      <c r="C341" s="18"/>
      <c r="D341" s="18"/>
      <c r="E341" s="19"/>
      <c r="F341" s="18"/>
      <c r="G341" s="20"/>
      <c r="H341" s="21"/>
      <c r="I341" s="21"/>
      <c r="J341" s="21"/>
      <c r="K341" s="22"/>
      <c r="L341" s="22"/>
      <c r="M341" s="22"/>
      <c r="N341" s="22"/>
      <c r="O341" s="20"/>
      <c r="P341" s="20"/>
    </row>
    <row r="342" spans="1:16" x14ac:dyDescent="0.35">
      <c r="A342" s="18"/>
      <c r="B342" s="18"/>
      <c r="C342" s="18"/>
      <c r="D342" s="18"/>
      <c r="E342" s="19"/>
      <c r="F342" s="18"/>
      <c r="G342" s="20"/>
      <c r="H342" s="21"/>
      <c r="I342" s="21"/>
      <c r="J342" s="21"/>
      <c r="K342" s="22"/>
      <c r="L342" s="22"/>
      <c r="M342" s="22"/>
      <c r="N342" s="22"/>
      <c r="O342" s="20"/>
      <c r="P342" s="20"/>
    </row>
    <row r="343" spans="1:16" x14ac:dyDescent="0.35">
      <c r="A343" s="18"/>
      <c r="B343" s="18"/>
      <c r="C343" s="18"/>
      <c r="D343" s="18"/>
      <c r="E343" s="19"/>
      <c r="F343" s="18"/>
      <c r="G343" s="20"/>
      <c r="H343" s="21"/>
      <c r="I343" s="21"/>
      <c r="J343" s="21"/>
      <c r="K343" s="22"/>
      <c r="L343" s="22"/>
      <c r="M343" s="22"/>
      <c r="N343" s="22"/>
      <c r="O343" s="20"/>
      <c r="P343" s="20"/>
    </row>
    <row r="344" spans="1:16" x14ac:dyDescent="0.35">
      <c r="A344" s="18"/>
      <c r="B344" s="18"/>
      <c r="C344" s="18"/>
      <c r="D344" s="18"/>
      <c r="E344" s="19"/>
      <c r="F344" s="18"/>
      <c r="G344" s="20"/>
      <c r="H344" s="21"/>
      <c r="I344" s="21"/>
      <c r="J344" s="21"/>
      <c r="K344" s="22"/>
      <c r="L344" s="22"/>
      <c r="M344" s="22"/>
      <c r="N344" s="22"/>
      <c r="O344" s="20"/>
      <c r="P344" s="20"/>
    </row>
    <row r="345" spans="1:16" x14ac:dyDescent="0.35">
      <c r="A345" s="18"/>
      <c r="B345" s="18"/>
      <c r="C345" s="18"/>
      <c r="D345" s="18"/>
      <c r="E345" s="19"/>
      <c r="F345" s="18"/>
      <c r="G345" s="20"/>
      <c r="H345" s="21"/>
      <c r="I345" s="21"/>
      <c r="J345" s="21"/>
      <c r="K345" s="22"/>
      <c r="L345" s="22"/>
      <c r="M345" s="22"/>
      <c r="N345" s="22"/>
      <c r="O345" s="20"/>
      <c r="P345" s="20"/>
    </row>
    <row r="346" spans="1:16" x14ac:dyDescent="0.35">
      <c r="A346" s="18"/>
      <c r="B346" s="18"/>
      <c r="C346" s="18"/>
      <c r="D346" s="18"/>
      <c r="E346" s="19"/>
      <c r="F346" s="18"/>
      <c r="G346" s="20"/>
      <c r="H346" s="21"/>
      <c r="I346" s="21"/>
      <c r="J346" s="21"/>
      <c r="K346" s="22"/>
      <c r="L346" s="22"/>
      <c r="M346" s="22"/>
      <c r="N346" s="22"/>
      <c r="O346" s="20"/>
      <c r="P346" s="20"/>
    </row>
    <row r="347" spans="1:16" x14ac:dyDescent="0.35">
      <c r="A347" s="18"/>
      <c r="B347" s="18"/>
      <c r="C347" s="18"/>
      <c r="D347" s="18"/>
      <c r="E347" s="19"/>
      <c r="F347" s="18"/>
      <c r="G347" s="20"/>
      <c r="H347" s="21"/>
      <c r="I347" s="21"/>
      <c r="J347" s="21"/>
      <c r="K347" s="22"/>
      <c r="L347" s="22"/>
      <c r="M347" s="22"/>
      <c r="N347" s="22"/>
      <c r="O347" s="20"/>
      <c r="P347" s="20"/>
    </row>
    <row r="348" spans="1:16" x14ac:dyDescent="0.35">
      <c r="A348" s="18"/>
      <c r="B348" s="18"/>
      <c r="C348" s="18"/>
      <c r="D348" s="18"/>
      <c r="E348" s="19"/>
      <c r="F348" s="18"/>
      <c r="G348" s="20"/>
      <c r="H348" s="21"/>
      <c r="I348" s="21"/>
      <c r="J348" s="21"/>
      <c r="K348" s="22"/>
      <c r="L348" s="22"/>
      <c r="M348" s="22"/>
      <c r="N348" s="22"/>
      <c r="O348" s="20"/>
      <c r="P348" s="20"/>
    </row>
    <row r="349" spans="1:16" x14ac:dyDescent="0.35">
      <c r="A349" s="18"/>
      <c r="B349" s="18"/>
      <c r="C349" s="18"/>
      <c r="D349" s="18"/>
      <c r="E349" s="19"/>
      <c r="F349" s="18"/>
      <c r="G349" s="20"/>
      <c r="H349" s="21"/>
      <c r="I349" s="21"/>
      <c r="J349" s="21"/>
      <c r="K349" s="22"/>
      <c r="L349" s="22"/>
      <c r="M349" s="22"/>
      <c r="N349" s="22"/>
      <c r="O349" s="20"/>
      <c r="P349" s="20"/>
    </row>
    <row r="350" spans="1:16" x14ac:dyDescent="0.35">
      <c r="A350" s="18"/>
      <c r="B350" s="18"/>
      <c r="C350" s="18"/>
      <c r="D350" s="18"/>
      <c r="E350" s="19"/>
      <c r="F350" s="18"/>
      <c r="G350" s="20"/>
      <c r="H350" s="21"/>
      <c r="I350" s="21"/>
      <c r="J350" s="21"/>
      <c r="K350" s="22"/>
      <c r="L350" s="22"/>
      <c r="M350" s="22"/>
      <c r="N350" s="22"/>
      <c r="O350" s="20"/>
      <c r="P350" s="20"/>
    </row>
    <row r="351" spans="1:16" x14ac:dyDescent="0.35">
      <c r="A351" s="18"/>
      <c r="B351" s="18"/>
      <c r="C351" s="18"/>
      <c r="D351" s="18"/>
      <c r="E351" s="19"/>
      <c r="F351" s="18"/>
      <c r="G351" s="20"/>
      <c r="H351" s="21"/>
      <c r="I351" s="21"/>
      <c r="J351" s="21"/>
      <c r="K351" s="22"/>
      <c r="L351" s="22"/>
      <c r="M351" s="22"/>
      <c r="N351" s="22"/>
      <c r="O351" s="20"/>
      <c r="P351" s="20"/>
    </row>
    <row r="352" spans="1:16" x14ac:dyDescent="0.35">
      <c r="A352" s="18"/>
      <c r="B352" s="18"/>
      <c r="C352" s="18"/>
      <c r="D352" s="18"/>
      <c r="E352" s="19"/>
      <c r="F352" s="18"/>
      <c r="G352" s="20"/>
      <c r="H352" s="21"/>
      <c r="I352" s="21"/>
      <c r="J352" s="21"/>
      <c r="K352" s="22"/>
      <c r="L352" s="22"/>
      <c r="M352" s="22"/>
      <c r="N352" s="22"/>
      <c r="O352" s="20"/>
      <c r="P352" s="20"/>
    </row>
    <row r="353" spans="1:16" x14ac:dyDescent="0.35">
      <c r="A353" s="18"/>
      <c r="B353" s="18"/>
      <c r="C353" s="18"/>
      <c r="D353" s="18"/>
      <c r="E353" s="19"/>
      <c r="F353" s="18"/>
      <c r="G353" s="20"/>
      <c r="H353" s="21"/>
      <c r="I353" s="21"/>
      <c r="J353" s="21"/>
      <c r="K353" s="22"/>
      <c r="L353" s="22"/>
      <c r="M353" s="22"/>
      <c r="N353" s="22"/>
      <c r="O353" s="20"/>
      <c r="P353" s="20"/>
    </row>
    <row r="354" spans="1:16" x14ac:dyDescent="0.35">
      <c r="A354" s="18"/>
      <c r="B354" s="18"/>
      <c r="C354" s="18"/>
      <c r="D354" s="18"/>
      <c r="E354" s="19"/>
      <c r="F354" s="18"/>
      <c r="G354" s="20"/>
      <c r="H354" s="21"/>
      <c r="I354" s="21"/>
      <c r="J354" s="21"/>
      <c r="K354" s="22"/>
      <c r="L354" s="22"/>
      <c r="M354" s="22"/>
      <c r="N354" s="22"/>
      <c r="O354" s="20"/>
      <c r="P354" s="20"/>
    </row>
    <row r="355" spans="1:16" x14ac:dyDescent="0.35">
      <c r="A355" s="18"/>
      <c r="B355" s="18"/>
      <c r="C355" s="18"/>
      <c r="D355" s="18"/>
      <c r="E355" s="19"/>
      <c r="F355" s="18"/>
      <c r="G355" s="20"/>
      <c r="H355" s="21"/>
      <c r="I355" s="21"/>
      <c r="J355" s="21"/>
      <c r="K355" s="22"/>
      <c r="L355" s="22"/>
      <c r="M355" s="22"/>
      <c r="N355" s="22"/>
      <c r="O355" s="20"/>
      <c r="P355" s="20"/>
    </row>
    <row r="356" spans="1:16" x14ac:dyDescent="0.35">
      <c r="A356" s="18"/>
      <c r="B356" s="18"/>
      <c r="C356" s="18"/>
      <c r="D356" s="18"/>
      <c r="E356" s="19"/>
      <c r="F356" s="18"/>
      <c r="G356" s="20"/>
      <c r="H356" s="21"/>
      <c r="I356" s="21"/>
      <c r="J356" s="21"/>
      <c r="K356" s="22"/>
      <c r="L356" s="22"/>
      <c r="M356" s="22"/>
      <c r="N356" s="22"/>
      <c r="O356" s="20"/>
      <c r="P356" s="20"/>
    </row>
    <row r="357" spans="1:16" x14ac:dyDescent="0.35">
      <c r="A357" s="18"/>
      <c r="B357" s="18"/>
      <c r="C357" s="18"/>
      <c r="D357" s="18"/>
      <c r="E357" s="19"/>
      <c r="F357" s="18"/>
      <c r="G357" s="20"/>
      <c r="H357" s="21"/>
      <c r="I357" s="21"/>
      <c r="J357" s="21"/>
      <c r="K357" s="22"/>
      <c r="L357" s="22"/>
      <c r="M357" s="22"/>
      <c r="N357" s="22"/>
      <c r="O357" s="20"/>
      <c r="P357" s="20"/>
    </row>
    <row r="358" spans="1:16" x14ac:dyDescent="0.35">
      <c r="A358" s="18"/>
      <c r="B358" s="18"/>
      <c r="C358" s="18"/>
      <c r="D358" s="18"/>
      <c r="E358" s="19"/>
      <c r="F358" s="18"/>
      <c r="G358" s="20"/>
      <c r="H358" s="21"/>
      <c r="I358" s="21"/>
      <c r="J358" s="21"/>
      <c r="K358" s="22"/>
      <c r="L358" s="22"/>
      <c r="M358" s="22"/>
      <c r="N358" s="22"/>
      <c r="O358" s="20"/>
      <c r="P358" s="20"/>
    </row>
    <row r="359" spans="1:16" x14ac:dyDescent="0.35">
      <c r="A359" s="18"/>
      <c r="B359" s="18"/>
      <c r="C359" s="18"/>
      <c r="D359" s="18"/>
      <c r="E359" s="19"/>
      <c r="F359" s="18"/>
      <c r="G359" s="20"/>
      <c r="H359" s="21"/>
      <c r="I359" s="21"/>
      <c r="J359" s="21"/>
      <c r="K359" s="22"/>
      <c r="L359" s="22"/>
      <c r="M359" s="22"/>
      <c r="N359" s="22"/>
      <c r="O359" s="20"/>
      <c r="P359" s="20"/>
    </row>
    <row r="360" spans="1:16" x14ac:dyDescent="0.35">
      <c r="A360" s="18"/>
      <c r="B360" s="18"/>
      <c r="C360" s="18"/>
      <c r="D360" s="18"/>
      <c r="E360" s="19"/>
      <c r="F360" s="18"/>
      <c r="G360" s="20"/>
      <c r="H360" s="21"/>
      <c r="I360" s="21"/>
      <c r="J360" s="21"/>
      <c r="K360" s="22"/>
      <c r="L360" s="22"/>
      <c r="M360" s="22"/>
      <c r="N360" s="22"/>
      <c r="O360" s="20"/>
      <c r="P360" s="20"/>
    </row>
    <row r="361" spans="1:16" x14ac:dyDescent="0.35">
      <c r="A361" s="18"/>
      <c r="B361" s="18"/>
      <c r="C361" s="18"/>
      <c r="D361" s="18"/>
      <c r="E361" s="19"/>
      <c r="F361" s="18"/>
      <c r="G361" s="20"/>
      <c r="H361" s="21"/>
      <c r="I361" s="21"/>
      <c r="J361" s="21"/>
      <c r="K361" s="22"/>
      <c r="L361" s="22"/>
      <c r="M361" s="22"/>
      <c r="N361" s="22"/>
      <c r="O361" s="20"/>
      <c r="P361" s="20"/>
    </row>
    <row r="362" spans="1:16" x14ac:dyDescent="0.35">
      <c r="A362" s="18"/>
      <c r="B362" s="18"/>
      <c r="C362" s="18"/>
      <c r="D362" s="18"/>
      <c r="E362" s="19"/>
      <c r="F362" s="18"/>
      <c r="G362" s="20"/>
      <c r="H362" s="21"/>
      <c r="I362" s="21"/>
      <c r="J362" s="21"/>
      <c r="K362" s="22"/>
      <c r="L362" s="22"/>
      <c r="M362" s="22"/>
      <c r="N362" s="22"/>
      <c r="O362" s="20"/>
      <c r="P362" s="20"/>
    </row>
    <row r="363" spans="1:16" x14ac:dyDescent="0.35">
      <c r="A363" s="18"/>
      <c r="B363" s="18"/>
      <c r="C363" s="18"/>
      <c r="D363" s="18"/>
      <c r="E363" s="19"/>
      <c r="F363" s="18"/>
      <c r="G363" s="20"/>
      <c r="H363" s="21"/>
      <c r="I363" s="21"/>
      <c r="J363" s="21"/>
      <c r="K363" s="22"/>
      <c r="L363" s="22"/>
      <c r="M363" s="22"/>
      <c r="N363" s="22"/>
      <c r="O363" s="20"/>
      <c r="P363" s="20"/>
    </row>
    <row r="364" spans="1:16" x14ac:dyDescent="0.35">
      <c r="A364" s="18"/>
      <c r="B364" s="18"/>
      <c r="C364" s="18"/>
      <c r="D364" s="18"/>
      <c r="E364" s="19"/>
      <c r="F364" s="18"/>
      <c r="G364" s="20"/>
      <c r="H364" s="21"/>
      <c r="I364" s="21"/>
      <c r="J364" s="21"/>
      <c r="K364" s="22"/>
      <c r="L364" s="22"/>
      <c r="M364" s="22"/>
      <c r="N364" s="22"/>
      <c r="O364" s="20"/>
      <c r="P364" s="20"/>
    </row>
    <row r="365" spans="1:16" x14ac:dyDescent="0.35">
      <c r="A365" s="18"/>
      <c r="B365" s="18"/>
      <c r="C365" s="18"/>
      <c r="D365" s="18"/>
      <c r="E365" s="19"/>
      <c r="F365" s="18"/>
      <c r="G365" s="20"/>
      <c r="H365" s="21"/>
      <c r="I365" s="21"/>
      <c r="J365" s="21"/>
      <c r="K365" s="22"/>
      <c r="L365" s="22"/>
      <c r="M365" s="22"/>
      <c r="N365" s="22"/>
      <c r="O365" s="20"/>
      <c r="P365" s="20"/>
    </row>
    <row r="366" spans="1:16" x14ac:dyDescent="0.35">
      <c r="A366" s="18"/>
      <c r="B366" s="18"/>
      <c r="C366" s="18"/>
      <c r="D366" s="18"/>
      <c r="E366" s="19"/>
      <c r="F366" s="18"/>
      <c r="G366" s="20"/>
      <c r="H366" s="21"/>
      <c r="I366" s="21"/>
      <c r="J366" s="21"/>
      <c r="K366" s="22"/>
      <c r="L366" s="22"/>
      <c r="M366" s="22"/>
      <c r="N366" s="22"/>
      <c r="O366" s="20"/>
      <c r="P366" s="20"/>
    </row>
    <row r="367" spans="1:16" x14ac:dyDescent="0.35">
      <c r="A367" s="18"/>
      <c r="B367" s="18"/>
      <c r="C367" s="18"/>
      <c r="D367" s="18"/>
      <c r="E367" s="19"/>
      <c r="F367" s="18"/>
      <c r="G367" s="20"/>
      <c r="H367" s="21"/>
      <c r="I367" s="21"/>
      <c r="J367" s="21"/>
      <c r="K367" s="22"/>
      <c r="L367" s="22"/>
      <c r="M367" s="22"/>
      <c r="N367" s="22"/>
      <c r="O367" s="20"/>
      <c r="P367" s="20"/>
    </row>
    <row r="368" spans="1:16" x14ac:dyDescent="0.35">
      <c r="A368" s="18"/>
      <c r="B368" s="18"/>
      <c r="C368" s="18"/>
      <c r="D368" s="18"/>
      <c r="E368" s="19"/>
      <c r="F368" s="18"/>
      <c r="G368" s="20"/>
      <c r="H368" s="21"/>
      <c r="I368" s="21"/>
      <c r="J368" s="21"/>
      <c r="K368" s="22"/>
      <c r="L368" s="22"/>
      <c r="M368" s="22"/>
      <c r="N368" s="22"/>
      <c r="O368" s="20"/>
      <c r="P368" s="20"/>
    </row>
    <row r="369" spans="1:16" x14ac:dyDescent="0.35">
      <c r="A369" s="18"/>
      <c r="B369" s="18"/>
      <c r="C369" s="18"/>
      <c r="D369" s="18"/>
      <c r="E369" s="19"/>
      <c r="F369" s="18"/>
      <c r="G369" s="20"/>
      <c r="H369" s="21"/>
      <c r="I369" s="21"/>
      <c r="J369" s="21"/>
      <c r="K369" s="22"/>
      <c r="L369" s="22"/>
      <c r="M369" s="22"/>
      <c r="N369" s="22"/>
      <c r="O369" s="20"/>
      <c r="P369" s="20"/>
    </row>
    <row r="370" spans="1:16" x14ac:dyDescent="0.35">
      <c r="A370" s="18"/>
      <c r="B370" s="18"/>
      <c r="C370" s="18"/>
      <c r="D370" s="18"/>
      <c r="E370" s="19"/>
      <c r="F370" s="18"/>
      <c r="G370" s="20"/>
      <c r="H370" s="21"/>
      <c r="I370" s="21"/>
      <c r="J370" s="21"/>
      <c r="K370" s="22"/>
      <c r="L370" s="22"/>
      <c r="M370" s="22"/>
      <c r="N370" s="22"/>
      <c r="O370" s="20"/>
      <c r="P370" s="20"/>
    </row>
    <row r="371" spans="1:16" x14ac:dyDescent="0.35">
      <c r="A371" s="18"/>
      <c r="B371" s="18"/>
      <c r="C371" s="18"/>
      <c r="D371" s="18"/>
      <c r="E371" s="19"/>
      <c r="F371" s="18"/>
      <c r="G371" s="20"/>
      <c r="H371" s="21"/>
      <c r="I371" s="21"/>
      <c r="J371" s="21"/>
      <c r="K371" s="22"/>
      <c r="L371" s="22"/>
      <c r="M371" s="22"/>
      <c r="N371" s="22"/>
      <c r="O371" s="20"/>
      <c r="P371" s="20"/>
    </row>
    <row r="372" spans="1:16" x14ac:dyDescent="0.35">
      <c r="A372" s="18"/>
      <c r="B372" s="18"/>
      <c r="C372" s="18"/>
      <c r="D372" s="18"/>
      <c r="E372" s="19"/>
      <c r="F372" s="18"/>
      <c r="G372" s="20"/>
      <c r="H372" s="21"/>
      <c r="I372" s="21"/>
      <c r="J372" s="21"/>
      <c r="K372" s="22"/>
      <c r="L372" s="22"/>
      <c r="M372" s="22"/>
      <c r="N372" s="22"/>
      <c r="O372" s="20"/>
      <c r="P372" s="20"/>
    </row>
    <row r="373" spans="1:16" x14ac:dyDescent="0.35">
      <c r="A373" s="18"/>
      <c r="B373" s="18"/>
      <c r="C373" s="18"/>
      <c r="D373" s="18"/>
      <c r="E373" s="19"/>
      <c r="F373" s="18"/>
      <c r="G373" s="20"/>
      <c r="H373" s="21"/>
      <c r="I373" s="21"/>
      <c r="J373" s="21"/>
      <c r="K373" s="22"/>
      <c r="L373" s="22"/>
      <c r="M373" s="22"/>
      <c r="N373" s="22"/>
      <c r="O373" s="20"/>
      <c r="P373" s="20"/>
    </row>
    <row r="374" spans="1:16" x14ac:dyDescent="0.35">
      <c r="A374" s="18"/>
      <c r="B374" s="18"/>
      <c r="C374" s="18"/>
      <c r="D374" s="18"/>
      <c r="E374" s="19"/>
      <c r="F374" s="18"/>
      <c r="G374" s="20"/>
      <c r="H374" s="21"/>
      <c r="I374" s="21"/>
      <c r="J374" s="21"/>
      <c r="K374" s="22"/>
      <c r="L374" s="22"/>
      <c r="M374" s="22"/>
      <c r="N374" s="22"/>
      <c r="O374" s="20"/>
      <c r="P374" s="20"/>
    </row>
    <row r="375" spans="1:16" x14ac:dyDescent="0.35">
      <c r="A375" s="18"/>
      <c r="B375" s="18"/>
      <c r="C375" s="18"/>
      <c r="D375" s="18"/>
      <c r="E375" s="19"/>
      <c r="F375" s="18"/>
      <c r="G375" s="20"/>
      <c r="H375" s="21"/>
      <c r="I375" s="21"/>
      <c r="J375" s="21"/>
      <c r="K375" s="22"/>
      <c r="L375" s="22"/>
      <c r="M375" s="22"/>
      <c r="N375" s="22"/>
      <c r="O375" s="20"/>
      <c r="P375" s="20"/>
    </row>
    <row r="376" spans="1:16" x14ac:dyDescent="0.35">
      <c r="A376" s="18"/>
      <c r="B376" s="18"/>
      <c r="C376" s="18"/>
      <c r="D376" s="18"/>
      <c r="E376" s="19"/>
      <c r="F376" s="18"/>
      <c r="G376" s="20"/>
      <c r="H376" s="21"/>
      <c r="I376" s="21"/>
      <c r="J376" s="21"/>
      <c r="K376" s="22"/>
      <c r="L376" s="22"/>
      <c r="M376" s="22"/>
      <c r="N376" s="22"/>
      <c r="O376" s="20"/>
      <c r="P376" s="20"/>
    </row>
    <row r="377" spans="1:16" x14ac:dyDescent="0.35">
      <c r="A377" s="18"/>
      <c r="B377" s="18"/>
      <c r="C377" s="18"/>
      <c r="D377" s="18"/>
      <c r="E377" s="19"/>
      <c r="F377" s="18"/>
      <c r="G377" s="20"/>
      <c r="H377" s="21"/>
      <c r="I377" s="21"/>
      <c r="J377" s="21"/>
      <c r="K377" s="22"/>
      <c r="L377" s="22"/>
      <c r="M377" s="22"/>
      <c r="N377" s="22"/>
      <c r="O377" s="20"/>
      <c r="P377" s="20"/>
    </row>
    <row r="378" spans="1:16" x14ac:dyDescent="0.35">
      <c r="A378" s="18"/>
      <c r="B378" s="18"/>
      <c r="C378" s="18"/>
      <c r="D378" s="18"/>
      <c r="E378" s="19"/>
      <c r="F378" s="18"/>
      <c r="G378" s="20"/>
      <c r="H378" s="21"/>
      <c r="I378" s="21"/>
      <c r="J378" s="21"/>
      <c r="K378" s="22"/>
      <c r="L378" s="22"/>
      <c r="M378" s="22"/>
      <c r="N378" s="22"/>
      <c r="O378" s="20"/>
      <c r="P378" s="20"/>
    </row>
    <row r="379" spans="1:16" x14ac:dyDescent="0.35">
      <c r="A379" s="18"/>
      <c r="B379" s="18"/>
      <c r="C379" s="18"/>
      <c r="D379" s="18"/>
      <c r="E379" s="19"/>
      <c r="F379" s="18"/>
      <c r="G379" s="20"/>
      <c r="H379" s="21"/>
      <c r="I379" s="21"/>
      <c r="J379" s="21"/>
      <c r="K379" s="22"/>
      <c r="L379" s="22"/>
      <c r="M379" s="22"/>
      <c r="N379" s="22"/>
      <c r="O379" s="20"/>
      <c r="P379" s="20"/>
    </row>
    <row r="380" spans="1:16" x14ac:dyDescent="0.35">
      <c r="A380" s="18"/>
      <c r="B380" s="18"/>
      <c r="C380" s="18"/>
      <c r="D380" s="18"/>
      <c r="E380" s="19"/>
      <c r="F380" s="18"/>
      <c r="G380" s="20"/>
      <c r="H380" s="21"/>
      <c r="I380" s="21"/>
      <c r="J380" s="21"/>
      <c r="K380" s="22"/>
      <c r="L380" s="22"/>
      <c r="M380" s="22"/>
      <c r="N380" s="22"/>
      <c r="O380" s="20"/>
      <c r="P380" s="20"/>
    </row>
    <row r="381" spans="1:16" x14ac:dyDescent="0.35">
      <c r="A381" s="18"/>
      <c r="B381" s="18"/>
      <c r="C381" s="18"/>
      <c r="D381" s="18"/>
      <c r="E381" s="19"/>
      <c r="F381" s="18"/>
      <c r="G381" s="20"/>
      <c r="H381" s="21"/>
      <c r="I381" s="21"/>
      <c r="J381" s="21"/>
      <c r="K381" s="22"/>
      <c r="L381" s="22"/>
      <c r="M381" s="22"/>
      <c r="N381" s="22"/>
      <c r="O381" s="20"/>
      <c r="P381" s="20"/>
    </row>
    <row r="382" spans="1:16" x14ac:dyDescent="0.35">
      <c r="A382" s="18"/>
      <c r="B382" s="18"/>
      <c r="C382" s="18"/>
      <c r="D382" s="18"/>
      <c r="E382" s="19"/>
      <c r="F382" s="18"/>
      <c r="G382" s="20"/>
      <c r="H382" s="21"/>
      <c r="I382" s="21"/>
      <c r="J382" s="21"/>
      <c r="K382" s="22"/>
      <c r="L382" s="22"/>
      <c r="M382" s="22"/>
      <c r="N382" s="22"/>
      <c r="O382" s="20"/>
      <c r="P382" s="20"/>
    </row>
    <row r="383" spans="1:16" x14ac:dyDescent="0.35">
      <c r="A383" s="18"/>
      <c r="B383" s="18"/>
      <c r="C383" s="18"/>
      <c r="D383" s="18"/>
      <c r="E383" s="19"/>
      <c r="F383" s="18"/>
      <c r="G383" s="20"/>
      <c r="H383" s="21"/>
      <c r="I383" s="21"/>
      <c r="J383" s="21"/>
      <c r="K383" s="22"/>
      <c r="L383" s="22"/>
      <c r="M383" s="22"/>
      <c r="N383" s="22"/>
      <c r="O383" s="20"/>
      <c r="P383" s="20"/>
    </row>
    <row r="384" spans="1:16" x14ac:dyDescent="0.35">
      <c r="A384" s="18"/>
      <c r="B384" s="18"/>
      <c r="C384" s="18"/>
      <c r="D384" s="18"/>
      <c r="E384" s="19"/>
      <c r="F384" s="18"/>
      <c r="G384" s="20"/>
      <c r="H384" s="21"/>
      <c r="I384" s="21"/>
      <c r="J384" s="21"/>
      <c r="K384" s="22"/>
      <c r="L384" s="22"/>
      <c r="M384" s="22"/>
      <c r="N384" s="22"/>
      <c r="O384" s="20"/>
      <c r="P384" s="20"/>
    </row>
    <row r="385" spans="1:16" x14ac:dyDescent="0.35">
      <c r="A385" s="18"/>
      <c r="B385" s="18"/>
      <c r="C385" s="18"/>
      <c r="D385" s="18"/>
      <c r="E385" s="19"/>
      <c r="F385" s="18"/>
      <c r="G385" s="20"/>
      <c r="H385" s="21"/>
      <c r="I385" s="21"/>
      <c r="J385" s="21"/>
      <c r="K385" s="22"/>
      <c r="L385" s="22"/>
      <c r="M385" s="22"/>
      <c r="N385" s="22"/>
      <c r="O385" s="20"/>
      <c r="P385" s="20"/>
    </row>
    <row r="386" spans="1:16" x14ac:dyDescent="0.35">
      <c r="A386" s="18"/>
      <c r="B386" s="18"/>
      <c r="C386" s="18"/>
      <c r="D386" s="18"/>
      <c r="E386" s="19"/>
      <c r="F386" s="18"/>
      <c r="G386" s="20"/>
      <c r="H386" s="21"/>
      <c r="I386" s="21"/>
      <c r="J386" s="21"/>
      <c r="K386" s="22"/>
      <c r="L386" s="22"/>
      <c r="M386" s="22"/>
      <c r="N386" s="22"/>
      <c r="O386" s="20"/>
      <c r="P386" s="20"/>
    </row>
    <row r="387" spans="1:16" x14ac:dyDescent="0.35">
      <c r="A387" s="18"/>
      <c r="B387" s="18"/>
      <c r="C387" s="18"/>
      <c r="D387" s="18"/>
      <c r="E387" s="19"/>
      <c r="F387" s="18"/>
      <c r="G387" s="20"/>
      <c r="H387" s="21"/>
      <c r="I387" s="21"/>
      <c r="J387" s="21"/>
      <c r="K387" s="22"/>
      <c r="L387" s="22"/>
      <c r="M387" s="22"/>
      <c r="N387" s="22"/>
      <c r="O387" s="20"/>
      <c r="P387" s="20"/>
    </row>
    <row r="388" spans="1:16" x14ac:dyDescent="0.35">
      <c r="A388" s="18"/>
      <c r="B388" s="18"/>
      <c r="C388" s="18"/>
      <c r="D388" s="18"/>
      <c r="E388" s="19"/>
      <c r="F388" s="18"/>
      <c r="G388" s="20"/>
      <c r="H388" s="21"/>
      <c r="I388" s="21"/>
      <c r="J388" s="21"/>
      <c r="K388" s="22"/>
      <c r="L388" s="22"/>
      <c r="M388" s="22"/>
      <c r="N388" s="22"/>
      <c r="O388" s="20"/>
      <c r="P388" s="20"/>
    </row>
    <row r="389" spans="1:16" x14ac:dyDescent="0.35">
      <c r="A389" s="18"/>
      <c r="B389" s="18"/>
      <c r="C389" s="18"/>
      <c r="D389" s="18"/>
      <c r="E389" s="19"/>
      <c r="F389" s="18"/>
      <c r="G389" s="20"/>
      <c r="H389" s="21"/>
      <c r="I389" s="21"/>
      <c r="J389" s="21"/>
      <c r="K389" s="22"/>
      <c r="L389" s="22"/>
      <c r="M389" s="22"/>
      <c r="N389" s="22"/>
      <c r="O389" s="20"/>
      <c r="P389" s="20"/>
    </row>
    <row r="390" spans="1:16" x14ac:dyDescent="0.35">
      <c r="A390" s="18"/>
      <c r="B390" s="18"/>
      <c r="C390" s="18"/>
      <c r="D390" s="18"/>
      <c r="E390" s="19"/>
      <c r="F390" s="18"/>
      <c r="G390" s="20"/>
      <c r="H390" s="21"/>
      <c r="I390" s="21"/>
      <c r="J390" s="21"/>
      <c r="K390" s="22"/>
      <c r="L390" s="22"/>
      <c r="M390" s="22"/>
      <c r="N390" s="22"/>
      <c r="O390" s="20"/>
      <c r="P390" s="20"/>
    </row>
    <row r="391" spans="1:16" x14ac:dyDescent="0.35">
      <c r="A391" s="18"/>
      <c r="B391" s="18"/>
      <c r="C391" s="18"/>
      <c r="D391" s="18"/>
      <c r="E391" s="19"/>
      <c r="F391" s="18"/>
      <c r="G391" s="20"/>
      <c r="H391" s="21"/>
      <c r="I391" s="21"/>
      <c r="J391" s="21"/>
      <c r="K391" s="22"/>
      <c r="L391" s="22"/>
      <c r="M391" s="22"/>
      <c r="N391" s="22"/>
      <c r="O391" s="20"/>
      <c r="P391" s="20"/>
    </row>
    <row r="392" spans="1:16" x14ac:dyDescent="0.35">
      <c r="A392" s="18"/>
      <c r="B392" s="18"/>
      <c r="C392" s="18"/>
      <c r="D392" s="18"/>
      <c r="E392" s="19"/>
      <c r="F392" s="18"/>
      <c r="G392" s="20"/>
      <c r="H392" s="21"/>
      <c r="I392" s="21"/>
      <c r="J392" s="21"/>
      <c r="K392" s="22"/>
      <c r="L392" s="22"/>
      <c r="M392" s="22"/>
      <c r="N392" s="22"/>
      <c r="O392" s="20"/>
      <c r="P392" s="20"/>
    </row>
    <row r="393" spans="1:16" x14ac:dyDescent="0.35">
      <c r="A393" s="18"/>
      <c r="B393" s="18"/>
      <c r="C393" s="18"/>
      <c r="D393" s="18"/>
      <c r="E393" s="19"/>
      <c r="F393" s="18"/>
      <c r="G393" s="20"/>
      <c r="H393" s="21"/>
      <c r="I393" s="21"/>
      <c r="J393" s="21"/>
      <c r="K393" s="22"/>
      <c r="L393" s="22"/>
      <c r="M393" s="22"/>
      <c r="N393" s="22"/>
      <c r="O393" s="20"/>
      <c r="P393" s="20"/>
    </row>
    <row r="394" spans="1:16" x14ac:dyDescent="0.35">
      <c r="A394" s="18"/>
      <c r="B394" s="18"/>
      <c r="C394" s="18"/>
      <c r="D394" s="18"/>
      <c r="E394" s="19"/>
      <c r="F394" s="18"/>
      <c r="G394" s="20"/>
      <c r="H394" s="21"/>
      <c r="I394" s="21"/>
      <c r="J394" s="21"/>
      <c r="K394" s="22"/>
      <c r="L394" s="22"/>
      <c r="M394" s="22"/>
      <c r="N394" s="22"/>
      <c r="O394" s="20"/>
      <c r="P394" s="20"/>
    </row>
    <row r="395" spans="1:16" x14ac:dyDescent="0.35">
      <c r="A395" s="18"/>
      <c r="B395" s="18"/>
      <c r="C395" s="18"/>
      <c r="D395" s="18"/>
      <c r="E395" s="19"/>
      <c r="F395" s="18"/>
      <c r="G395" s="20"/>
      <c r="H395" s="21"/>
      <c r="I395" s="21"/>
      <c r="J395" s="21"/>
      <c r="K395" s="22"/>
      <c r="L395" s="22"/>
      <c r="M395" s="22"/>
      <c r="N395" s="22"/>
      <c r="O395" s="20"/>
      <c r="P395" s="20"/>
    </row>
    <row r="396" spans="1:16" x14ac:dyDescent="0.35">
      <c r="A396" s="18"/>
      <c r="B396" s="18"/>
      <c r="C396" s="18"/>
      <c r="D396" s="18"/>
      <c r="E396" s="19"/>
      <c r="F396" s="18"/>
      <c r="G396" s="20"/>
      <c r="H396" s="21"/>
      <c r="I396" s="21"/>
      <c r="J396" s="21"/>
      <c r="K396" s="22"/>
      <c r="L396" s="22"/>
      <c r="M396" s="22"/>
      <c r="N396" s="22"/>
      <c r="O396" s="20"/>
      <c r="P396" s="20"/>
    </row>
    <row r="397" spans="1:16" x14ac:dyDescent="0.35">
      <c r="A397" s="18"/>
      <c r="B397" s="18"/>
      <c r="C397" s="18"/>
      <c r="D397" s="18"/>
      <c r="E397" s="19"/>
      <c r="F397" s="18"/>
      <c r="G397" s="20"/>
      <c r="H397" s="21"/>
      <c r="I397" s="21"/>
      <c r="J397" s="21"/>
      <c r="K397" s="22"/>
      <c r="L397" s="22"/>
      <c r="M397" s="22"/>
      <c r="N397" s="22"/>
      <c r="O397" s="20"/>
      <c r="P397" s="20"/>
    </row>
    <row r="398" spans="1:16" x14ac:dyDescent="0.35">
      <c r="A398" s="18"/>
      <c r="B398" s="18"/>
      <c r="C398" s="18"/>
      <c r="D398" s="18"/>
      <c r="E398" s="19"/>
      <c r="F398" s="18"/>
      <c r="G398" s="20"/>
      <c r="H398" s="21"/>
      <c r="I398" s="21"/>
      <c r="J398" s="21"/>
      <c r="K398" s="22"/>
      <c r="L398" s="22"/>
      <c r="M398" s="22"/>
      <c r="N398" s="22"/>
      <c r="O398" s="20"/>
      <c r="P398" s="20"/>
    </row>
    <row r="399" spans="1:16" x14ac:dyDescent="0.35">
      <c r="A399" s="18"/>
      <c r="B399" s="18"/>
      <c r="C399" s="18"/>
      <c r="D399" s="18"/>
      <c r="E399" s="19"/>
      <c r="F399" s="18"/>
      <c r="G399" s="20"/>
      <c r="H399" s="21"/>
      <c r="I399" s="21"/>
      <c r="J399" s="21"/>
      <c r="K399" s="22"/>
      <c r="L399" s="22"/>
      <c r="M399" s="22"/>
      <c r="N399" s="22"/>
      <c r="O399" s="20"/>
      <c r="P399" s="20"/>
    </row>
    <row r="400" spans="1:16" x14ac:dyDescent="0.35">
      <c r="A400" s="18"/>
      <c r="B400" s="18"/>
      <c r="C400" s="18"/>
      <c r="D400" s="18"/>
      <c r="E400" s="19"/>
      <c r="F400" s="18"/>
      <c r="G400" s="20"/>
      <c r="H400" s="21"/>
      <c r="I400" s="21"/>
      <c r="J400" s="21"/>
      <c r="K400" s="22"/>
      <c r="L400" s="22"/>
      <c r="M400" s="22"/>
      <c r="N400" s="22"/>
      <c r="O400" s="20"/>
      <c r="P400" s="20"/>
    </row>
    <row r="401" spans="1:16" x14ac:dyDescent="0.35">
      <c r="A401" s="18"/>
      <c r="B401" s="18"/>
      <c r="C401" s="18"/>
      <c r="D401" s="18"/>
      <c r="E401" s="19"/>
      <c r="F401" s="18"/>
      <c r="G401" s="20"/>
      <c r="H401" s="21"/>
      <c r="I401" s="21"/>
      <c r="J401" s="21"/>
      <c r="K401" s="22"/>
      <c r="L401" s="22"/>
      <c r="M401" s="22"/>
      <c r="N401" s="22"/>
      <c r="O401" s="20"/>
      <c r="P401" s="20"/>
    </row>
    <row r="402" spans="1:16" x14ac:dyDescent="0.35">
      <c r="A402" s="18"/>
      <c r="B402" s="18"/>
      <c r="C402" s="18"/>
      <c r="D402" s="18"/>
      <c r="E402" s="19"/>
      <c r="F402" s="18"/>
      <c r="G402" s="20"/>
      <c r="H402" s="21"/>
      <c r="I402" s="21"/>
      <c r="J402" s="21"/>
      <c r="K402" s="22"/>
      <c r="L402" s="22"/>
      <c r="M402" s="22"/>
      <c r="N402" s="22"/>
      <c r="O402" s="20"/>
      <c r="P402" s="20"/>
    </row>
    <row r="403" spans="1:16" x14ac:dyDescent="0.35">
      <c r="A403" s="18"/>
      <c r="B403" s="18"/>
      <c r="C403" s="18"/>
      <c r="D403" s="18"/>
      <c r="E403" s="19"/>
      <c r="F403" s="18"/>
      <c r="G403" s="20"/>
      <c r="H403" s="21"/>
      <c r="I403" s="21"/>
      <c r="J403" s="21"/>
      <c r="K403" s="22"/>
      <c r="L403" s="22"/>
      <c r="M403" s="22"/>
      <c r="N403" s="22"/>
      <c r="O403" s="20"/>
      <c r="P403" s="20"/>
    </row>
    <row r="404" spans="1:16" x14ac:dyDescent="0.35">
      <c r="A404" s="18"/>
      <c r="B404" s="18"/>
      <c r="C404" s="18"/>
      <c r="D404" s="18"/>
      <c r="E404" s="19"/>
      <c r="F404" s="18"/>
      <c r="G404" s="20"/>
      <c r="H404" s="21"/>
      <c r="I404" s="21"/>
      <c r="J404" s="21"/>
      <c r="K404" s="22"/>
      <c r="L404" s="22"/>
      <c r="M404" s="22"/>
      <c r="N404" s="22"/>
      <c r="O404" s="20"/>
      <c r="P404" s="20"/>
    </row>
    <row r="405" spans="1:16" x14ac:dyDescent="0.35">
      <c r="A405" s="18"/>
      <c r="B405" s="18"/>
      <c r="C405" s="18"/>
      <c r="D405" s="18"/>
      <c r="E405" s="19"/>
      <c r="F405" s="18"/>
      <c r="G405" s="20"/>
      <c r="H405" s="21"/>
      <c r="I405" s="21"/>
      <c r="J405" s="21"/>
      <c r="K405" s="22"/>
      <c r="L405" s="22"/>
      <c r="M405" s="22"/>
      <c r="N405" s="22"/>
      <c r="O405" s="20"/>
      <c r="P405" s="20"/>
    </row>
    <row r="406" spans="1:16" x14ac:dyDescent="0.35">
      <c r="A406" s="18"/>
      <c r="B406" s="18"/>
      <c r="C406" s="18"/>
      <c r="D406" s="18"/>
      <c r="E406" s="19"/>
      <c r="F406" s="18"/>
      <c r="G406" s="20"/>
      <c r="H406" s="21"/>
      <c r="I406" s="21"/>
      <c r="J406" s="21"/>
      <c r="K406" s="22"/>
      <c r="L406" s="22"/>
      <c r="M406" s="22"/>
      <c r="N406" s="22"/>
      <c r="O406" s="20"/>
      <c r="P406" s="20"/>
    </row>
    <row r="407" spans="1:16" x14ac:dyDescent="0.35">
      <c r="A407" s="18"/>
      <c r="B407" s="18"/>
      <c r="C407" s="18"/>
      <c r="D407" s="18"/>
      <c r="E407" s="19"/>
      <c r="F407" s="18"/>
      <c r="G407" s="20"/>
      <c r="H407" s="21"/>
      <c r="I407" s="21"/>
      <c r="J407" s="21"/>
      <c r="K407" s="22"/>
      <c r="L407" s="22"/>
      <c r="M407" s="22"/>
      <c r="N407" s="22"/>
      <c r="O407" s="20"/>
      <c r="P407" s="20"/>
    </row>
    <row r="408" spans="1:16" x14ac:dyDescent="0.35">
      <c r="A408" s="18"/>
      <c r="B408" s="18"/>
      <c r="C408" s="18"/>
      <c r="D408" s="18"/>
      <c r="E408" s="19"/>
      <c r="F408" s="18"/>
      <c r="G408" s="20"/>
      <c r="H408" s="21"/>
      <c r="I408" s="21"/>
      <c r="J408" s="21"/>
      <c r="K408" s="22"/>
      <c r="L408" s="22"/>
      <c r="M408" s="22"/>
      <c r="N408" s="22"/>
      <c r="O408" s="20"/>
      <c r="P408" s="20"/>
    </row>
    <row r="409" spans="1:16" x14ac:dyDescent="0.35">
      <c r="A409" s="18"/>
      <c r="B409" s="18"/>
      <c r="C409" s="18"/>
      <c r="D409" s="18"/>
      <c r="E409" s="19"/>
      <c r="F409" s="18"/>
      <c r="G409" s="20"/>
      <c r="H409" s="21"/>
      <c r="I409" s="21"/>
      <c r="J409" s="21"/>
      <c r="K409" s="22"/>
      <c r="L409" s="22"/>
      <c r="M409" s="22"/>
      <c r="N409" s="22"/>
      <c r="O409" s="20"/>
      <c r="P409" s="20"/>
    </row>
    <row r="410" spans="1:16" x14ac:dyDescent="0.35">
      <c r="A410" s="18"/>
      <c r="B410" s="18"/>
      <c r="C410" s="18"/>
      <c r="D410" s="18"/>
      <c r="E410" s="19"/>
      <c r="F410" s="18"/>
      <c r="G410" s="20"/>
      <c r="H410" s="21"/>
      <c r="I410" s="21"/>
      <c r="J410" s="21"/>
      <c r="K410" s="22"/>
      <c r="L410" s="22"/>
      <c r="M410" s="22"/>
      <c r="N410" s="22"/>
      <c r="O410" s="20"/>
      <c r="P410" s="20"/>
    </row>
    <row r="411" spans="1:16" x14ac:dyDescent="0.35">
      <c r="A411" s="18"/>
      <c r="B411" s="18"/>
      <c r="C411" s="18"/>
      <c r="D411" s="18"/>
      <c r="E411" s="19"/>
      <c r="F411" s="18"/>
      <c r="G411" s="20"/>
      <c r="H411" s="21"/>
      <c r="I411" s="21"/>
      <c r="J411" s="21"/>
      <c r="K411" s="22"/>
      <c r="L411" s="22"/>
      <c r="M411" s="22"/>
      <c r="N411" s="22"/>
      <c r="O411" s="20"/>
      <c r="P411" s="20"/>
    </row>
    <row r="412" spans="1:16" x14ac:dyDescent="0.35">
      <c r="A412" s="18"/>
      <c r="B412" s="18"/>
      <c r="C412" s="18"/>
      <c r="D412" s="18"/>
      <c r="E412" s="19"/>
      <c r="F412" s="18"/>
      <c r="G412" s="20"/>
      <c r="H412" s="21"/>
      <c r="I412" s="21"/>
      <c r="J412" s="21"/>
      <c r="K412" s="22"/>
      <c r="L412" s="22"/>
      <c r="M412" s="22"/>
      <c r="N412" s="22"/>
      <c r="O412" s="20"/>
      <c r="P412" s="20"/>
    </row>
    <row r="413" spans="1:16" x14ac:dyDescent="0.35">
      <c r="A413" s="18"/>
      <c r="B413" s="18"/>
      <c r="C413" s="18"/>
      <c r="D413" s="18"/>
      <c r="E413" s="19"/>
      <c r="F413" s="18"/>
      <c r="G413" s="20"/>
      <c r="H413" s="21"/>
      <c r="I413" s="21"/>
      <c r="J413" s="21"/>
      <c r="K413" s="22"/>
      <c r="L413" s="22"/>
      <c r="M413" s="22"/>
      <c r="N413" s="22"/>
      <c r="O413" s="20"/>
      <c r="P413" s="20"/>
    </row>
    <row r="414" spans="1:16" x14ac:dyDescent="0.35">
      <c r="A414" s="18"/>
      <c r="B414" s="18"/>
      <c r="C414" s="18"/>
      <c r="D414" s="18"/>
      <c r="E414" s="19"/>
      <c r="F414" s="18"/>
      <c r="G414" s="20"/>
      <c r="H414" s="21"/>
      <c r="I414" s="21"/>
      <c r="J414" s="21"/>
      <c r="K414" s="22"/>
      <c r="L414" s="22"/>
      <c r="M414" s="22"/>
      <c r="N414" s="22"/>
      <c r="O414" s="20"/>
      <c r="P414" s="20"/>
    </row>
    <row r="415" spans="1:16" x14ac:dyDescent="0.35">
      <c r="A415" s="18"/>
      <c r="B415" s="18"/>
      <c r="C415" s="18"/>
      <c r="D415" s="18"/>
      <c r="E415" s="19"/>
      <c r="F415" s="18"/>
      <c r="G415" s="20"/>
      <c r="H415" s="21"/>
      <c r="I415" s="21"/>
      <c r="J415" s="21"/>
      <c r="K415" s="22"/>
      <c r="L415" s="22"/>
      <c r="M415" s="22"/>
      <c r="N415" s="22"/>
      <c r="O415" s="20"/>
      <c r="P415" s="20"/>
    </row>
    <row r="416" spans="1:16" x14ac:dyDescent="0.35">
      <c r="A416" s="18"/>
      <c r="B416" s="18"/>
      <c r="C416" s="18"/>
      <c r="D416" s="18"/>
      <c r="E416" s="19"/>
      <c r="F416" s="18"/>
      <c r="G416" s="20"/>
      <c r="H416" s="21"/>
      <c r="I416" s="21"/>
      <c r="J416" s="21"/>
      <c r="K416" s="22"/>
      <c r="L416" s="22"/>
      <c r="M416" s="22"/>
      <c r="N416" s="22"/>
      <c r="O416" s="20"/>
      <c r="P416" s="20"/>
    </row>
    <row r="417" spans="1:16" x14ac:dyDescent="0.35">
      <c r="A417" s="18"/>
      <c r="B417" s="18"/>
      <c r="C417" s="18"/>
      <c r="D417" s="18"/>
      <c r="E417" s="19"/>
      <c r="F417" s="18"/>
      <c r="G417" s="20"/>
      <c r="H417" s="21"/>
      <c r="I417" s="21"/>
      <c r="J417" s="21"/>
      <c r="K417" s="22"/>
      <c r="L417" s="22"/>
      <c r="M417" s="22"/>
      <c r="N417" s="22"/>
      <c r="O417" s="20"/>
      <c r="P417" s="20"/>
    </row>
    <row r="418" spans="1:16" x14ac:dyDescent="0.35">
      <c r="A418" s="18"/>
      <c r="B418" s="18"/>
      <c r="C418" s="18"/>
      <c r="D418" s="18"/>
      <c r="E418" s="19"/>
      <c r="F418" s="18"/>
      <c r="G418" s="20"/>
      <c r="H418" s="21"/>
      <c r="I418" s="21"/>
      <c r="J418" s="21"/>
      <c r="K418" s="22"/>
      <c r="L418" s="22"/>
      <c r="M418" s="22"/>
      <c r="N418" s="22"/>
      <c r="O418" s="20"/>
      <c r="P418" s="20"/>
    </row>
    <row r="419" spans="1:16" x14ac:dyDescent="0.35">
      <c r="A419" s="18"/>
      <c r="B419" s="18"/>
      <c r="C419" s="18"/>
      <c r="D419" s="18"/>
      <c r="E419" s="19"/>
      <c r="F419" s="18"/>
      <c r="G419" s="20"/>
      <c r="H419" s="21"/>
      <c r="I419" s="21"/>
      <c r="J419" s="21"/>
      <c r="K419" s="22"/>
      <c r="L419" s="22"/>
      <c r="M419" s="22"/>
      <c r="N419" s="22"/>
      <c r="O419" s="20"/>
      <c r="P419" s="20"/>
    </row>
    <row r="420" spans="1:16" x14ac:dyDescent="0.35">
      <c r="A420" s="18"/>
      <c r="B420" s="18"/>
      <c r="C420" s="18"/>
      <c r="D420" s="18"/>
      <c r="E420" s="19"/>
      <c r="F420" s="18"/>
      <c r="G420" s="20"/>
      <c r="H420" s="21"/>
      <c r="I420" s="21"/>
      <c r="J420" s="21"/>
      <c r="K420" s="22"/>
      <c r="L420" s="22"/>
      <c r="M420" s="22"/>
      <c r="N420" s="22"/>
      <c r="O420" s="20"/>
      <c r="P420" s="20"/>
    </row>
    <row r="421" spans="1:16" x14ac:dyDescent="0.35">
      <c r="A421" s="18"/>
      <c r="B421" s="18"/>
      <c r="C421" s="18"/>
      <c r="D421" s="18"/>
      <c r="E421" s="19"/>
      <c r="F421" s="18"/>
      <c r="G421" s="20"/>
      <c r="H421" s="21"/>
      <c r="I421" s="21"/>
      <c r="J421" s="21"/>
      <c r="K421" s="22"/>
      <c r="L421" s="22"/>
      <c r="M421" s="22"/>
      <c r="N421" s="22"/>
      <c r="O421" s="20"/>
      <c r="P421" s="20"/>
    </row>
    <row r="422" spans="1:16" x14ac:dyDescent="0.35">
      <c r="A422" s="18"/>
      <c r="B422" s="18"/>
      <c r="C422" s="18"/>
      <c r="D422" s="18"/>
      <c r="E422" s="19"/>
      <c r="F422" s="18"/>
      <c r="G422" s="20"/>
      <c r="H422" s="21"/>
      <c r="I422" s="21"/>
      <c r="J422" s="21"/>
      <c r="K422" s="22"/>
      <c r="L422" s="22"/>
      <c r="M422" s="22"/>
      <c r="N422" s="22"/>
      <c r="O422" s="20"/>
      <c r="P422" s="20"/>
    </row>
    <row r="423" spans="1:16" x14ac:dyDescent="0.35">
      <c r="A423" s="18"/>
      <c r="B423" s="18"/>
      <c r="C423" s="18"/>
      <c r="D423" s="18"/>
      <c r="E423" s="19"/>
      <c r="F423" s="18"/>
      <c r="G423" s="20"/>
      <c r="H423" s="21"/>
      <c r="I423" s="21"/>
      <c r="J423" s="21"/>
      <c r="K423" s="22"/>
      <c r="L423" s="22"/>
      <c r="M423" s="22"/>
      <c r="N423" s="22"/>
      <c r="O423" s="20"/>
      <c r="P423" s="20"/>
    </row>
    <row r="424" spans="1:16" x14ac:dyDescent="0.35">
      <c r="A424" s="18"/>
      <c r="B424" s="18"/>
      <c r="C424" s="18"/>
      <c r="D424" s="18"/>
      <c r="E424" s="19"/>
      <c r="F424" s="18"/>
      <c r="G424" s="20"/>
      <c r="H424" s="21"/>
      <c r="I424" s="21"/>
      <c r="J424" s="21"/>
      <c r="K424" s="22"/>
      <c r="L424" s="22"/>
      <c r="M424" s="22"/>
      <c r="N424" s="22"/>
      <c r="O424" s="20"/>
      <c r="P424" s="20"/>
    </row>
    <row r="425" spans="1:16" x14ac:dyDescent="0.35">
      <c r="A425" s="18"/>
      <c r="B425" s="18"/>
      <c r="C425" s="18"/>
      <c r="D425" s="18"/>
      <c r="E425" s="19"/>
      <c r="F425" s="18"/>
      <c r="G425" s="20"/>
      <c r="H425" s="21"/>
      <c r="I425" s="21"/>
      <c r="J425" s="21"/>
      <c r="K425" s="22"/>
      <c r="L425" s="22"/>
      <c r="M425" s="22"/>
      <c r="N425" s="22"/>
      <c r="O425" s="20"/>
      <c r="P425" s="20"/>
    </row>
    <row r="426" spans="1:16" x14ac:dyDescent="0.35">
      <c r="A426" s="18"/>
      <c r="B426" s="18"/>
      <c r="C426" s="18"/>
      <c r="D426" s="18"/>
      <c r="E426" s="19"/>
      <c r="F426" s="18"/>
      <c r="G426" s="20"/>
      <c r="H426" s="21"/>
      <c r="I426" s="21"/>
      <c r="J426" s="21"/>
      <c r="K426" s="22"/>
      <c r="L426" s="22"/>
      <c r="M426" s="22"/>
      <c r="N426" s="22"/>
      <c r="O426" s="20"/>
      <c r="P426" s="20"/>
    </row>
    <row r="427" spans="1:16" x14ac:dyDescent="0.35">
      <c r="A427" s="18"/>
      <c r="B427" s="18"/>
      <c r="C427" s="18"/>
      <c r="D427" s="18"/>
      <c r="E427" s="19"/>
      <c r="F427" s="18"/>
      <c r="G427" s="20"/>
      <c r="H427" s="21"/>
      <c r="I427" s="21"/>
      <c r="J427" s="21"/>
      <c r="K427" s="22"/>
      <c r="L427" s="22"/>
      <c r="M427" s="22"/>
      <c r="N427" s="22"/>
      <c r="O427" s="20"/>
      <c r="P427" s="20"/>
    </row>
    <row r="428" spans="1:16" x14ac:dyDescent="0.35">
      <c r="A428" s="18"/>
      <c r="B428" s="18"/>
      <c r="C428" s="18"/>
      <c r="D428" s="18"/>
      <c r="E428" s="19"/>
      <c r="F428" s="18"/>
      <c r="G428" s="20"/>
      <c r="H428" s="21"/>
      <c r="I428" s="21"/>
      <c r="J428" s="21"/>
      <c r="K428" s="22"/>
      <c r="L428" s="22"/>
      <c r="M428" s="22"/>
      <c r="N428" s="22"/>
      <c r="O428" s="20"/>
      <c r="P428" s="20"/>
    </row>
    <row r="429" spans="1:16" x14ac:dyDescent="0.35">
      <c r="A429" s="18"/>
      <c r="B429" s="18"/>
      <c r="C429" s="18"/>
      <c r="D429" s="18"/>
      <c r="E429" s="19"/>
      <c r="F429" s="18"/>
      <c r="G429" s="20"/>
      <c r="H429" s="21"/>
      <c r="I429" s="21"/>
      <c r="J429" s="21"/>
      <c r="K429" s="22"/>
      <c r="L429" s="22"/>
      <c r="M429" s="22"/>
      <c r="N429" s="22"/>
      <c r="O429" s="20"/>
      <c r="P429" s="20"/>
    </row>
    <row r="430" spans="1:16" x14ac:dyDescent="0.35">
      <c r="A430" s="18"/>
      <c r="B430" s="18"/>
      <c r="C430" s="18"/>
      <c r="D430" s="18"/>
      <c r="E430" s="19"/>
      <c r="F430" s="18"/>
      <c r="G430" s="20"/>
      <c r="H430" s="21"/>
      <c r="I430" s="21"/>
      <c r="J430" s="21"/>
      <c r="K430" s="22"/>
      <c r="L430" s="22"/>
      <c r="M430" s="22"/>
      <c r="N430" s="22"/>
      <c r="O430" s="20"/>
      <c r="P430" s="20"/>
    </row>
    <row r="431" spans="1:16" x14ac:dyDescent="0.35">
      <c r="A431" s="18"/>
      <c r="B431" s="18"/>
      <c r="C431" s="18"/>
      <c r="D431" s="18"/>
      <c r="E431" s="19"/>
      <c r="F431" s="18"/>
      <c r="G431" s="20"/>
      <c r="H431" s="21"/>
      <c r="I431" s="21"/>
      <c r="J431" s="21"/>
      <c r="K431" s="22"/>
      <c r="L431" s="22"/>
      <c r="M431" s="22"/>
      <c r="N431" s="22"/>
      <c r="O431" s="20"/>
      <c r="P431" s="20"/>
    </row>
    <row r="432" spans="1:16" x14ac:dyDescent="0.35">
      <c r="A432" s="18"/>
      <c r="B432" s="18"/>
      <c r="C432" s="18"/>
      <c r="D432" s="18"/>
      <c r="E432" s="19"/>
      <c r="F432" s="18"/>
      <c r="G432" s="20"/>
      <c r="H432" s="21"/>
      <c r="I432" s="21"/>
      <c r="J432" s="21"/>
      <c r="K432" s="22"/>
      <c r="L432" s="22"/>
      <c r="M432" s="22"/>
      <c r="N432" s="22"/>
      <c r="O432" s="20"/>
      <c r="P432" s="20"/>
    </row>
    <row r="433" spans="1:16" x14ac:dyDescent="0.35">
      <c r="A433" s="18"/>
      <c r="B433" s="18"/>
      <c r="C433" s="18"/>
      <c r="D433" s="18"/>
      <c r="E433" s="19"/>
      <c r="F433" s="18"/>
      <c r="G433" s="20"/>
      <c r="H433" s="21"/>
      <c r="I433" s="21"/>
      <c r="J433" s="21"/>
      <c r="K433" s="22"/>
      <c r="L433" s="22"/>
      <c r="M433" s="22"/>
      <c r="N433" s="22"/>
      <c r="O433" s="20"/>
      <c r="P433" s="20"/>
    </row>
    <row r="434" spans="1:16" x14ac:dyDescent="0.35">
      <c r="A434" s="18"/>
      <c r="B434" s="18"/>
      <c r="C434" s="18"/>
      <c r="D434" s="18"/>
      <c r="E434" s="19"/>
      <c r="F434" s="18"/>
      <c r="G434" s="20"/>
      <c r="H434" s="21"/>
      <c r="I434" s="21"/>
      <c r="J434" s="21"/>
      <c r="K434" s="22"/>
      <c r="L434" s="22"/>
      <c r="M434" s="22"/>
      <c r="N434" s="22"/>
      <c r="O434" s="20"/>
      <c r="P434" s="20"/>
    </row>
    <row r="435" spans="1:16" x14ac:dyDescent="0.35">
      <c r="A435" s="18"/>
      <c r="B435" s="18"/>
      <c r="C435" s="18"/>
      <c r="D435" s="18"/>
      <c r="E435" s="19"/>
      <c r="F435" s="18"/>
      <c r="G435" s="20"/>
      <c r="H435" s="21"/>
      <c r="I435" s="21"/>
      <c r="J435" s="21"/>
      <c r="K435" s="22"/>
      <c r="L435" s="22"/>
      <c r="M435" s="22"/>
      <c r="N435" s="22"/>
      <c r="O435" s="20"/>
      <c r="P435" s="20"/>
    </row>
    <row r="436" spans="1:16" x14ac:dyDescent="0.35">
      <c r="A436" s="18"/>
      <c r="B436" s="18"/>
      <c r="C436" s="18"/>
      <c r="D436" s="18"/>
      <c r="E436" s="19"/>
      <c r="F436" s="18"/>
      <c r="G436" s="20"/>
      <c r="H436" s="21"/>
      <c r="I436" s="21"/>
      <c r="J436" s="21"/>
      <c r="K436" s="22"/>
      <c r="L436" s="22"/>
      <c r="M436" s="22"/>
      <c r="N436" s="22"/>
      <c r="O436" s="20"/>
      <c r="P436" s="20"/>
    </row>
    <row r="437" spans="1:16" x14ac:dyDescent="0.35">
      <c r="A437" s="18"/>
      <c r="B437" s="18"/>
      <c r="C437" s="18"/>
      <c r="D437" s="18"/>
      <c r="E437" s="19"/>
      <c r="F437" s="18"/>
      <c r="G437" s="20"/>
      <c r="H437" s="21"/>
      <c r="I437" s="21"/>
      <c r="J437" s="21"/>
      <c r="K437" s="22"/>
      <c r="L437" s="22"/>
      <c r="M437" s="22"/>
      <c r="N437" s="22"/>
      <c r="O437" s="20"/>
      <c r="P437" s="20"/>
    </row>
    <row r="438" spans="1:16" x14ac:dyDescent="0.35">
      <c r="A438" s="18"/>
      <c r="B438" s="18"/>
      <c r="C438" s="18"/>
      <c r="D438" s="18"/>
      <c r="E438" s="19"/>
      <c r="F438" s="18"/>
      <c r="G438" s="20"/>
      <c r="H438" s="21"/>
      <c r="I438" s="21"/>
      <c r="J438" s="21"/>
      <c r="K438" s="22"/>
      <c r="L438" s="22"/>
      <c r="M438" s="22"/>
      <c r="N438" s="22"/>
      <c r="O438" s="20"/>
      <c r="P438" s="20"/>
    </row>
    <row r="439" spans="1:16" x14ac:dyDescent="0.35">
      <c r="A439" s="18"/>
      <c r="B439" s="18"/>
      <c r="C439" s="18"/>
      <c r="D439" s="18"/>
      <c r="E439" s="19"/>
      <c r="F439" s="18"/>
      <c r="G439" s="20"/>
      <c r="H439" s="21"/>
      <c r="I439" s="21"/>
      <c r="J439" s="21"/>
      <c r="K439" s="22"/>
      <c r="L439" s="22"/>
      <c r="M439" s="22"/>
      <c r="N439" s="22"/>
      <c r="O439" s="20"/>
      <c r="P439" s="20"/>
    </row>
    <row r="440" spans="1:16" x14ac:dyDescent="0.35">
      <c r="A440" s="18"/>
      <c r="B440" s="18"/>
      <c r="C440" s="18"/>
      <c r="D440" s="18"/>
      <c r="E440" s="19"/>
      <c r="F440" s="18"/>
      <c r="G440" s="20"/>
      <c r="H440" s="21"/>
      <c r="I440" s="21"/>
      <c r="J440" s="21"/>
      <c r="K440" s="22"/>
      <c r="L440" s="22"/>
      <c r="M440" s="22"/>
      <c r="N440" s="22"/>
      <c r="O440" s="20"/>
      <c r="P440" s="20"/>
    </row>
    <row r="441" spans="1:16" x14ac:dyDescent="0.35">
      <c r="A441" s="18"/>
      <c r="B441" s="18"/>
      <c r="C441" s="18"/>
      <c r="D441" s="18"/>
      <c r="E441" s="19"/>
      <c r="F441" s="18"/>
      <c r="G441" s="20"/>
      <c r="H441" s="21"/>
      <c r="I441" s="21"/>
      <c r="J441" s="21"/>
      <c r="K441" s="22"/>
      <c r="L441" s="22"/>
      <c r="M441" s="22"/>
      <c r="N441" s="22"/>
      <c r="O441" s="20"/>
      <c r="P441" s="20"/>
    </row>
    <row r="442" spans="1:16" x14ac:dyDescent="0.35">
      <c r="A442" s="18"/>
      <c r="B442" s="18"/>
      <c r="C442" s="18"/>
      <c r="D442" s="18"/>
      <c r="E442" s="19"/>
      <c r="F442" s="18"/>
      <c r="G442" s="20"/>
      <c r="H442" s="21"/>
      <c r="I442" s="21"/>
      <c r="J442" s="21"/>
      <c r="K442" s="22"/>
      <c r="L442" s="22"/>
      <c r="M442" s="22"/>
      <c r="N442" s="22"/>
      <c r="O442" s="20"/>
      <c r="P442" s="20"/>
    </row>
    <row r="443" spans="1:16" x14ac:dyDescent="0.35">
      <c r="A443" s="18"/>
      <c r="B443" s="18"/>
      <c r="C443" s="18"/>
      <c r="D443" s="18"/>
      <c r="E443" s="19"/>
      <c r="F443" s="18"/>
      <c r="G443" s="20"/>
      <c r="H443" s="21"/>
      <c r="I443" s="21"/>
      <c r="J443" s="21"/>
      <c r="K443" s="22"/>
      <c r="L443" s="22"/>
      <c r="M443" s="22"/>
      <c r="N443" s="22"/>
      <c r="O443" s="20"/>
      <c r="P443" s="20"/>
    </row>
    <row r="444" spans="1:16" x14ac:dyDescent="0.35">
      <c r="A444" s="18"/>
      <c r="B444" s="18"/>
      <c r="C444" s="18"/>
      <c r="D444" s="18"/>
      <c r="E444" s="19"/>
      <c r="F444" s="18"/>
      <c r="G444" s="20"/>
      <c r="H444" s="21"/>
      <c r="I444" s="21"/>
      <c r="J444" s="21"/>
      <c r="K444" s="22"/>
      <c r="L444" s="22"/>
      <c r="M444" s="22"/>
      <c r="N444" s="22"/>
      <c r="O444" s="20"/>
      <c r="P444" s="20"/>
    </row>
    <row r="445" spans="1:16" x14ac:dyDescent="0.35">
      <c r="A445" s="18"/>
      <c r="B445" s="18"/>
      <c r="C445" s="18"/>
      <c r="D445" s="18"/>
      <c r="E445" s="19"/>
      <c r="F445" s="18"/>
      <c r="G445" s="20"/>
      <c r="H445" s="21"/>
      <c r="I445" s="21"/>
      <c r="J445" s="21"/>
      <c r="K445" s="22"/>
      <c r="L445" s="22"/>
      <c r="M445" s="22"/>
      <c r="N445" s="22"/>
      <c r="O445" s="20"/>
      <c r="P445" s="20"/>
    </row>
    <row r="446" spans="1:16" x14ac:dyDescent="0.35">
      <c r="A446" s="18"/>
      <c r="B446" s="18"/>
      <c r="C446" s="18"/>
      <c r="D446" s="18"/>
      <c r="E446" s="19"/>
      <c r="F446" s="18"/>
      <c r="G446" s="20"/>
      <c r="H446" s="21"/>
      <c r="I446" s="21"/>
      <c r="J446" s="21"/>
      <c r="K446" s="22"/>
      <c r="L446" s="22"/>
      <c r="M446" s="22"/>
      <c r="N446" s="22"/>
      <c r="O446" s="20"/>
      <c r="P446" s="20"/>
    </row>
    <row r="447" spans="1:16" x14ac:dyDescent="0.35">
      <c r="A447" s="18"/>
      <c r="B447" s="18"/>
      <c r="C447" s="18"/>
      <c r="D447" s="18"/>
      <c r="E447" s="19"/>
      <c r="F447" s="18"/>
      <c r="G447" s="20"/>
      <c r="H447" s="21"/>
      <c r="I447" s="21"/>
      <c r="J447" s="21"/>
      <c r="K447" s="22"/>
      <c r="L447" s="22"/>
      <c r="M447" s="22"/>
      <c r="N447" s="22"/>
      <c r="O447" s="20"/>
      <c r="P447" s="20"/>
    </row>
    <row r="448" spans="1:16" x14ac:dyDescent="0.35">
      <c r="A448" s="18"/>
      <c r="B448" s="18"/>
      <c r="C448" s="18"/>
      <c r="D448" s="18"/>
      <c r="E448" s="19"/>
      <c r="F448" s="18"/>
      <c r="G448" s="20"/>
      <c r="H448" s="21"/>
      <c r="I448" s="21"/>
      <c r="J448" s="21"/>
      <c r="K448" s="22"/>
      <c r="L448" s="22"/>
      <c r="M448" s="22"/>
      <c r="N448" s="22"/>
      <c r="O448" s="20"/>
      <c r="P448" s="20"/>
    </row>
    <row r="449" spans="1:16" x14ac:dyDescent="0.35">
      <c r="A449" s="18"/>
      <c r="B449" s="18"/>
      <c r="C449" s="18"/>
      <c r="D449" s="18"/>
      <c r="E449" s="19"/>
      <c r="F449" s="18"/>
      <c r="G449" s="20"/>
      <c r="H449" s="21"/>
      <c r="I449" s="21"/>
      <c r="J449" s="21"/>
      <c r="K449" s="22"/>
      <c r="L449" s="22"/>
      <c r="M449" s="22"/>
      <c r="N449" s="22"/>
      <c r="O449" s="20"/>
      <c r="P449" s="20"/>
    </row>
    <row r="450" spans="1:16" x14ac:dyDescent="0.35">
      <c r="A450" s="18"/>
      <c r="B450" s="18"/>
      <c r="C450" s="18"/>
      <c r="D450" s="18"/>
      <c r="E450" s="19"/>
      <c r="F450" s="18"/>
      <c r="G450" s="20"/>
      <c r="H450" s="21"/>
      <c r="I450" s="21"/>
      <c r="J450" s="21"/>
      <c r="K450" s="22"/>
      <c r="L450" s="22"/>
      <c r="M450" s="22"/>
      <c r="N450" s="22"/>
      <c r="O450" s="20"/>
      <c r="P450" s="20"/>
    </row>
    <row r="451" spans="1:16" x14ac:dyDescent="0.35">
      <c r="A451" s="18"/>
      <c r="B451" s="18"/>
      <c r="C451" s="18"/>
      <c r="D451" s="18"/>
      <c r="E451" s="19"/>
      <c r="F451" s="18"/>
      <c r="G451" s="20"/>
      <c r="H451" s="21"/>
      <c r="I451" s="21"/>
      <c r="J451" s="21"/>
      <c r="K451" s="22"/>
      <c r="L451" s="22"/>
      <c r="M451" s="22"/>
      <c r="N451" s="22"/>
      <c r="O451" s="20"/>
      <c r="P451" s="20"/>
    </row>
    <row r="452" spans="1:16" x14ac:dyDescent="0.35">
      <c r="A452" s="18"/>
      <c r="B452" s="18"/>
      <c r="C452" s="18"/>
      <c r="D452" s="18"/>
      <c r="E452" s="19"/>
      <c r="F452" s="18"/>
      <c r="G452" s="20"/>
      <c r="H452" s="21"/>
      <c r="I452" s="21"/>
      <c r="J452" s="21"/>
      <c r="K452" s="22"/>
      <c r="L452" s="22"/>
      <c r="M452" s="22"/>
      <c r="N452" s="22"/>
      <c r="O452" s="20"/>
      <c r="P452" s="20"/>
    </row>
    <row r="453" spans="1:16" x14ac:dyDescent="0.35">
      <c r="A453" s="18"/>
      <c r="B453" s="18"/>
      <c r="C453" s="18"/>
      <c r="D453" s="18"/>
      <c r="E453" s="19"/>
      <c r="F453" s="18"/>
      <c r="G453" s="20"/>
      <c r="H453" s="21"/>
      <c r="I453" s="21"/>
      <c r="J453" s="21"/>
      <c r="K453" s="22"/>
      <c r="L453" s="22"/>
      <c r="M453" s="22"/>
      <c r="N453" s="22"/>
      <c r="O453" s="20"/>
      <c r="P453" s="20"/>
    </row>
    <row r="454" spans="1:16" x14ac:dyDescent="0.35">
      <c r="A454" s="18"/>
      <c r="B454" s="18"/>
      <c r="C454" s="18"/>
      <c r="D454" s="18"/>
      <c r="E454" s="19"/>
      <c r="F454" s="18"/>
      <c r="G454" s="20"/>
      <c r="H454" s="21"/>
      <c r="I454" s="21"/>
      <c r="J454" s="21"/>
      <c r="K454" s="22"/>
      <c r="L454" s="22"/>
      <c r="M454" s="22"/>
      <c r="N454" s="22"/>
      <c r="O454" s="20"/>
      <c r="P454" s="20"/>
    </row>
    <row r="455" spans="1:16" x14ac:dyDescent="0.35">
      <c r="A455" s="18"/>
      <c r="B455" s="18"/>
      <c r="C455" s="18"/>
      <c r="D455" s="18"/>
      <c r="E455" s="19"/>
      <c r="F455" s="18"/>
      <c r="G455" s="20"/>
      <c r="H455" s="21"/>
      <c r="I455" s="21"/>
      <c r="J455" s="21"/>
      <c r="K455" s="22"/>
      <c r="L455" s="22"/>
      <c r="M455" s="22"/>
      <c r="N455" s="22"/>
      <c r="O455" s="20"/>
      <c r="P455" s="20"/>
    </row>
    <row r="456" spans="1:16" x14ac:dyDescent="0.35">
      <c r="A456" s="18"/>
      <c r="B456" s="18"/>
      <c r="C456" s="18"/>
      <c r="D456" s="18"/>
      <c r="E456" s="19"/>
      <c r="F456" s="18"/>
      <c r="G456" s="20"/>
      <c r="H456" s="21"/>
      <c r="I456" s="21"/>
      <c r="J456" s="21"/>
      <c r="K456" s="22"/>
      <c r="L456" s="22"/>
      <c r="M456" s="22"/>
      <c r="N456" s="22"/>
      <c r="O456" s="20"/>
      <c r="P456" s="20"/>
    </row>
    <row r="457" spans="1:16" x14ac:dyDescent="0.35">
      <c r="A457" s="18"/>
      <c r="B457" s="18"/>
      <c r="C457" s="18"/>
      <c r="D457" s="18"/>
      <c r="E457" s="19"/>
      <c r="F457" s="18"/>
      <c r="G457" s="20"/>
      <c r="H457" s="21"/>
      <c r="I457" s="21"/>
      <c r="J457" s="21"/>
      <c r="K457" s="22"/>
      <c r="L457" s="22"/>
      <c r="M457" s="22"/>
      <c r="N457" s="22"/>
      <c r="O457" s="20"/>
      <c r="P457" s="20"/>
    </row>
    <row r="458" spans="1:16" x14ac:dyDescent="0.35">
      <c r="A458" s="18"/>
      <c r="B458" s="18"/>
      <c r="C458" s="18"/>
      <c r="D458" s="18"/>
      <c r="E458" s="19"/>
      <c r="F458" s="18"/>
      <c r="G458" s="20"/>
      <c r="H458" s="21"/>
      <c r="I458" s="21"/>
      <c r="J458" s="21"/>
      <c r="K458" s="22"/>
      <c r="L458" s="22"/>
      <c r="M458" s="22"/>
      <c r="N458" s="22"/>
      <c r="O458" s="20"/>
      <c r="P458" s="20"/>
    </row>
    <row r="459" spans="1:16" x14ac:dyDescent="0.35">
      <c r="A459" s="18"/>
      <c r="B459" s="18"/>
      <c r="C459" s="18"/>
      <c r="D459" s="18"/>
      <c r="E459" s="19"/>
      <c r="F459" s="18"/>
      <c r="G459" s="20"/>
      <c r="H459" s="21"/>
      <c r="I459" s="21"/>
      <c r="J459" s="21"/>
      <c r="K459" s="22"/>
      <c r="L459" s="22"/>
      <c r="M459" s="22"/>
      <c r="N459" s="22"/>
      <c r="O459" s="20"/>
      <c r="P459" s="20"/>
    </row>
    <row r="460" spans="1:16" x14ac:dyDescent="0.35">
      <c r="A460" s="18"/>
      <c r="B460" s="18"/>
      <c r="C460" s="18"/>
      <c r="D460" s="18"/>
      <c r="E460" s="19"/>
      <c r="F460" s="18"/>
      <c r="G460" s="20"/>
      <c r="H460" s="21"/>
      <c r="I460" s="21"/>
      <c r="J460" s="21"/>
      <c r="K460" s="22"/>
      <c r="L460" s="22"/>
      <c r="M460" s="22"/>
      <c r="N460" s="22"/>
      <c r="O460" s="20"/>
      <c r="P460" s="20"/>
    </row>
    <row r="461" spans="1:16" x14ac:dyDescent="0.35">
      <c r="A461" s="18"/>
      <c r="B461" s="18"/>
      <c r="C461" s="18"/>
      <c r="D461" s="18"/>
      <c r="E461" s="19"/>
      <c r="F461" s="18"/>
      <c r="G461" s="20"/>
      <c r="H461" s="21"/>
      <c r="I461" s="21"/>
      <c r="J461" s="21"/>
      <c r="K461" s="22"/>
      <c r="L461" s="22"/>
      <c r="M461" s="22"/>
      <c r="N461" s="22"/>
      <c r="O461" s="20"/>
      <c r="P461" s="20"/>
    </row>
    <row r="462" spans="1:16" x14ac:dyDescent="0.35">
      <c r="A462" s="18"/>
      <c r="B462" s="18"/>
      <c r="C462" s="18"/>
      <c r="D462" s="18"/>
      <c r="E462" s="19"/>
      <c r="F462" s="18"/>
      <c r="G462" s="20"/>
      <c r="H462" s="21"/>
      <c r="I462" s="21"/>
      <c r="J462" s="21"/>
      <c r="K462" s="22"/>
      <c r="L462" s="22"/>
      <c r="M462" s="22"/>
      <c r="N462" s="22"/>
      <c r="O462" s="20"/>
      <c r="P462" s="20"/>
    </row>
    <row r="463" spans="1:16" x14ac:dyDescent="0.35">
      <c r="A463" s="18"/>
      <c r="B463" s="18"/>
      <c r="C463" s="18"/>
      <c r="D463" s="18"/>
      <c r="E463" s="19"/>
      <c r="F463" s="18"/>
      <c r="G463" s="20"/>
      <c r="H463" s="21"/>
      <c r="I463" s="21"/>
      <c r="J463" s="21"/>
      <c r="K463" s="22"/>
      <c r="L463" s="22"/>
      <c r="M463" s="22"/>
      <c r="N463" s="22"/>
      <c r="O463" s="20"/>
      <c r="P463" s="20"/>
    </row>
    <row r="464" spans="1:16" x14ac:dyDescent="0.35">
      <c r="A464" s="18"/>
      <c r="B464" s="18"/>
      <c r="C464" s="18"/>
      <c r="D464" s="18"/>
      <c r="E464" s="19"/>
      <c r="F464" s="18"/>
      <c r="G464" s="20"/>
      <c r="H464" s="21"/>
      <c r="I464" s="21"/>
      <c r="J464" s="21"/>
      <c r="K464" s="22"/>
      <c r="L464" s="22"/>
      <c r="M464" s="22"/>
      <c r="N464" s="22"/>
      <c r="O464" s="20"/>
      <c r="P464" s="20"/>
    </row>
    <row r="465" spans="1:16" x14ac:dyDescent="0.35">
      <c r="A465" s="18"/>
      <c r="B465" s="18"/>
      <c r="C465" s="18"/>
      <c r="D465" s="18"/>
      <c r="E465" s="19"/>
      <c r="F465" s="18"/>
      <c r="G465" s="20"/>
      <c r="H465" s="21"/>
      <c r="I465" s="21"/>
      <c r="J465" s="21"/>
      <c r="K465" s="22"/>
      <c r="L465" s="22"/>
      <c r="M465" s="22"/>
      <c r="N465" s="22"/>
      <c r="O465" s="20"/>
      <c r="P465" s="20"/>
    </row>
    <row r="466" spans="1:16" x14ac:dyDescent="0.35">
      <c r="A466" s="18"/>
      <c r="B466" s="18"/>
      <c r="C466" s="18"/>
      <c r="D466" s="18"/>
      <c r="E466" s="19"/>
      <c r="F466" s="18"/>
      <c r="G466" s="20"/>
      <c r="H466" s="21"/>
      <c r="I466" s="21"/>
      <c r="J466" s="21"/>
      <c r="K466" s="22"/>
      <c r="L466" s="22"/>
      <c r="M466" s="22"/>
      <c r="N466" s="22"/>
      <c r="O466" s="20"/>
      <c r="P466" s="20"/>
    </row>
    <row r="467" spans="1:16" x14ac:dyDescent="0.35">
      <c r="A467" s="18"/>
      <c r="B467" s="18"/>
      <c r="C467" s="18"/>
      <c r="D467" s="18"/>
      <c r="E467" s="19"/>
      <c r="F467" s="18"/>
      <c r="G467" s="20"/>
      <c r="H467" s="21"/>
      <c r="I467" s="21"/>
      <c r="J467" s="21"/>
      <c r="K467" s="22"/>
      <c r="L467" s="22"/>
      <c r="M467" s="22"/>
      <c r="N467" s="22"/>
      <c r="O467" s="20"/>
      <c r="P467" s="20"/>
    </row>
    <row r="468" spans="1:16" x14ac:dyDescent="0.35">
      <c r="A468" s="18"/>
      <c r="B468" s="18"/>
      <c r="C468" s="18"/>
      <c r="D468" s="18"/>
      <c r="E468" s="19"/>
      <c r="F468" s="18"/>
      <c r="G468" s="20"/>
      <c r="H468" s="21"/>
      <c r="I468" s="21"/>
      <c r="J468" s="21"/>
      <c r="K468" s="22"/>
      <c r="L468" s="22"/>
      <c r="M468" s="22"/>
      <c r="N468" s="22"/>
      <c r="O468" s="20"/>
      <c r="P468" s="20"/>
    </row>
    <row r="469" spans="1:16" x14ac:dyDescent="0.35">
      <c r="A469" s="18"/>
      <c r="B469" s="18"/>
      <c r="C469" s="18"/>
      <c r="D469" s="18"/>
      <c r="E469" s="19"/>
      <c r="F469" s="18"/>
      <c r="G469" s="20"/>
      <c r="H469" s="21"/>
      <c r="I469" s="21"/>
      <c r="J469" s="21"/>
      <c r="K469" s="22"/>
      <c r="L469" s="22"/>
      <c r="M469" s="22"/>
      <c r="N469" s="22"/>
      <c r="O469" s="20"/>
      <c r="P469" s="20"/>
    </row>
    <row r="470" spans="1:16" x14ac:dyDescent="0.35">
      <c r="A470" s="18"/>
      <c r="B470" s="18"/>
      <c r="C470" s="18"/>
      <c r="D470" s="18"/>
      <c r="E470" s="19"/>
      <c r="F470" s="18"/>
      <c r="G470" s="20"/>
      <c r="H470" s="21"/>
      <c r="I470" s="21"/>
      <c r="J470" s="21"/>
      <c r="K470" s="22"/>
      <c r="L470" s="22"/>
      <c r="M470" s="22"/>
      <c r="N470" s="22"/>
      <c r="O470" s="20"/>
      <c r="P470" s="20"/>
    </row>
    <row r="471" spans="1:16" x14ac:dyDescent="0.35">
      <c r="A471" s="18"/>
      <c r="B471" s="18"/>
      <c r="C471" s="18"/>
      <c r="D471" s="18"/>
      <c r="E471" s="19"/>
      <c r="F471" s="18"/>
      <c r="G471" s="20"/>
      <c r="H471" s="21"/>
      <c r="I471" s="21"/>
      <c r="J471" s="21"/>
      <c r="K471" s="22"/>
      <c r="L471" s="22"/>
      <c r="M471" s="22"/>
      <c r="N471" s="22"/>
      <c r="O471" s="20"/>
      <c r="P471" s="20"/>
    </row>
    <row r="472" spans="1:16" x14ac:dyDescent="0.35">
      <c r="A472" s="18"/>
      <c r="B472" s="18"/>
      <c r="C472" s="18"/>
      <c r="D472" s="18"/>
      <c r="E472" s="19"/>
      <c r="F472" s="18"/>
      <c r="G472" s="20"/>
      <c r="H472" s="21"/>
      <c r="I472" s="21"/>
      <c r="J472" s="21"/>
      <c r="K472" s="22"/>
      <c r="L472" s="22"/>
      <c r="M472" s="22"/>
      <c r="N472" s="22"/>
      <c r="O472" s="20"/>
      <c r="P472" s="20"/>
    </row>
    <row r="473" spans="1:16" x14ac:dyDescent="0.35">
      <c r="A473" s="18"/>
      <c r="B473" s="18"/>
      <c r="C473" s="18"/>
      <c r="D473" s="18"/>
      <c r="E473" s="19"/>
      <c r="F473" s="18"/>
      <c r="G473" s="20"/>
      <c r="H473" s="21"/>
      <c r="I473" s="21"/>
      <c r="J473" s="21"/>
      <c r="K473" s="22"/>
      <c r="L473" s="22"/>
      <c r="M473" s="22"/>
      <c r="N473" s="22"/>
      <c r="O473" s="20"/>
      <c r="P473" s="20"/>
    </row>
    <row r="474" spans="1:16" x14ac:dyDescent="0.35">
      <c r="A474" s="18"/>
      <c r="B474" s="18"/>
      <c r="C474" s="18"/>
      <c r="D474" s="18"/>
      <c r="E474" s="19"/>
      <c r="F474" s="18"/>
      <c r="G474" s="20"/>
      <c r="H474" s="21"/>
      <c r="I474" s="21"/>
      <c r="J474" s="21"/>
      <c r="K474" s="22"/>
      <c r="L474" s="22"/>
      <c r="M474" s="22"/>
      <c r="N474" s="22"/>
      <c r="O474" s="20"/>
      <c r="P474" s="20"/>
    </row>
    <row r="475" spans="1:16" x14ac:dyDescent="0.35">
      <c r="A475" s="18"/>
      <c r="B475" s="18"/>
      <c r="C475" s="18"/>
      <c r="D475" s="18"/>
      <c r="E475" s="19"/>
      <c r="F475" s="18"/>
      <c r="G475" s="20"/>
      <c r="H475" s="21"/>
      <c r="I475" s="21"/>
      <c r="J475" s="21"/>
      <c r="K475" s="22"/>
      <c r="L475" s="22"/>
      <c r="M475" s="22"/>
      <c r="N475" s="22"/>
      <c r="O475" s="20"/>
      <c r="P475" s="20"/>
    </row>
    <row r="476" spans="1:16" x14ac:dyDescent="0.35">
      <c r="A476" s="18"/>
      <c r="B476" s="18"/>
      <c r="C476" s="18"/>
      <c r="D476" s="18"/>
      <c r="E476" s="19"/>
      <c r="F476" s="18"/>
      <c r="G476" s="20"/>
      <c r="H476" s="21"/>
      <c r="I476" s="21"/>
      <c r="J476" s="21"/>
      <c r="K476" s="22"/>
      <c r="L476" s="22"/>
      <c r="M476" s="22"/>
      <c r="N476" s="22"/>
      <c r="O476" s="20"/>
      <c r="P476" s="20"/>
    </row>
    <row r="477" spans="1:16" x14ac:dyDescent="0.35">
      <c r="A477" s="18"/>
      <c r="B477" s="18"/>
      <c r="C477" s="18"/>
      <c r="D477" s="18"/>
      <c r="E477" s="19"/>
      <c r="F477" s="18"/>
      <c r="G477" s="20"/>
      <c r="H477" s="21"/>
      <c r="I477" s="21"/>
      <c r="J477" s="21"/>
      <c r="K477" s="22"/>
      <c r="L477" s="22"/>
      <c r="M477" s="22"/>
      <c r="N477" s="22"/>
      <c r="O477" s="20"/>
      <c r="P477" s="20"/>
    </row>
    <row r="478" spans="1:16" x14ac:dyDescent="0.35">
      <c r="A478" s="18"/>
      <c r="B478" s="18"/>
      <c r="C478" s="18"/>
      <c r="D478" s="18"/>
      <c r="E478" s="19"/>
      <c r="F478" s="18"/>
      <c r="G478" s="20"/>
      <c r="H478" s="21"/>
      <c r="I478" s="21"/>
      <c r="J478" s="21"/>
      <c r="K478" s="22"/>
      <c r="L478" s="22"/>
      <c r="M478" s="22"/>
      <c r="N478" s="22"/>
      <c r="O478" s="20"/>
      <c r="P478" s="20"/>
    </row>
    <row r="479" spans="1:16" x14ac:dyDescent="0.35">
      <c r="A479" s="18"/>
      <c r="B479" s="18"/>
      <c r="C479" s="18"/>
      <c r="D479" s="18"/>
      <c r="E479" s="19"/>
      <c r="F479" s="18"/>
      <c r="G479" s="20"/>
      <c r="H479" s="21"/>
      <c r="I479" s="21"/>
      <c r="J479" s="21"/>
      <c r="K479" s="22"/>
      <c r="L479" s="22"/>
      <c r="M479" s="22"/>
      <c r="N479" s="22"/>
      <c r="O479" s="20"/>
      <c r="P479" s="20"/>
    </row>
    <row r="480" spans="1:16" x14ac:dyDescent="0.35">
      <c r="A480" s="18"/>
      <c r="B480" s="18"/>
      <c r="C480" s="18"/>
      <c r="D480" s="18"/>
      <c r="E480" s="19"/>
      <c r="F480" s="18"/>
      <c r="G480" s="20"/>
      <c r="H480" s="21"/>
      <c r="I480" s="21"/>
      <c r="J480" s="21"/>
      <c r="K480" s="22"/>
      <c r="L480" s="22"/>
      <c r="M480" s="22"/>
      <c r="N480" s="22"/>
      <c r="O480" s="20"/>
      <c r="P480" s="20"/>
    </row>
    <row r="481" spans="1:16" x14ac:dyDescent="0.35">
      <c r="A481" s="18"/>
      <c r="B481" s="18"/>
      <c r="C481" s="18"/>
      <c r="D481" s="18"/>
      <c r="E481" s="19"/>
      <c r="F481" s="18"/>
      <c r="G481" s="20"/>
      <c r="H481" s="21"/>
      <c r="I481" s="21"/>
      <c r="J481" s="21"/>
      <c r="K481" s="22"/>
      <c r="L481" s="22"/>
      <c r="M481" s="22"/>
      <c r="N481" s="22"/>
      <c r="O481" s="20"/>
      <c r="P481" s="20"/>
    </row>
    <row r="482" spans="1:16" x14ac:dyDescent="0.35">
      <c r="A482" s="18"/>
      <c r="B482" s="18"/>
      <c r="C482" s="18"/>
      <c r="D482" s="18"/>
      <c r="E482" s="19"/>
      <c r="F482" s="18"/>
      <c r="G482" s="20"/>
      <c r="H482" s="21"/>
      <c r="I482" s="21"/>
      <c r="J482" s="21"/>
      <c r="K482" s="22"/>
      <c r="L482" s="22"/>
      <c r="M482" s="22"/>
      <c r="N482" s="22"/>
      <c r="O482" s="20"/>
      <c r="P482" s="20"/>
    </row>
    <row r="483" spans="1:16" x14ac:dyDescent="0.35">
      <c r="A483" s="18"/>
      <c r="B483" s="18"/>
      <c r="C483" s="18"/>
      <c r="D483" s="18"/>
      <c r="E483" s="19"/>
      <c r="F483" s="18"/>
      <c r="G483" s="20"/>
      <c r="H483" s="21"/>
      <c r="I483" s="21"/>
      <c r="J483" s="21"/>
      <c r="K483" s="22"/>
      <c r="L483" s="22"/>
      <c r="M483" s="22"/>
      <c r="N483" s="22"/>
      <c r="O483" s="20"/>
      <c r="P483" s="20"/>
    </row>
    <row r="484" spans="1:16" x14ac:dyDescent="0.35">
      <c r="A484" s="18"/>
      <c r="B484" s="18"/>
      <c r="C484" s="18"/>
      <c r="D484" s="18"/>
      <c r="E484" s="19"/>
      <c r="F484" s="18"/>
      <c r="G484" s="20"/>
      <c r="H484" s="21"/>
      <c r="I484" s="21"/>
      <c r="J484" s="21"/>
      <c r="K484" s="22"/>
      <c r="L484" s="22"/>
      <c r="M484" s="22"/>
      <c r="N484" s="22"/>
      <c r="O484" s="20"/>
      <c r="P484" s="20"/>
    </row>
    <row r="485" spans="1:16" x14ac:dyDescent="0.35">
      <c r="A485" s="18"/>
      <c r="B485" s="18"/>
      <c r="C485" s="18"/>
      <c r="D485" s="18"/>
      <c r="E485" s="19"/>
      <c r="F485" s="18"/>
      <c r="G485" s="20"/>
      <c r="H485" s="21"/>
      <c r="I485" s="21"/>
      <c r="J485" s="21"/>
      <c r="K485" s="22"/>
      <c r="L485" s="22"/>
      <c r="M485" s="22"/>
      <c r="N485" s="22"/>
      <c r="O485" s="20"/>
      <c r="P485" s="20"/>
    </row>
    <row r="486" spans="1:16" x14ac:dyDescent="0.35">
      <c r="A486" s="18"/>
      <c r="B486" s="18"/>
      <c r="C486" s="18"/>
      <c r="D486" s="18"/>
      <c r="E486" s="19"/>
      <c r="F486" s="18"/>
      <c r="G486" s="20"/>
      <c r="H486" s="21"/>
      <c r="I486" s="21"/>
      <c r="J486" s="21"/>
      <c r="K486" s="22"/>
      <c r="L486" s="22"/>
      <c r="M486" s="22"/>
      <c r="N486" s="22"/>
      <c r="O486" s="20"/>
      <c r="P486" s="20"/>
    </row>
    <row r="487" spans="1:16" x14ac:dyDescent="0.35">
      <c r="A487" s="18"/>
      <c r="B487" s="18"/>
      <c r="C487" s="18"/>
      <c r="D487" s="18"/>
      <c r="E487" s="19"/>
      <c r="F487" s="18"/>
      <c r="G487" s="20"/>
      <c r="H487" s="21"/>
      <c r="I487" s="21"/>
      <c r="J487" s="21"/>
      <c r="K487" s="22"/>
      <c r="L487" s="22"/>
      <c r="M487" s="22"/>
      <c r="N487" s="22"/>
      <c r="O487" s="20"/>
      <c r="P487" s="20"/>
    </row>
    <row r="488" spans="1:16" x14ac:dyDescent="0.35">
      <c r="A488" s="18"/>
      <c r="B488" s="18"/>
      <c r="C488" s="18"/>
      <c r="D488" s="18"/>
      <c r="E488" s="19"/>
      <c r="F488" s="18"/>
      <c r="G488" s="20"/>
      <c r="H488" s="21"/>
      <c r="I488" s="21"/>
      <c r="J488" s="21"/>
      <c r="K488" s="22"/>
      <c r="L488" s="22"/>
      <c r="M488" s="22"/>
      <c r="N488" s="22"/>
      <c r="O488" s="20"/>
      <c r="P488" s="20"/>
    </row>
    <row r="489" spans="1:16" x14ac:dyDescent="0.35">
      <c r="A489" s="18"/>
      <c r="B489" s="18"/>
      <c r="C489" s="18"/>
      <c r="D489" s="18"/>
      <c r="E489" s="19"/>
      <c r="F489" s="18"/>
      <c r="G489" s="20"/>
      <c r="H489" s="21"/>
      <c r="I489" s="21"/>
      <c r="J489" s="21"/>
      <c r="K489" s="22"/>
      <c r="L489" s="22"/>
      <c r="M489" s="22"/>
      <c r="N489" s="22"/>
      <c r="O489" s="20"/>
      <c r="P489" s="20"/>
    </row>
    <row r="490" spans="1:16" x14ac:dyDescent="0.35">
      <c r="A490" s="18"/>
      <c r="B490" s="18"/>
      <c r="C490" s="18"/>
      <c r="D490" s="18"/>
      <c r="E490" s="19"/>
      <c r="F490" s="18"/>
      <c r="G490" s="20"/>
      <c r="H490" s="21"/>
      <c r="I490" s="21"/>
      <c r="J490" s="21"/>
      <c r="K490" s="22"/>
      <c r="L490" s="22"/>
      <c r="M490" s="22"/>
      <c r="N490" s="22"/>
      <c r="O490" s="20"/>
      <c r="P490" s="20"/>
    </row>
    <row r="491" spans="1:16" x14ac:dyDescent="0.35">
      <c r="A491" s="18"/>
      <c r="B491" s="18"/>
      <c r="C491" s="18"/>
      <c r="D491" s="18"/>
      <c r="E491" s="19"/>
      <c r="F491" s="18"/>
      <c r="G491" s="20"/>
      <c r="H491" s="21"/>
      <c r="I491" s="21"/>
      <c r="J491" s="21"/>
      <c r="K491" s="22"/>
      <c r="L491" s="22"/>
      <c r="M491" s="22"/>
      <c r="N491" s="22"/>
      <c r="O491" s="20"/>
      <c r="P491" s="20"/>
    </row>
    <row r="492" spans="1:16" x14ac:dyDescent="0.35">
      <c r="A492" s="18"/>
      <c r="B492" s="18"/>
      <c r="C492" s="18"/>
      <c r="D492" s="18"/>
      <c r="E492" s="19"/>
      <c r="F492" s="18"/>
      <c r="G492" s="20"/>
      <c r="H492" s="21"/>
      <c r="I492" s="21"/>
      <c r="J492" s="21"/>
      <c r="K492" s="22"/>
      <c r="L492" s="22"/>
      <c r="M492" s="22"/>
      <c r="N492" s="22"/>
      <c r="O492" s="20"/>
      <c r="P492" s="20"/>
    </row>
    <row r="493" spans="1:16" x14ac:dyDescent="0.35">
      <c r="A493" s="18"/>
      <c r="B493" s="18"/>
      <c r="C493" s="18"/>
      <c r="D493" s="18"/>
      <c r="E493" s="19"/>
      <c r="F493" s="18"/>
      <c r="G493" s="20"/>
      <c r="H493" s="21"/>
      <c r="I493" s="21"/>
      <c r="J493" s="21"/>
      <c r="K493" s="22"/>
      <c r="L493" s="22"/>
      <c r="M493" s="22"/>
      <c r="N493" s="22"/>
      <c r="O493" s="20"/>
      <c r="P493" s="20"/>
    </row>
    <row r="494" spans="1:16" x14ac:dyDescent="0.35">
      <c r="A494" s="18"/>
      <c r="B494" s="18"/>
      <c r="C494" s="18"/>
      <c r="D494" s="18"/>
      <c r="E494" s="19"/>
      <c r="F494" s="18"/>
      <c r="G494" s="20"/>
      <c r="H494" s="21"/>
      <c r="I494" s="21"/>
      <c r="J494" s="21"/>
      <c r="K494" s="22"/>
      <c r="L494" s="22"/>
      <c r="M494" s="22"/>
      <c r="N494" s="22"/>
      <c r="O494" s="20"/>
      <c r="P494" s="20"/>
    </row>
    <row r="495" spans="1:16" x14ac:dyDescent="0.35">
      <c r="A495" s="18"/>
      <c r="B495" s="18"/>
      <c r="C495" s="18"/>
      <c r="D495" s="18"/>
      <c r="E495" s="19"/>
      <c r="F495" s="18"/>
      <c r="G495" s="20"/>
      <c r="H495" s="21"/>
      <c r="I495" s="21"/>
      <c r="J495" s="21"/>
      <c r="K495" s="22"/>
      <c r="L495" s="22"/>
      <c r="M495" s="22"/>
      <c r="N495" s="22"/>
      <c r="O495" s="20"/>
      <c r="P495" s="20"/>
    </row>
    <row r="496" spans="1:16" x14ac:dyDescent="0.35">
      <c r="A496" s="18"/>
      <c r="B496" s="18"/>
      <c r="C496" s="18"/>
      <c r="D496" s="18"/>
      <c r="E496" s="19"/>
      <c r="F496" s="18"/>
      <c r="G496" s="20"/>
      <c r="H496" s="21"/>
      <c r="I496" s="21"/>
      <c r="J496" s="21"/>
      <c r="K496" s="22"/>
      <c r="L496" s="22"/>
      <c r="M496" s="22"/>
      <c r="N496" s="22"/>
      <c r="O496" s="20"/>
      <c r="P496" s="20"/>
    </row>
    <row r="497" spans="1:16" x14ac:dyDescent="0.35">
      <c r="A497" s="18"/>
      <c r="B497" s="18"/>
      <c r="C497" s="18"/>
      <c r="D497" s="18"/>
      <c r="E497" s="19"/>
      <c r="F497" s="18"/>
      <c r="G497" s="20"/>
      <c r="H497" s="21"/>
      <c r="I497" s="21"/>
      <c r="J497" s="21"/>
      <c r="K497" s="22"/>
      <c r="L497" s="22"/>
      <c r="M497" s="22"/>
      <c r="N497" s="22"/>
      <c r="O497" s="20"/>
      <c r="P497" s="20"/>
    </row>
    <row r="498" spans="1:16" x14ac:dyDescent="0.35">
      <c r="A498" s="18"/>
      <c r="B498" s="18"/>
      <c r="C498" s="18"/>
      <c r="D498" s="18"/>
      <c r="E498" s="19"/>
      <c r="F498" s="18"/>
      <c r="G498" s="20"/>
      <c r="H498" s="21"/>
      <c r="I498" s="21"/>
      <c r="J498" s="21"/>
      <c r="K498" s="22"/>
      <c r="L498" s="22"/>
      <c r="M498" s="22"/>
      <c r="N498" s="22"/>
      <c r="O498" s="20"/>
      <c r="P498" s="20"/>
    </row>
    <row r="499" spans="1:16" x14ac:dyDescent="0.35">
      <c r="A499" s="18"/>
      <c r="B499" s="18"/>
      <c r="C499" s="18"/>
      <c r="D499" s="18"/>
      <c r="E499" s="19"/>
      <c r="F499" s="18"/>
      <c r="G499" s="20"/>
      <c r="H499" s="21"/>
      <c r="I499" s="21"/>
      <c r="J499" s="21"/>
      <c r="K499" s="22"/>
      <c r="L499" s="22"/>
      <c r="M499" s="22"/>
      <c r="N499" s="22"/>
      <c r="O499" s="20"/>
      <c r="P499" s="20"/>
    </row>
    <row r="500" spans="1:16" x14ac:dyDescent="0.35">
      <c r="A500" s="18"/>
      <c r="B500" s="18"/>
      <c r="C500" s="18"/>
      <c r="D500" s="18"/>
      <c r="E500" s="19"/>
      <c r="F500" s="18"/>
      <c r="G500" s="20"/>
      <c r="H500" s="21"/>
      <c r="I500" s="21"/>
      <c r="J500" s="21"/>
      <c r="K500" s="22"/>
      <c r="L500" s="22"/>
      <c r="M500" s="22"/>
      <c r="N500" s="22"/>
      <c r="O500" s="20"/>
      <c r="P500" s="20"/>
    </row>
    <row r="501" spans="1:16" x14ac:dyDescent="0.35">
      <c r="A501" s="18"/>
      <c r="B501" s="18"/>
      <c r="C501" s="18"/>
      <c r="D501" s="18"/>
      <c r="E501" s="19"/>
      <c r="F501" s="18"/>
      <c r="G501" s="20"/>
      <c r="H501" s="21"/>
      <c r="I501" s="21"/>
      <c r="J501" s="21"/>
      <c r="K501" s="22"/>
      <c r="L501" s="22"/>
      <c r="M501" s="22"/>
      <c r="N501" s="22"/>
      <c r="O501" s="20"/>
      <c r="P501" s="20"/>
    </row>
    <row r="502" spans="1:16" x14ac:dyDescent="0.35">
      <c r="A502" s="18"/>
      <c r="B502" s="18"/>
      <c r="C502" s="18"/>
      <c r="D502" s="18"/>
      <c r="E502" s="19"/>
      <c r="F502" s="18"/>
      <c r="G502" s="20"/>
      <c r="H502" s="21"/>
      <c r="I502" s="21"/>
      <c r="J502" s="21"/>
      <c r="K502" s="22"/>
      <c r="L502" s="22"/>
      <c r="M502" s="22"/>
      <c r="N502" s="22"/>
      <c r="O502" s="20"/>
      <c r="P502" s="20"/>
    </row>
    <row r="503" spans="1:16" x14ac:dyDescent="0.35">
      <c r="A503" s="18"/>
      <c r="B503" s="18"/>
      <c r="C503" s="18"/>
      <c r="D503" s="18"/>
      <c r="E503" s="19"/>
      <c r="F503" s="18"/>
      <c r="G503" s="20"/>
      <c r="H503" s="21"/>
      <c r="I503" s="21"/>
      <c r="J503" s="21"/>
      <c r="K503" s="22"/>
      <c r="L503" s="22"/>
      <c r="M503" s="22"/>
      <c r="N503" s="22"/>
      <c r="O503" s="20"/>
      <c r="P503" s="20"/>
    </row>
    <row r="504" spans="1:16" x14ac:dyDescent="0.35">
      <c r="A504" s="18"/>
      <c r="B504" s="18"/>
      <c r="C504" s="18"/>
      <c r="D504" s="18"/>
      <c r="E504" s="19"/>
      <c r="F504" s="18"/>
      <c r="G504" s="20"/>
      <c r="H504" s="21"/>
      <c r="I504" s="21"/>
      <c r="J504" s="21"/>
      <c r="K504" s="22"/>
      <c r="L504" s="22"/>
      <c r="M504" s="22"/>
      <c r="N504" s="22"/>
      <c r="O504" s="20"/>
      <c r="P504" s="20"/>
    </row>
    <row r="505" spans="1:16" x14ac:dyDescent="0.35">
      <c r="A505" s="18"/>
      <c r="B505" s="18"/>
      <c r="C505" s="18"/>
      <c r="D505" s="18"/>
      <c r="E505" s="19"/>
      <c r="F505" s="18"/>
      <c r="G505" s="20"/>
      <c r="H505" s="21"/>
      <c r="I505" s="21"/>
      <c r="J505" s="21"/>
      <c r="K505" s="22"/>
      <c r="L505" s="22"/>
      <c r="M505" s="22"/>
      <c r="N505" s="22"/>
      <c r="O505" s="20"/>
      <c r="P505" s="20"/>
    </row>
    <row r="506" spans="1:16" x14ac:dyDescent="0.35">
      <c r="A506" s="18"/>
      <c r="B506" s="18"/>
      <c r="C506" s="18"/>
      <c r="D506" s="18"/>
      <c r="E506" s="19"/>
      <c r="F506" s="18"/>
      <c r="G506" s="20"/>
      <c r="H506" s="21"/>
      <c r="I506" s="21"/>
      <c r="J506" s="21"/>
      <c r="K506" s="22"/>
      <c r="L506" s="22"/>
      <c r="M506" s="22"/>
      <c r="N506" s="22"/>
      <c r="O506" s="20"/>
      <c r="P506" s="20"/>
    </row>
    <row r="507" spans="1:16" x14ac:dyDescent="0.35">
      <c r="A507" s="18"/>
      <c r="B507" s="18"/>
      <c r="C507" s="18"/>
      <c r="D507" s="18"/>
      <c r="E507" s="19"/>
      <c r="F507" s="18"/>
      <c r="G507" s="20"/>
      <c r="H507" s="21"/>
      <c r="I507" s="21"/>
      <c r="J507" s="21"/>
      <c r="K507" s="22"/>
      <c r="L507" s="22"/>
      <c r="M507" s="22"/>
      <c r="N507" s="22"/>
      <c r="O507" s="20"/>
      <c r="P507" s="20"/>
    </row>
    <row r="508" spans="1:16" x14ac:dyDescent="0.35">
      <c r="A508" s="18"/>
      <c r="B508" s="18"/>
      <c r="C508" s="18"/>
      <c r="D508" s="18"/>
      <c r="E508" s="19"/>
      <c r="F508" s="18"/>
      <c r="G508" s="20"/>
      <c r="H508" s="21"/>
      <c r="I508" s="21"/>
      <c r="J508" s="21"/>
      <c r="K508" s="22"/>
      <c r="L508" s="22"/>
      <c r="M508" s="22"/>
      <c r="N508" s="22"/>
      <c r="O508" s="20"/>
      <c r="P508" s="20"/>
    </row>
    <row r="509" spans="1:16" x14ac:dyDescent="0.35">
      <c r="A509" s="18"/>
      <c r="B509" s="18"/>
      <c r="C509" s="18"/>
      <c r="D509" s="18"/>
      <c r="E509" s="19"/>
      <c r="F509" s="18"/>
      <c r="G509" s="20"/>
      <c r="H509" s="21"/>
      <c r="I509" s="21"/>
      <c r="J509" s="21"/>
      <c r="K509" s="22"/>
      <c r="L509" s="22"/>
      <c r="M509" s="22"/>
      <c r="N509" s="22"/>
      <c r="O509" s="20"/>
      <c r="P509" s="20"/>
    </row>
    <row r="510" spans="1:16" x14ac:dyDescent="0.35">
      <c r="A510" s="18"/>
      <c r="B510" s="18"/>
      <c r="C510" s="18"/>
      <c r="D510" s="18"/>
      <c r="E510" s="19"/>
      <c r="F510" s="18"/>
      <c r="G510" s="20"/>
      <c r="H510" s="21"/>
      <c r="I510" s="21"/>
      <c r="J510" s="21"/>
      <c r="K510" s="22"/>
      <c r="L510" s="22"/>
      <c r="M510" s="22"/>
      <c r="N510" s="22"/>
      <c r="O510" s="20"/>
      <c r="P510" s="20"/>
    </row>
    <row r="511" spans="1:16" x14ac:dyDescent="0.35">
      <c r="A511" s="18"/>
      <c r="B511" s="18"/>
      <c r="C511" s="18"/>
      <c r="D511" s="18"/>
      <c r="E511" s="19"/>
      <c r="F511" s="18"/>
      <c r="G511" s="20"/>
      <c r="H511" s="21"/>
      <c r="I511" s="21"/>
      <c r="J511" s="21"/>
      <c r="K511" s="22"/>
      <c r="L511" s="22"/>
      <c r="M511" s="22"/>
      <c r="N511" s="22"/>
      <c r="O511" s="20"/>
      <c r="P511" s="20"/>
    </row>
    <row r="512" spans="1:16" x14ac:dyDescent="0.35">
      <c r="A512" s="18"/>
      <c r="B512" s="18"/>
      <c r="C512" s="18"/>
      <c r="D512" s="18"/>
      <c r="E512" s="19"/>
      <c r="F512" s="18"/>
      <c r="G512" s="20"/>
      <c r="H512" s="21"/>
      <c r="I512" s="21"/>
      <c r="J512" s="21"/>
      <c r="K512" s="22"/>
      <c r="L512" s="22"/>
      <c r="M512" s="22"/>
      <c r="N512" s="22"/>
      <c r="O512" s="20"/>
      <c r="P512" s="20"/>
    </row>
    <row r="513" spans="1:16" x14ac:dyDescent="0.35">
      <c r="A513" s="18"/>
      <c r="B513" s="18"/>
      <c r="C513" s="18"/>
      <c r="D513" s="18"/>
      <c r="E513" s="19"/>
      <c r="F513" s="18"/>
      <c r="G513" s="20"/>
      <c r="H513" s="21"/>
      <c r="I513" s="21"/>
      <c r="J513" s="21"/>
      <c r="K513" s="22"/>
      <c r="L513" s="22"/>
      <c r="M513" s="22"/>
      <c r="N513" s="22"/>
      <c r="O513" s="20"/>
      <c r="P513" s="20"/>
    </row>
    <row r="514" spans="1:16" x14ac:dyDescent="0.35">
      <c r="A514" s="18"/>
      <c r="B514" s="18"/>
      <c r="C514" s="18"/>
      <c r="D514" s="18"/>
      <c r="E514" s="19"/>
      <c r="F514" s="18"/>
      <c r="G514" s="20"/>
      <c r="H514" s="21"/>
      <c r="I514" s="21"/>
      <c r="J514" s="21"/>
      <c r="K514" s="22"/>
      <c r="L514" s="22"/>
      <c r="M514" s="22"/>
      <c r="N514" s="22"/>
      <c r="O514" s="20"/>
      <c r="P514" s="20"/>
    </row>
    <row r="515" spans="1:16" x14ac:dyDescent="0.35">
      <c r="A515" s="18"/>
      <c r="B515" s="18"/>
      <c r="C515" s="18"/>
      <c r="D515" s="18"/>
      <c r="E515" s="19"/>
      <c r="F515" s="18"/>
      <c r="G515" s="20"/>
      <c r="H515" s="21"/>
      <c r="I515" s="21"/>
      <c r="J515" s="21"/>
      <c r="K515" s="22"/>
      <c r="L515" s="22"/>
      <c r="M515" s="22"/>
      <c r="N515" s="22"/>
      <c r="O515" s="20"/>
      <c r="P515" s="20"/>
    </row>
    <row r="516" spans="1:16" x14ac:dyDescent="0.35">
      <c r="A516" s="18"/>
      <c r="B516" s="18"/>
      <c r="C516" s="18"/>
      <c r="D516" s="18"/>
      <c r="E516" s="19"/>
      <c r="F516" s="18"/>
      <c r="G516" s="20"/>
      <c r="H516" s="21"/>
      <c r="I516" s="21"/>
      <c r="J516" s="21"/>
      <c r="K516" s="22"/>
      <c r="L516" s="22"/>
      <c r="M516" s="22"/>
      <c r="N516" s="22"/>
      <c r="O516" s="20"/>
      <c r="P516" s="20"/>
    </row>
    <row r="517" spans="1:16" x14ac:dyDescent="0.35">
      <c r="A517" s="18"/>
      <c r="B517" s="18"/>
      <c r="C517" s="18"/>
      <c r="D517" s="18"/>
      <c r="E517" s="19"/>
      <c r="F517" s="18"/>
      <c r="G517" s="20"/>
      <c r="H517" s="21"/>
      <c r="I517" s="21"/>
      <c r="J517" s="21"/>
      <c r="K517" s="22"/>
      <c r="L517" s="22"/>
      <c r="M517" s="22"/>
      <c r="N517" s="22"/>
      <c r="O517" s="20"/>
      <c r="P517" s="20"/>
    </row>
    <row r="518" spans="1:16" x14ac:dyDescent="0.35">
      <c r="A518" s="18"/>
      <c r="B518" s="18"/>
      <c r="C518" s="18"/>
      <c r="D518" s="18"/>
      <c r="E518" s="19"/>
      <c r="F518" s="18"/>
      <c r="G518" s="20"/>
      <c r="H518" s="21"/>
      <c r="I518" s="21"/>
      <c r="J518" s="21"/>
      <c r="K518" s="22"/>
      <c r="L518" s="22"/>
      <c r="M518" s="22"/>
      <c r="N518" s="22"/>
      <c r="O518" s="20"/>
      <c r="P518" s="20"/>
    </row>
    <row r="519" spans="1:16" x14ac:dyDescent="0.35">
      <c r="A519" s="18"/>
      <c r="B519" s="18"/>
      <c r="C519" s="18"/>
      <c r="D519" s="18"/>
      <c r="E519" s="19"/>
      <c r="F519" s="18"/>
      <c r="G519" s="20"/>
      <c r="H519" s="21"/>
      <c r="I519" s="21"/>
      <c r="J519" s="21"/>
      <c r="K519" s="22"/>
      <c r="L519" s="22"/>
      <c r="M519" s="22"/>
      <c r="N519" s="22"/>
      <c r="O519" s="20"/>
      <c r="P519" s="20"/>
    </row>
    <row r="520" spans="1:16" x14ac:dyDescent="0.35">
      <c r="A520" s="18"/>
      <c r="B520" s="18"/>
      <c r="C520" s="18"/>
      <c r="D520" s="18"/>
      <c r="E520" s="19"/>
      <c r="F520" s="18"/>
      <c r="G520" s="20"/>
      <c r="H520" s="21"/>
      <c r="I520" s="21"/>
      <c r="J520" s="21"/>
      <c r="K520" s="22"/>
      <c r="L520" s="22"/>
      <c r="M520" s="22"/>
      <c r="N520" s="22"/>
      <c r="O520" s="20"/>
      <c r="P520" s="20"/>
    </row>
    <row r="521" spans="1:16" x14ac:dyDescent="0.35">
      <c r="A521" s="18"/>
      <c r="B521" s="18"/>
      <c r="C521" s="18"/>
      <c r="D521" s="18"/>
      <c r="E521" s="19"/>
      <c r="F521" s="18"/>
      <c r="G521" s="20"/>
      <c r="H521" s="21"/>
      <c r="I521" s="21"/>
      <c r="J521" s="21"/>
      <c r="K521" s="22"/>
      <c r="L521" s="22"/>
      <c r="M521" s="22"/>
      <c r="N521" s="22"/>
      <c r="O521" s="20"/>
      <c r="P521" s="20"/>
    </row>
    <row r="522" spans="1:16" x14ac:dyDescent="0.35">
      <c r="A522" s="18"/>
      <c r="B522" s="18"/>
      <c r="C522" s="18"/>
      <c r="D522" s="18"/>
      <c r="E522" s="19"/>
      <c r="F522" s="18"/>
      <c r="G522" s="20"/>
      <c r="H522" s="21"/>
      <c r="I522" s="21"/>
      <c r="J522" s="21"/>
      <c r="K522" s="22"/>
      <c r="L522" s="22"/>
      <c r="M522" s="22"/>
      <c r="N522" s="22"/>
      <c r="O522" s="20"/>
      <c r="P522" s="20"/>
    </row>
    <row r="523" spans="1:16" x14ac:dyDescent="0.35">
      <c r="A523" s="18"/>
      <c r="B523" s="18"/>
      <c r="C523" s="18"/>
      <c r="D523" s="18"/>
      <c r="E523" s="19"/>
      <c r="F523" s="18"/>
      <c r="G523" s="20"/>
      <c r="H523" s="21"/>
      <c r="I523" s="21"/>
      <c r="J523" s="21"/>
      <c r="K523" s="22"/>
      <c r="L523" s="22"/>
      <c r="M523" s="22"/>
      <c r="N523" s="22"/>
      <c r="O523" s="20"/>
      <c r="P523" s="20"/>
    </row>
    <row r="524" spans="1:16" x14ac:dyDescent="0.35">
      <c r="A524" s="18"/>
      <c r="B524" s="18"/>
      <c r="C524" s="18"/>
      <c r="D524" s="18"/>
      <c r="E524" s="19"/>
      <c r="F524" s="18"/>
      <c r="G524" s="20"/>
      <c r="H524" s="21"/>
      <c r="I524" s="21"/>
      <c r="J524" s="21"/>
      <c r="K524" s="22"/>
      <c r="L524" s="22"/>
      <c r="M524" s="22"/>
      <c r="N524" s="22"/>
      <c r="O524" s="20"/>
      <c r="P524" s="20"/>
    </row>
    <row r="525" spans="1:16" x14ac:dyDescent="0.35">
      <c r="A525" s="18"/>
      <c r="B525" s="18"/>
      <c r="C525" s="18"/>
      <c r="D525" s="18"/>
      <c r="E525" s="19"/>
      <c r="F525" s="18"/>
      <c r="G525" s="20"/>
      <c r="H525" s="21"/>
      <c r="I525" s="21"/>
      <c r="J525" s="21"/>
      <c r="K525" s="22"/>
      <c r="L525" s="22"/>
      <c r="M525" s="22"/>
      <c r="N525" s="22"/>
      <c r="O525" s="20"/>
      <c r="P525" s="20"/>
    </row>
    <row r="526" spans="1:16" x14ac:dyDescent="0.35">
      <c r="A526" s="18"/>
      <c r="B526" s="18"/>
      <c r="C526" s="18"/>
      <c r="D526" s="18"/>
      <c r="E526" s="19"/>
      <c r="F526" s="18"/>
      <c r="G526" s="20"/>
      <c r="H526" s="21"/>
      <c r="I526" s="21"/>
      <c r="J526" s="21"/>
      <c r="K526" s="22"/>
      <c r="L526" s="22"/>
      <c r="M526" s="22"/>
      <c r="N526" s="22"/>
      <c r="O526" s="20"/>
      <c r="P526" s="20"/>
    </row>
    <row r="527" spans="1:16" x14ac:dyDescent="0.35">
      <c r="A527" s="18"/>
      <c r="B527" s="18"/>
      <c r="C527" s="18"/>
      <c r="D527" s="18"/>
      <c r="E527" s="19"/>
      <c r="F527" s="18"/>
      <c r="G527" s="20"/>
      <c r="H527" s="21"/>
      <c r="I527" s="21"/>
      <c r="J527" s="21"/>
      <c r="K527" s="22"/>
      <c r="L527" s="22"/>
      <c r="M527" s="22"/>
      <c r="N527" s="22"/>
      <c r="O527" s="20"/>
      <c r="P527" s="20"/>
    </row>
    <row r="528" spans="1:16" x14ac:dyDescent="0.35">
      <c r="A528" s="18"/>
      <c r="B528" s="18"/>
      <c r="C528" s="18"/>
      <c r="D528" s="18"/>
      <c r="E528" s="19"/>
      <c r="F528" s="18"/>
      <c r="G528" s="20"/>
      <c r="H528" s="21"/>
      <c r="I528" s="21"/>
      <c r="J528" s="21"/>
      <c r="K528" s="22"/>
      <c r="L528" s="22"/>
      <c r="M528" s="22"/>
      <c r="N528" s="22"/>
      <c r="O528" s="20"/>
      <c r="P528" s="20"/>
    </row>
    <row r="529" spans="1:16" x14ac:dyDescent="0.35">
      <c r="A529" s="18"/>
      <c r="B529" s="18"/>
      <c r="C529" s="18"/>
      <c r="D529" s="18"/>
      <c r="E529" s="19"/>
      <c r="F529" s="18"/>
      <c r="G529" s="20"/>
      <c r="H529" s="21"/>
      <c r="I529" s="21"/>
      <c r="J529" s="21"/>
      <c r="K529" s="22"/>
      <c r="L529" s="22"/>
      <c r="M529" s="22"/>
      <c r="N529" s="22"/>
      <c r="O529" s="20"/>
      <c r="P529" s="20"/>
    </row>
    <row r="530" spans="1:16" x14ac:dyDescent="0.35">
      <c r="A530" s="18"/>
      <c r="B530" s="18"/>
      <c r="C530" s="18"/>
      <c r="D530" s="18"/>
      <c r="E530" s="19"/>
      <c r="F530" s="18"/>
      <c r="G530" s="20"/>
      <c r="H530" s="21"/>
      <c r="I530" s="21"/>
      <c r="J530" s="21"/>
      <c r="K530" s="22"/>
      <c r="L530" s="22"/>
      <c r="M530" s="22"/>
      <c r="N530" s="22"/>
      <c r="O530" s="20"/>
      <c r="P530" s="20"/>
    </row>
    <row r="531" spans="1:16" x14ac:dyDescent="0.35">
      <c r="A531" s="18"/>
      <c r="B531" s="18"/>
      <c r="C531" s="18"/>
      <c r="D531" s="18"/>
      <c r="E531" s="19"/>
      <c r="F531" s="18"/>
      <c r="G531" s="20"/>
      <c r="H531" s="21"/>
      <c r="I531" s="21"/>
      <c r="J531" s="21"/>
      <c r="K531" s="22"/>
      <c r="L531" s="22"/>
      <c r="M531" s="22"/>
      <c r="N531" s="22"/>
      <c r="O531" s="20"/>
      <c r="P531" s="20"/>
    </row>
    <row r="532" spans="1:16" x14ac:dyDescent="0.35">
      <c r="A532" s="18"/>
      <c r="B532" s="18"/>
      <c r="C532" s="18"/>
      <c r="D532" s="18"/>
      <c r="E532" s="19"/>
      <c r="F532" s="18"/>
      <c r="G532" s="20"/>
      <c r="H532" s="21"/>
      <c r="I532" s="21"/>
      <c r="J532" s="21"/>
      <c r="K532" s="22"/>
      <c r="L532" s="22"/>
      <c r="M532" s="22"/>
      <c r="N532" s="22"/>
      <c r="O532" s="20"/>
      <c r="P532" s="20"/>
    </row>
    <row r="533" spans="1:16" x14ac:dyDescent="0.35">
      <c r="A533" s="18"/>
      <c r="B533" s="18"/>
      <c r="C533" s="18"/>
      <c r="D533" s="18"/>
      <c r="E533" s="19"/>
      <c r="F533" s="18"/>
      <c r="G533" s="20"/>
      <c r="H533" s="21"/>
      <c r="I533" s="21"/>
      <c r="J533" s="21"/>
      <c r="K533" s="22"/>
      <c r="L533" s="22"/>
      <c r="M533" s="22"/>
      <c r="N533" s="22"/>
      <c r="O533" s="20"/>
      <c r="P533" s="20"/>
    </row>
    <row r="534" spans="1:16" x14ac:dyDescent="0.35">
      <c r="A534" s="18"/>
      <c r="B534" s="18"/>
      <c r="C534" s="18"/>
      <c r="D534" s="18"/>
      <c r="E534" s="19"/>
      <c r="F534" s="18"/>
      <c r="G534" s="20"/>
      <c r="H534" s="21"/>
      <c r="I534" s="21"/>
      <c r="J534" s="21"/>
      <c r="K534" s="22"/>
      <c r="L534" s="22"/>
      <c r="M534" s="22"/>
      <c r="N534" s="22"/>
      <c r="O534" s="20"/>
      <c r="P534" s="20"/>
    </row>
    <row r="535" spans="1:16" x14ac:dyDescent="0.35">
      <c r="A535" s="18"/>
      <c r="B535" s="18"/>
      <c r="C535" s="18"/>
      <c r="D535" s="18"/>
      <c r="E535" s="19"/>
      <c r="F535" s="18"/>
      <c r="G535" s="20"/>
      <c r="H535" s="21"/>
      <c r="I535" s="21"/>
      <c r="J535" s="21"/>
      <c r="K535" s="22"/>
      <c r="L535" s="22"/>
      <c r="M535" s="22"/>
      <c r="N535" s="22"/>
      <c r="O535" s="20"/>
      <c r="P535" s="20"/>
    </row>
    <row r="536" spans="1:16" x14ac:dyDescent="0.35">
      <c r="A536" s="18"/>
      <c r="B536" s="18"/>
      <c r="C536" s="18"/>
      <c r="D536" s="18"/>
      <c r="E536" s="19"/>
      <c r="F536" s="18"/>
      <c r="G536" s="20"/>
      <c r="H536" s="21"/>
      <c r="I536" s="21"/>
      <c r="J536" s="21"/>
      <c r="K536" s="22"/>
      <c r="L536" s="22"/>
      <c r="M536" s="22"/>
      <c r="N536" s="22"/>
      <c r="O536" s="20"/>
      <c r="P536" s="20"/>
    </row>
    <row r="537" spans="1:16" x14ac:dyDescent="0.35">
      <c r="A537" s="18"/>
      <c r="B537" s="18"/>
      <c r="C537" s="18"/>
      <c r="D537" s="18"/>
      <c r="E537" s="19"/>
      <c r="F537" s="18"/>
      <c r="G537" s="20"/>
      <c r="H537" s="21"/>
      <c r="I537" s="21"/>
      <c r="J537" s="21"/>
      <c r="K537" s="22"/>
      <c r="L537" s="22"/>
      <c r="M537" s="22"/>
      <c r="N537" s="22"/>
      <c r="O537" s="20"/>
      <c r="P537" s="20"/>
    </row>
    <row r="538" spans="1:16" x14ac:dyDescent="0.35">
      <c r="A538" s="18"/>
      <c r="B538" s="18"/>
      <c r="C538" s="18"/>
      <c r="D538" s="18"/>
      <c r="E538" s="19"/>
      <c r="F538" s="18"/>
      <c r="G538" s="20"/>
      <c r="H538" s="21"/>
      <c r="I538" s="21"/>
      <c r="J538" s="21"/>
      <c r="K538" s="22"/>
      <c r="L538" s="22"/>
      <c r="M538" s="22"/>
      <c r="N538" s="22"/>
      <c r="O538" s="20"/>
      <c r="P538" s="20"/>
    </row>
    <row r="539" spans="1:16" x14ac:dyDescent="0.35">
      <c r="A539" s="18"/>
      <c r="B539" s="18"/>
      <c r="C539" s="18"/>
      <c r="D539" s="18"/>
      <c r="E539" s="19"/>
      <c r="F539" s="18"/>
      <c r="G539" s="20"/>
      <c r="H539" s="21"/>
      <c r="I539" s="21"/>
      <c r="J539" s="21"/>
      <c r="K539" s="22"/>
      <c r="L539" s="22"/>
      <c r="M539" s="22"/>
      <c r="N539" s="22"/>
      <c r="O539" s="20"/>
      <c r="P539" s="20"/>
    </row>
    <row r="540" spans="1:16" x14ac:dyDescent="0.35">
      <c r="A540" s="18"/>
      <c r="B540" s="18"/>
      <c r="C540" s="18"/>
      <c r="D540" s="18"/>
      <c r="E540" s="19"/>
      <c r="F540" s="18"/>
      <c r="G540" s="20"/>
      <c r="H540" s="21"/>
      <c r="I540" s="21"/>
      <c r="J540" s="21"/>
      <c r="K540" s="22"/>
      <c r="L540" s="22"/>
      <c r="M540" s="22"/>
      <c r="N540" s="22"/>
      <c r="O540" s="20"/>
      <c r="P540" s="20"/>
    </row>
    <row r="541" spans="1:16" x14ac:dyDescent="0.35">
      <c r="A541" s="18"/>
      <c r="B541" s="18"/>
      <c r="C541" s="18"/>
      <c r="D541" s="18"/>
      <c r="E541" s="19"/>
      <c r="F541" s="18"/>
      <c r="G541" s="20"/>
      <c r="H541" s="21"/>
      <c r="I541" s="21"/>
      <c r="J541" s="21"/>
      <c r="K541" s="22"/>
      <c r="L541" s="22"/>
      <c r="M541" s="22"/>
      <c r="N541" s="22"/>
      <c r="O541" s="20"/>
      <c r="P541" s="20"/>
    </row>
    <row r="542" spans="1:16" x14ac:dyDescent="0.35">
      <c r="A542" s="18"/>
      <c r="B542" s="18"/>
      <c r="C542" s="18"/>
      <c r="D542" s="18"/>
      <c r="E542" s="19"/>
      <c r="F542" s="18"/>
      <c r="G542" s="20"/>
      <c r="H542" s="21"/>
      <c r="I542" s="21"/>
      <c r="J542" s="21"/>
      <c r="K542" s="22"/>
      <c r="L542" s="22"/>
      <c r="M542" s="22"/>
      <c r="N542" s="22"/>
      <c r="O542" s="20"/>
      <c r="P542" s="20"/>
    </row>
    <row r="543" spans="1:16" x14ac:dyDescent="0.35">
      <c r="A543" s="18"/>
      <c r="B543" s="18"/>
      <c r="C543" s="18"/>
      <c r="D543" s="18"/>
      <c r="E543" s="19"/>
      <c r="F543" s="18"/>
      <c r="G543" s="20"/>
      <c r="H543" s="21"/>
      <c r="I543" s="21"/>
      <c r="J543" s="21"/>
      <c r="K543" s="22"/>
      <c r="L543" s="22"/>
      <c r="M543" s="22"/>
      <c r="N543" s="22"/>
      <c r="O543" s="20"/>
      <c r="P543" s="20"/>
    </row>
    <row r="544" spans="1:16" x14ac:dyDescent="0.35">
      <c r="A544" s="18"/>
      <c r="B544" s="18"/>
      <c r="C544" s="18"/>
      <c r="D544" s="18"/>
      <c r="E544" s="19"/>
      <c r="F544" s="18"/>
      <c r="G544" s="20"/>
      <c r="H544" s="21"/>
      <c r="I544" s="21"/>
      <c r="J544" s="21"/>
      <c r="K544" s="22"/>
      <c r="L544" s="22"/>
      <c r="M544" s="22"/>
      <c r="N544" s="22"/>
      <c r="O544" s="20"/>
      <c r="P544" s="20"/>
    </row>
    <row r="545" spans="1:16" x14ac:dyDescent="0.35">
      <c r="A545" s="18"/>
      <c r="B545" s="18"/>
      <c r="C545" s="18"/>
      <c r="D545" s="18"/>
      <c r="E545" s="19"/>
      <c r="F545" s="18"/>
      <c r="G545" s="20"/>
      <c r="H545" s="21"/>
      <c r="I545" s="21"/>
      <c r="J545" s="21"/>
      <c r="K545" s="22"/>
      <c r="L545" s="22"/>
      <c r="M545" s="22"/>
      <c r="N545" s="22"/>
      <c r="O545" s="20"/>
      <c r="P545" s="20"/>
    </row>
    <row r="546" spans="1:16" x14ac:dyDescent="0.35">
      <c r="A546" s="18"/>
      <c r="B546" s="18"/>
      <c r="C546" s="18"/>
      <c r="D546" s="18"/>
      <c r="E546" s="19"/>
      <c r="F546" s="18"/>
      <c r="G546" s="20"/>
      <c r="H546" s="21"/>
      <c r="I546" s="21"/>
      <c r="J546" s="21"/>
      <c r="K546" s="22"/>
      <c r="L546" s="22"/>
      <c r="M546" s="22"/>
      <c r="N546" s="22"/>
      <c r="O546" s="20"/>
      <c r="P546" s="20"/>
    </row>
    <row r="547" spans="1:16" x14ac:dyDescent="0.35">
      <c r="A547" s="18"/>
      <c r="B547" s="18"/>
      <c r="C547" s="18"/>
      <c r="D547" s="18"/>
      <c r="E547" s="19"/>
      <c r="F547" s="18"/>
      <c r="G547" s="20"/>
      <c r="H547" s="21"/>
      <c r="I547" s="21"/>
      <c r="J547" s="21"/>
      <c r="K547" s="22"/>
      <c r="L547" s="22"/>
      <c r="M547" s="22"/>
      <c r="N547" s="22"/>
      <c r="O547" s="20"/>
      <c r="P547" s="20"/>
    </row>
    <row r="548" spans="1:16" x14ac:dyDescent="0.35">
      <c r="A548" s="18"/>
      <c r="B548" s="18"/>
      <c r="C548" s="18"/>
      <c r="D548" s="18"/>
      <c r="E548" s="19"/>
      <c r="F548" s="18"/>
      <c r="G548" s="20"/>
      <c r="H548" s="21"/>
      <c r="I548" s="21"/>
      <c r="J548" s="21"/>
      <c r="K548" s="22"/>
      <c r="L548" s="22"/>
      <c r="M548" s="22"/>
      <c r="N548" s="22"/>
      <c r="O548" s="20"/>
      <c r="P548" s="20"/>
    </row>
    <row r="549" spans="1:16" x14ac:dyDescent="0.35">
      <c r="A549" s="18"/>
      <c r="B549" s="18"/>
      <c r="C549" s="18"/>
      <c r="D549" s="18"/>
      <c r="E549" s="19"/>
      <c r="F549" s="18"/>
      <c r="G549" s="20"/>
      <c r="H549" s="21"/>
      <c r="I549" s="21"/>
      <c r="J549" s="21"/>
      <c r="K549" s="22"/>
      <c r="L549" s="22"/>
      <c r="M549" s="22"/>
      <c r="N549" s="22"/>
      <c r="O549" s="20"/>
      <c r="P549" s="20"/>
    </row>
    <row r="550" spans="1:16" x14ac:dyDescent="0.35">
      <c r="A550" s="18"/>
      <c r="B550" s="18"/>
      <c r="C550" s="18"/>
      <c r="D550" s="18"/>
      <c r="E550" s="19"/>
      <c r="F550" s="18"/>
      <c r="G550" s="20"/>
      <c r="H550" s="21"/>
      <c r="I550" s="21"/>
      <c r="J550" s="21"/>
      <c r="K550" s="22"/>
      <c r="L550" s="22"/>
      <c r="M550" s="22"/>
      <c r="N550" s="22"/>
      <c r="O550" s="20"/>
      <c r="P550" s="20"/>
    </row>
    <row r="551" spans="1:16" x14ac:dyDescent="0.35">
      <c r="A551" s="18"/>
      <c r="B551" s="18"/>
      <c r="C551" s="18"/>
      <c r="D551" s="18"/>
      <c r="E551" s="19"/>
      <c r="F551" s="18"/>
      <c r="G551" s="20"/>
      <c r="H551" s="21"/>
      <c r="I551" s="21"/>
      <c r="J551" s="21"/>
      <c r="K551" s="22"/>
      <c r="L551" s="22"/>
      <c r="M551" s="22"/>
      <c r="N551" s="22"/>
      <c r="O551" s="20"/>
      <c r="P551" s="20"/>
    </row>
    <row r="552" spans="1:16" x14ac:dyDescent="0.35">
      <c r="A552" s="18"/>
      <c r="B552" s="18"/>
      <c r="C552" s="18"/>
      <c r="D552" s="18"/>
      <c r="E552" s="19"/>
      <c r="F552" s="18"/>
      <c r="G552" s="20"/>
      <c r="H552" s="21"/>
      <c r="I552" s="21"/>
      <c r="J552" s="21"/>
      <c r="K552" s="22"/>
      <c r="L552" s="22"/>
      <c r="M552" s="22"/>
      <c r="N552" s="22"/>
      <c r="O552" s="20"/>
      <c r="P552" s="20"/>
    </row>
    <row r="553" spans="1:16" x14ac:dyDescent="0.35">
      <c r="A553" s="18"/>
      <c r="B553" s="18"/>
      <c r="C553" s="18"/>
      <c r="D553" s="18"/>
      <c r="E553" s="19"/>
      <c r="F553" s="18"/>
      <c r="G553" s="20"/>
      <c r="H553" s="21"/>
      <c r="I553" s="21"/>
      <c r="J553" s="21"/>
      <c r="K553" s="22"/>
      <c r="L553" s="22"/>
      <c r="M553" s="22"/>
      <c r="N553" s="22"/>
      <c r="O553" s="20"/>
      <c r="P553" s="20"/>
    </row>
    <row r="554" spans="1:16" x14ac:dyDescent="0.35">
      <c r="A554" s="18"/>
      <c r="B554" s="18"/>
      <c r="C554" s="18"/>
      <c r="D554" s="18"/>
      <c r="E554" s="19"/>
      <c r="F554" s="18"/>
      <c r="G554" s="20"/>
      <c r="H554" s="21"/>
      <c r="I554" s="21"/>
      <c r="J554" s="21"/>
      <c r="K554" s="22"/>
      <c r="L554" s="22"/>
      <c r="M554" s="22"/>
      <c r="N554" s="22"/>
      <c r="O554" s="20"/>
      <c r="P554" s="20"/>
    </row>
    <row r="555" spans="1:16" x14ac:dyDescent="0.35">
      <c r="A555" s="18"/>
      <c r="B555" s="18"/>
      <c r="C555" s="18"/>
      <c r="D555" s="18"/>
      <c r="E555" s="19"/>
      <c r="F555" s="18"/>
      <c r="G555" s="20"/>
      <c r="H555" s="21"/>
      <c r="I555" s="21"/>
      <c r="J555" s="21"/>
      <c r="K555" s="22"/>
      <c r="L555" s="22"/>
      <c r="M555" s="22"/>
      <c r="N555" s="22"/>
      <c r="O555" s="20"/>
      <c r="P555" s="20"/>
    </row>
    <row r="556" spans="1:16" x14ac:dyDescent="0.35">
      <c r="A556" s="18"/>
      <c r="B556" s="18"/>
      <c r="C556" s="18"/>
      <c r="D556" s="18"/>
      <c r="E556" s="19"/>
      <c r="F556" s="18"/>
      <c r="G556" s="20"/>
      <c r="H556" s="21"/>
      <c r="I556" s="21"/>
      <c r="J556" s="21"/>
      <c r="K556" s="22"/>
      <c r="L556" s="22"/>
      <c r="M556" s="22"/>
      <c r="N556" s="22"/>
      <c r="O556" s="20"/>
      <c r="P556" s="20"/>
    </row>
    <row r="557" spans="1:16" x14ac:dyDescent="0.35">
      <c r="A557" s="18"/>
      <c r="B557" s="18"/>
      <c r="C557" s="18"/>
      <c r="D557" s="18"/>
      <c r="E557" s="19"/>
      <c r="F557" s="18"/>
      <c r="G557" s="20"/>
      <c r="H557" s="21"/>
      <c r="I557" s="21"/>
      <c r="J557" s="21"/>
      <c r="K557" s="22"/>
      <c r="L557" s="22"/>
      <c r="M557" s="22"/>
      <c r="N557" s="22"/>
      <c r="O557" s="20"/>
      <c r="P557" s="20"/>
    </row>
    <row r="558" spans="1:16" x14ac:dyDescent="0.35">
      <c r="A558" s="18"/>
      <c r="B558" s="18"/>
      <c r="C558" s="18"/>
      <c r="D558" s="18"/>
      <c r="E558" s="19"/>
      <c r="F558" s="18"/>
      <c r="G558" s="20"/>
      <c r="H558" s="21"/>
      <c r="I558" s="21"/>
      <c r="J558" s="21"/>
      <c r="K558" s="22"/>
      <c r="L558" s="22"/>
      <c r="M558" s="22"/>
      <c r="N558" s="22"/>
      <c r="O558" s="20"/>
      <c r="P558" s="20"/>
    </row>
    <row r="559" spans="1:16" x14ac:dyDescent="0.35">
      <c r="A559" s="18"/>
      <c r="B559" s="18"/>
      <c r="C559" s="18"/>
      <c r="D559" s="18"/>
      <c r="E559" s="19"/>
      <c r="F559" s="18"/>
      <c r="G559" s="20"/>
      <c r="H559" s="21"/>
      <c r="I559" s="21"/>
      <c r="J559" s="21"/>
      <c r="K559" s="22"/>
      <c r="L559" s="22"/>
      <c r="M559" s="22"/>
      <c r="N559" s="22"/>
      <c r="O559" s="20"/>
      <c r="P559" s="20"/>
    </row>
    <row r="560" spans="1:16" x14ac:dyDescent="0.35">
      <c r="A560" s="18"/>
      <c r="B560" s="18"/>
      <c r="C560" s="18"/>
      <c r="D560" s="18"/>
      <c r="E560" s="19"/>
      <c r="F560" s="18"/>
      <c r="G560" s="20"/>
      <c r="H560" s="21"/>
      <c r="I560" s="21"/>
      <c r="J560" s="21"/>
      <c r="K560" s="22"/>
      <c r="L560" s="22"/>
      <c r="M560" s="22"/>
      <c r="N560" s="22"/>
      <c r="O560" s="20"/>
      <c r="P560" s="20"/>
    </row>
    <row r="561" spans="1:16" x14ac:dyDescent="0.35">
      <c r="A561" s="18"/>
      <c r="B561" s="18"/>
      <c r="C561" s="18"/>
      <c r="D561" s="18"/>
      <c r="E561" s="19"/>
      <c r="F561" s="18"/>
      <c r="G561" s="20"/>
      <c r="H561" s="21"/>
      <c r="I561" s="21"/>
      <c r="J561" s="21"/>
      <c r="K561" s="22"/>
      <c r="L561" s="22"/>
      <c r="M561" s="22"/>
      <c r="N561" s="22"/>
      <c r="O561" s="20"/>
      <c r="P561" s="20"/>
    </row>
    <row r="562" spans="1:16" x14ac:dyDescent="0.35">
      <c r="A562" s="18"/>
      <c r="B562" s="18"/>
      <c r="C562" s="18"/>
      <c r="D562" s="18"/>
      <c r="E562" s="19"/>
      <c r="F562" s="18"/>
      <c r="G562" s="20"/>
      <c r="H562" s="21"/>
      <c r="I562" s="21"/>
      <c r="J562" s="21"/>
      <c r="K562" s="22"/>
      <c r="L562" s="22"/>
      <c r="M562" s="22"/>
      <c r="N562" s="22"/>
      <c r="O562" s="20"/>
      <c r="P562" s="20"/>
    </row>
    <row r="563" spans="1:16" x14ac:dyDescent="0.35">
      <c r="A563" s="18"/>
      <c r="B563" s="18"/>
      <c r="C563" s="18"/>
      <c r="D563" s="18"/>
      <c r="E563" s="19"/>
      <c r="F563" s="18"/>
      <c r="G563" s="20"/>
      <c r="H563" s="21"/>
      <c r="I563" s="21"/>
      <c r="J563" s="21"/>
      <c r="K563" s="22"/>
      <c r="L563" s="22"/>
      <c r="M563" s="22"/>
      <c r="N563" s="22"/>
      <c r="O563" s="20"/>
      <c r="P563" s="20"/>
    </row>
    <row r="564" spans="1:16" x14ac:dyDescent="0.35">
      <c r="A564" s="18"/>
      <c r="B564" s="18"/>
      <c r="C564" s="18"/>
      <c r="D564" s="18"/>
      <c r="E564" s="19"/>
      <c r="F564" s="18"/>
      <c r="G564" s="20"/>
      <c r="H564" s="21"/>
      <c r="I564" s="21"/>
      <c r="J564" s="21"/>
      <c r="K564" s="22"/>
      <c r="L564" s="22"/>
      <c r="M564" s="22"/>
      <c r="N564" s="22"/>
      <c r="O564" s="20"/>
      <c r="P564" s="20"/>
    </row>
    <row r="565" spans="1:16" x14ac:dyDescent="0.35">
      <c r="A565" s="18"/>
      <c r="B565" s="18"/>
      <c r="C565" s="18"/>
      <c r="D565" s="18"/>
      <c r="E565" s="19"/>
      <c r="F565" s="18"/>
      <c r="G565" s="20"/>
      <c r="H565" s="21"/>
      <c r="I565" s="21"/>
      <c r="J565" s="21"/>
      <c r="K565" s="22"/>
      <c r="L565" s="22"/>
      <c r="M565" s="22"/>
      <c r="N565" s="22"/>
      <c r="O565" s="20"/>
      <c r="P565" s="20"/>
    </row>
    <row r="566" spans="1:16" x14ac:dyDescent="0.35">
      <c r="A566" s="18"/>
      <c r="B566" s="18"/>
      <c r="C566" s="18"/>
      <c r="D566" s="18"/>
      <c r="E566" s="19"/>
      <c r="F566" s="18"/>
      <c r="G566" s="20"/>
      <c r="H566" s="21"/>
      <c r="I566" s="21"/>
      <c r="J566" s="21"/>
      <c r="K566" s="22"/>
      <c r="L566" s="22"/>
      <c r="M566" s="22"/>
      <c r="N566" s="22"/>
      <c r="O566" s="20"/>
      <c r="P566" s="20"/>
    </row>
    <row r="567" spans="1:16" x14ac:dyDescent="0.35">
      <c r="A567" s="18"/>
      <c r="B567" s="18"/>
      <c r="C567" s="18"/>
      <c r="D567" s="18"/>
      <c r="E567" s="19"/>
      <c r="F567" s="18"/>
      <c r="G567" s="20"/>
      <c r="H567" s="21"/>
      <c r="I567" s="21"/>
      <c r="J567" s="21"/>
      <c r="K567" s="22"/>
      <c r="L567" s="22"/>
      <c r="M567" s="22"/>
      <c r="N567" s="22"/>
      <c r="O567" s="20"/>
      <c r="P567" s="20"/>
    </row>
    <row r="568" spans="1:16" x14ac:dyDescent="0.35">
      <c r="A568" s="18"/>
      <c r="B568" s="18"/>
      <c r="C568" s="18"/>
      <c r="D568" s="18"/>
      <c r="E568" s="19"/>
      <c r="F568" s="18"/>
      <c r="G568" s="20"/>
      <c r="H568" s="21"/>
      <c r="I568" s="21"/>
      <c r="J568" s="21"/>
      <c r="K568" s="22"/>
      <c r="L568" s="22"/>
      <c r="M568" s="22"/>
      <c r="N568" s="22"/>
      <c r="O568" s="20"/>
      <c r="P568" s="20"/>
    </row>
    <row r="569" spans="1:16" x14ac:dyDescent="0.35">
      <c r="A569" s="18"/>
      <c r="B569" s="18"/>
      <c r="C569" s="18"/>
      <c r="D569" s="18"/>
      <c r="E569" s="19"/>
      <c r="F569" s="18"/>
      <c r="G569" s="20"/>
      <c r="H569" s="21"/>
      <c r="I569" s="21"/>
      <c r="J569" s="21"/>
      <c r="K569" s="22"/>
      <c r="L569" s="22"/>
      <c r="M569" s="22"/>
      <c r="N569" s="22"/>
      <c r="O569" s="20"/>
      <c r="P569" s="20"/>
    </row>
    <row r="570" spans="1:16" x14ac:dyDescent="0.35">
      <c r="A570" s="18"/>
      <c r="B570" s="18"/>
      <c r="C570" s="18"/>
      <c r="D570" s="18"/>
      <c r="E570" s="19"/>
      <c r="F570" s="18"/>
      <c r="G570" s="20"/>
      <c r="H570" s="21"/>
      <c r="I570" s="21"/>
      <c r="J570" s="21"/>
      <c r="K570" s="22"/>
      <c r="L570" s="22"/>
      <c r="M570" s="22"/>
      <c r="N570" s="22"/>
      <c r="O570" s="20"/>
      <c r="P570" s="20"/>
    </row>
    <row r="571" spans="1:16" x14ac:dyDescent="0.35">
      <c r="A571" s="18"/>
      <c r="B571" s="18"/>
      <c r="C571" s="18"/>
      <c r="D571" s="18"/>
      <c r="E571" s="19"/>
      <c r="F571" s="18"/>
      <c r="G571" s="20"/>
      <c r="H571" s="21"/>
      <c r="I571" s="21"/>
      <c r="J571" s="21"/>
      <c r="K571" s="22"/>
      <c r="L571" s="22"/>
      <c r="M571" s="22"/>
      <c r="N571" s="22"/>
      <c r="O571" s="20"/>
      <c r="P571" s="20"/>
    </row>
    <row r="572" spans="1:16" x14ac:dyDescent="0.35">
      <c r="A572" s="18"/>
      <c r="B572" s="18"/>
      <c r="C572" s="18"/>
      <c r="D572" s="18"/>
      <c r="E572" s="19"/>
      <c r="F572" s="18"/>
      <c r="G572" s="20"/>
      <c r="H572" s="21"/>
      <c r="I572" s="21"/>
      <c r="J572" s="21"/>
      <c r="K572" s="22"/>
      <c r="L572" s="22"/>
      <c r="M572" s="22"/>
      <c r="N572" s="22"/>
      <c r="O572" s="20"/>
      <c r="P572" s="20"/>
    </row>
    <row r="573" spans="1:16" x14ac:dyDescent="0.35">
      <c r="A573" s="18"/>
      <c r="B573" s="18"/>
      <c r="C573" s="18"/>
      <c r="D573" s="18"/>
      <c r="E573" s="19"/>
      <c r="F573" s="18"/>
      <c r="G573" s="20"/>
      <c r="H573" s="21"/>
      <c r="I573" s="21"/>
      <c r="J573" s="21"/>
      <c r="K573" s="22"/>
      <c r="L573" s="22"/>
      <c r="M573" s="22"/>
      <c r="N573" s="22"/>
      <c r="O573" s="20"/>
      <c r="P573" s="20"/>
    </row>
    <row r="574" spans="1:16" x14ac:dyDescent="0.35">
      <c r="A574" s="18"/>
      <c r="B574" s="18"/>
      <c r="C574" s="18"/>
      <c r="D574" s="18"/>
      <c r="E574" s="19"/>
      <c r="F574" s="18"/>
      <c r="G574" s="20"/>
      <c r="H574" s="21"/>
      <c r="I574" s="21"/>
      <c r="J574" s="21"/>
      <c r="K574" s="22"/>
      <c r="L574" s="22"/>
      <c r="M574" s="22"/>
      <c r="N574" s="22"/>
      <c r="O574" s="20"/>
      <c r="P574" s="20"/>
    </row>
    <row r="575" spans="1:16" x14ac:dyDescent="0.35">
      <c r="A575" s="18"/>
      <c r="B575" s="18"/>
      <c r="C575" s="18"/>
      <c r="D575" s="18"/>
      <c r="E575" s="19"/>
      <c r="F575" s="18"/>
      <c r="G575" s="20"/>
      <c r="H575" s="21"/>
      <c r="I575" s="21"/>
      <c r="J575" s="21"/>
      <c r="K575" s="22"/>
      <c r="L575" s="22"/>
      <c r="M575" s="22"/>
      <c r="N575" s="22"/>
      <c r="O575" s="20"/>
      <c r="P575" s="20"/>
    </row>
    <row r="576" spans="1:16" x14ac:dyDescent="0.35">
      <c r="A576" s="18"/>
      <c r="B576" s="18"/>
      <c r="C576" s="18"/>
      <c r="D576" s="18"/>
      <c r="E576" s="19"/>
      <c r="F576" s="18"/>
      <c r="G576" s="20"/>
      <c r="H576" s="21"/>
      <c r="I576" s="21"/>
      <c r="J576" s="21"/>
      <c r="K576" s="22"/>
      <c r="L576" s="22"/>
      <c r="M576" s="22"/>
      <c r="N576" s="22"/>
      <c r="O576" s="20"/>
      <c r="P576" s="20"/>
    </row>
    <row r="577" spans="1:16" x14ac:dyDescent="0.35">
      <c r="A577" s="18"/>
      <c r="B577" s="18"/>
      <c r="C577" s="18"/>
      <c r="D577" s="18"/>
      <c r="E577" s="19"/>
      <c r="F577" s="18"/>
      <c r="G577" s="20"/>
      <c r="H577" s="21"/>
      <c r="I577" s="21"/>
      <c r="J577" s="21"/>
      <c r="K577" s="22"/>
      <c r="L577" s="22"/>
      <c r="M577" s="22"/>
      <c r="N577" s="22"/>
      <c r="O577" s="20"/>
      <c r="P577" s="20"/>
    </row>
    <row r="578" spans="1:16" x14ac:dyDescent="0.35">
      <c r="A578" s="18"/>
      <c r="B578" s="18"/>
      <c r="C578" s="18"/>
      <c r="D578" s="18"/>
      <c r="E578" s="19"/>
      <c r="F578" s="18"/>
      <c r="G578" s="20"/>
      <c r="H578" s="21"/>
      <c r="I578" s="21"/>
      <c r="J578" s="21"/>
      <c r="K578" s="22"/>
      <c r="L578" s="22"/>
      <c r="M578" s="22"/>
      <c r="N578" s="22"/>
      <c r="O578" s="20"/>
      <c r="P578" s="20"/>
    </row>
    <row r="579" spans="1:16" x14ac:dyDescent="0.35">
      <c r="A579" s="18"/>
      <c r="B579" s="18"/>
      <c r="C579" s="18"/>
      <c r="D579" s="18"/>
      <c r="E579" s="19"/>
      <c r="F579" s="18"/>
      <c r="G579" s="20"/>
      <c r="H579" s="21"/>
      <c r="I579" s="21"/>
      <c r="J579" s="21"/>
      <c r="K579" s="22"/>
      <c r="L579" s="22"/>
      <c r="M579" s="22"/>
      <c r="N579" s="22"/>
      <c r="O579" s="20"/>
      <c r="P579" s="20"/>
    </row>
    <row r="580" spans="1:16" x14ac:dyDescent="0.35">
      <c r="A580" s="18"/>
      <c r="B580" s="18"/>
      <c r="C580" s="18"/>
      <c r="D580" s="18"/>
      <c r="E580" s="19"/>
      <c r="F580" s="18"/>
      <c r="G580" s="20"/>
      <c r="H580" s="21"/>
      <c r="I580" s="21"/>
      <c r="J580" s="21"/>
      <c r="K580" s="22"/>
      <c r="L580" s="22"/>
      <c r="M580" s="22"/>
      <c r="N580" s="22"/>
      <c r="O580" s="20"/>
      <c r="P580" s="20"/>
    </row>
    <row r="581" spans="1:16" x14ac:dyDescent="0.35">
      <c r="A581" s="18"/>
      <c r="B581" s="18"/>
      <c r="C581" s="18"/>
      <c r="D581" s="18"/>
      <c r="E581" s="19"/>
      <c r="F581" s="18"/>
      <c r="G581" s="20"/>
      <c r="H581" s="21"/>
      <c r="I581" s="21"/>
      <c r="J581" s="21"/>
      <c r="K581" s="22"/>
      <c r="L581" s="22"/>
      <c r="M581" s="22"/>
      <c r="N581" s="22"/>
      <c r="O581" s="20"/>
      <c r="P581" s="20"/>
    </row>
    <row r="582" spans="1:16" x14ac:dyDescent="0.35">
      <c r="A582" s="18"/>
      <c r="B582" s="18"/>
      <c r="C582" s="18"/>
      <c r="D582" s="18"/>
      <c r="E582" s="19"/>
      <c r="F582" s="18"/>
      <c r="G582" s="20"/>
      <c r="H582" s="21"/>
      <c r="I582" s="21"/>
      <c r="J582" s="21"/>
      <c r="K582" s="22"/>
      <c r="L582" s="22"/>
      <c r="M582" s="22"/>
      <c r="N582" s="22"/>
      <c r="O582" s="20"/>
      <c r="P582" s="20"/>
    </row>
    <row r="583" spans="1:16" x14ac:dyDescent="0.35">
      <c r="A583" s="18"/>
      <c r="B583" s="18"/>
      <c r="C583" s="18"/>
      <c r="D583" s="18"/>
      <c r="E583" s="19"/>
      <c r="F583" s="18"/>
      <c r="G583" s="20"/>
      <c r="H583" s="21"/>
      <c r="I583" s="21"/>
      <c r="J583" s="21"/>
      <c r="K583" s="22"/>
      <c r="L583" s="22"/>
      <c r="M583" s="22"/>
      <c r="N583" s="22"/>
      <c r="O583" s="20"/>
      <c r="P583" s="20"/>
    </row>
    <row r="584" spans="1:16" x14ac:dyDescent="0.35">
      <c r="A584" s="18"/>
      <c r="B584" s="18"/>
      <c r="C584" s="18"/>
      <c r="D584" s="18"/>
      <c r="E584" s="19"/>
      <c r="F584" s="18"/>
      <c r="G584" s="20"/>
      <c r="H584" s="21"/>
      <c r="I584" s="21"/>
      <c r="J584" s="21"/>
      <c r="K584" s="22"/>
      <c r="L584" s="22"/>
      <c r="M584" s="22"/>
      <c r="N584" s="22"/>
      <c r="O584" s="20"/>
      <c r="P584" s="20"/>
    </row>
    <row r="585" spans="1:16" x14ac:dyDescent="0.35">
      <c r="A585" s="18"/>
      <c r="B585" s="18"/>
      <c r="C585" s="18"/>
      <c r="D585" s="18"/>
      <c r="E585" s="19"/>
      <c r="F585" s="18"/>
      <c r="G585" s="20"/>
      <c r="H585" s="21"/>
      <c r="I585" s="21"/>
      <c r="J585" s="21"/>
      <c r="K585" s="22"/>
      <c r="L585" s="22"/>
      <c r="M585" s="22"/>
      <c r="N585" s="22"/>
      <c r="O585" s="20"/>
      <c r="P585" s="20"/>
    </row>
    <row r="586" spans="1:16" x14ac:dyDescent="0.35">
      <c r="A586" s="18"/>
      <c r="B586" s="18"/>
      <c r="C586" s="18"/>
      <c r="D586" s="18"/>
      <c r="E586" s="19"/>
      <c r="F586" s="18"/>
      <c r="G586" s="20"/>
      <c r="H586" s="21"/>
      <c r="I586" s="21"/>
      <c r="J586" s="21"/>
      <c r="K586" s="22"/>
      <c r="L586" s="22"/>
      <c r="M586" s="22"/>
      <c r="N586" s="22"/>
      <c r="O586" s="20"/>
      <c r="P586" s="20"/>
    </row>
    <row r="587" spans="1:16" x14ac:dyDescent="0.35">
      <c r="A587" s="18"/>
      <c r="B587" s="18"/>
      <c r="C587" s="18"/>
      <c r="D587" s="18"/>
      <c r="E587" s="19"/>
      <c r="F587" s="18"/>
      <c r="G587" s="20"/>
      <c r="H587" s="21"/>
      <c r="I587" s="21"/>
      <c r="J587" s="21"/>
      <c r="K587" s="22"/>
      <c r="L587" s="22"/>
      <c r="M587" s="22"/>
      <c r="N587" s="22"/>
      <c r="O587" s="20"/>
      <c r="P587" s="20"/>
    </row>
    <row r="588" spans="1:16" x14ac:dyDescent="0.35">
      <c r="A588" s="18"/>
      <c r="B588" s="18"/>
      <c r="C588" s="18"/>
      <c r="D588" s="18"/>
      <c r="E588" s="19"/>
      <c r="F588" s="18"/>
      <c r="G588" s="20"/>
      <c r="H588" s="21"/>
      <c r="I588" s="21"/>
      <c r="J588" s="21"/>
      <c r="K588" s="22"/>
      <c r="L588" s="22"/>
      <c r="M588" s="22"/>
      <c r="N588" s="22"/>
      <c r="O588" s="20"/>
      <c r="P588" s="20"/>
    </row>
    <row r="589" spans="1:16" x14ac:dyDescent="0.35">
      <c r="A589" s="18"/>
      <c r="B589" s="18"/>
      <c r="C589" s="18"/>
      <c r="D589" s="18"/>
      <c r="E589" s="19"/>
      <c r="F589" s="18"/>
      <c r="G589" s="20"/>
      <c r="H589" s="21"/>
      <c r="I589" s="21"/>
      <c r="J589" s="21"/>
      <c r="K589" s="22"/>
      <c r="L589" s="22"/>
      <c r="M589" s="22"/>
      <c r="N589" s="22"/>
      <c r="O589" s="20"/>
      <c r="P589" s="20"/>
    </row>
    <row r="590" spans="1:16" x14ac:dyDescent="0.35">
      <c r="A590" s="18"/>
      <c r="B590" s="18"/>
      <c r="C590" s="18"/>
      <c r="D590" s="18"/>
      <c r="E590" s="19"/>
      <c r="F590" s="18"/>
      <c r="G590" s="20"/>
      <c r="H590" s="21"/>
      <c r="I590" s="21"/>
      <c r="J590" s="21"/>
      <c r="K590" s="22"/>
      <c r="L590" s="22"/>
      <c r="M590" s="22"/>
      <c r="N590" s="22"/>
      <c r="O590" s="20"/>
      <c r="P590" s="20"/>
    </row>
    <row r="591" spans="1:16" x14ac:dyDescent="0.35">
      <c r="A591" s="18"/>
      <c r="B591" s="18"/>
      <c r="C591" s="18"/>
      <c r="D591" s="18"/>
      <c r="E591" s="19"/>
      <c r="F591" s="18"/>
      <c r="G591" s="20"/>
      <c r="H591" s="21"/>
      <c r="I591" s="21"/>
      <c r="J591" s="21"/>
      <c r="K591" s="22"/>
      <c r="L591" s="22"/>
      <c r="M591" s="22"/>
      <c r="N591" s="22"/>
      <c r="O591" s="20"/>
      <c r="P591" s="20"/>
    </row>
    <row r="592" spans="1:16" x14ac:dyDescent="0.35">
      <c r="A592" s="18"/>
      <c r="B592" s="18"/>
      <c r="C592" s="18"/>
      <c r="D592" s="18"/>
      <c r="E592" s="19"/>
      <c r="F592" s="18"/>
      <c r="G592" s="20"/>
      <c r="H592" s="21"/>
      <c r="I592" s="21"/>
      <c r="J592" s="21"/>
      <c r="K592" s="22"/>
      <c r="L592" s="22"/>
      <c r="M592" s="22"/>
      <c r="N592" s="22"/>
      <c r="O592" s="20"/>
      <c r="P592" s="20"/>
    </row>
    <row r="593" spans="1:16" x14ac:dyDescent="0.35">
      <c r="A593" s="18"/>
      <c r="B593" s="18"/>
      <c r="C593" s="18"/>
      <c r="D593" s="18"/>
      <c r="E593" s="19"/>
      <c r="F593" s="18"/>
      <c r="G593" s="20"/>
      <c r="H593" s="21"/>
      <c r="I593" s="21"/>
      <c r="J593" s="21"/>
      <c r="K593" s="22"/>
      <c r="L593" s="22"/>
      <c r="M593" s="22"/>
      <c r="N593" s="22"/>
      <c r="O593" s="20"/>
      <c r="P593" s="20"/>
    </row>
    <row r="594" spans="1:16" x14ac:dyDescent="0.35">
      <c r="A594" s="18"/>
      <c r="B594" s="18"/>
      <c r="C594" s="18"/>
      <c r="D594" s="18"/>
      <c r="E594" s="19"/>
      <c r="F594" s="18"/>
      <c r="G594" s="20"/>
      <c r="H594" s="21"/>
      <c r="I594" s="21"/>
      <c r="J594" s="21"/>
      <c r="K594" s="22"/>
      <c r="L594" s="22"/>
      <c r="M594" s="22"/>
      <c r="N594" s="22"/>
      <c r="O594" s="20"/>
      <c r="P594" s="20"/>
    </row>
    <row r="595" spans="1:16" x14ac:dyDescent="0.35">
      <c r="A595" s="18"/>
      <c r="B595" s="18"/>
      <c r="C595" s="18"/>
      <c r="D595" s="18"/>
      <c r="E595" s="19"/>
      <c r="F595" s="18"/>
      <c r="G595" s="20"/>
      <c r="H595" s="21"/>
      <c r="I595" s="21"/>
      <c r="J595" s="21"/>
      <c r="K595" s="22"/>
      <c r="L595" s="22"/>
      <c r="M595" s="22"/>
      <c r="N595" s="22"/>
      <c r="O595" s="20"/>
      <c r="P595" s="20"/>
    </row>
    <row r="596" spans="1:16" x14ac:dyDescent="0.35">
      <c r="A596" s="18"/>
      <c r="B596" s="18"/>
      <c r="C596" s="18"/>
      <c r="D596" s="18"/>
      <c r="E596" s="19"/>
      <c r="F596" s="18"/>
      <c r="G596" s="20"/>
      <c r="H596" s="21"/>
      <c r="I596" s="21"/>
      <c r="J596" s="21"/>
      <c r="K596" s="22"/>
      <c r="L596" s="22"/>
      <c r="M596" s="22"/>
      <c r="N596" s="22"/>
      <c r="O596" s="20"/>
      <c r="P596" s="20"/>
    </row>
    <row r="597" spans="1:16" x14ac:dyDescent="0.35">
      <c r="A597" s="18"/>
      <c r="B597" s="18"/>
      <c r="C597" s="18"/>
      <c r="D597" s="18"/>
      <c r="E597" s="19"/>
      <c r="F597" s="18"/>
      <c r="G597" s="20"/>
      <c r="H597" s="21"/>
      <c r="I597" s="21"/>
      <c r="J597" s="21"/>
      <c r="K597" s="22"/>
      <c r="L597" s="22"/>
      <c r="M597" s="22"/>
      <c r="N597" s="22"/>
      <c r="O597" s="20"/>
      <c r="P597" s="20"/>
    </row>
    <row r="598" spans="1:16" x14ac:dyDescent="0.35">
      <c r="A598" s="18"/>
      <c r="B598" s="18"/>
      <c r="C598" s="18"/>
      <c r="D598" s="18"/>
      <c r="E598" s="19"/>
      <c r="F598" s="18"/>
      <c r="G598" s="20"/>
      <c r="H598" s="21"/>
      <c r="I598" s="21"/>
      <c r="J598" s="21"/>
      <c r="K598" s="22"/>
      <c r="L598" s="22"/>
      <c r="M598" s="22"/>
      <c r="N598" s="22"/>
      <c r="O598" s="20"/>
      <c r="P598" s="20"/>
    </row>
    <row r="599" spans="1:16" x14ac:dyDescent="0.35">
      <c r="A599" s="18"/>
      <c r="B599" s="18"/>
      <c r="C599" s="18"/>
      <c r="D599" s="18"/>
      <c r="E599" s="19"/>
      <c r="F599" s="18"/>
      <c r="G599" s="20"/>
      <c r="H599" s="21"/>
      <c r="I599" s="21"/>
      <c r="J599" s="21"/>
      <c r="K599" s="22"/>
      <c r="L599" s="22"/>
      <c r="M599" s="22"/>
      <c r="N599" s="22"/>
      <c r="O599" s="20"/>
      <c r="P599" s="20"/>
    </row>
    <row r="600" spans="1:16" x14ac:dyDescent="0.35">
      <c r="A600" s="18"/>
      <c r="B600" s="18"/>
      <c r="C600" s="18"/>
      <c r="D600" s="18"/>
      <c r="E600" s="19"/>
      <c r="F600" s="18"/>
      <c r="G600" s="20"/>
      <c r="H600" s="21"/>
      <c r="I600" s="21"/>
      <c r="J600" s="21"/>
      <c r="K600" s="22"/>
      <c r="L600" s="22"/>
      <c r="M600" s="22"/>
      <c r="N600" s="22"/>
      <c r="O600" s="20"/>
      <c r="P600" s="20"/>
    </row>
    <row r="601" spans="1:16" x14ac:dyDescent="0.35">
      <c r="A601" s="18"/>
      <c r="B601" s="18"/>
      <c r="C601" s="18"/>
      <c r="D601" s="18"/>
      <c r="E601" s="19"/>
      <c r="F601" s="18"/>
      <c r="G601" s="20"/>
      <c r="H601" s="21"/>
      <c r="I601" s="21"/>
      <c r="J601" s="21"/>
      <c r="K601" s="22"/>
      <c r="L601" s="22"/>
      <c r="M601" s="22"/>
      <c r="N601" s="22"/>
      <c r="O601" s="20"/>
      <c r="P601" s="20"/>
    </row>
    <row r="602" spans="1:16" x14ac:dyDescent="0.35">
      <c r="A602" s="18"/>
      <c r="B602" s="18"/>
      <c r="C602" s="18"/>
      <c r="D602" s="18"/>
      <c r="E602" s="19"/>
      <c r="F602" s="18"/>
      <c r="G602" s="20"/>
      <c r="H602" s="21"/>
      <c r="I602" s="21"/>
      <c r="J602" s="21"/>
      <c r="K602" s="22"/>
      <c r="L602" s="22"/>
      <c r="M602" s="22"/>
      <c r="N602" s="22"/>
      <c r="O602" s="20"/>
      <c r="P602" s="20"/>
    </row>
    <row r="603" spans="1:16" x14ac:dyDescent="0.35">
      <c r="A603" s="18"/>
      <c r="B603" s="18"/>
      <c r="C603" s="18"/>
      <c r="D603" s="18"/>
      <c r="E603" s="19"/>
      <c r="F603" s="18"/>
      <c r="G603" s="20"/>
      <c r="H603" s="21"/>
      <c r="I603" s="21"/>
      <c r="J603" s="21"/>
      <c r="K603" s="22"/>
      <c r="L603" s="22"/>
      <c r="M603" s="22"/>
      <c r="N603" s="22"/>
      <c r="O603" s="20"/>
      <c r="P603" s="20"/>
    </row>
    <row r="604" spans="1:16" x14ac:dyDescent="0.35">
      <c r="A604" s="18"/>
      <c r="B604" s="18"/>
      <c r="C604" s="18"/>
      <c r="D604" s="18"/>
      <c r="E604" s="19"/>
      <c r="F604" s="18"/>
      <c r="G604" s="20"/>
      <c r="H604" s="21"/>
      <c r="I604" s="21"/>
      <c r="J604" s="21"/>
      <c r="K604" s="22"/>
      <c r="L604" s="22"/>
      <c r="M604" s="22"/>
      <c r="N604" s="22"/>
      <c r="O604" s="20"/>
      <c r="P604" s="20"/>
    </row>
    <row r="605" spans="1:16" x14ac:dyDescent="0.35">
      <c r="A605" s="18"/>
      <c r="B605" s="18"/>
      <c r="C605" s="18"/>
      <c r="D605" s="18"/>
      <c r="E605" s="19"/>
      <c r="F605" s="18"/>
      <c r="G605" s="20"/>
      <c r="H605" s="21"/>
      <c r="I605" s="21"/>
      <c r="J605" s="21"/>
      <c r="K605" s="22"/>
      <c r="L605" s="22"/>
      <c r="M605" s="22"/>
      <c r="N605" s="22"/>
      <c r="O605" s="20"/>
      <c r="P605" s="20"/>
    </row>
    <row r="606" spans="1:16" x14ac:dyDescent="0.35">
      <c r="A606" s="18"/>
      <c r="B606" s="18"/>
      <c r="C606" s="18"/>
      <c r="D606" s="18"/>
      <c r="E606" s="19"/>
      <c r="F606" s="18"/>
      <c r="G606" s="20"/>
      <c r="H606" s="21"/>
      <c r="I606" s="21"/>
      <c r="J606" s="21"/>
      <c r="K606" s="22"/>
      <c r="L606" s="22"/>
      <c r="M606" s="22"/>
      <c r="N606" s="22"/>
      <c r="O606" s="20"/>
      <c r="P606" s="20"/>
    </row>
    <row r="607" spans="1:16" x14ac:dyDescent="0.35">
      <c r="A607" s="18"/>
      <c r="B607" s="18"/>
      <c r="C607" s="18"/>
      <c r="D607" s="18"/>
      <c r="E607" s="19"/>
      <c r="F607" s="18"/>
      <c r="G607" s="20"/>
      <c r="H607" s="21"/>
      <c r="I607" s="21"/>
      <c r="J607" s="21"/>
      <c r="K607" s="22"/>
      <c r="L607" s="22"/>
      <c r="M607" s="22"/>
      <c r="N607" s="22"/>
      <c r="O607" s="20"/>
      <c r="P607" s="20"/>
    </row>
    <row r="608" spans="1:16" x14ac:dyDescent="0.35">
      <c r="A608" s="18"/>
      <c r="B608" s="18"/>
      <c r="C608" s="18"/>
      <c r="D608" s="18"/>
      <c r="E608" s="19"/>
      <c r="F608" s="18"/>
      <c r="G608" s="20"/>
      <c r="H608" s="21"/>
      <c r="I608" s="21"/>
      <c r="J608" s="21"/>
      <c r="K608" s="22"/>
      <c r="L608" s="22"/>
      <c r="M608" s="22"/>
      <c r="N608" s="22"/>
      <c r="O608" s="20"/>
      <c r="P608" s="20"/>
    </row>
    <row r="609" spans="1:16" x14ac:dyDescent="0.35">
      <c r="A609" s="18"/>
      <c r="B609" s="18"/>
      <c r="C609" s="18"/>
      <c r="D609" s="18"/>
      <c r="E609" s="19"/>
      <c r="F609" s="18"/>
      <c r="G609" s="20"/>
      <c r="H609" s="21"/>
      <c r="I609" s="21"/>
      <c r="J609" s="21"/>
      <c r="K609" s="22"/>
      <c r="L609" s="22"/>
      <c r="M609" s="22"/>
      <c r="N609" s="22"/>
      <c r="O609" s="20"/>
      <c r="P609" s="20"/>
    </row>
    <row r="610" spans="1:16" x14ac:dyDescent="0.35">
      <c r="A610" s="18"/>
      <c r="B610" s="18"/>
      <c r="C610" s="18"/>
      <c r="D610" s="18"/>
      <c r="E610" s="19"/>
      <c r="F610" s="18"/>
      <c r="G610" s="20"/>
      <c r="H610" s="21"/>
      <c r="I610" s="21"/>
      <c r="J610" s="21"/>
      <c r="K610" s="22"/>
      <c r="L610" s="22"/>
      <c r="M610" s="22"/>
      <c r="N610" s="22"/>
      <c r="O610" s="20"/>
      <c r="P610" s="20"/>
    </row>
    <row r="611" spans="1:16" x14ac:dyDescent="0.35">
      <c r="A611" s="18"/>
      <c r="B611" s="18"/>
      <c r="C611" s="18"/>
      <c r="D611" s="18"/>
      <c r="E611" s="19"/>
      <c r="F611" s="18"/>
      <c r="G611" s="20"/>
      <c r="H611" s="21"/>
      <c r="I611" s="21"/>
      <c r="J611" s="21"/>
      <c r="K611" s="22"/>
      <c r="L611" s="22"/>
      <c r="M611" s="22"/>
      <c r="N611" s="22"/>
      <c r="O611" s="20"/>
      <c r="P611" s="20"/>
    </row>
    <row r="612" spans="1:16" x14ac:dyDescent="0.35">
      <c r="A612" s="18"/>
      <c r="B612" s="18"/>
      <c r="C612" s="18"/>
      <c r="D612" s="18"/>
      <c r="E612" s="19"/>
      <c r="F612" s="18"/>
      <c r="G612" s="20"/>
      <c r="H612" s="21"/>
      <c r="I612" s="21"/>
      <c r="J612" s="21"/>
      <c r="K612" s="22"/>
      <c r="L612" s="22"/>
      <c r="M612" s="22"/>
      <c r="N612" s="22"/>
      <c r="O612" s="20"/>
      <c r="P612" s="20"/>
    </row>
    <row r="613" spans="1:16" x14ac:dyDescent="0.35">
      <c r="A613" s="18"/>
      <c r="B613" s="18"/>
      <c r="C613" s="18"/>
      <c r="D613" s="18"/>
      <c r="E613" s="19"/>
      <c r="F613" s="18"/>
      <c r="G613" s="20"/>
      <c r="H613" s="21"/>
      <c r="I613" s="21"/>
      <c r="J613" s="21"/>
      <c r="K613" s="22"/>
      <c r="L613" s="22"/>
      <c r="M613" s="22"/>
      <c r="N613" s="22"/>
      <c r="O613" s="20"/>
      <c r="P613" s="20"/>
    </row>
    <row r="614" spans="1:16" x14ac:dyDescent="0.35">
      <c r="A614" s="18"/>
      <c r="B614" s="18"/>
      <c r="C614" s="18"/>
      <c r="D614" s="18"/>
      <c r="E614" s="19"/>
      <c r="F614" s="18"/>
      <c r="G614" s="20"/>
      <c r="H614" s="21"/>
      <c r="I614" s="21"/>
      <c r="J614" s="21"/>
      <c r="K614" s="22"/>
      <c r="L614" s="22"/>
      <c r="M614" s="22"/>
      <c r="N614" s="22"/>
      <c r="O614" s="20"/>
      <c r="P614" s="20"/>
    </row>
    <row r="615" spans="1:16" x14ac:dyDescent="0.35">
      <c r="A615" s="18"/>
      <c r="B615" s="18"/>
      <c r="C615" s="18"/>
      <c r="D615" s="18"/>
      <c r="E615" s="19"/>
      <c r="F615" s="18"/>
      <c r="G615" s="20"/>
      <c r="H615" s="21"/>
      <c r="I615" s="21"/>
      <c r="J615" s="21"/>
      <c r="K615" s="22"/>
      <c r="L615" s="22"/>
      <c r="M615" s="22"/>
      <c r="N615" s="22"/>
      <c r="O615" s="20"/>
      <c r="P615" s="20"/>
    </row>
    <row r="616" spans="1:16" x14ac:dyDescent="0.35">
      <c r="A616" s="18"/>
      <c r="B616" s="18"/>
      <c r="C616" s="18"/>
      <c r="D616" s="18"/>
      <c r="E616" s="19"/>
      <c r="F616" s="18"/>
      <c r="G616" s="20"/>
      <c r="H616" s="21"/>
      <c r="I616" s="21"/>
      <c r="J616" s="21"/>
      <c r="K616" s="22"/>
      <c r="L616" s="22"/>
      <c r="M616" s="22"/>
      <c r="N616" s="22"/>
      <c r="O616" s="20"/>
      <c r="P616" s="20"/>
    </row>
    <row r="617" spans="1:16" x14ac:dyDescent="0.35">
      <c r="A617" s="18"/>
      <c r="B617" s="18"/>
      <c r="C617" s="18"/>
      <c r="D617" s="18"/>
      <c r="E617" s="19"/>
      <c r="F617" s="18"/>
      <c r="G617" s="20"/>
      <c r="H617" s="21"/>
      <c r="I617" s="21"/>
      <c r="J617" s="21"/>
      <c r="K617" s="22"/>
      <c r="L617" s="22"/>
      <c r="M617" s="22"/>
      <c r="N617" s="22"/>
      <c r="O617" s="20"/>
      <c r="P617" s="20"/>
    </row>
    <row r="618" spans="1:16" x14ac:dyDescent="0.35">
      <c r="A618" s="18"/>
      <c r="B618" s="18"/>
      <c r="C618" s="18"/>
      <c r="D618" s="18"/>
      <c r="E618" s="19"/>
      <c r="F618" s="18"/>
      <c r="G618" s="20"/>
      <c r="H618" s="21"/>
      <c r="I618" s="21"/>
      <c r="J618" s="21"/>
      <c r="K618" s="22"/>
      <c r="L618" s="22"/>
      <c r="M618" s="22"/>
      <c r="N618" s="22"/>
      <c r="O618" s="20"/>
      <c r="P618" s="20"/>
    </row>
    <row r="619" spans="1:16" x14ac:dyDescent="0.35">
      <c r="A619" s="18"/>
      <c r="B619" s="18"/>
      <c r="C619" s="18"/>
      <c r="D619" s="18"/>
      <c r="E619" s="19"/>
      <c r="F619" s="18"/>
      <c r="G619" s="20"/>
      <c r="H619" s="21"/>
      <c r="I619" s="21"/>
      <c r="J619" s="21"/>
      <c r="K619" s="22"/>
      <c r="L619" s="22"/>
      <c r="M619" s="22"/>
      <c r="N619" s="22"/>
      <c r="O619" s="20"/>
      <c r="P619" s="20"/>
    </row>
    <row r="620" spans="1:16" x14ac:dyDescent="0.35">
      <c r="A620" s="18"/>
      <c r="B620" s="18"/>
      <c r="C620" s="18"/>
      <c r="D620" s="18"/>
      <c r="E620" s="19"/>
      <c r="F620" s="18"/>
      <c r="G620" s="20"/>
      <c r="H620" s="21"/>
      <c r="I620" s="21"/>
      <c r="J620" s="21"/>
      <c r="K620" s="22"/>
      <c r="L620" s="22"/>
      <c r="M620" s="22"/>
      <c r="N620" s="22"/>
      <c r="O620" s="20"/>
      <c r="P620" s="20"/>
    </row>
    <row r="621" spans="1:16" x14ac:dyDescent="0.35">
      <c r="A621" s="18"/>
      <c r="B621" s="18"/>
      <c r="C621" s="18"/>
      <c r="D621" s="18"/>
      <c r="E621" s="19"/>
      <c r="F621" s="18"/>
      <c r="G621" s="20"/>
      <c r="H621" s="21"/>
      <c r="I621" s="21"/>
      <c r="J621" s="21"/>
      <c r="K621" s="22"/>
      <c r="L621" s="22"/>
      <c r="M621" s="22"/>
      <c r="N621" s="22"/>
      <c r="O621" s="20"/>
      <c r="P621" s="20"/>
    </row>
    <row r="622" spans="1:16" x14ac:dyDescent="0.35">
      <c r="A622" s="18"/>
      <c r="B622" s="18"/>
      <c r="C622" s="18"/>
      <c r="D622" s="18"/>
      <c r="E622" s="19"/>
      <c r="F622" s="18"/>
      <c r="G622" s="20"/>
      <c r="H622" s="21"/>
      <c r="I622" s="21"/>
      <c r="J622" s="21"/>
      <c r="K622" s="22"/>
      <c r="L622" s="22"/>
      <c r="M622" s="22"/>
      <c r="N622" s="22"/>
      <c r="O622" s="20"/>
      <c r="P622" s="20"/>
    </row>
    <row r="623" spans="1:16" x14ac:dyDescent="0.35">
      <c r="A623" s="18"/>
      <c r="B623" s="18"/>
      <c r="C623" s="18"/>
      <c r="D623" s="18"/>
      <c r="E623" s="19"/>
      <c r="F623" s="18"/>
      <c r="G623" s="20"/>
      <c r="H623" s="21"/>
      <c r="I623" s="21"/>
      <c r="J623" s="21"/>
      <c r="K623" s="22"/>
      <c r="L623" s="22"/>
      <c r="M623" s="22"/>
      <c r="N623" s="22"/>
      <c r="O623" s="20"/>
      <c r="P623" s="20"/>
    </row>
    <row r="624" spans="1:16" x14ac:dyDescent="0.35">
      <c r="A624" s="18"/>
      <c r="B624" s="18"/>
      <c r="C624" s="18"/>
      <c r="D624" s="18"/>
      <c r="E624" s="19"/>
      <c r="F624" s="18"/>
      <c r="G624" s="20"/>
      <c r="H624" s="21"/>
      <c r="I624" s="21"/>
      <c r="J624" s="21"/>
      <c r="K624" s="22"/>
      <c r="L624" s="22"/>
      <c r="M624" s="22"/>
      <c r="N624" s="22"/>
      <c r="O624" s="20"/>
      <c r="P624" s="20"/>
    </row>
    <row r="625" spans="1:16" x14ac:dyDescent="0.35">
      <c r="A625" s="18"/>
      <c r="B625" s="18"/>
      <c r="C625" s="18"/>
      <c r="D625" s="18"/>
      <c r="E625" s="19"/>
      <c r="F625" s="18"/>
      <c r="G625" s="20"/>
      <c r="H625" s="21"/>
      <c r="I625" s="21"/>
      <c r="J625" s="21"/>
      <c r="K625" s="22"/>
      <c r="L625" s="22"/>
      <c r="M625" s="22"/>
      <c r="N625" s="22"/>
      <c r="O625" s="20"/>
      <c r="P625" s="20"/>
    </row>
    <row r="626" spans="1:16" x14ac:dyDescent="0.35">
      <c r="A626" s="18"/>
      <c r="B626" s="18"/>
      <c r="C626" s="18"/>
      <c r="D626" s="18"/>
      <c r="E626" s="19"/>
      <c r="F626" s="18"/>
      <c r="G626" s="20"/>
      <c r="H626" s="21"/>
      <c r="I626" s="21"/>
      <c r="J626" s="21"/>
      <c r="K626" s="22"/>
      <c r="L626" s="22"/>
      <c r="M626" s="22"/>
      <c r="N626" s="22"/>
      <c r="O626" s="20"/>
      <c r="P626" s="20"/>
    </row>
    <row r="627" spans="1:16" x14ac:dyDescent="0.35">
      <c r="A627" s="18"/>
      <c r="B627" s="18"/>
      <c r="C627" s="18"/>
      <c r="D627" s="18"/>
      <c r="E627" s="19"/>
      <c r="F627" s="18"/>
      <c r="G627" s="20"/>
      <c r="H627" s="21"/>
      <c r="I627" s="21"/>
      <c r="J627" s="21"/>
      <c r="K627" s="22"/>
      <c r="L627" s="22"/>
      <c r="M627" s="22"/>
      <c r="N627" s="22"/>
      <c r="O627" s="20"/>
      <c r="P627" s="20"/>
    </row>
    <row r="628" spans="1:16" x14ac:dyDescent="0.35">
      <c r="A628" s="18"/>
      <c r="B628" s="18"/>
      <c r="C628" s="18"/>
      <c r="D628" s="18"/>
      <c r="E628" s="19"/>
      <c r="F628" s="18"/>
      <c r="G628" s="20"/>
      <c r="H628" s="21"/>
      <c r="I628" s="21"/>
      <c r="J628" s="21"/>
      <c r="K628" s="22"/>
      <c r="L628" s="22"/>
      <c r="M628" s="22"/>
      <c r="N628" s="22"/>
      <c r="O628" s="20"/>
      <c r="P628" s="20"/>
    </row>
    <row r="629" spans="1:16" x14ac:dyDescent="0.35">
      <c r="A629" s="18"/>
      <c r="B629" s="18"/>
      <c r="C629" s="18"/>
      <c r="D629" s="18"/>
      <c r="E629" s="19"/>
      <c r="F629" s="18"/>
      <c r="G629" s="20"/>
      <c r="H629" s="21"/>
      <c r="I629" s="21"/>
      <c r="J629" s="21"/>
      <c r="K629" s="22"/>
      <c r="L629" s="22"/>
      <c r="M629" s="22"/>
      <c r="N629" s="22"/>
      <c r="O629" s="20"/>
      <c r="P629" s="20"/>
    </row>
    <row r="630" spans="1:16" x14ac:dyDescent="0.35">
      <c r="A630" s="18"/>
      <c r="B630" s="18"/>
      <c r="C630" s="18"/>
      <c r="D630" s="18"/>
      <c r="E630" s="19"/>
      <c r="F630" s="18"/>
      <c r="G630" s="20"/>
      <c r="H630" s="21"/>
      <c r="I630" s="21"/>
      <c r="J630" s="21"/>
      <c r="K630" s="22"/>
      <c r="L630" s="22"/>
      <c r="M630" s="22"/>
      <c r="N630" s="22"/>
      <c r="O630" s="20"/>
      <c r="P630" s="20"/>
    </row>
    <row r="631" spans="1:16" x14ac:dyDescent="0.35">
      <c r="A631" s="18"/>
      <c r="B631" s="18"/>
      <c r="C631" s="18"/>
      <c r="D631" s="18"/>
      <c r="E631" s="19"/>
      <c r="F631" s="18"/>
      <c r="G631" s="20"/>
      <c r="H631" s="21"/>
      <c r="I631" s="21"/>
      <c r="J631" s="21"/>
      <c r="K631" s="22"/>
      <c r="L631" s="22"/>
      <c r="M631" s="22"/>
      <c r="N631" s="22"/>
      <c r="O631" s="20"/>
      <c r="P631" s="20"/>
    </row>
    <row r="632" spans="1:16" x14ac:dyDescent="0.35">
      <c r="A632" s="18"/>
      <c r="B632" s="18"/>
      <c r="C632" s="18"/>
      <c r="D632" s="18"/>
      <c r="E632" s="19"/>
      <c r="F632" s="18"/>
      <c r="G632" s="20"/>
      <c r="H632" s="21"/>
      <c r="I632" s="21"/>
      <c r="J632" s="21"/>
      <c r="K632" s="22"/>
      <c r="L632" s="22"/>
      <c r="M632" s="22"/>
      <c r="N632" s="22"/>
      <c r="O632" s="20"/>
      <c r="P632" s="20"/>
    </row>
    <row r="633" spans="1:16" x14ac:dyDescent="0.35">
      <c r="A633" s="18"/>
      <c r="B633" s="18"/>
      <c r="C633" s="18"/>
      <c r="D633" s="18"/>
      <c r="E633" s="19"/>
      <c r="F633" s="18"/>
      <c r="G633" s="20"/>
      <c r="H633" s="21"/>
      <c r="I633" s="21"/>
      <c r="J633" s="21"/>
      <c r="K633" s="22"/>
      <c r="L633" s="22"/>
      <c r="M633" s="22"/>
      <c r="N633" s="22"/>
      <c r="O633" s="20"/>
      <c r="P633" s="20"/>
    </row>
    <row r="634" spans="1:16" x14ac:dyDescent="0.35">
      <c r="A634" s="18"/>
      <c r="B634" s="18"/>
      <c r="C634" s="18"/>
      <c r="D634" s="18"/>
      <c r="E634" s="19"/>
      <c r="F634" s="18"/>
      <c r="G634" s="20"/>
      <c r="H634" s="21"/>
      <c r="I634" s="21"/>
      <c r="J634" s="21"/>
      <c r="K634" s="22"/>
      <c r="L634" s="22"/>
      <c r="M634" s="22"/>
      <c r="N634" s="22"/>
      <c r="O634" s="20"/>
      <c r="P634" s="20"/>
    </row>
    <row r="635" spans="1:16" x14ac:dyDescent="0.35">
      <c r="A635" s="18"/>
      <c r="B635" s="18"/>
      <c r="C635" s="18"/>
      <c r="D635" s="18"/>
      <c r="E635" s="19"/>
      <c r="F635" s="18"/>
      <c r="G635" s="20"/>
      <c r="H635" s="21"/>
      <c r="I635" s="21"/>
      <c r="J635" s="21"/>
      <c r="K635" s="22"/>
      <c r="L635" s="22"/>
      <c r="M635" s="22"/>
      <c r="N635" s="22"/>
      <c r="O635" s="20"/>
      <c r="P635" s="20"/>
    </row>
    <row r="636" spans="1:16" x14ac:dyDescent="0.35">
      <c r="A636" s="18"/>
      <c r="B636" s="18"/>
      <c r="C636" s="18"/>
      <c r="D636" s="18"/>
      <c r="E636" s="19"/>
      <c r="F636" s="18"/>
      <c r="G636" s="20"/>
      <c r="H636" s="21"/>
      <c r="I636" s="21"/>
      <c r="J636" s="21"/>
      <c r="K636" s="22"/>
      <c r="L636" s="22"/>
      <c r="M636" s="22"/>
      <c r="N636" s="22"/>
      <c r="O636" s="20"/>
      <c r="P636" s="20"/>
    </row>
    <row r="637" spans="1:16" x14ac:dyDescent="0.35">
      <c r="A637" s="18"/>
      <c r="B637" s="18"/>
      <c r="C637" s="18"/>
      <c r="D637" s="18"/>
      <c r="E637" s="19"/>
      <c r="F637" s="18"/>
      <c r="G637" s="20"/>
      <c r="H637" s="21"/>
      <c r="I637" s="21"/>
      <c r="J637" s="21"/>
      <c r="K637" s="22"/>
      <c r="L637" s="22"/>
      <c r="M637" s="22"/>
      <c r="N637" s="22"/>
      <c r="O637" s="20"/>
      <c r="P637" s="20"/>
    </row>
    <row r="638" spans="1:16" x14ac:dyDescent="0.35">
      <c r="A638" s="18"/>
      <c r="B638" s="18"/>
      <c r="C638" s="18"/>
      <c r="D638" s="18"/>
      <c r="E638" s="19"/>
      <c r="F638" s="18"/>
      <c r="G638" s="20"/>
      <c r="H638" s="21"/>
      <c r="I638" s="21"/>
      <c r="J638" s="21"/>
      <c r="K638" s="22"/>
      <c r="L638" s="22"/>
      <c r="M638" s="22"/>
      <c r="N638" s="22"/>
      <c r="O638" s="20"/>
      <c r="P638" s="20"/>
    </row>
    <row r="639" spans="1:16" x14ac:dyDescent="0.35">
      <c r="A639" s="18"/>
      <c r="B639" s="18"/>
      <c r="C639" s="18"/>
      <c r="D639" s="18"/>
      <c r="E639" s="19"/>
      <c r="F639" s="18"/>
      <c r="G639" s="20"/>
      <c r="H639" s="21"/>
      <c r="I639" s="21"/>
      <c r="J639" s="21"/>
      <c r="K639" s="22"/>
      <c r="L639" s="22"/>
      <c r="M639" s="22"/>
      <c r="N639" s="22"/>
      <c r="O639" s="20"/>
      <c r="P639" s="20"/>
    </row>
    <row r="640" spans="1:16" x14ac:dyDescent="0.35">
      <c r="A640" s="18"/>
      <c r="B640" s="18"/>
      <c r="C640" s="18"/>
      <c r="D640" s="18"/>
      <c r="E640" s="19"/>
      <c r="F640" s="18"/>
      <c r="G640" s="20"/>
      <c r="H640" s="21"/>
      <c r="I640" s="21"/>
      <c r="J640" s="21"/>
      <c r="K640" s="22"/>
      <c r="L640" s="22"/>
      <c r="M640" s="22"/>
      <c r="N640" s="22"/>
      <c r="O640" s="20"/>
      <c r="P640" s="20"/>
    </row>
    <row r="641" spans="1:16" x14ac:dyDescent="0.35">
      <c r="A641" s="18"/>
      <c r="B641" s="18"/>
      <c r="C641" s="18"/>
      <c r="D641" s="18"/>
      <c r="E641" s="19"/>
      <c r="F641" s="18"/>
      <c r="G641" s="20"/>
      <c r="H641" s="21"/>
      <c r="I641" s="21"/>
      <c r="J641" s="21"/>
      <c r="K641" s="22"/>
      <c r="L641" s="22"/>
      <c r="M641" s="22"/>
      <c r="N641" s="22"/>
      <c r="O641" s="20"/>
      <c r="P641" s="20"/>
    </row>
    <row r="642" spans="1:16" x14ac:dyDescent="0.35">
      <c r="A642" s="18"/>
      <c r="B642" s="18"/>
      <c r="C642" s="18"/>
      <c r="D642" s="18"/>
      <c r="E642" s="19"/>
      <c r="F642" s="18"/>
      <c r="G642" s="20"/>
      <c r="H642" s="21"/>
      <c r="I642" s="21"/>
      <c r="J642" s="21"/>
      <c r="K642" s="22"/>
      <c r="L642" s="22"/>
      <c r="M642" s="22"/>
      <c r="N642" s="22"/>
      <c r="O642" s="20"/>
      <c r="P642" s="20"/>
    </row>
    <row r="643" spans="1:16" x14ac:dyDescent="0.35">
      <c r="A643" s="18"/>
      <c r="B643" s="18"/>
      <c r="C643" s="18"/>
      <c r="D643" s="18"/>
      <c r="E643" s="19"/>
      <c r="F643" s="18"/>
      <c r="G643" s="20"/>
      <c r="H643" s="21"/>
      <c r="I643" s="21"/>
      <c r="J643" s="21"/>
      <c r="K643" s="22"/>
      <c r="L643" s="22"/>
      <c r="M643" s="22"/>
      <c r="N643" s="22"/>
      <c r="O643" s="20"/>
      <c r="P643" s="20"/>
    </row>
    <row r="644" spans="1:16" x14ac:dyDescent="0.35">
      <c r="A644" s="18"/>
      <c r="B644" s="18"/>
      <c r="C644" s="18"/>
      <c r="D644" s="18"/>
      <c r="E644" s="19"/>
      <c r="F644" s="18"/>
      <c r="G644" s="20"/>
      <c r="H644" s="21"/>
      <c r="I644" s="21"/>
      <c r="J644" s="21"/>
      <c r="K644" s="22"/>
      <c r="L644" s="22"/>
      <c r="M644" s="22"/>
      <c r="N644" s="22"/>
      <c r="O644" s="20"/>
      <c r="P644" s="20"/>
    </row>
    <row r="645" spans="1:16" x14ac:dyDescent="0.35">
      <c r="A645" s="18"/>
      <c r="B645" s="18"/>
      <c r="C645" s="18"/>
      <c r="D645" s="18"/>
      <c r="E645" s="19"/>
      <c r="F645" s="18"/>
      <c r="G645" s="20"/>
      <c r="H645" s="21"/>
      <c r="I645" s="21"/>
      <c r="J645" s="21"/>
      <c r="K645" s="22"/>
      <c r="L645" s="22"/>
      <c r="M645" s="22"/>
      <c r="N645" s="22"/>
      <c r="O645" s="20"/>
      <c r="P645" s="20"/>
    </row>
    <row r="646" spans="1:16" x14ac:dyDescent="0.35">
      <c r="A646" s="18"/>
      <c r="B646" s="18"/>
      <c r="C646" s="18"/>
      <c r="D646" s="18"/>
      <c r="E646" s="19"/>
      <c r="F646" s="18"/>
      <c r="G646" s="20"/>
      <c r="H646" s="21"/>
      <c r="I646" s="21"/>
      <c r="J646" s="21"/>
      <c r="K646" s="22"/>
      <c r="L646" s="22"/>
      <c r="M646" s="22"/>
      <c r="N646" s="22"/>
      <c r="O646" s="20"/>
      <c r="P646" s="20"/>
    </row>
    <row r="647" spans="1:16" x14ac:dyDescent="0.35">
      <c r="A647" s="18"/>
      <c r="B647" s="18"/>
      <c r="C647" s="18"/>
      <c r="D647" s="18"/>
      <c r="E647" s="19"/>
      <c r="F647" s="18"/>
      <c r="G647" s="20"/>
      <c r="H647" s="21"/>
      <c r="I647" s="21"/>
      <c r="J647" s="21"/>
      <c r="K647" s="22"/>
      <c r="L647" s="22"/>
      <c r="M647" s="22"/>
      <c r="N647" s="22"/>
      <c r="O647" s="20"/>
      <c r="P647" s="20"/>
    </row>
    <row r="648" spans="1:16" x14ac:dyDescent="0.35">
      <c r="A648" s="18"/>
      <c r="B648" s="18"/>
      <c r="C648" s="18"/>
      <c r="D648" s="18"/>
      <c r="E648" s="19"/>
      <c r="F648" s="18"/>
      <c r="G648" s="20"/>
      <c r="H648" s="21"/>
      <c r="I648" s="21"/>
      <c r="J648" s="21"/>
      <c r="K648" s="22"/>
      <c r="L648" s="22"/>
      <c r="M648" s="22"/>
      <c r="N648" s="22"/>
      <c r="O648" s="20"/>
      <c r="P648" s="20"/>
    </row>
    <row r="649" spans="1:16" x14ac:dyDescent="0.35">
      <c r="A649" s="18"/>
      <c r="B649" s="18"/>
      <c r="C649" s="18"/>
      <c r="D649" s="18"/>
      <c r="E649" s="19"/>
      <c r="F649" s="18"/>
      <c r="G649" s="20"/>
      <c r="H649" s="21"/>
      <c r="I649" s="21"/>
      <c r="J649" s="21"/>
      <c r="K649" s="22"/>
      <c r="L649" s="22"/>
      <c r="M649" s="22"/>
      <c r="N649" s="22"/>
      <c r="O649" s="20"/>
      <c r="P649" s="20"/>
    </row>
    <row r="650" spans="1:16" x14ac:dyDescent="0.35">
      <c r="A650" s="18"/>
      <c r="B650" s="18"/>
      <c r="C650" s="18"/>
      <c r="D650" s="18"/>
      <c r="E650" s="19"/>
      <c r="F650" s="18"/>
      <c r="G650" s="20"/>
      <c r="H650" s="21"/>
      <c r="I650" s="21"/>
      <c r="J650" s="21"/>
      <c r="K650" s="22"/>
      <c r="L650" s="22"/>
      <c r="M650" s="22"/>
      <c r="N650" s="22"/>
      <c r="O650" s="20"/>
      <c r="P650" s="20"/>
    </row>
    <row r="651" spans="1:16" x14ac:dyDescent="0.35">
      <c r="A651" s="18"/>
      <c r="B651" s="18"/>
      <c r="C651" s="18"/>
      <c r="D651" s="18"/>
      <c r="E651" s="19"/>
      <c r="F651" s="18"/>
      <c r="G651" s="20"/>
      <c r="H651" s="21"/>
      <c r="I651" s="21"/>
      <c r="J651" s="21"/>
      <c r="K651" s="22"/>
      <c r="L651" s="22"/>
      <c r="M651" s="22"/>
      <c r="N651" s="22"/>
      <c r="O651" s="20"/>
      <c r="P651" s="20"/>
    </row>
    <row r="652" spans="1:16" x14ac:dyDescent="0.35">
      <c r="A652" s="18"/>
      <c r="B652" s="18"/>
      <c r="C652" s="18"/>
      <c r="D652" s="18"/>
      <c r="E652" s="19"/>
      <c r="F652" s="18"/>
      <c r="G652" s="20"/>
      <c r="H652" s="21"/>
      <c r="I652" s="21"/>
      <c r="J652" s="21"/>
      <c r="K652" s="22"/>
      <c r="L652" s="22"/>
      <c r="M652" s="22"/>
      <c r="N652" s="22"/>
      <c r="O652" s="20"/>
      <c r="P652" s="20"/>
    </row>
    <row r="653" spans="1:16" x14ac:dyDescent="0.35">
      <c r="A653" s="18"/>
      <c r="B653" s="18"/>
      <c r="C653" s="18"/>
      <c r="D653" s="18"/>
      <c r="E653" s="19"/>
      <c r="F653" s="18"/>
      <c r="G653" s="20"/>
      <c r="H653" s="21"/>
      <c r="I653" s="21"/>
      <c r="J653" s="21"/>
      <c r="K653" s="22"/>
      <c r="L653" s="22"/>
      <c r="M653" s="22"/>
      <c r="N653" s="22"/>
      <c r="O653" s="20"/>
      <c r="P653" s="20"/>
    </row>
    <row r="654" spans="1:16" x14ac:dyDescent="0.35">
      <c r="A654" s="18"/>
      <c r="B654" s="18"/>
      <c r="C654" s="18"/>
      <c r="D654" s="18"/>
      <c r="E654" s="19"/>
      <c r="F654" s="18"/>
      <c r="G654" s="20"/>
      <c r="H654" s="21"/>
      <c r="I654" s="21"/>
      <c r="J654" s="21"/>
      <c r="K654" s="22"/>
      <c r="L654" s="22"/>
      <c r="M654" s="22"/>
      <c r="N654" s="22"/>
      <c r="O654" s="20"/>
      <c r="P654" s="20"/>
    </row>
    <row r="655" spans="1:16" x14ac:dyDescent="0.35">
      <c r="A655" s="18"/>
      <c r="B655" s="18"/>
      <c r="C655" s="18"/>
      <c r="D655" s="18"/>
      <c r="E655" s="19"/>
      <c r="F655" s="18"/>
      <c r="G655" s="20"/>
      <c r="H655" s="21"/>
      <c r="I655" s="21"/>
      <c r="J655" s="21"/>
      <c r="K655" s="22"/>
      <c r="L655" s="22"/>
      <c r="M655" s="22"/>
      <c r="N655" s="22"/>
      <c r="O655" s="20"/>
      <c r="P655" s="20"/>
    </row>
    <row r="656" spans="1:16" x14ac:dyDescent="0.35">
      <c r="A656" s="18"/>
      <c r="B656" s="18"/>
      <c r="C656" s="18"/>
      <c r="D656" s="18"/>
      <c r="E656" s="19"/>
      <c r="F656" s="18"/>
      <c r="G656" s="20"/>
      <c r="H656" s="21"/>
      <c r="I656" s="21"/>
      <c r="J656" s="21"/>
      <c r="K656" s="22"/>
      <c r="L656" s="22"/>
      <c r="M656" s="22"/>
      <c r="N656" s="22"/>
      <c r="O656" s="20"/>
      <c r="P656" s="20"/>
    </row>
    <row r="657" spans="1:16" x14ac:dyDescent="0.35">
      <c r="A657" s="18"/>
      <c r="B657" s="18"/>
      <c r="C657" s="18"/>
      <c r="D657" s="18"/>
      <c r="E657" s="19"/>
      <c r="F657" s="18"/>
      <c r="G657" s="20"/>
      <c r="H657" s="21"/>
      <c r="I657" s="21"/>
      <c r="J657" s="21"/>
      <c r="K657" s="22"/>
      <c r="L657" s="22"/>
      <c r="M657" s="22"/>
      <c r="N657" s="22"/>
      <c r="O657" s="20"/>
      <c r="P657" s="20"/>
    </row>
    <row r="658" spans="1:16" x14ac:dyDescent="0.35">
      <c r="A658" s="18"/>
      <c r="B658" s="18"/>
      <c r="C658" s="18"/>
      <c r="D658" s="18"/>
      <c r="E658" s="19"/>
      <c r="F658" s="18"/>
      <c r="G658" s="20"/>
      <c r="H658" s="21"/>
      <c r="I658" s="21"/>
      <c r="J658" s="21"/>
      <c r="K658" s="22"/>
      <c r="L658" s="22"/>
      <c r="M658" s="22"/>
      <c r="N658" s="22"/>
      <c r="O658" s="20"/>
      <c r="P658" s="20"/>
    </row>
    <row r="659" spans="1:16" x14ac:dyDescent="0.35">
      <c r="A659" s="18"/>
      <c r="B659" s="18"/>
      <c r="C659" s="18"/>
      <c r="D659" s="18"/>
      <c r="E659" s="19"/>
      <c r="F659" s="18"/>
      <c r="G659" s="20"/>
      <c r="H659" s="21"/>
      <c r="I659" s="21"/>
      <c r="J659" s="21"/>
      <c r="K659" s="22"/>
      <c r="L659" s="22"/>
      <c r="M659" s="22"/>
      <c r="N659" s="22"/>
      <c r="O659" s="20"/>
      <c r="P659" s="20"/>
    </row>
    <row r="660" spans="1:16" x14ac:dyDescent="0.35">
      <c r="A660" s="18"/>
      <c r="B660" s="18"/>
      <c r="C660" s="18"/>
      <c r="D660" s="18"/>
      <c r="E660" s="19"/>
      <c r="F660" s="18"/>
      <c r="G660" s="20"/>
      <c r="H660" s="21"/>
      <c r="I660" s="21"/>
      <c r="J660" s="21"/>
      <c r="K660" s="22"/>
      <c r="L660" s="22"/>
      <c r="M660" s="22"/>
      <c r="N660" s="22"/>
      <c r="O660" s="20"/>
      <c r="P660" s="20"/>
    </row>
    <row r="661" spans="1:16" x14ac:dyDescent="0.35">
      <c r="A661" s="18"/>
      <c r="B661" s="18"/>
      <c r="C661" s="18"/>
      <c r="D661" s="18"/>
      <c r="E661" s="19"/>
      <c r="F661" s="18"/>
      <c r="G661" s="20"/>
      <c r="H661" s="21"/>
      <c r="I661" s="21"/>
      <c r="J661" s="21"/>
      <c r="K661" s="22"/>
      <c r="L661" s="22"/>
      <c r="M661" s="22"/>
      <c r="N661" s="22"/>
      <c r="O661" s="20"/>
      <c r="P661" s="20"/>
    </row>
    <row r="662" spans="1:16" x14ac:dyDescent="0.35">
      <c r="A662" s="18"/>
      <c r="B662" s="18"/>
      <c r="C662" s="18"/>
      <c r="D662" s="18"/>
      <c r="E662" s="19"/>
      <c r="F662" s="18"/>
      <c r="G662" s="20"/>
      <c r="H662" s="21"/>
      <c r="I662" s="21"/>
      <c r="J662" s="21"/>
      <c r="K662" s="22"/>
      <c r="L662" s="22"/>
      <c r="M662" s="22"/>
      <c r="N662" s="22"/>
      <c r="O662" s="20"/>
      <c r="P662" s="20"/>
    </row>
    <row r="663" spans="1:16" x14ac:dyDescent="0.35">
      <c r="A663" s="18"/>
      <c r="B663" s="18"/>
      <c r="C663" s="18"/>
      <c r="D663" s="18"/>
      <c r="E663" s="19"/>
      <c r="F663" s="18"/>
      <c r="G663" s="20"/>
      <c r="H663" s="21"/>
      <c r="I663" s="21"/>
      <c r="J663" s="21"/>
      <c r="K663" s="22"/>
      <c r="L663" s="22"/>
      <c r="M663" s="22"/>
      <c r="N663" s="22"/>
      <c r="O663" s="20"/>
      <c r="P663" s="20"/>
    </row>
    <row r="664" spans="1:16" x14ac:dyDescent="0.35">
      <c r="A664" s="18"/>
      <c r="B664" s="18"/>
      <c r="C664" s="18"/>
      <c r="D664" s="18"/>
      <c r="E664" s="19"/>
      <c r="F664" s="18"/>
      <c r="G664" s="20"/>
      <c r="H664" s="21"/>
      <c r="I664" s="21"/>
      <c r="J664" s="21"/>
      <c r="K664" s="22"/>
      <c r="L664" s="22"/>
      <c r="M664" s="22"/>
      <c r="N664" s="22"/>
      <c r="O664" s="20"/>
      <c r="P664" s="20"/>
    </row>
    <row r="665" spans="1:16" x14ac:dyDescent="0.35">
      <c r="A665" s="18"/>
      <c r="B665" s="18"/>
      <c r="C665" s="18"/>
      <c r="D665" s="18"/>
      <c r="E665" s="19"/>
      <c r="F665" s="18"/>
      <c r="G665" s="20"/>
      <c r="H665" s="21"/>
      <c r="I665" s="21"/>
      <c r="J665" s="21"/>
      <c r="K665" s="22"/>
      <c r="L665" s="22"/>
      <c r="M665" s="22"/>
      <c r="N665" s="22"/>
      <c r="O665" s="20"/>
      <c r="P665" s="20"/>
    </row>
    <row r="666" spans="1:16" x14ac:dyDescent="0.35">
      <c r="A666" s="18"/>
      <c r="B666" s="18"/>
      <c r="C666" s="18"/>
      <c r="D666" s="18"/>
      <c r="E666" s="19"/>
      <c r="F666" s="18"/>
      <c r="G666" s="20"/>
      <c r="H666" s="21"/>
      <c r="I666" s="21"/>
      <c r="J666" s="21"/>
      <c r="K666" s="22"/>
      <c r="L666" s="22"/>
      <c r="M666" s="22"/>
      <c r="N666" s="22"/>
      <c r="O666" s="20"/>
      <c r="P666" s="20"/>
    </row>
    <row r="667" spans="1:16" x14ac:dyDescent="0.35">
      <c r="A667" s="18"/>
      <c r="B667" s="18"/>
      <c r="C667" s="18"/>
      <c r="D667" s="18"/>
      <c r="E667" s="19"/>
      <c r="F667" s="18"/>
      <c r="G667" s="20"/>
      <c r="H667" s="21"/>
      <c r="I667" s="21"/>
      <c r="J667" s="21"/>
      <c r="K667" s="22"/>
      <c r="L667" s="22"/>
      <c r="M667" s="22"/>
      <c r="N667" s="22"/>
      <c r="O667" s="20"/>
      <c r="P667" s="20"/>
    </row>
    <row r="668" spans="1:16" x14ac:dyDescent="0.35">
      <c r="A668" s="18"/>
      <c r="B668" s="18"/>
      <c r="C668" s="18"/>
      <c r="D668" s="18"/>
      <c r="E668" s="19"/>
      <c r="F668" s="18"/>
      <c r="G668" s="20"/>
      <c r="H668" s="21"/>
      <c r="I668" s="21"/>
      <c r="J668" s="21"/>
      <c r="K668" s="22"/>
      <c r="L668" s="22"/>
      <c r="M668" s="22"/>
      <c r="N668" s="22"/>
      <c r="O668" s="20"/>
      <c r="P668" s="20"/>
    </row>
    <row r="669" spans="1:16" x14ac:dyDescent="0.35">
      <c r="A669" s="18"/>
      <c r="B669" s="18"/>
      <c r="C669" s="18"/>
      <c r="D669" s="18"/>
      <c r="E669" s="19"/>
      <c r="F669" s="18"/>
      <c r="G669" s="20"/>
      <c r="H669" s="21"/>
      <c r="I669" s="21"/>
      <c r="J669" s="21"/>
      <c r="K669" s="22"/>
      <c r="L669" s="22"/>
      <c r="M669" s="22"/>
      <c r="N669" s="22"/>
      <c r="O669" s="20"/>
      <c r="P669" s="20"/>
    </row>
    <row r="670" spans="1:16" x14ac:dyDescent="0.35">
      <c r="A670" s="18"/>
      <c r="B670" s="18"/>
      <c r="C670" s="18"/>
      <c r="D670" s="18"/>
      <c r="E670" s="19"/>
      <c r="F670" s="18"/>
      <c r="G670" s="20"/>
      <c r="H670" s="21"/>
      <c r="I670" s="21"/>
      <c r="J670" s="21"/>
      <c r="K670" s="22"/>
      <c r="L670" s="22"/>
      <c r="M670" s="22"/>
      <c r="N670" s="22"/>
      <c r="O670" s="20"/>
      <c r="P670" s="20"/>
    </row>
    <row r="671" spans="1:16" x14ac:dyDescent="0.35">
      <c r="A671" s="18"/>
      <c r="B671" s="18"/>
      <c r="C671" s="18"/>
      <c r="D671" s="18"/>
      <c r="E671" s="19"/>
      <c r="F671" s="18"/>
      <c r="G671" s="20"/>
      <c r="H671" s="21"/>
      <c r="I671" s="21"/>
      <c r="J671" s="21"/>
      <c r="K671" s="22"/>
      <c r="L671" s="22"/>
      <c r="M671" s="22"/>
      <c r="N671" s="22"/>
      <c r="O671" s="20"/>
      <c r="P671" s="20"/>
    </row>
    <row r="672" spans="1:16" x14ac:dyDescent="0.35">
      <c r="A672" s="18"/>
      <c r="B672" s="18"/>
      <c r="C672" s="18"/>
      <c r="D672" s="18"/>
      <c r="E672" s="19"/>
      <c r="F672" s="18"/>
      <c r="G672" s="20"/>
      <c r="H672" s="21"/>
      <c r="I672" s="21"/>
      <c r="J672" s="21"/>
      <c r="K672" s="22"/>
      <c r="L672" s="22"/>
      <c r="M672" s="22"/>
      <c r="N672" s="22"/>
      <c r="O672" s="20"/>
      <c r="P672" s="20"/>
    </row>
    <row r="673" spans="1:16" x14ac:dyDescent="0.35">
      <c r="A673" s="18"/>
      <c r="B673" s="18"/>
      <c r="C673" s="18"/>
      <c r="D673" s="18"/>
      <c r="E673" s="19"/>
      <c r="F673" s="18"/>
      <c r="G673" s="20"/>
      <c r="H673" s="21"/>
      <c r="I673" s="21"/>
      <c r="J673" s="21"/>
      <c r="K673" s="22"/>
      <c r="L673" s="22"/>
      <c r="M673" s="22"/>
      <c r="N673" s="22"/>
      <c r="O673" s="20"/>
      <c r="P673" s="20"/>
    </row>
    <row r="674" spans="1:16" x14ac:dyDescent="0.35">
      <c r="A674" s="18"/>
      <c r="B674" s="18"/>
      <c r="C674" s="18"/>
      <c r="D674" s="18"/>
      <c r="E674" s="19"/>
      <c r="F674" s="18"/>
      <c r="G674" s="20"/>
      <c r="H674" s="21"/>
      <c r="I674" s="21"/>
      <c r="J674" s="21"/>
      <c r="K674" s="22"/>
      <c r="L674" s="22"/>
      <c r="M674" s="22"/>
      <c r="N674" s="22"/>
      <c r="O674" s="20"/>
      <c r="P674" s="20"/>
    </row>
    <row r="675" spans="1:16" x14ac:dyDescent="0.35">
      <c r="A675" s="18"/>
      <c r="B675" s="18"/>
      <c r="C675" s="18"/>
      <c r="D675" s="18"/>
      <c r="E675" s="19"/>
      <c r="F675" s="18"/>
      <c r="G675" s="20"/>
      <c r="H675" s="21"/>
      <c r="I675" s="21"/>
      <c r="J675" s="21"/>
      <c r="K675" s="22"/>
      <c r="L675" s="22"/>
      <c r="M675" s="22"/>
      <c r="N675" s="22"/>
      <c r="O675" s="20"/>
      <c r="P675" s="20"/>
    </row>
    <row r="676" spans="1:16" x14ac:dyDescent="0.35">
      <c r="A676" s="18"/>
      <c r="B676" s="18"/>
      <c r="C676" s="18"/>
      <c r="D676" s="18"/>
      <c r="E676" s="19"/>
      <c r="F676" s="18"/>
      <c r="G676" s="20"/>
      <c r="H676" s="21"/>
      <c r="I676" s="21"/>
      <c r="J676" s="21"/>
      <c r="K676" s="22"/>
      <c r="L676" s="22"/>
      <c r="M676" s="22"/>
      <c r="N676" s="22"/>
      <c r="O676" s="20"/>
      <c r="P676" s="20"/>
    </row>
    <row r="677" spans="1:16" x14ac:dyDescent="0.35">
      <c r="A677" s="18"/>
      <c r="B677" s="18"/>
      <c r="C677" s="18"/>
      <c r="D677" s="18"/>
      <c r="E677" s="19"/>
      <c r="F677" s="18"/>
      <c r="G677" s="20"/>
      <c r="H677" s="21"/>
      <c r="I677" s="21"/>
      <c r="J677" s="21"/>
      <c r="K677" s="22"/>
      <c r="L677" s="22"/>
      <c r="M677" s="22"/>
      <c r="N677" s="22"/>
      <c r="O677" s="20"/>
      <c r="P677" s="20"/>
    </row>
    <row r="678" spans="1:16" x14ac:dyDescent="0.35">
      <c r="A678" s="18"/>
      <c r="B678" s="18"/>
      <c r="C678" s="18"/>
      <c r="D678" s="18"/>
      <c r="E678" s="19"/>
      <c r="F678" s="18"/>
      <c r="G678" s="20"/>
      <c r="H678" s="21"/>
      <c r="I678" s="21"/>
      <c r="J678" s="21"/>
      <c r="K678" s="22"/>
      <c r="L678" s="22"/>
      <c r="M678" s="22"/>
      <c r="N678" s="22"/>
      <c r="O678" s="20"/>
      <c r="P678" s="20"/>
    </row>
    <row r="679" spans="1:16" x14ac:dyDescent="0.35">
      <c r="A679" s="18"/>
      <c r="B679" s="18"/>
      <c r="C679" s="18"/>
      <c r="D679" s="18"/>
      <c r="E679" s="19"/>
      <c r="F679" s="18"/>
      <c r="G679" s="20"/>
      <c r="H679" s="21"/>
      <c r="I679" s="21"/>
      <c r="J679" s="21"/>
      <c r="K679" s="22"/>
      <c r="L679" s="22"/>
      <c r="M679" s="22"/>
      <c r="N679" s="22"/>
      <c r="O679" s="20"/>
      <c r="P679" s="20"/>
    </row>
    <row r="680" spans="1:16" x14ac:dyDescent="0.35">
      <c r="A680" s="18"/>
      <c r="B680" s="18"/>
      <c r="C680" s="18"/>
      <c r="D680" s="18"/>
      <c r="E680" s="19"/>
      <c r="F680" s="18"/>
      <c r="G680" s="20"/>
      <c r="H680" s="21"/>
      <c r="I680" s="21"/>
      <c r="J680" s="21"/>
      <c r="K680" s="22"/>
      <c r="L680" s="22"/>
      <c r="M680" s="22"/>
      <c r="N680" s="22"/>
      <c r="O680" s="20"/>
      <c r="P680" s="20"/>
    </row>
    <row r="681" spans="1:16" x14ac:dyDescent="0.35">
      <c r="A681" s="18"/>
      <c r="B681" s="18"/>
      <c r="C681" s="18"/>
      <c r="D681" s="18"/>
      <c r="E681" s="19"/>
      <c r="F681" s="18"/>
      <c r="G681" s="20"/>
      <c r="H681" s="21"/>
      <c r="I681" s="21"/>
      <c r="J681" s="21"/>
      <c r="K681" s="22"/>
      <c r="L681" s="22"/>
      <c r="M681" s="22"/>
      <c r="N681" s="22"/>
      <c r="O681" s="20"/>
      <c r="P681" s="20"/>
    </row>
    <row r="682" spans="1:16" x14ac:dyDescent="0.35">
      <c r="A682" s="18"/>
      <c r="B682" s="18"/>
      <c r="C682" s="18"/>
      <c r="D682" s="18"/>
      <c r="E682" s="19"/>
      <c r="F682" s="18"/>
      <c r="G682" s="20"/>
      <c r="H682" s="21"/>
      <c r="I682" s="21"/>
      <c r="J682" s="21"/>
      <c r="K682" s="22"/>
      <c r="L682" s="22"/>
      <c r="M682" s="22"/>
      <c r="N682" s="22"/>
      <c r="O682" s="20"/>
      <c r="P682" s="20"/>
    </row>
    <row r="683" spans="1:16" x14ac:dyDescent="0.35">
      <c r="A683" s="18"/>
      <c r="B683" s="18"/>
      <c r="C683" s="18"/>
      <c r="D683" s="18"/>
      <c r="E683" s="19"/>
      <c r="F683" s="18"/>
      <c r="G683" s="20"/>
      <c r="H683" s="21"/>
      <c r="I683" s="21"/>
      <c r="J683" s="21"/>
      <c r="K683" s="22"/>
      <c r="L683" s="22"/>
      <c r="M683" s="22"/>
      <c r="N683" s="22"/>
      <c r="O683" s="20"/>
      <c r="P683" s="20"/>
    </row>
    <row r="684" spans="1:16" x14ac:dyDescent="0.35">
      <c r="A684" s="18"/>
      <c r="B684" s="18"/>
      <c r="C684" s="18"/>
      <c r="D684" s="18"/>
      <c r="E684" s="19"/>
      <c r="F684" s="18"/>
      <c r="G684" s="20"/>
      <c r="H684" s="21"/>
      <c r="I684" s="21"/>
      <c r="J684" s="21"/>
      <c r="K684" s="22"/>
      <c r="L684" s="22"/>
      <c r="M684" s="22"/>
      <c r="N684" s="22"/>
      <c r="O684" s="20"/>
      <c r="P684" s="20"/>
    </row>
    <row r="685" spans="1:16" x14ac:dyDescent="0.35">
      <c r="A685" s="18"/>
      <c r="B685" s="18"/>
      <c r="C685" s="18"/>
      <c r="D685" s="18"/>
      <c r="E685" s="19"/>
      <c r="F685" s="18"/>
      <c r="G685" s="20"/>
      <c r="H685" s="21"/>
      <c r="I685" s="21"/>
      <c r="J685" s="21"/>
      <c r="K685" s="22"/>
      <c r="L685" s="22"/>
      <c r="M685" s="22"/>
      <c r="N685" s="22"/>
      <c r="O685" s="20"/>
      <c r="P685" s="20"/>
    </row>
    <row r="686" spans="1:16" x14ac:dyDescent="0.35">
      <c r="A686" s="18"/>
      <c r="B686" s="18"/>
      <c r="C686" s="18"/>
      <c r="D686" s="18"/>
      <c r="E686" s="19"/>
      <c r="F686" s="18"/>
      <c r="G686" s="20"/>
      <c r="H686" s="21"/>
      <c r="I686" s="21"/>
      <c r="J686" s="21"/>
      <c r="K686" s="22"/>
      <c r="L686" s="22"/>
      <c r="M686" s="22"/>
      <c r="N686" s="22"/>
      <c r="O686" s="20"/>
      <c r="P686" s="20"/>
    </row>
    <row r="687" spans="1:16" x14ac:dyDescent="0.35">
      <c r="A687" s="18"/>
      <c r="B687" s="18"/>
      <c r="C687" s="18"/>
      <c r="D687" s="18"/>
      <c r="E687" s="19"/>
      <c r="F687" s="18"/>
      <c r="G687" s="20"/>
      <c r="H687" s="21"/>
      <c r="I687" s="21"/>
      <c r="J687" s="21"/>
      <c r="K687" s="22"/>
      <c r="L687" s="22"/>
      <c r="M687" s="22"/>
      <c r="N687" s="22"/>
      <c r="O687" s="20"/>
      <c r="P687" s="20"/>
    </row>
    <row r="688" spans="1:16" x14ac:dyDescent="0.35">
      <c r="A688" s="18"/>
      <c r="B688" s="18"/>
      <c r="C688" s="18"/>
      <c r="D688" s="18"/>
      <c r="E688" s="19"/>
      <c r="F688" s="18"/>
      <c r="G688" s="20"/>
      <c r="H688" s="21"/>
      <c r="I688" s="21"/>
      <c r="J688" s="21"/>
      <c r="K688" s="22"/>
      <c r="L688" s="22"/>
      <c r="M688" s="22"/>
      <c r="N688" s="22"/>
      <c r="O688" s="20"/>
      <c r="P688" s="20"/>
    </row>
    <row r="689" spans="1:16" x14ac:dyDescent="0.35">
      <c r="A689" s="18"/>
      <c r="B689" s="18"/>
      <c r="C689" s="18"/>
      <c r="D689" s="18"/>
      <c r="E689" s="19"/>
      <c r="F689" s="18"/>
      <c r="G689" s="20"/>
      <c r="H689" s="21"/>
      <c r="I689" s="21"/>
      <c r="J689" s="21"/>
      <c r="K689" s="22"/>
      <c r="L689" s="22"/>
      <c r="M689" s="22"/>
      <c r="N689" s="22"/>
      <c r="O689" s="20"/>
      <c r="P689" s="20"/>
    </row>
    <row r="690" spans="1:16" x14ac:dyDescent="0.35">
      <c r="A690" s="18"/>
      <c r="B690" s="18"/>
      <c r="C690" s="18"/>
      <c r="D690" s="18"/>
      <c r="E690" s="19"/>
      <c r="F690" s="18"/>
      <c r="G690" s="20"/>
      <c r="H690" s="21"/>
      <c r="I690" s="21"/>
      <c r="J690" s="21"/>
      <c r="K690" s="22"/>
      <c r="L690" s="22"/>
      <c r="M690" s="22"/>
      <c r="N690" s="22"/>
      <c r="O690" s="20"/>
      <c r="P690" s="20"/>
    </row>
    <row r="691" spans="1:16" x14ac:dyDescent="0.35">
      <c r="A691" s="18"/>
      <c r="B691" s="18"/>
      <c r="C691" s="18"/>
      <c r="D691" s="18"/>
      <c r="E691" s="19"/>
      <c r="F691" s="18"/>
      <c r="G691" s="20"/>
      <c r="H691" s="21"/>
      <c r="I691" s="21"/>
      <c r="J691" s="21"/>
      <c r="K691" s="22"/>
      <c r="L691" s="22"/>
      <c r="M691" s="22"/>
      <c r="N691" s="22"/>
      <c r="O691" s="20"/>
      <c r="P691" s="20"/>
    </row>
    <row r="692" spans="1:16" x14ac:dyDescent="0.35">
      <c r="A692" s="18"/>
      <c r="B692" s="18"/>
      <c r="C692" s="18"/>
      <c r="D692" s="18"/>
      <c r="E692" s="19"/>
      <c r="F692" s="18"/>
      <c r="G692" s="20"/>
      <c r="H692" s="21"/>
      <c r="I692" s="21"/>
      <c r="J692" s="21"/>
      <c r="K692" s="22"/>
      <c r="L692" s="22"/>
      <c r="M692" s="22"/>
      <c r="N692" s="22"/>
      <c r="O692" s="20"/>
      <c r="P692" s="20"/>
    </row>
    <row r="693" spans="1:16" x14ac:dyDescent="0.35">
      <c r="A693" s="18"/>
      <c r="B693" s="18"/>
      <c r="C693" s="18"/>
      <c r="D693" s="18"/>
      <c r="E693" s="19"/>
      <c r="F693" s="18"/>
      <c r="G693" s="20"/>
      <c r="H693" s="21"/>
      <c r="I693" s="21"/>
      <c r="J693" s="21"/>
      <c r="K693" s="22"/>
      <c r="L693" s="22"/>
      <c r="M693" s="22"/>
      <c r="N693" s="22"/>
      <c r="O693" s="20"/>
      <c r="P693" s="20"/>
    </row>
    <row r="694" spans="1:16" x14ac:dyDescent="0.35">
      <c r="A694" s="18"/>
      <c r="B694" s="18"/>
      <c r="C694" s="18"/>
      <c r="D694" s="18"/>
      <c r="E694" s="19"/>
      <c r="F694" s="18"/>
      <c r="G694" s="20"/>
      <c r="H694" s="21"/>
      <c r="I694" s="21"/>
      <c r="J694" s="21"/>
      <c r="K694" s="22"/>
      <c r="L694" s="22"/>
      <c r="M694" s="22"/>
      <c r="N694" s="22"/>
      <c r="O694" s="20"/>
      <c r="P694" s="20"/>
    </row>
    <row r="695" spans="1:16" x14ac:dyDescent="0.35">
      <c r="A695" s="18"/>
      <c r="B695" s="18"/>
      <c r="C695" s="18"/>
      <c r="D695" s="18"/>
      <c r="E695" s="19"/>
      <c r="F695" s="18"/>
      <c r="G695" s="20"/>
      <c r="H695" s="21"/>
      <c r="I695" s="21"/>
      <c r="J695" s="21"/>
      <c r="K695" s="22"/>
      <c r="L695" s="22"/>
      <c r="M695" s="22"/>
      <c r="N695" s="22"/>
      <c r="O695" s="20"/>
      <c r="P695" s="20"/>
    </row>
    <row r="696" spans="1:16" x14ac:dyDescent="0.35">
      <c r="A696" s="18"/>
      <c r="B696" s="18"/>
      <c r="C696" s="18"/>
      <c r="D696" s="18"/>
      <c r="E696" s="19"/>
      <c r="F696" s="18"/>
      <c r="G696" s="20"/>
      <c r="H696" s="21"/>
      <c r="I696" s="21"/>
      <c r="J696" s="21"/>
      <c r="K696" s="22"/>
      <c r="L696" s="22"/>
      <c r="M696" s="22"/>
      <c r="N696" s="22"/>
      <c r="O696" s="20"/>
      <c r="P696" s="20"/>
    </row>
    <row r="697" spans="1:16" x14ac:dyDescent="0.35">
      <c r="A697" s="18"/>
      <c r="B697" s="18"/>
      <c r="C697" s="18"/>
      <c r="D697" s="18"/>
      <c r="E697" s="19"/>
      <c r="F697" s="18"/>
      <c r="G697" s="20"/>
      <c r="H697" s="21"/>
      <c r="I697" s="21"/>
      <c r="J697" s="21"/>
      <c r="K697" s="22"/>
      <c r="L697" s="22"/>
      <c r="M697" s="22"/>
      <c r="N697" s="22"/>
      <c r="O697" s="20"/>
      <c r="P697" s="20"/>
    </row>
    <row r="698" spans="1:16" x14ac:dyDescent="0.35">
      <c r="A698" s="18"/>
      <c r="B698" s="18"/>
      <c r="C698" s="18"/>
      <c r="D698" s="18"/>
      <c r="E698" s="19"/>
      <c r="F698" s="18"/>
      <c r="G698" s="20"/>
      <c r="H698" s="21"/>
      <c r="I698" s="21"/>
      <c r="J698" s="21"/>
      <c r="K698" s="22"/>
      <c r="L698" s="22"/>
      <c r="M698" s="22"/>
      <c r="N698" s="22"/>
      <c r="O698" s="20"/>
      <c r="P698" s="20"/>
    </row>
    <row r="699" spans="1:16" x14ac:dyDescent="0.35">
      <c r="A699" s="18"/>
      <c r="B699" s="18"/>
      <c r="C699" s="18"/>
      <c r="D699" s="18"/>
      <c r="E699" s="19"/>
      <c r="F699" s="18"/>
      <c r="G699" s="20"/>
      <c r="H699" s="21"/>
      <c r="I699" s="21"/>
      <c r="J699" s="21"/>
      <c r="K699" s="22"/>
      <c r="L699" s="22"/>
      <c r="M699" s="22"/>
      <c r="N699" s="22"/>
      <c r="O699" s="20"/>
      <c r="P699" s="20"/>
    </row>
    <row r="700" spans="1:16" x14ac:dyDescent="0.35">
      <c r="A700" s="18"/>
      <c r="B700" s="18"/>
      <c r="C700" s="18"/>
      <c r="D700" s="18"/>
      <c r="E700" s="19"/>
      <c r="F700" s="18"/>
      <c r="G700" s="20"/>
      <c r="H700" s="21"/>
      <c r="I700" s="21"/>
      <c r="J700" s="21"/>
      <c r="K700" s="22"/>
      <c r="L700" s="22"/>
      <c r="M700" s="22"/>
      <c r="N700" s="22"/>
      <c r="O700" s="20"/>
      <c r="P700" s="20"/>
    </row>
    <row r="701" spans="1:16" x14ac:dyDescent="0.35">
      <c r="A701" s="18"/>
      <c r="B701" s="18"/>
      <c r="C701" s="18"/>
      <c r="D701" s="18"/>
      <c r="E701" s="19"/>
      <c r="F701" s="18"/>
      <c r="G701" s="20"/>
      <c r="H701" s="21"/>
      <c r="I701" s="21"/>
      <c r="J701" s="21"/>
      <c r="K701" s="22"/>
      <c r="L701" s="22"/>
      <c r="M701" s="22"/>
      <c r="N701" s="22"/>
      <c r="O701" s="20"/>
      <c r="P701" s="20"/>
    </row>
    <row r="702" spans="1:16" x14ac:dyDescent="0.35">
      <c r="A702" s="18"/>
      <c r="B702" s="18"/>
      <c r="C702" s="18"/>
      <c r="D702" s="18"/>
      <c r="E702" s="19"/>
      <c r="F702" s="18"/>
      <c r="G702" s="20"/>
      <c r="H702" s="21"/>
      <c r="I702" s="21"/>
      <c r="J702" s="21"/>
      <c r="K702" s="22"/>
      <c r="L702" s="22"/>
      <c r="M702" s="22"/>
      <c r="N702" s="22"/>
      <c r="O702" s="20"/>
      <c r="P702" s="20"/>
    </row>
    <row r="703" spans="1:16" x14ac:dyDescent="0.35">
      <c r="A703" s="18"/>
      <c r="B703" s="18"/>
      <c r="C703" s="18"/>
      <c r="D703" s="18"/>
      <c r="E703" s="19"/>
      <c r="F703" s="18"/>
      <c r="G703" s="20"/>
      <c r="H703" s="21"/>
      <c r="I703" s="21"/>
      <c r="J703" s="21"/>
      <c r="K703" s="22"/>
      <c r="L703" s="22"/>
      <c r="M703" s="22"/>
      <c r="N703" s="22"/>
      <c r="O703" s="20"/>
      <c r="P703" s="20"/>
    </row>
    <row r="704" spans="1:16" x14ac:dyDescent="0.35">
      <c r="A704" s="18"/>
      <c r="B704" s="18"/>
      <c r="C704" s="18"/>
      <c r="D704" s="18"/>
      <c r="E704" s="19"/>
      <c r="F704" s="18"/>
      <c r="G704" s="20"/>
      <c r="H704" s="21"/>
      <c r="I704" s="21"/>
      <c r="J704" s="21"/>
      <c r="K704" s="22"/>
      <c r="L704" s="22"/>
      <c r="M704" s="22"/>
      <c r="N704" s="22"/>
      <c r="O704" s="20"/>
      <c r="P704" s="20"/>
    </row>
    <row r="705" spans="1:16" x14ac:dyDescent="0.35">
      <c r="A705" s="18"/>
      <c r="B705" s="18"/>
      <c r="C705" s="18"/>
      <c r="D705" s="18"/>
      <c r="E705" s="19"/>
      <c r="F705" s="18"/>
      <c r="G705" s="20"/>
      <c r="H705" s="21"/>
      <c r="I705" s="21"/>
      <c r="J705" s="21"/>
      <c r="K705" s="22"/>
      <c r="L705" s="22"/>
      <c r="M705" s="22"/>
      <c r="N705" s="22"/>
      <c r="O705" s="20"/>
      <c r="P705" s="20"/>
    </row>
    <row r="706" spans="1:16" x14ac:dyDescent="0.35">
      <c r="A706" s="18"/>
      <c r="B706" s="18"/>
      <c r="C706" s="18"/>
      <c r="D706" s="18"/>
      <c r="E706" s="19"/>
      <c r="F706" s="18"/>
      <c r="G706" s="20"/>
      <c r="H706" s="21"/>
      <c r="I706" s="21"/>
      <c r="J706" s="21"/>
      <c r="K706" s="22"/>
      <c r="L706" s="22"/>
      <c r="M706" s="22"/>
      <c r="N706" s="22"/>
      <c r="O706" s="20"/>
      <c r="P706" s="20"/>
    </row>
    <row r="707" spans="1:16" x14ac:dyDescent="0.35">
      <c r="A707" s="18"/>
      <c r="B707" s="18"/>
      <c r="C707" s="18"/>
      <c r="D707" s="18"/>
      <c r="E707" s="19"/>
      <c r="F707" s="18"/>
      <c r="G707" s="20"/>
      <c r="H707" s="21"/>
      <c r="I707" s="21"/>
      <c r="J707" s="21"/>
      <c r="K707" s="22"/>
      <c r="L707" s="22"/>
      <c r="M707" s="22"/>
      <c r="N707" s="22"/>
      <c r="O707" s="20"/>
      <c r="P707" s="20"/>
    </row>
    <row r="708" spans="1:16" x14ac:dyDescent="0.35">
      <c r="A708" s="18"/>
      <c r="B708" s="18"/>
      <c r="C708" s="18"/>
      <c r="D708" s="18"/>
      <c r="E708" s="19"/>
      <c r="F708" s="18"/>
      <c r="G708" s="20"/>
      <c r="H708" s="21"/>
      <c r="I708" s="21"/>
      <c r="J708" s="21"/>
      <c r="K708" s="22"/>
      <c r="L708" s="22"/>
      <c r="M708" s="22"/>
      <c r="N708" s="22"/>
      <c r="O708" s="20"/>
      <c r="P708" s="20"/>
    </row>
    <row r="709" spans="1:16" x14ac:dyDescent="0.35">
      <c r="A709" s="18"/>
      <c r="B709" s="18"/>
      <c r="C709" s="18"/>
      <c r="D709" s="18"/>
      <c r="E709" s="19"/>
      <c r="F709" s="18"/>
      <c r="G709" s="20"/>
      <c r="H709" s="21"/>
      <c r="I709" s="21"/>
      <c r="J709" s="21"/>
      <c r="K709" s="22"/>
      <c r="L709" s="22"/>
      <c r="M709" s="22"/>
      <c r="N709" s="22"/>
      <c r="O709" s="20"/>
      <c r="P709" s="20"/>
    </row>
    <row r="710" spans="1:16" x14ac:dyDescent="0.35">
      <c r="A710" s="18"/>
      <c r="B710" s="18"/>
      <c r="C710" s="18"/>
      <c r="D710" s="18"/>
      <c r="E710" s="19"/>
      <c r="F710" s="18"/>
      <c r="G710" s="20"/>
      <c r="H710" s="21"/>
      <c r="I710" s="21"/>
      <c r="J710" s="21"/>
      <c r="K710" s="22"/>
      <c r="L710" s="22"/>
      <c r="M710" s="22"/>
      <c r="N710" s="22"/>
      <c r="O710" s="20"/>
      <c r="P710" s="20"/>
    </row>
    <row r="711" spans="1:16" x14ac:dyDescent="0.35">
      <c r="A711" s="18"/>
      <c r="B711" s="18"/>
      <c r="C711" s="18"/>
      <c r="D711" s="18"/>
      <c r="E711" s="19"/>
      <c r="F711" s="18"/>
      <c r="G711" s="20"/>
      <c r="H711" s="21"/>
      <c r="I711" s="21"/>
      <c r="J711" s="21"/>
      <c r="K711" s="22"/>
      <c r="L711" s="22"/>
      <c r="M711" s="22"/>
      <c r="N711" s="22"/>
      <c r="O711" s="20"/>
      <c r="P711" s="20"/>
    </row>
    <row r="712" spans="1:16" x14ac:dyDescent="0.35">
      <c r="A712" s="18"/>
      <c r="B712" s="18"/>
      <c r="C712" s="18"/>
      <c r="D712" s="18"/>
      <c r="E712" s="19"/>
      <c r="F712" s="18"/>
      <c r="G712" s="20"/>
      <c r="H712" s="21"/>
      <c r="I712" s="21"/>
      <c r="J712" s="21"/>
      <c r="K712" s="22"/>
      <c r="L712" s="22"/>
      <c r="M712" s="22"/>
      <c r="N712" s="22"/>
      <c r="O712" s="20"/>
      <c r="P712" s="20"/>
    </row>
    <row r="713" spans="1:16" x14ac:dyDescent="0.35">
      <c r="A713" s="18"/>
      <c r="B713" s="18"/>
      <c r="C713" s="18"/>
      <c r="D713" s="18"/>
      <c r="E713" s="19"/>
      <c r="F713" s="18"/>
      <c r="G713" s="20"/>
      <c r="H713" s="21"/>
      <c r="I713" s="21"/>
      <c r="J713" s="21"/>
      <c r="K713" s="22"/>
      <c r="L713" s="22"/>
      <c r="M713" s="22"/>
      <c r="N713" s="22"/>
      <c r="O713" s="20"/>
      <c r="P713" s="20"/>
    </row>
    <row r="714" spans="1:16" x14ac:dyDescent="0.35">
      <c r="A714" s="18"/>
      <c r="B714" s="18"/>
      <c r="C714" s="18"/>
      <c r="D714" s="18"/>
      <c r="E714" s="19"/>
      <c r="F714" s="18"/>
      <c r="G714" s="20"/>
      <c r="H714" s="21"/>
      <c r="I714" s="21"/>
      <c r="J714" s="21"/>
      <c r="K714" s="22"/>
      <c r="L714" s="22"/>
      <c r="M714" s="22"/>
      <c r="N714" s="22"/>
      <c r="O714" s="20"/>
      <c r="P714" s="20"/>
    </row>
    <row r="715" spans="1:16" x14ac:dyDescent="0.35">
      <c r="A715" s="18"/>
      <c r="B715" s="18"/>
      <c r="C715" s="18"/>
      <c r="D715" s="18"/>
      <c r="E715" s="19"/>
      <c r="F715" s="18"/>
      <c r="G715" s="20"/>
      <c r="H715" s="21"/>
      <c r="I715" s="21"/>
      <c r="J715" s="21"/>
      <c r="K715" s="22"/>
      <c r="L715" s="22"/>
      <c r="M715" s="22"/>
      <c r="N715" s="22"/>
      <c r="O715" s="20"/>
      <c r="P715" s="20"/>
    </row>
    <row r="716" spans="1:16" x14ac:dyDescent="0.35">
      <c r="A716" s="18"/>
      <c r="B716" s="18"/>
      <c r="C716" s="18"/>
      <c r="D716" s="18"/>
      <c r="E716" s="19"/>
      <c r="F716" s="18"/>
      <c r="G716" s="20"/>
      <c r="H716" s="21"/>
      <c r="I716" s="21"/>
      <c r="J716" s="21"/>
      <c r="K716" s="22"/>
      <c r="L716" s="22"/>
      <c r="M716" s="22"/>
      <c r="N716" s="22"/>
      <c r="O716" s="20"/>
      <c r="P716" s="20"/>
    </row>
    <row r="717" spans="1:16" x14ac:dyDescent="0.35">
      <c r="A717" s="18"/>
      <c r="B717" s="18"/>
      <c r="C717" s="18"/>
      <c r="D717" s="18"/>
      <c r="E717" s="19"/>
      <c r="F717" s="18"/>
      <c r="G717" s="20"/>
      <c r="H717" s="21"/>
      <c r="I717" s="21"/>
      <c r="J717" s="21"/>
      <c r="K717" s="22"/>
      <c r="L717" s="22"/>
      <c r="M717" s="22"/>
      <c r="N717" s="22"/>
      <c r="O717" s="20"/>
      <c r="P717" s="20"/>
    </row>
    <row r="718" spans="1:16" x14ac:dyDescent="0.35">
      <c r="A718" s="18"/>
      <c r="B718" s="18"/>
      <c r="C718" s="18"/>
      <c r="D718" s="18"/>
      <c r="E718" s="19"/>
      <c r="F718" s="18"/>
      <c r="G718" s="20"/>
      <c r="H718" s="21"/>
      <c r="I718" s="21"/>
      <c r="J718" s="21"/>
      <c r="K718" s="22"/>
      <c r="L718" s="22"/>
      <c r="M718" s="22"/>
      <c r="N718" s="22"/>
      <c r="O718" s="20"/>
      <c r="P718" s="20"/>
    </row>
    <row r="719" spans="1:16" x14ac:dyDescent="0.35">
      <c r="A719" s="18"/>
      <c r="B719" s="18"/>
      <c r="C719" s="18"/>
      <c r="D719" s="18"/>
      <c r="E719" s="19"/>
      <c r="F719" s="18"/>
      <c r="G719" s="20"/>
      <c r="H719" s="21"/>
      <c r="I719" s="21"/>
      <c r="J719" s="21"/>
      <c r="K719" s="22"/>
      <c r="L719" s="22"/>
      <c r="M719" s="22"/>
      <c r="N719" s="22"/>
      <c r="O719" s="20"/>
      <c r="P719" s="20"/>
    </row>
    <row r="720" spans="1:16" x14ac:dyDescent="0.35">
      <c r="A720" s="18"/>
      <c r="B720" s="18"/>
      <c r="C720" s="18"/>
      <c r="D720" s="18"/>
      <c r="E720" s="19"/>
      <c r="F720" s="18"/>
      <c r="G720" s="20"/>
      <c r="H720" s="21"/>
      <c r="I720" s="21"/>
      <c r="J720" s="21"/>
      <c r="K720" s="22"/>
      <c r="L720" s="22"/>
      <c r="M720" s="22"/>
      <c r="N720" s="22"/>
      <c r="O720" s="20"/>
      <c r="P720" s="20"/>
    </row>
    <row r="721" spans="1:16" x14ac:dyDescent="0.35">
      <c r="A721" s="18"/>
      <c r="B721" s="18"/>
      <c r="C721" s="18"/>
      <c r="D721" s="18"/>
      <c r="E721" s="19"/>
      <c r="F721" s="18"/>
      <c r="G721" s="20"/>
      <c r="H721" s="21"/>
      <c r="I721" s="21"/>
      <c r="J721" s="21"/>
      <c r="K721" s="22"/>
      <c r="L721" s="22"/>
      <c r="M721" s="22"/>
      <c r="N721" s="22"/>
      <c r="O721" s="20"/>
      <c r="P721" s="20"/>
    </row>
    <row r="722" spans="1:16" x14ac:dyDescent="0.35">
      <c r="A722" s="18"/>
      <c r="B722" s="18"/>
      <c r="C722" s="18"/>
      <c r="D722" s="18"/>
      <c r="E722" s="19"/>
      <c r="F722" s="18"/>
      <c r="G722" s="20"/>
      <c r="H722" s="21"/>
      <c r="I722" s="21"/>
      <c r="J722" s="21"/>
      <c r="K722" s="22"/>
      <c r="L722" s="22"/>
      <c r="M722" s="22"/>
      <c r="N722" s="22"/>
      <c r="O722" s="20"/>
      <c r="P722" s="20"/>
    </row>
    <row r="723" spans="1:16" x14ac:dyDescent="0.35">
      <c r="A723" s="18"/>
      <c r="B723" s="18"/>
      <c r="C723" s="18"/>
      <c r="D723" s="18"/>
      <c r="E723" s="19"/>
      <c r="F723" s="18"/>
      <c r="G723" s="20"/>
      <c r="H723" s="21"/>
      <c r="I723" s="21"/>
      <c r="J723" s="21"/>
      <c r="K723" s="22"/>
      <c r="L723" s="22"/>
      <c r="M723" s="22"/>
      <c r="N723" s="22"/>
      <c r="O723" s="20"/>
      <c r="P723" s="20"/>
    </row>
    <row r="724" spans="1:16" x14ac:dyDescent="0.35">
      <c r="A724" s="18"/>
      <c r="B724" s="18"/>
      <c r="C724" s="18"/>
      <c r="D724" s="18"/>
      <c r="E724" s="19"/>
      <c r="F724" s="18"/>
      <c r="G724" s="20"/>
      <c r="H724" s="21"/>
      <c r="I724" s="21"/>
      <c r="J724" s="21"/>
      <c r="K724" s="22"/>
      <c r="L724" s="22"/>
      <c r="M724" s="22"/>
      <c r="N724" s="22"/>
      <c r="O724" s="20"/>
      <c r="P724" s="20"/>
    </row>
    <row r="725" spans="1:16" x14ac:dyDescent="0.35">
      <c r="A725" s="18"/>
      <c r="B725" s="18"/>
      <c r="C725" s="18"/>
      <c r="D725" s="18"/>
      <c r="E725" s="19"/>
      <c r="F725" s="18"/>
      <c r="G725" s="20"/>
      <c r="H725" s="21"/>
      <c r="I725" s="21"/>
      <c r="J725" s="21"/>
      <c r="K725" s="22"/>
      <c r="L725" s="22"/>
      <c r="M725" s="22"/>
      <c r="N725" s="22"/>
      <c r="O725" s="20"/>
      <c r="P725" s="20"/>
    </row>
    <row r="726" spans="1:16" x14ac:dyDescent="0.35">
      <c r="A726" s="18"/>
      <c r="B726" s="18"/>
      <c r="C726" s="18"/>
      <c r="D726" s="18"/>
      <c r="E726" s="19"/>
      <c r="F726" s="18"/>
      <c r="G726" s="20"/>
      <c r="H726" s="21"/>
      <c r="I726" s="21"/>
      <c r="J726" s="21"/>
      <c r="K726" s="22"/>
      <c r="L726" s="22"/>
      <c r="M726" s="22"/>
      <c r="N726" s="22"/>
      <c r="O726" s="20"/>
      <c r="P726" s="20"/>
    </row>
    <row r="727" spans="1:16" x14ac:dyDescent="0.35">
      <c r="A727" s="18"/>
      <c r="B727" s="18"/>
      <c r="C727" s="18"/>
      <c r="D727" s="18"/>
      <c r="E727" s="19"/>
      <c r="F727" s="18"/>
      <c r="G727" s="20"/>
      <c r="H727" s="21"/>
      <c r="I727" s="21"/>
      <c r="J727" s="21"/>
      <c r="K727" s="22"/>
      <c r="L727" s="22"/>
      <c r="M727" s="22"/>
      <c r="N727" s="22"/>
      <c r="O727" s="20"/>
      <c r="P727" s="20"/>
    </row>
    <row r="728" spans="1:16" x14ac:dyDescent="0.35">
      <c r="A728" s="18"/>
      <c r="B728" s="18"/>
      <c r="C728" s="18"/>
      <c r="D728" s="18"/>
      <c r="E728" s="19"/>
      <c r="F728" s="18"/>
      <c r="G728" s="20"/>
      <c r="H728" s="21"/>
      <c r="I728" s="21"/>
      <c r="J728" s="21"/>
      <c r="K728" s="22"/>
      <c r="L728" s="22"/>
      <c r="M728" s="22"/>
      <c r="N728" s="22"/>
      <c r="O728" s="20"/>
      <c r="P728" s="20"/>
    </row>
    <row r="729" spans="1:16" x14ac:dyDescent="0.35">
      <c r="A729" s="18"/>
      <c r="B729" s="18"/>
      <c r="C729" s="18"/>
      <c r="D729" s="18"/>
      <c r="E729" s="19"/>
      <c r="F729" s="18"/>
      <c r="G729" s="20"/>
      <c r="H729" s="21"/>
      <c r="I729" s="21"/>
      <c r="J729" s="21"/>
      <c r="K729" s="22"/>
      <c r="L729" s="22"/>
      <c r="M729" s="22"/>
      <c r="N729" s="22"/>
      <c r="O729" s="20"/>
      <c r="P729" s="20"/>
    </row>
    <row r="730" spans="1:16" x14ac:dyDescent="0.35">
      <c r="A730" s="18"/>
      <c r="B730" s="18"/>
      <c r="C730" s="18"/>
      <c r="D730" s="18"/>
      <c r="E730" s="19"/>
      <c r="F730" s="18"/>
      <c r="G730" s="20"/>
      <c r="H730" s="21"/>
      <c r="I730" s="21"/>
      <c r="J730" s="21"/>
      <c r="K730" s="22"/>
      <c r="L730" s="22"/>
      <c r="M730" s="22"/>
      <c r="N730" s="22"/>
      <c r="O730" s="20"/>
      <c r="P730" s="20"/>
    </row>
    <row r="731" spans="1:16" x14ac:dyDescent="0.35">
      <c r="A731" s="18"/>
      <c r="B731" s="18"/>
      <c r="C731" s="18"/>
      <c r="D731" s="18"/>
      <c r="E731" s="19"/>
      <c r="F731" s="18"/>
      <c r="G731" s="20"/>
      <c r="H731" s="21"/>
      <c r="I731" s="21"/>
      <c r="J731" s="21"/>
      <c r="K731" s="22"/>
      <c r="L731" s="22"/>
      <c r="M731" s="22"/>
      <c r="N731" s="22"/>
      <c r="O731" s="20"/>
      <c r="P731" s="20"/>
    </row>
    <row r="732" spans="1:16" x14ac:dyDescent="0.35">
      <c r="A732" s="18"/>
      <c r="B732" s="18"/>
      <c r="C732" s="18"/>
      <c r="D732" s="18"/>
      <c r="E732" s="19"/>
      <c r="F732" s="18"/>
      <c r="G732" s="20"/>
      <c r="H732" s="21"/>
      <c r="I732" s="21"/>
      <c r="J732" s="21"/>
      <c r="K732" s="22"/>
      <c r="L732" s="22"/>
      <c r="M732" s="22"/>
      <c r="N732" s="22"/>
      <c r="O732" s="20"/>
      <c r="P732" s="20"/>
    </row>
    <row r="733" spans="1:16" x14ac:dyDescent="0.35">
      <c r="A733" s="18"/>
      <c r="B733" s="18"/>
      <c r="C733" s="18"/>
      <c r="D733" s="18"/>
      <c r="E733" s="19"/>
      <c r="F733" s="18"/>
      <c r="G733" s="20"/>
      <c r="H733" s="21"/>
      <c r="I733" s="21"/>
      <c r="J733" s="21"/>
      <c r="K733" s="22"/>
      <c r="L733" s="22"/>
      <c r="M733" s="22"/>
      <c r="N733" s="22"/>
      <c r="O733" s="20"/>
      <c r="P733" s="20"/>
    </row>
    <row r="734" spans="1:16" x14ac:dyDescent="0.35">
      <c r="A734" s="18"/>
      <c r="B734" s="18"/>
      <c r="C734" s="18"/>
      <c r="D734" s="18"/>
      <c r="E734" s="19"/>
      <c r="F734" s="18"/>
      <c r="G734" s="20"/>
      <c r="H734" s="21"/>
      <c r="I734" s="21"/>
      <c r="J734" s="21"/>
      <c r="K734" s="22"/>
      <c r="L734" s="22"/>
      <c r="M734" s="22"/>
      <c r="N734" s="22"/>
      <c r="O734" s="20"/>
      <c r="P734" s="20"/>
    </row>
    <row r="735" spans="1:16" x14ac:dyDescent="0.35">
      <c r="A735" s="18"/>
      <c r="B735" s="18"/>
      <c r="C735" s="18"/>
      <c r="D735" s="18"/>
      <c r="E735" s="19"/>
      <c r="F735" s="18"/>
      <c r="G735" s="20"/>
      <c r="H735" s="21"/>
      <c r="I735" s="21"/>
      <c r="J735" s="21"/>
      <c r="K735" s="22"/>
      <c r="L735" s="22"/>
      <c r="M735" s="22"/>
      <c r="N735" s="22"/>
      <c r="O735" s="20"/>
      <c r="P735" s="20"/>
    </row>
    <row r="736" spans="1:16" x14ac:dyDescent="0.35">
      <c r="A736" s="18"/>
      <c r="B736" s="18"/>
      <c r="C736" s="18"/>
      <c r="D736" s="18"/>
      <c r="E736" s="25"/>
      <c r="F736" s="20"/>
      <c r="G736" s="20"/>
      <c r="H736" s="21"/>
      <c r="I736" s="21"/>
      <c r="J736" s="21"/>
      <c r="K736" s="22"/>
      <c r="L736" s="22"/>
      <c r="M736" s="22"/>
      <c r="N736" s="22"/>
      <c r="O736" s="20"/>
      <c r="P736" s="20"/>
    </row>
    <row r="737" spans="1:16" x14ac:dyDescent="0.35">
      <c r="A737" s="18"/>
      <c r="B737" s="18"/>
      <c r="C737" s="18"/>
      <c r="D737" s="18"/>
      <c r="E737" s="25"/>
      <c r="F737" s="20"/>
      <c r="G737" s="20"/>
      <c r="H737" s="21"/>
      <c r="I737" s="21"/>
      <c r="J737" s="21"/>
      <c r="K737" s="22"/>
      <c r="L737" s="22"/>
      <c r="M737" s="22"/>
      <c r="N737" s="22"/>
      <c r="O737" s="20"/>
      <c r="P737" s="20"/>
    </row>
    <row r="738" spans="1:16" x14ac:dyDescent="0.35">
      <c r="A738" s="18"/>
      <c r="B738" s="18"/>
      <c r="C738" s="18"/>
      <c r="D738" s="18"/>
      <c r="E738" s="25"/>
      <c r="F738" s="20"/>
      <c r="G738" s="20"/>
      <c r="H738" s="21"/>
      <c r="I738" s="21"/>
      <c r="J738" s="21"/>
      <c r="K738" s="22"/>
      <c r="L738" s="22"/>
      <c r="M738" s="22"/>
      <c r="N738" s="22"/>
      <c r="O738" s="20"/>
      <c r="P738" s="20"/>
    </row>
    <row r="739" spans="1:16" x14ac:dyDescent="0.35">
      <c r="A739" s="18"/>
      <c r="B739" s="18"/>
      <c r="C739" s="18"/>
      <c r="D739" s="18"/>
      <c r="E739" s="25"/>
      <c r="F739" s="20"/>
      <c r="G739" s="20"/>
      <c r="H739" s="21"/>
      <c r="I739" s="21"/>
      <c r="J739" s="21"/>
      <c r="K739" s="22"/>
      <c r="L739" s="22"/>
      <c r="M739" s="22"/>
      <c r="N739" s="22"/>
      <c r="O739" s="20"/>
      <c r="P739" s="20"/>
    </row>
    <row r="740" spans="1:16" x14ac:dyDescent="0.35">
      <c r="A740" s="18"/>
      <c r="B740" s="18"/>
      <c r="C740" s="18"/>
      <c r="D740" s="18"/>
      <c r="E740" s="25"/>
      <c r="F740" s="20"/>
      <c r="G740" s="20"/>
      <c r="H740" s="21"/>
      <c r="I740" s="21"/>
      <c r="J740" s="21"/>
      <c r="K740" s="22"/>
      <c r="L740" s="22"/>
      <c r="M740" s="22"/>
      <c r="N740" s="22"/>
      <c r="O740" s="20"/>
      <c r="P740" s="20"/>
    </row>
    <row r="741" spans="1:16" x14ac:dyDescent="0.35">
      <c r="A741" s="18"/>
      <c r="B741" s="18"/>
      <c r="C741" s="18"/>
      <c r="D741" s="18"/>
      <c r="E741" s="25"/>
      <c r="F741" s="20"/>
      <c r="G741" s="20"/>
      <c r="H741" s="21"/>
      <c r="I741" s="21"/>
      <c r="J741" s="21"/>
      <c r="K741" s="22"/>
      <c r="L741" s="22"/>
      <c r="M741" s="22"/>
      <c r="N741" s="22"/>
      <c r="O741" s="20"/>
      <c r="P741" s="20"/>
    </row>
    <row r="742" spans="1:16" x14ac:dyDescent="0.35">
      <c r="A742" s="18"/>
      <c r="B742" s="18"/>
      <c r="C742" s="18"/>
      <c r="D742" s="18"/>
      <c r="E742" s="25"/>
      <c r="F742" s="20"/>
      <c r="G742" s="20"/>
      <c r="H742" s="21"/>
      <c r="I742" s="21"/>
      <c r="J742" s="21"/>
      <c r="K742" s="22"/>
      <c r="L742" s="22"/>
      <c r="M742" s="22"/>
      <c r="N742" s="22"/>
      <c r="O742" s="20"/>
      <c r="P742" s="20"/>
    </row>
    <row r="743" spans="1:16" x14ac:dyDescent="0.35">
      <c r="A743" s="18"/>
      <c r="B743" s="18"/>
      <c r="C743" s="18"/>
      <c r="D743" s="18"/>
      <c r="E743" s="25"/>
      <c r="F743" s="20"/>
      <c r="G743" s="20"/>
      <c r="H743" s="21"/>
      <c r="I743" s="21"/>
      <c r="J743" s="21"/>
      <c r="K743" s="22"/>
      <c r="L743" s="22"/>
      <c r="M743" s="22"/>
      <c r="N743" s="22"/>
      <c r="O743" s="20"/>
      <c r="P743" s="20"/>
    </row>
    <row r="744" spans="1:16" x14ac:dyDescent="0.35">
      <c r="A744" s="18"/>
      <c r="B744" s="18"/>
      <c r="C744" s="18"/>
      <c r="D744" s="18"/>
      <c r="E744" s="25"/>
      <c r="F744" s="20"/>
      <c r="G744" s="20"/>
      <c r="H744" s="21"/>
      <c r="I744" s="21"/>
      <c r="J744" s="21"/>
      <c r="K744" s="22"/>
      <c r="L744" s="22"/>
      <c r="M744" s="22"/>
      <c r="N744" s="22"/>
      <c r="O744" s="20"/>
      <c r="P744" s="20"/>
    </row>
    <row r="745" spans="1:16" x14ac:dyDescent="0.35">
      <c r="A745" s="18"/>
      <c r="B745" s="18"/>
      <c r="C745" s="18"/>
      <c r="D745" s="18"/>
      <c r="E745" s="25"/>
      <c r="F745" s="20"/>
      <c r="G745" s="20"/>
      <c r="H745" s="21"/>
      <c r="I745" s="21"/>
      <c r="J745" s="21"/>
      <c r="K745" s="22"/>
      <c r="L745" s="22"/>
      <c r="M745" s="22"/>
      <c r="N745" s="22"/>
      <c r="O745" s="20"/>
      <c r="P745" s="20"/>
    </row>
    <row r="746" spans="1:16" x14ac:dyDescent="0.35">
      <c r="A746" s="18"/>
      <c r="B746" s="18"/>
      <c r="C746" s="18"/>
      <c r="D746" s="18"/>
      <c r="E746" s="25"/>
      <c r="F746" s="20"/>
      <c r="G746" s="20"/>
      <c r="H746" s="21"/>
      <c r="I746" s="21"/>
      <c r="J746" s="21"/>
      <c r="K746" s="22"/>
      <c r="L746" s="22"/>
      <c r="M746" s="22"/>
      <c r="N746" s="22"/>
      <c r="O746" s="20"/>
      <c r="P746" s="20"/>
    </row>
    <row r="747" spans="1:16" x14ac:dyDescent="0.35">
      <c r="A747" s="18"/>
      <c r="B747" s="18"/>
      <c r="C747" s="18"/>
      <c r="D747" s="18"/>
      <c r="E747" s="25"/>
      <c r="F747" s="20"/>
      <c r="G747" s="20"/>
      <c r="H747" s="21"/>
      <c r="I747" s="21"/>
      <c r="J747" s="21"/>
      <c r="K747" s="22"/>
      <c r="L747" s="22"/>
      <c r="M747" s="22"/>
      <c r="N747" s="22"/>
      <c r="O747" s="20"/>
      <c r="P747" s="20"/>
    </row>
    <row r="748" spans="1:16" x14ac:dyDescent="0.35">
      <c r="A748" s="18"/>
      <c r="B748" s="18"/>
      <c r="C748" s="18"/>
      <c r="D748" s="18"/>
      <c r="E748" s="25"/>
      <c r="F748" s="20"/>
      <c r="G748" s="20"/>
      <c r="H748" s="21"/>
      <c r="I748" s="21"/>
      <c r="J748" s="21"/>
      <c r="K748" s="22"/>
      <c r="L748" s="22"/>
      <c r="M748" s="22"/>
      <c r="N748" s="22"/>
      <c r="O748" s="20"/>
      <c r="P748" s="20"/>
    </row>
    <row r="749" spans="1:16" x14ac:dyDescent="0.35">
      <c r="A749" s="18"/>
      <c r="B749" s="18"/>
      <c r="C749" s="18"/>
      <c r="D749" s="18"/>
      <c r="E749" s="25"/>
      <c r="F749" s="20"/>
      <c r="G749" s="20"/>
      <c r="H749" s="21"/>
      <c r="I749" s="21"/>
      <c r="J749" s="21"/>
      <c r="K749" s="22"/>
      <c r="L749" s="22"/>
      <c r="M749" s="22"/>
      <c r="N749" s="22"/>
      <c r="O749" s="20"/>
      <c r="P749" s="20"/>
    </row>
    <row r="750" spans="1:16" x14ac:dyDescent="0.35">
      <c r="A750" s="18"/>
      <c r="B750" s="18"/>
      <c r="C750" s="18"/>
      <c r="D750" s="18"/>
      <c r="E750" s="25"/>
      <c r="F750" s="20"/>
      <c r="G750" s="20"/>
      <c r="H750" s="21"/>
      <c r="I750" s="21"/>
      <c r="J750" s="21"/>
      <c r="K750" s="22"/>
      <c r="L750" s="22"/>
      <c r="M750" s="22"/>
      <c r="N750" s="22"/>
      <c r="O750" s="20"/>
      <c r="P750" s="20"/>
    </row>
    <row r="751" spans="1:16" x14ac:dyDescent="0.35">
      <c r="A751" s="18"/>
      <c r="B751" s="18"/>
      <c r="C751" s="18"/>
      <c r="D751" s="18"/>
      <c r="E751" s="25"/>
      <c r="F751" s="20"/>
      <c r="G751" s="20"/>
      <c r="H751" s="21"/>
      <c r="I751" s="21"/>
      <c r="J751" s="21"/>
      <c r="K751" s="22"/>
      <c r="L751" s="22"/>
      <c r="M751" s="22"/>
      <c r="N751" s="22"/>
      <c r="O751" s="20"/>
      <c r="P751" s="20"/>
    </row>
    <row r="752" spans="1:16" x14ac:dyDescent="0.35">
      <c r="A752" s="18"/>
      <c r="B752" s="18"/>
      <c r="C752" s="18"/>
      <c r="D752" s="18"/>
      <c r="E752" s="25"/>
      <c r="F752" s="20"/>
      <c r="G752" s="20"/>
      <c r="H752" s="21"/>
      <c r="I752" s="21"/>
      <c r="J752" s="21"/>
      <c r="K752" s="22"/>
      <c r="L752" s="22"/>
      <c r="M752" s="22"/>
      <c r="N752" s="22"/>
      <c r="O752" s="20"/>
      <c r="P752" s="20"/>
    </row>
    <row r="753" spans="1:16" x14ac:dyDescent="0.35">
      <c r="A753" s="18"/>
      <c r="B753" s="18"/>
      <c r="C753" s="18"/>
      <c r="D753" s="18"/>
      <c r="E753" s="25"/>
      <c r="F753" s="20"/>
      <c r="G753" s="20"/>
      <c r="H753" s="21"/>
      <c r="I753" s="21"/>
      <c r="J753" s="21"/>
      <c r="K753" s="22"/>
      <c r="L753" s="22"/>
      <c r="M753" s="22"/>
      <c r="N753" s="22"/>
      <c r="O753" s="20"/>
      <c r="P753" s="20"/>
    </row>
    <row r="754" spans="1:16" x14ac:dyDescent="0.35">
      <c r="A754" s="18"/>
      <c r="B754" s="18"/>
      <c r="C754" s="18"/>
      <c r="D754" s="18"/>
      <c r="E754" s="25"/>
      <c r="F754" s="20"/>
      <c r="G754" s="20"/>
      <c r="H754" s="21"/>
      <c r="I754" s="21"/>
      <c r="J754" s="21"/>
      <c r="K754" s="22"/>
      <c r="L754" s="22"/>
      <c r="M754" s="22"/>
      <c r="N754" s="22"/>
      <c r="O754" s="20"/>
      <c r="P754" s="20"/>
    </row>
    <row r="755" spans="1:16" x14ac:dyDescent="0.35">
      <c r="A755" s="18"/>
      <c r="B755" s="18"/>
      <c r="C755" s="18"/>
      <c r="D755" s="18"/>
      <c r="E755" s="25"/>
      <c r="F755" s="20"/>
      <c r="G755" s="20"/>
      <c r="H755" s="21"/>
      <c r="I755" s="21"/>
      <c r="J755" s="21"/>
      <c r="K755" s="22"/>
      <c r="L755" s="22"/>
      <c r="M755" s="22"/>
      <c r="N755" s="22"/>
      <c r="O755" s="20"/>
      <c r="P755" s="20"/>
    </row>
    <row r="756" spans="1:16" x14ac:dyDescent="0.35">
      <c r="A756" s="18"/>
      <c r="B756" s="18"/>
      <c r="C756" s="18"/>
      <c r="D756" s="18"/>
      <c r="E756" s="25"/>
      <c r="F756" s="20"/>
      <c r="G756" s="20"/>
      <c r="H756" s="21"/>
      <c r="I756" s="21"/>
      <c r="J756" s="21"/>
      <c r="K756" s="22"/>
      <c r="L756" s="22"/>
      <c r="M756" s="22"/>
      <c r="N756" s="22"/>
      <c r="O756" s="20"/>
      <c r="P756" s="20"/>
    </row>
    <row r="757" spans="1:16" x14ac:dyDescent="0.35">
      <c r="A757" s="18"/>
      <c r="B757" s="18"/>
      <c r="C757" s="18"/>
      <c r="D757" s="18"/>
      <c r="E757" s="25"/>
      <c r="F757" s="20"/>
      <c r="G757" s="20"/>
      <c r="H757" s="21"/>
      <c r="I757" s="21"/>
      <c r="J757" s="21"/>
      <c r="K757" s="22"/>
      <c r="L757" s="22"/>
      <c r="M757" s="22"/>
      <c r="N757" s="22"/>
      <c r="O757" s="20"/>
      <c r="P757" s="20"/>
    </row>
    <row r="758" spans="1:16" x14ac:dyDescent="0.35">
      <c r="A758" s="18"/>
      <c r="B758" s="18"/>
      <c r="C758" s="18"/>
      <c r="D758" s="18"/>
      <c r="E758" s="25"/>
      <c r="F758" s="20"/>
      <c r="G758" s="20"/>
      <c r="H758" s="21"/>
      <c r="I758" s="21"/>
      <c r="J758" s="21"/>
      <c r="K758" s="22"/>
      <c r="L758" s="22"/>
      <c r="M758" s="22"/>
      <c r="N758" s="22"/>
      <c r="O758" s="20"/>
      <c r="P758" s="20"/>
    </row>
    <row r="759" spans="1:16" x14ac:dyDescent="0.35">
      <c r="A759" s="18"/>
      <c r="B759" s="18"/>
      <c r="C759" s="18"/>
      <c r="D759" s="18"/>
      <c r="E759" s="25"/>
      <c r="F759" s="20"/>
      <c r="G759" s="20"/>
      <c r="H759" s="21"/>
      <c r="I759" s="21"/>
      <c r="J759" s="21"/>
      <c r="K759" s="22"/>
      <c r="L759" s="22"/>
      <c r="M759" s="22"/>
      <c r="N759" s="22"/>
      <c r="O759" s="20"/>
      <c r="P759" s="20"/>
    </row>
    <row r="760" spans="1:16" x14ac:dyDescent="0.35">
      <c r="A760" s="18"/>
      <c r="B760" s="18"/>
      <c r="C760" s="18"/>
      <c r="D760" s="18"/>
      <c r="E760" s="25"/>
      <c r="F760" s="20"/>
      <c r="G760" s="20"/>
      <c r="H760" s="21"/>
      <c r="I760" s="21"/>
      <c r="J760" s="21"/>
      <c r="K760" s="22"/>
      <c r="L760" s="22"/>
      <c r="M760" s="22"/>
      <c r="N760" s="22"/>
      <c r="O760" s="20"/>
      <c r="P760" s="20"/>
    </row>
    <row r="761" spans="1:16" x14ac:dyDescent="0.35">
      <c r="A761" s="18"/>
      <c r="B761" s="18"/>
      <c r="C761" s="18"/>
      <c r="D761" s="18"/>
      <c r="E761" s="25"/>
      <c r="F761" s="20"/>
      <c r="G761" s="20"/>
      <c r="H761" s="21"/>
      <c r="I761" s="21"/>
      <c r="J761" s="21"/>
      <c r="K761" s="22"/>
      <c r="L761" s="22"/>
      <c r="M761" s="22"/>
      <c r="N761" s="22"/>
      <c r="O761" s="20"/>
      <c r="P761" s="20"/>
    </row>
    <row r="762" spans="1:16" x14ac:dyDescent="0.35">
      <c r="A762" s="18"/>
      <c r="B762" s="18"/>
      <c r="C762" s="18"/>
      <c r="D762" s="18"/>
      <c r="E762" s="25"/>
      <c r="F762" s="20"/>
      <c r="G762" s="20"/>
      <c r="H762" s="21"/>
      <c r="I762" s="21"/>
      <c r="J762" s="21"/>
      <c r="K762" s="22"/>
      <c r="L762" s="22"/>
      <c r="M762" s="22"/>
      <c r="N762" s="22"/>
      <c r="O762" s="20"/>
      <c r="P762" s="20"/>
    </row>
    <row r="763" spans="1:16" x14ac:dyDescent="0.35">
      <c r="A763" s="18"/>
      <c r="B763" s="18"/>
      <c r="C763" s="18"/>
      <c r="D763" s="18"/>
      <c r="E763" s="25"/>
      <c r="F763" s="20"/>
      <c r="G763" s="20"/>
      <c r="H763" s="21"/>
      <c r="I763" s="21"/>
      <c r="J763" s="21"/>
      <c r="K763" s="22"/>
      <c r="L763" s="22"/>
      <c r="M763" s="22"/>
      <c r="N763" s="22"/>
      <c r="O763" s="20"/>
      <c r="P763" s="20"/>
    </row>
    <row r="764" spans="1:16" x14ac:dyDescent="0.35">
      <c r="A764" s="18"/>
      <c r="B764" s="18"/>
      <c r="C764" s="18"/>
      <c r="D764" s="18"/>
      <c r="E764" s="25"/>
      <c r="F764" s="20"/>
      <c r="G764" s="20"/>
      <c r="H764" s="21"/>
      <c r="I764" s="21"/>
      <c r="J764" s="21"/>
      <c r="K764" s="22"/>
      <c r="L764" s="22"/>
      <c r="M764" s="22"/>
      <c r="N764" s="22"/>
      <c r="O764" s="20"/>
      <c r="P764" s="20"/>
    </row>
    <row r="765" spans="1:16" x14ac:dyDescent="0.35">
      <c r="A765" s="18"/>
      <c r="B765" s="18"/>
      <c r="C765" s="18"/>
      <c r="D765" s="18"/>
      <c r="E765" s="25"/>
      <c r="F765" s="20"/>
      <c r="G765" s="20"/>
      <c r="H765" s="21"/>
      <c r="I765" s="21"/>
      <c r="J765" s="21"/>
      <c r="K765" s="22"/>
      <c r="L765" s="22"/>
      <c r="M765" s="22"/>
      <c r="N765" s="22"/>
      <c r="O765" s="20"/>
      <c r="P765" s="20"/>
    </row>
    <row r="766" spans="1:16" x14ac:dyDescent="0.35">
      <c r="A766" s="18"/>
      <c r="B766" s="18"/>
      <c r="C766" s="18"/>
      <c r="D766" s="18"/>
      <c r="E766" s="25"/>
      <c r="F766" s="20"/>
      <c r="G766" s="20"/>
      <c r="H766" s="21"/>
      <c r="I766" s="21"/>
      <c r="J766" s="21"/>
      <c r="K766" s="22"/>
      <c r="L766" s="22"/>
      <c r="M766" s="22"/>
      <c r="N766" s="22"/>
      <c r="O766" s="20"/>
      <c r="P766" s="20"/>
    </row>
    <row r="767" spans="1:16" x14ac:dyDescent="0.35">
      <c r="A767" s="18"/>
      <c r="B767" s="18"/>
      <c r="C767" s="18"/>
      <c r="D767" s="18"/>
      <c r="E767" s="25"/>
      <c r="F767" s="20"/>
      <c r="G767" s="20"/>
      <c r="H767" s="21"/>
      <c r="I767" s="21"/>
      <c r="J767" s="21"/>
      <c r="K767" s="22"/>
      <c r="L767" s="22"/>
      <c r="M767" s="22"/>
      <c r="N767" s="22"/>
      <c r="O767" s="20"/>
      <c r="P767" s="20"/>
    </row>
    <row r="768" spans="1:16" x14ac:dyDescent="0.35">
      <c r="A768" s="18"/>
      <c r="B768" s="18"/>
      <c r="C768" s="18"/>
      <c r="D768" s="18"/>
      <c r="E768" s="25"/>
      <c r="F768" s="20"/>
      <c r="G768" s="20"/>
      <c r="H768" s="21"/>
      <c r="I768" s="21"/>
      <c r="J768" s="21"/>
      <c r="K768" s="22"/>
      <c r="L768" s="22"/>
      <c r="M768" s="22"/>
      <c r="N768" s="22"/>
      <c r="O768" s="20"/>
      <c r="P768" s="20"/>
    </row>
    <row r="769" spans="1:16" x14ac:dyDescent="0.35">
      <c r="A769" s="18"/>
      <c r="B769" s="18"/>
      <c r="C769" s="18"/>
      <c r="D769" s="18"/>
      <c r="E769" s="25"/>
      <c r="F769" s="20"/>
      <c r="G769" s="20"/>
      <c r="H769" s="21"/>
      <c r="I769" s="21"/>
      <c r="J769" s="21"/>
      <c r="K769" s="22"/>
      <c r="L769" s="22"/>
      <c r="M769" s="22"/>
      <c r="N769" s="22"/>
      <c r="O769" s="20"/>
      <c r="P769" s="20"/>
    </row>
    <row r="770" spans="1:16" x14ac:dyDescent="0.35">
      <c r="A770" s="18"/>
      <c r="B770" s="18"/>
      <c r="C770" s="18"/>
      <c r="D770" s="18"/>
      <c r="E770" s="25"/>
      <c r="F770" s="20"/>
      <c r="G770" s="20"/>
      <c r="H770" s="21"/>
      <c r="I770" s="21"/>
      <c r="J770" s="21"/>
      <c r="K770" s="22"/>
      <c r="L770" s="22"/>
      <c r="M770" s="22"/>
      <c r="N770" s="22"/>
      <c r="O770" s="20"/>
      <c r="P770" s="20"/>
    </row>
    <row r="771" spans="1:16" x14ac:dyDescent="0.35">
      <c r="A771" s="18"/>
      <c r="B771" s="18"/>
      <c r="C771" s="18"/>
      <c r="D771" s="18"/>
      <c r="E771" s="25"/>
      <c r="F771" s="20"/>
      <c r="G771" s="20"/>
      <c r="H771" s="21"/>
      <c r="I771" s="21"/>
      <c r="J771" s="21"/>
      <c r="K771" s="22"/>
      <c r="L771" s="22"/>
      <c r="M771" s="22"/>
      <c r="N771" s="22"/>
      <c r="O771" s="20"/>
      <c r="P771" s="20"/>
    </row>
    <row r="772" spans="1:16" x14ac:dyDescent="0.35">
      <c r="A772" s="18"/>
      <c r="B772" s="18"/>
      <c r="C772" s="18"/>
      <c r="D772" s="18"/>
      <c r="E772" s="25"/>
      <c r="F772" s="20"/>
      <c r="G772" s="20"/>
      <c r="H772" s="21"/>
      <c r="I772" s="21"/>
      <c r="J772" s="21"/>
      <c r="K772" s="22"/>
      <c r="L772" s="22"/>
      <c r="M772" s="22"/>
      <c r="N772" s="22"/>
      <c r="O772" s="20"/>
      <c r="P772" s="20"/>
    </row>
    <row r="773" spans="1:16" x14ac:dyDescent="0.35">
      <c r="A773" s="18"/>
      <c r="B773" s="18"/>
      <c r="C773" s="18"/>
      <c r="D773" s="18"/>
      <c r="E773" s="25"/>
      <c r="F773" s="20"/>
      <c r="G773" s="20"/>
      <c r="H773" s="21"/>
      <c r="I773" s="21"/>
      <c r="J773" s="21"/>
      <c r="K773" s="22"/>
      <c r="L773" s="22"/>
      <c r="M773" s="22"/>
      <c r="N773" s="22"/>
      <c r="O773" s="20"/>
      <c r="P773" s="20"/>
    </row>
    <row r="774" spans="1:16" x14ac:dyDescent="0.35">
      <c r="A774" s="18"/>
      <c r="B774" s="18"/>
      <c r="C774" s="18"/>
      <c r="D774" s="18"/>
      <c r="E774" s="25"/>
      <c r="F774" s="20"/>
      <c r="G774" s="20"/>
      <c r="H774" s="21"/>
      <c r="I774" s="21"/>
      <c r="J774" s="21"/>
      <c r="K774" s="22"/>
      <c r="L774" s="22"/>
      <c r="M774" s="22"/>
      <c r="N774" s="22"/>
      <c r="O774" s="20"/>
      <c r="P774" s="20"/>
    </row>
    <row r="775" spans="1:16" x14ac:dyDescent="0.35">
      <c r="A775" s="18"/>
      <c r="B775" s="18"/>
      <c r="C775" s="18"/>
      <c r="D775" s="18"/>
      <c r="E775" s="25"/>
      <c r="F775" s="20"/>
      <c r="G775" s="20"/>
      <c r="H775" s="21"/>
      <c r="I775" s="21"/>
      <c r="J775" s="21"/>
      <c r="K775" s="22"/>
      <c r="L775" s="22"/>
      <c r="M775" s="22"/>
      <c r="N775" s="22"/>
      <c r="O775" s="20"/>
      <c r="P775" s="20"/>
    </row>
    <row r="776" spans="1:16" x14ac:dyDescent="0.35">
      <c r="A776" s="18"/>
      <c r="B776" s="18"/>
      <c r="C776" s="18"/>
      <c r="D776" s="18"/>
      <c r="E776" s="25"/>
      <c r="F776" s="20"/>
      <c r="G776" s="20"/>
      <c r="H776" s="21"/>
      <c r="I776" s="21"/>
      <c r="J776" s="21"/>
      <c r="K776" s="22"/>
      <c r="L776" s="22"/>
      <c r="M776" s="22"/>
      <c r="N776" s="22"/>
      <c r="O776" s="20"/>
      <c r="P776" s="20"/>
    </row>
    <row r="777" spans="1:16" x14ac:dyDescent="0.35">
      <c r="A777" s="18"/>
      <c r="B777" s="18"/>
      <c r="C777" s="18"/>
      <c r="D777" s="18"/>
      <c r="E777" s="25"/>
      <c r="F777" s="20"/>
      <c r="G777" s="20"/>
      <c r="H777" s="21"/>
      <c r="I777" s="21"/>
      <c r="J777" s="21"/>
      <c r="K777" s="22"/>
      <c r="L777" s="22"/>
      <c r="M777" s="22"/>
      <c r="N777" s="22"/>
      <c r="O777" s="20"/>
      <c r="P777" s="20"/>
    </row>
    <row r="778" spans="1:16" x14ac:dyDescent="0.35">
      <c r="A778" s="18"/>
      <c r="B778" s="18"/>
      <c r="C778" s="18"/>
      <c r="D778" s="18"/>
      <c r="E778" s="25"/>
      <c r="F778" s="20"/>
      <c r="G778" s="20"/>
      <c r="H778" s="21"/>
      <c r="I778" s="21"/>
      <c r="J778" s="21"/>
      <c r="K778" s="22"/>
      <c r="L778" s="22"/>
      <c r="M778" s="22"/>
      <c r="N778" s="22"/>
      <c r="O778" s="20"/>
      <c r="P778" s="20"/>
    </row>
    <row r="779" spans="1:16" x14ac:dyDescent="0.35">
      <c r="A779" s="18"/>
      <c r="B779" s="18"/>
      <c r="C779" s="18"/>
      <c r="D779" s="18"/>
      <c r="E779" s="25"/>
      <c r="F779" s="20"/>
      <c r="G779" s="20"/>
      <c r="H779" s="21"/>
      <c r="I779" s="21"/>
      <c r="J779" s="21"/>
      <c r="K779" s="22"/>
      <c r="L779" s="22"/>
      <c r="M779" s="22"/>
      <c r="N779" s="22"/>
      <c r="O779" s="20"/>
      <c r="P779" s="20"/>
    </row>
    <row r="780" spans="1:16" x14ac:dyDescent="0.35">
      <c r="A780" s="18"/>
      <c r="B780" s="18"/>
      <c r="C780" s="18"/>
      <c r="D780" s="18"/>
      <c r="E780" s="25"/>
      <c r="F780" s="20"/>
      <c r="G780" s="20"/>
      <c r="H780" s="21"/>
      <c r="I780" s="21"/>
      <c r="J780" s="21"/>
      <c r="K780" s="22"/>
      <c r="L780" s="22"/>
      <c r="M780" s="22"/>
      <c r="N780" s="22"/>
      <c r="O780" s="20"/>
      <c r="P780" s="20"/>
    </row>
    <row r="781" spans="1:16" x14ac:dyDescent="0.35">
      <c r="A781" s="18"/>
      <c r="B781" s="18"/>
      <c r="C781" s="18"/>
      <c r="D781" s="18"/>
      <c r="E781" s="25"/>
      <c r="F781" s="20"/>
      <c r="G781" s="20"/>
      <c r="H781" s="21"/>
      <c r="I781" s="21"/>
      <c r="J781" s="21"/>
      <c r="K781" s="22"/>
      <c r="L781" s="22"/>
      <c r="M781" s="22"/>
      <c r="N781" s="22"/>
      <c r="O781" s="20"/>
      <c r="P781" s="20"/>
    </row>
    <row r="782" spans="1:16" x14ac:dyDescent="0.35">
      <c r="A782" s="18"/>
      <c r="B782" s="18"/>
      <c r="C782" s="18"/>
      <c r="D782" s="18"/>
      <c r="E782" s="25"/>
      <c r="F782" s="20"/>
      <c r="G782" s="20"/>
      <c r="H782" s="21"/>
      <c r="I782" s="21"/>
      <c r="J782" s="21"/>
      <c r="K782" s="22"/>
      <c r="L782" s="22"/>
      <c r="M782" s="22"/>
      <c r="N782" s="22"/>
      <c r="O782" s="20"/>
      <c r="P782" s="20"/>
    </row>
    <row r="783" spans="1:16" x14ac:dyDescent="0.35">
      <c r="A783" s="18"/>
      <c r="B783" s="18"/>
      <c r="C783" s="18"/>
      <c r="D783" s="18"/>
      <c r="E783" s="25"/>
      <c r="F783" s="20"/>
      <c r="G783" s="20"/>
      <c r="H783" s="21"/>
      <c r="I783" s="21"/>
      <c r="J783" s="21"/>
      <c r="K783" s="22"/>
      <c r="L783" s="22"/>
      <c r="M783" s="22"/>
      <c r="N783" s="22"/>
      <c r="O783" s="20"/>
      <c r="P783" s="20"/>
    </row>
    <row r="784" spans="1:16" x14ac:dyDescent="0.35">
      <c r="A784" s="18"/>
      <c r="B784" s="18"/>
      <c r="C784" s="18"/>
      <c r="D784" s="18"/>
      <c r="E784" s="25"/>
      <c r="F784" s="20"/>
      <c r="G784" s="20"/>
      <c r="H784" s="21"/>
      <c r="I784" s="21"/>
      <c r="J784" s="21"/>
      <c r="K784" s="22"/>
      <c r="L784" s="22"/>
      <c r="M784" s="22"/>
      <c r="N784" s="22"/>
      <c r="O784" s="20"/>
      <c r="P784" s="20"/>
    </row>
    <row r="785" spans="1:16" x14ac:dyDescent="0.35">
      <c r="A785" s="18"/>
      <c r="B785" s="18"/>
      <c r="C785" s="18"/>
      <c r="D785" s="18"/>
      <c r="E785" s="25"/>
      <c r="F785" s="20"/>
      <c r="G785" s="20"/>
      <c r="H785" s="21"/>
      <c r="I785" s="21"/>
      <c r="J785" s="21"/>
      <c r="K785" s="22"/>
      <c r="L785" s="22"/>
      <c r="M785" s="22"/>
      <c r="N785" s="22"/>
      <c r="O785" s="20"/>
      <c r="P785" s="20"/>
    </row>
    <row r="786" spans="1:16" x14ac:dyDescent="0.35">
      <c r="A786" s="18"/>
      <c r="B786" s="18"/>
      <c r="C786" s="18"/>
      <c r="D786" s="18"/>
      <c r="E786" s="25"/>
      <c r="F786" s="20"/>
      <c r="G786" s="20"/>
      <c r="H786" s="21"/>
      <c r="I786" s="21"/>
      <c r="J786" s="21"/>
      <c r="K786" s="22"/>
      <c r="L786" s="22"/>
      <c r="M786" s="22"/>
      <c r="N786" s="22"/>
      <c r="O786" s="20"/>
      <c r="P786" s="20"/>
    </row>
    <row r="787" spans="1:16" x14ac:dyDescent="0.35">
      <c r="A787" s="18"/>
      <c r="B787" s="18"/>
      <c r="C787" s="18"/>
      <c r="D787" s="18"/>
      <c r="E787" s="25"/>
      <c r="F787" s="20"/>
      <c r="G787" s="20"/>
      <c r="H787" s="21"/>
      <c r="I787" s="21"/>
      <c r="J787" s="21"/>
      <c r="K787" s="22"/>
      <c r="L787" s="22"/>
      <c r="M787" s="22"/>
      <c r="N787" s="22"/>
      <c r="O787" s="20"/>
      <c r="P787" s="20"/>
    </row>
    <row r="788" spans="1:16" x14ac:dyDescent="0.35">
      <c r="A788" s="18"/>
      <c r="B788" s="18"/>
      <c r="C788" s="18"/>
      <c r="D788" s="18"/>
      <c r="E788" s="25"/>
      <c r="F788" s="20"/>
      <c r="G788" s="20"/>
      <c r="H788" s="21"/>
      <c r="I788" s="21"/>
      <c r="J788" s="21"/>
      <c r="K788" s="22"/>
      <c r="L788" s="22"/>
      <c r="M788" s="22"/>
      <c r="N788" s="22"/>
      <c r="O788" s="20"/>
      <c r="P788" s="20"/>
    </row>
    <row r="789" spans="1:16" x14ac:dyDescent="0.35">
      <c r="A789" s="18"/>
      <c r="B789" s="18"/>
      <c r="C789" s="18"/>
      <c r="D789" s="18"/>
      <c r="E789" s="25"/>
      <c r="F789" s="20"/>
      <c r="G789" s="20"/>
      <c r="H789" s="21"/>
      <c r="I789" s="21"/>
      <c r="J789" s="21"/>
      <c r="K789" s="22"/>
      <c r="L789" s="22"/>
      <c r="M789" s="22"/>
      <c r="N789" s="22"/>
      <c r="O789" s="20"/>
      <c r="P789" s="20"/>
    </row>
    <row r="790" spans="1:16" x14ac:dyDescent="0.35">
      <c r="A790" s="18"/>
      <c r="B790" s="18"/>
      <c r="C790" s="18"/>
      <c r="D790" s="18"/>
      <c r="E790" s="25"/>
      <c r="F790" s="20"/>
      <c r="G790" s="20"/>
      <c r="H790" s="21"/>
      <c r="I790" s="21"/>
      <c r="J790" s="21"/>
      <c r="K790" s="22"/>
      <c r="L790" s="22"/>
      <c r="M790" s="22"/>
      <c r="N790" s="22"/>
      <c r="O790" s="20"/>
      <c r="P790" s="20"/>
    </row>
    <row r="791" spans="1:16" x14ac:dyDescent="0.35">
      <c r="A791" s="18"/>
      <c r="B791" s="18"/>
      <c r="C791" s="18"/>
      <c r="D791" s="18"/>
      <c r="E791" s="25"/>
      <c r="F791" s="20"/>
      <c r="G791" s="20"/>
      <c r="H791" s="21"/>
      <c r="I791" s="21"/>
      <c r="J791" s="21"/>
      <c r="K791" s="22"/>
      <c r="L791" s="22"/>
      <c r="M791" s="22"/>
      <c r="N791" s="22"/>
      <c r="O791" s="20"/>
      <c r="P791" s="20"/>
    </row>
    <row r="792" spans="1:16" x14ac:dyDescent="0.35">
      <c r="A792" s="18"/>
      <c r="B792" s="18"/>
      <c r="C792" s="18"/>
      <c r="D792" s="18"/>
      <c r="E792" s="25"/>
      <c r="F792" s="20"/>
      <c r="G792" s="20"/>
      <c r="H792" s="21"/>
      <c r="I792" s="21"/>
      <c r="J792" s="21"/>
      <c r="K792" s="22"/>
      <c r="L792" s="22"/>
      <c r="M792" s="22"/>
      <c r="N792" s="22"/>
      <c r="O792" s="20"/>
      <c r="P792" s="20"/>
    </row>
    <row r="793" spans="1:16" x14ac:dyDescent="0.35">
      <c r="A793" s="18"/>
      <c r="B793" s="18"/>
      <c r="C793" s="18"/>
      <c r="D793" s="18"/>
      <c r="E793" s="25"/>
      <c r="F793" s="20"/>
      <c r="G793" s="20"/>
      <c r="H793" s="21"/>
      <c r="I793" s="21"/>
      <c r="J793" s="21"/>
      <c r="K793" s="22"/>
      <c r="L793" s="22"/>
      <c r="M793" s="22"/>
      <c r="N793" s="22"/>
      <c r="O793" s="20"/>
      <c r="P793" s="20"/>
    </row>
    <row r="794" spans="1:16" x14ac:dyDescent="0.35">
      <c r="A794" s="18"/>
      <c r="B794" s="18"/>
      <c r="C794" s="18"/>
      <c r="D794" s="18"/>
      <c r="E794" s="25"/>
      <c r="F794" s="20"/>
      <c r="G794" s="20"/>
      <c r="H794" s="21"/>
      <c r="I794" s="21"/>
      <c r="J794" s="21"/>
      <c r="K794" s="22"/>
      <c r="L794" s="22"/>
      <c r="M794" s="22"/>
      <c r="N794" s="22"/>
      <c r="O794" s="20"/>
      <c r="P794" s="20"/>
    </row>
    <row r="795" spans="1:16" x14ac:dyDescent="0.35">
      <c r="A795" s="18"/>
      <c r="B795" s="18"/>
      <c r="C795" s="18"/>
      <c r="D795" s="18"/>
      <c r="E795" s="25"/>
      <c r="F795" s="20"/>
      <c r="G795" s="20"/>
      <c r="H795" s="21"/>
      <c r="I795" s="21"/>
      <c r="J795" s="21"/>
      <c r="K795" s="22"/>
      <c r="L795" s="22"/>
      <c r="M795" s="22"/>
      <c r="N795" s="22"/>
      <c r="O795" s="20"/>
      <c r="P795" s="20"/>
    </row>
    <row r="796" spans="1:16" x14ac:dyDescent="0.35">
      <c r="A796" s="18"/>
      <c r="B796" s="18"/>
      <c r="C796" s="18"/>
      <c r="D796" s="18"/>
      <c r="E796" s="25"/>
      <c r="F796" s="20"/>
      <c r="G796" s="20"/>
      <c r="H796" s="21"/>
      <c r="I796" s="21"/>
      <c r="J796" s="21"/>
      <c r="K796" s="22"/>
      <c r="L796" s="22"/>
      <c r="M796" s="22"/>
      <c r="N796" s="22"/>
      <c r="O796" s="20"/>
      <c r="P796" s="20"/>
    </row>
    <row r="797" spans="1:16" x14ac:dyDescent="0.35">
      <c r="A797" s="18"/>
      <c r="B797" s="18"/>
      <c r="C797" s="18"/>
      <c r="D797" s="18"/>
      <c r="E797" s="25"/>
      <c r="F797" s="20"/>
      <c r="G797" s="20"/>
      <c r="H797" s="21"/>
      <c r="I797" s="21"/>
      <c r="J797" s="21"/>
      <c r="K797" s="22"/>
      <c r="L797" s="22"/>
      <c r="M797" s="22"/>
      <c r="N797" s="22"/>
      <c r="O797" s="20"/>
      <c r="P797" s="20"/>
    </row>
    <row r="798" spans="1:16" x14ac:dyDescent="0.35">
      <c r="A798" s="18"/>
      <c r="B798" s="18"/>
      <c r="C798" s="18"/>
      <c r="D798" s="18"/>
      <c r="E798" s="25"/>
      <c r="F798" s="20"/>
      <c r="G798" s="20"/>
      <c r="H798" s="21"/>
      <c r="I798" s="21"/>
      <c r="J798" s="21"/>
      <c r="K798" s="22"/>
      <c r="L798" s="22"/>
      <c r="M798" s="22"/>
      <c r="N798" s="22"/>
      <c r="O798" s="20"/>
      <c r="P798" s="20"/>
    </row>
    <row r="799" spans="1:16" x14ac:dyDescent="0.35">
      <c r="A799" s="18"/>
      <c r="B799" s="18"/>
      <c r="C799" s="18"/>
      <c r="D799" s="18"/>
      <c r="E799" s="25"/>
      <c r="F799" s="20"/>
      <c r="G799" s="20"/>
      <c r="H799" s="21"/>
      <c r="I799" s="21"/>
      <c r="J799" s="21"/>
      <c r="K799" s="22"/>
      <c r="L799" s="22"/>
      <c r="M799" s="22"/>
      <c r="N799" s="22"/>
      <c r="O799" s="20"/>
      <c r="P799" s="20"/>
    </row>
    <row r="800" spans="1:16" x14ac:dyDescent="0.35">
      <c r="A800" s="18"/>
      <c r="B800" s="18"/>
      <c r="C800" s="18"/>
      <c r="D800" s="18"/>
      <c r="E800" s="25"/>
      <c r="F800" s="20"/>
      <c r="G800" s="20"/>
      <c r="H800" s="21"/>
      <c r="I800" s="21"/>
      <c r="J800" s="21"/>
      <c r="K800" s="22"/>
      <c r="L800" s="22"/>
      <c r="M800" s="22"/>
      <c r="N800" s="22"/>
      <c r="O800" s="20"/>
      <c r="P800" s="20"/>
    </row>
    <row r="801" spans="1:16" x14ac:dyDescent="0.35">
      <c r="A801" s="18"/>
      <c r="B801" s="18"/>
      <c r="C801" s="18"/>
      <c r="D801" s="18"/>
      <c r="E801" s="25"/>
      <c r="F801" s="20"/>
      <c r="G801" s="20"/>
      <c r="H801" s="21"/>
      <c r="I801" s="21"/>
      <c r="J801" s="21"/>
      <c r="K801" s="22"/>
      <c r="L801" s="22"/>
      <c r="M801" s="22"/>
      <c r="N801" s="22"/>
      <c r="O801" s="20"/>
      <c r="P801" s="20"/>
    </row>
    <row r="802" spans="1:16" x14ac:dyDescent="0.35">
      <c r="A802" s="18"/>
      <c r="B802" s="18"/>
      <c r="C802" s="18"/>
      <c r="D802" s="18"/>
      <c r="E802" s="25"/>
      <c r="F802" s="20"/>
      <c r="G802" s="20"/>
      <c r="H802" s="21"/>
      <c r="I802" s="21"/>
      <c r="J802" s="21"/>
      <c r="K802" s="22"/>
      <c r="L802" s="22"/>
      <c r="M802" s="22"/>
      <c r="N802" s="22"/>
      <c r="O802" s="20"/>
      <c r="P802" s="20"/>
    </row>
    <row r="803" spans="1:16" x14ac:dyDescent="0.35">
      <c r="A803" s="18"/>
      <c r="B803" s="18"/>
      <c r="C803" s="18"/>
      <c r="D803" s="18"/>
      <c r="E803" s="25"/>
      <c r="F803" s="20"/>
      <c r="G803" s="20"/>
      <c r="H803" s="21"/>
      <c r="I803" s="21"/>
      <c r="J803" s="21"/>
      <c r="K803" s="22"/>
      <c r="L803" s="22"/>
      <c r="M803" s="22"/>
      <c r="N803" s="22"/>
      <c r="O803" s="20"/>
      <c r="P803" s="20"/>
    </row>
    <row r="804" spans="1:16" x14ac:dyDescent="0.35">
      <c r="A804" s="18"/>
      <c r="B804" s="18"/>
      <c r="C804" s="18"/>
      <c r="D804" s="18"/>
      <c r="E804" s="25"/>
      <c r="F804" s="20"/>
      <c r="G804" s="20"/>
      <c r="H804" s="21"/>
      <c r="I804" s="21"/>
      <c r="J804" s="21"/>
      <c r="K804" s="22"/>
      <c r="L804" s="22"/>
      <c r="M804" s="22"/>
      <c r="N804" s="22"/>
      <c r="O804" s="20"/>
      <c r="P804" s="20"/>
    </row>
    <row r="805" spans="1:16" x14ac:dyDescent="0.35">
      <c r="A805" s="18"/>
      <c r="B805" s="18"/>
      <c r="C805" s="18"/>
      <c r="D805" s="18"/>
      <c r="E805" s="25"/>
      <c r="F805" s="20"/>
      <c r="G805" s="20"/>
      <c r="H805" s="21"/>
      <c r="I805" s="21"/>
      <c r="J805" s="21"/>
      <c r="K805" s="22"/>
      <c r="L805" s="22"/>
      <c r="M805" s="22"/>
      <c r="N805" s="22"/>
      <c r="O805" s="20"/>
      <c r="P805" s="20"/>
    </row>
    <row r="806" spans="1:16" x14ac:dyDescent="0.35">
      <c r="A806" s="18"/>
      <c r="B806" s="18"/>
      <c r="C806" s="18"/>
      <c r="D806" s="18"/>
      <c r="E806" s="25"/>
      <c r="F806" s="20"/>
      <c r="G806" s="20"/>
      <c r="H806" s="21"/>
      <c r="I806" s="21"/>
      <c r="J806" s="21"/>
      <c r="K806" s="22"/>
      <c r="L806" s="22"/>
      <c r="M806" s="22"/>
      <c r="N806" s="22"/>
      <c r="O806" s="20"/>
      <c r="P806" s="20"/>
    </row>
    <row r="807" spans="1:16" x14ac:dyDescent="0.35">
      <c r="A807" s="18"/>
      <c r="B807" s="18"/>
      <c r="C807" s="18"/>
      <c r="D807" s="18"/>
      <c r="E807" s="25"/>
      <c r="F807" s="20"/>
      <c r="G807" s="20"/>
      <c r="H807" s="21"/>
      <c r="I807" s="21"/>
      <c r="J807" s="21"/>
      <c r="K807" s="22"/>
      <c r="L807" s="22"/>
      <c r="M807" s="22"/>
      <c r="N807" s="22"/>
      <c r="O807" s="20"/>
      <c r="P807" s="20"/>
    </row>
    <row r="808" spans="1:16" x14ac:dyDescent="0.35">
      <c r="A808" s="18"/>
      <c r="B808" s="18"/>
      <c r="C808" s="18"/>
      <c r="D808" s="18"/>
      <c r="E808" s="25"/>
      <c r="F808" s="20"/>
      <c r="G808" s="20"/>
      <c r="H808" s="21"/>
      <c r="I808" s="21"/>
      <c r="J808" s="21"/>
      <c r="K808" s="22"/>
      <c r="L808" s="22"/>
      <c r="M808" s="22"/>
      <c r="N808" s="22"/>
      <c r="O808" s="20"/>
      <c r="P808" s="20"/>
    </row>
    <row r="809" spans="1:16" x14ac:dyDescent="0.35">
      <c r="A809" s="18"/>
      <c r="B809" s="18"/>
      <c r="C809" s="18"/>
      <c r="D809" s="18"/>
      <c r="E809" s="25"/>
      <c r="F809" s="20"/>
      <c r="G809" s="20"/>
      <c r="H809" s="21"/>
      <c r="I809" s="21"/>
      <c r="J809" s="21"/>
      <c r="K809" s="22"/>
      <c r="L809" s="22"/>
      <c r="M809" s="22"/>
      <c r="N809" s="22"/>
      <c r="O809" s="20"/>
      <c r="P809" s="20"/>
    </row>
    <row r="810" spans="1:16" x14ac:dyDescent="0.35">
      <c r="A810" s="18"/>
      <c r="B810" s="18"/>
      <c r="C810" s="18"/>
      <c r="D810" s="18"/>
      <c r="E810" s="25"/>
      <c r="F810" s="20"/>
      <c r="G810" s="20"/>
      <c r="H810" s="21"/>
      <c r="I810" s="21"/>
      <c r="J810" s="21"/>
      <c r="K810" s="22"/>
      <c r="L810" s="22"/>
      <c r="M810" s="22"/>
      <c r="N810" s="22"/>
      <c r="O810" s="20"/>
      <c r="P810" s="20"/>
    </row>
    <row r="811" spans="1:16" x14ac:dyDescent="0.35">
      <c r="A811" s="18"/>
      <c r="B811" s="18"/>
      <c r="C811" s="18"/>
      <c r="D811" s="18"/>
      <c r="E811" s="25"/>
      <c r="F811" s="20"/>
      <c r="G811" s="20"/>
      <c r="H811" s="21"/>
      <c r="I811" s="21"/>
      <c r="J811" s="21"/>
      <c r="K811" s="22"/>
      <c r="L811" s="22"/>
      <c r="M811" s="22"/>
      <c r="N811" s="22"/>
      <c r="O811" s="20"/>
      <c r="P811" s="20"/>
    </row>
    <row r="812" spans="1:16" x14ac:dyDescent="0.35">
      <c r="A812" s="18"/>
      <c r="B812" s="18"/>
      <c r="C812" s="18"/>
      <c r="D812" s="18"/>
      <c r="E812" s="25"/>
      <c r="F812" s="20"/>
      <c r="G812" s="20"/>
      <c r="H812" s="21"/>
      <c r="I812" s="21"/>
      <c r="J812" s="21"/>
      <c r="K812" s="22"/>
      <c r="L812" s="22"/>
      <c r="M812" s="22"/>
      <c r="N812" s="22"/>
      <c r="O812" s="20"/>
      <c r="P812" s="20"/>
    </row>
    <row r="813" spans="1:16" x14ac:dyDescent="0.35">
      <c r="A813" s="18"/>
      <c r="B813" s="18"/>
      <c r="C813" s="18"/>
      <c r="D813" s="18"/>
      <c r="E813" s="25"/>
      <c r="F813" s="20"/>
      <c r="G813" s="20"/>
      <c r="H813" s="21"/>
      <c r="I813" s="21"/>
      <c r="J813" s="21"/>
      <c r="K813" s="22"/>
      <c r="L813" s="22"/>
      <c r="M813" s="22"/>
      <c r="N813" s="22"/>
      <c r="O813" s="20"/>
      <c r="P813" s="20"/>
    </row>
    <row r="814" spans="1:16" x14ac:dyDescent="0.35">
      <c r="A814" s="18"/>
      <c r="B814" s="18"/>
      <c r="C814" s="18"/>
      <c r="D814" s="18"/>
      <c r="E814" s="25"/>
      <c r="F814" s="20"/>
      <c r="G814" s="20"/>
      <c r="H814" s="21"/>
      <c r="I814" s="21"/>
      <c r="J814" s="21"/>
      <c r="K814" s="22"/>
      <c r="L814" s="22"/>
      <c r="M814" s="22"/>
      <c r="N814" s="22"/>
      <c r="O814" s="20"/>
      <c r="P814" s="20"/>
    </row>
    <row r="815" spans="1:16" x14ac:dyDescent="0.35">
      <c r="A815" s="18"/>
      <c r="B815" s="18"/>
      <c r="C815" s="18"/>
      <c r="D815" s="18"/>
      <c r="E815" s="25"/>
      <c r="F815" s="20"/>
      <c r="G815" s="20"/>
      <c r="H815" s="21"/>
      <c r="I815" s="21"/>
      <c r="J815" s="21"/>
      <c r="K815" s="22"/>
      <c r="L815" s="22"/>
      <c r="M815" s="22"/>
      <c r="N815" s="22"/>
      <c r="O815" s="20"/>
      <c r="P815" s="20"/>
    </row>
    <row r="816" spans="1:16" x14ac:dyDescent="0.35">
      <c r="A816" s="18"/>
      <c r="B816" s="18"/>
      <c r="C816" s="18"/>
      <c r="D816" s="18"/>
      <c r="E816" s="25"/>
      <c r="F816" s="20"/>
      <c r="G816" s="20"/>
      <c r="H816" s="21"/>
      <c r="I816" s="21"/>
      <c r="J816" s="21"/>
      <c r="K816" s="22"/>
      <c r="L816" s="22"/>
      <c r="M816" s="22"/>
      <c r="N816" s="22"/>
      <c r="O816" s="20"/>
      <c r="P816" s="20"/>
    </row>
    <row r="817" spans="1:16" x14ac:dyDescent="0.35">
      <c r="A817" s="18"/>
      <c r="B817" s="18"/>
      <c r="C817" s="18"/>
      <c r="D817" s="18"/>
      <c r="E817" s="25"/>
      <c r="F817" s="20"/>
      <c r="G817" s="20"/>
      <c r="H817" s="21"/>
      <c r="I817" s="21"/>
      <c r="J817" s="21"/>
      <c r="K817" s="22"/>
      <c r="L817" s="22"/>
      <c r="M817" s="22"/>
      <c r="N817" s="22"/>
      <c r="O817" s="20"/>
      <c r="P817" s="20"/>
    </row>
    <row r="818" spans="1:16" x14ac:dyDescent="0.35">
      <c r="A818" s="18"/>
      <c r="B818" s="18"/>
      <c r="C818" s="18"/>
      <c r="D818" s="18"/>
      <c r="E818" s="25"/>
      <c r="F818" s="20"/>
      <c r="G818" s="20"/>
      <c r="H818" s="21"/>
      <c r="I818" s="21"/>
      <c r="J818" s="21"/>
      <c r="K818" s="22"/>
      <c r="L818" s="22"/>
      <c r="M818" s="22"/>
      <c r="N818" s="22"/>
      <c r="O818" s="20"/>
      <c r="P818" s="20"/>
    </row>
    <row r="819" spans="1:16" x14ac:dyDescent="0.35">
      <c r="A819" s="18"/>
      <c r="B819" s="18"/>
      <c r="C819" s="18"/>
      <c r="D819" s="18"/>
      <c r="E819" s="25"/>
      <c r="F819" s="20"/>
      <c r="G819" s="20"/>
      <c r="H819" s="21"/>
      <c r="I819" s="21"/>
      <c r="J819" s="21"/>
      <c r="K819" s="22"/>
      <c r="L819" s="22"/>
      <c r="M819" s="22"/>
      <c r="N819" s="22"/>
      <c r="O819" s="20"/>
      <c r="P819" s="20"/>
    </row>
    <row r="820" spans="1:16" x14ac:dyDescent="0.35">
      <c r="A820" s="18"/>
      <c r="B820" s="18"/>
      <c r="C820" s="18"/>
      <c r="D820" s="18"/>
      <c r="E820" s="25"/>
      <c r="F820" s="20"/>
      <c r="G820" s="20"/>
      <c r="H820" s="21"/>
      <c r="I820" s="21"/>
      <c r="J820" s="21"/>
      <c r="K820" s="22"/>
      <c r="L820" s="22"/>
      <c r="M820" s="22"/>
      <c r="N820" s="22"/>
      <c r="O820" s="20"/>
      <c r="P820" s="20"/>
    </row>
    <row r="821" spans="1:16" x14ac:dyDescent="0.35">
      <c r="A821" s="18"/>
      <c r="B821" s="18"/>
      <c r="C821" s="18"/>
      <c r="D821" s="18"/>
      <c r="E821" s="25"/>
      <c r="F821" s="20"/>
      <c r="G821" s="20"/>
      <c r="H821" s="21"/>
      <c r="I821" s="21"/>
      <c r="J821" s="21"/>
      <c r="K821" s="22"/>
      <c r="L821" s="22"/>
      <c r="M821" s="22"/>
      <c r="N821" s="22"/>
      <c r="O821" s="20"/>
      <c r="P821" s="20"/>
    </row>
    <row r="822" spans="1:16" x14ac:dyDescent="0.35">
      <c r="A822" s="18"/>
      <c r="B822" s="18"/>
      <c r="C822" s="18"/>
      <c r="D822" s="18"/>
      <c r="E822" s="25"/>
      <c r="F822" s="20"/>
      <c r="G822" s="20"/>
      <c r="H822" s="21"/>
      <c r="I822" s="21"/>
      <c r="J822" s="21"/>
      <c r="K822" s="22"/>
      <c r="L822" s="22"/>
      <c r="M822" s="22"/>
      <c r="N822" s="22"/>
      <c r="O822" s="20"/>
      <c r="P822" s="20"/>
    </row>
    <row r="823" spans="1:16" x14ac:dyDescent="0.35">
      <c r="A823" s="18"/>
      <c r="B823" s="18"/>
      <c r="C823" s="18"/>
      <c r="D823" s="18"/>
      <c r="E823" s="25"/>
      <c r="F823" s="20"/>
      <c r="G823" s="20"/>
      <c r="H823" s="21"/>
      <c r="I823" s="21"/>
      <c r="J823" s="21"/>
      <c r="K823" s="22"/>
      <c r="L823" s="22"/>
      <c r="M823" s="22"/>
      <c r="N823" s="22"/>
      <c r="O823" s="20"/>
      <c r="P823" s="20"/>
    </row>
    <row r="824" spans="1:16" x14ac:dyDescent="0.35">
      <c r="A824" s="18"/>
      <c r="B824" s="18"/>
      <c r="C824" s="18"/>
      <c r="D824" s="18"/>
      <c r="E824" s="25"/>
      <c r="F824" s="20"/>
      <c r="G824" s="20"/>
      <c r="H824" s="21"/>
      <c r="I824" s="21"/>
      <c r="J824" s="21"/>
      <c r="K824" s="22"/>
      <c r="L824" s="22"/>
      <c r="M824" s="22"/>
      <c r="N824" s="22"/>
      <c r="O824" s="20"/>
      <c r="P824" s="20"/>
    </row>
    <row r="825" spans="1:16" x14ac:dyDescent="0.35">
      <c r="A825" s="18"/>
      <c r="B825" s="18"/>
      <c r="C825" s="18"/>
      <c r="D825" s="18"/>
      <c r="E825" s="25"/>
      <c r="F825" s="20"/>
      <c r="G825" s="20"/>
      <c r="H825" s="21"/>
      <c r="I825" s="21"/>
      <c r="J825" s="21"/>
      <c r="K825" s="22"/>
      <c r="L825" s="22"/>
      <c r="M825" s="22"/>
      <c r="N825" s="22"/>
      <c r="O825" s="20"/>
      <c r="P825" s="20"/>
    </row>
    <row r="826" spans="1:16" x14ac:dyDescent="0.35">
      <c r="A826" s="18"/>
      <c r="B826" s="18"/>
      <c r="C826" s="18"/>
      <c r="D826" s="18"/>
      <c r="E826" s="25"/>
      <c r="F826" s="20"/>
      <c r="G826" s="20"/>
      <c r="H826" s="21"/>
      <c r="I826" s="21"/>
      <c r="J826" s="21"/>
      <c r="K826" s="22"/>
      <c r="L826" s="22"/>
      <c r="M826" s="22"/>
      <c r="N826" s="22"/>
      <c r="O826" s="20"/>
      <c r="P826" s="20"/>
    </row>
    <row r="827" spans="1:16" x14ac:dyDescent="0.35">
      <c r="A827" s="18"/>
      <c r="B827" s="18"/>
      <c r="C827" s="18"/>
      <c r="D827" s="18"/>
      <c r="E827" s="25"/>
      <c r="F827" s="20"/>
      <c r="G827" s="20"/>
      <c r="H827" s="21"/>
      <c r="I827" s="21"/>
      <c r="J827" s="21"/>
      <c r="K827" s="22"/>
      <c r="L827" s="22"/>
      <c r="M827" s="22"/>
      <c r="N827" s="22"/>
      <c r="O827" s="20"/>
      <c r="P827" s="20"/>
    </row>
    <row r="828" spans="1:16" x14ac:dyDescent="0.35">
      <c r="A828" s="18"/>
      <c r="B828" s="18"/>
      <c r="C828" s="18"/>
      <c r="D828" s="18"/>
      <c r="E828" s="25"/>
      <c r="F828" s="20"/>
      <c r="G828" s="20"/>
      <c r="H828" s="21"/>
      <c r="I828" s="21"/>
      <c r="J828" s="21"/>
      <c r="K828" s="22"/>
      <c r="L828" s="22"/>
      <c r="M828" s="22"/>
      <c r="N828" s="22"/>
      <c r="O828" s="20"/>
      <c r="P828" s="20"/>
    </row>
    <row r="829" spans="1:16" x14ac:dyDescent="0.35">
      <c r="A829" s="18"/>
      <c r="B829" s="18"/>
      <c r="C829" s="18"/>
      <c r="D829" s="18"/>
      <c r="E829" s="25"/>
      <c r="F829" s="20"/>
      <c r="G829" s="20"/>
      <c r="H829" s="21"/>
      <c r="I829" s="21"/>
      <c r="J829" s="21"/>
      <c r="K829" s="22"/>
      <c r="L829" s="22"/>
      <c r="M829" s="22"/>
      <c r="N829" s="22"/>
      <c r="O829" s="20"/>
      <c r="P829" s="20"/>
    </row>
    <row r="830" spans="1:16" x14ac:dyDescent="0.35">
      <c r="A830" s="18"/>
      <c r="B830" s="18"/>
      <c r="C830" s="18"/>
      <c r="D830" s="18"/>
      <c r="E830" s="25"/>
      <c r="F830" s="20"/>
      <c r="G830" s="20"/>
      <c r="H830" s="21"/>
      <c r="I830" s="21"/>
      <c r="J830" s="21"/>
      <c r="K830" s="22"/>
      <c r="L830" s="22"/>
      <c r="M830" s="22"/>
      <c r="N830" s="22"/>
      <c r="O830" s="20"/>
      <c r="P830" s="20"/>
    </row>
    <row r="831" spans="1:16" x14ac:dyDescent="0.35">
      <c r="A831" s="18"/>
      <c r="B831" s="18"/>
      <c r="C831" s="18"/>
      <c r="D831" s="18"/>
      <c r="E831" s="25"/>
      <c r="F831" s="20"/>
      <c r="G831" s="20"/>
      <c r="H831" s="21"/>
      <c r="I831" s="21"/>
      <c r="J831" s="21"/>
      <c r="K831" s="22"/>
      <c r="L831" s="22"/>
      <c r="M831" s="22"/>
      <c r="N831" s="22"/>
      <c r="O831" s="20"/>
      <c r="P831" s="20"/>
    </row>
    <row r="832" spans="1:16" x14ac:dyDescent="0.35">
      <c r="A832" s="18"/>
      <c r="B832" s="18"/>
      <c r="C832" s="18"/>
      <c r="D832" s="18"/>
      <c r="E832" s="25"/>
      <c r="F832" s="20"/>
      <c r="G832" s="20"/>
      <c r="H832" s="21"/>
      <c r="I832" s="21"/>
      <c r="J832" s="21"/>
      <c r="K832" s="22"/>
      <c r="L832" s="22"/>
      <c r="M832" s="22"/>
      <c r="N832" s="22"/>
      <c r="O832" s="20"/>
      <c r="P832" s="20"/>
    </row>
    <row r="833" spans="1:16" x14ac:dyDescent="0.35">
      <c r="A833" s="18"/>
      <c r="B833" s="18"/>
      <c r="C833" s="18"/>
      <c r="D833" s="18"/>
      <c r="E833" s="25"/>
      <c r="F833" s="20"/>
      <c r="G833" s="20"/>
      <c r="H833" s="21"/>
      <c r="I833" s="21"/>
      <c r="J833" s="21"/>
      <c r="K833" s="22"/>
      <c r="L833" s="22"/>
      <c r="M833" s="22"/>
      <c r="N833" s="22"/>
      <c r="O833" s="20"/>
      <c r="P833" s="20"/>
    </row>
    <row r="834" spans="1:16" x14ac:dyDescent="0.35">
      <c r="A834" s="18"/>
      <c r="B834" s="18"/>
      <c r="C834" s="18"/>
      <c r="D834" s="18"/>
      <c r="E834" s="25"/>
      <c r="F834" s="20"/>
      <c r="G834" s="20"/>
      <c r="H834" s="21"/>
      <c r="I834" s="21"/>
      <c r="J834" s="21"/>
      <c r="K834" s="22"/>
      <c r="L834" s="22"/>
      <c r="M834" s="22"/>
      <c r="N834" s="22"/>
      <c r="O834" s="20"/>
      <c r="P834" s="20"/>
    </row>
    <row r="835" spans="1:16" x14ac:dyDescent="0.35">
      <c r="A835" s="18"/>
      <c r="B835" s="18"/>
      <c r="C835" s="18"/>
      <c r="D835" s="18"/>
      <c r="E835" s="25"/>
      <c r="F835" s="20"/>
      <c r="G835" s="20"/>
      <c r="H835" s="21"/>
      <c r="I835" s="21"/>
      <c r="J835" s="21"/>
      <c r="K835" s="22"/>
      <c r="L835" s="22"/>
      <c r="M835" s="22"/>
      <c r="N835" s="22"/>
      <c r="O835" s="20"/>
      <c r="P835" s="20"/>
    </row>
    <row r="836" spans="1:16" x14ac:dyDescent="0.35">
      <c r="A836" s="18"/>
      <c r="B836" s="18"/>
      <c r="C836" s="18"/>
      <c r="D836" s="18"/>
      <c r="E836" s="25"/>
      <c r="F836" s="20"/>
      <c r="G836" s="20"/>
      <c r="H836" s="21"/>
      <c r="I836" s="21"/>
      <c r="J836" s="21"/>
      <c r="K836" s="22"/>
      <c r="L836" s="22"/>
      <c r="M836" s="22"/>
      <c r="N836" s="22"/>
      <c r="O836" s="20"/>
      <c r="P836" s="20"/>
    </row>
    <row r="837" spans="1:16" x14ac:dyDescent="0.35">
      <c r="A837" s="18"/>
      <c r="B837" s="18"/>
      <c r="C837" s="18"/>
      <c r="D837" s="18"/>
      <c r="E837" s="25"/>
      <c r="F837" s="20"/>
      <c r="G837" s="20"/>
      <c r="H837" s="21"/>
      <c r="I837" s="21"/>
      <c r="J837" s="21"/>
      <c r="K837" s="22"/>
      <c r="L837" s="22"/>
      <c r="M837" s="22"/>
      <c r="N837" s="22"/>
      <c r="O837" s="20"/>
      <c r="P837" s="20"/>
    </row>
    <row r="838" spans="1:16" x14ac:dyDescent="0.35">
      <c r="A838" s="18"/>
      <c r="B838" s="18"/>
      <c r="C838" s="18"/>
      <c r="D838" s="18"/>
      <c r="E838" s="25"/>
      <c r="F838" s="20"/>
      <c r="G838" s="20"/>
      <c r="H838" s="21"/>
      <c r="I838" s="21"/>
      <c r="J838" s="21"/>
      <c r="K838" s="22"/>
      <c r="L838" s="22"/>
      <c r="M838" s="22"/>
      <c r="N838" s="22"/>
      <c r="O838" s="20"/>
      <c r="P838" s="20"/>
    </row>
    <row r="839" spans="1:16" x14ac:dyDescent="0.35">
      <c r="A839" s="18"/>
      <c r="B839" s="18"/>
      <c r="C839" s="18"/>
      <c r="D839" s="18"/>
      <c r="E839" s="25"/>
      <c r="F839" s="20"/>
      <c r="G839" s="20"/>
      <c r="H839" s="21"/>
      <c r="I839" s="21"/>
      <c r="J839" s="21"/>
      <c r="K839" s="22"/>
      <c r="L839" s="22"/>
      <c r="M839" s="22"/>
      <c r="N839" s="22"/>
      <c r="O839" s="20"/>
      <c r="P839" s="20"/>
    </row>
    <row r="840" spans="1:16" x14ac:dyDescent="0.35">
      <c r="A840" s="18"/>
      <c r="B840" s="18"/>
      <c r="C840" s="18"/>
      <c r="D840" s="18"/>
      <c r="E840" s="25"/>
      <c r="F840" s="20"/>
      <c r="G840" s="20"/>
      <c r="H840" s="21"/>
      <c r="I840" s="21"/>
      <c r="J840" s="21"/>
      <c r="K840" s="22"/>
      <c r="L840" s="22"/>
      <c r="M840" s="22"/>
      <c r="N840" s="22"/>
      <c r="O840" s="20"/>
      <c r="P840" s="20"/>
    </row>
    <row r="841" spans="1:16" x14ac:dyDescent="0.35">
      <c r="A841" s="18"/>
      <c r="B841" s="18"/>
      <c r="C841" s="18"/>
      <c r="D841" s="18"/>
      <c r="E841" s="25"/>
      <c r="F841" s="20"/>
      <c r="G841" s="20"/>
      <c r="H841" s="21"/>
      <c r="I841" s="21"/>
      <c r="J841" s="21"/>
      <c r="K841" s="22"/>
      <c r="L841" s="22"/>
      <c r="M841" s="22"/>
      <c r="N841" s="22"/>
      <c r="O841" s="20"/>
      <c r="P841" s="20"/>
    </row>
    <row r="842" spans="1:16" x14ac:dyDescent="0.35">
      <c r="A842" s="18"/>
      <c r="B842" s="18"/>
      <c r="C842" s="18"/>
      <c r="D842" s="18"/>
      <c r="E842" s="25"/>
      <c r="F842" s="20"/>
      <c r="G842" s="20"/>
      <c r="H842" s="21"/>
      <c r="I842" s="21"/>
      <c r="J842" s="21"/>
      <c r="K842" s="22"/>
      <c r="L842" s="22"/>
      <c r="M842" s="22"/>
      <c r="N842" s="22"/>
      <c r="O842" s="20"/>
      <c r="P842" s="20"/>
    </row>
    <row r="843" spans="1:16" x14ac:dyDescent="0.35">
      <c r="A843" s="18"/>
      <c r="B843" s="18"/>
      <c r="C843" s="18"/>
      <c r="D843" s="18"/>
      <c r="E843" s="25"/>
      <c r="F843" s="20"/>
      <c r="G843" s="20"/>
      <c r="H843" s="21"/>
      <c r="I843" s="21"/>
      <c r="J843" s="21"/>
      <c r="K843" s="22"/>
      <c r="L843" s="22"/>
      <c r="M843" s="22"/>
      <c r="N843" s="22"/>
      <c r="O843" s="20"/>
      <c r="P843" s="20"/>
    </row>
    <row r="844" spans="1:16" x14ac:dyDescent="0.35">
      <c r="A844" s="18"/>
      <c r="B844" s="18"/>
      <c r="C844" s="18"/>
      <c r="D844" s="18"/>
      <c r="E844" s="25"/>
      <c r="F844" s="20"/>
      <c r="G844" s="20"/>
      <c r="H844" s="21"/>
      <c r="I844" s="21"/>
      <c r="J844" s="21"/>
      <c r="K844" s="22"/>
      <c r="L844" s="22"/>
      <c r="M844" s="22"/>
      <c r="N844" s="22"/>
      <c r="O844" s="20"/>
      <c r="P844" s="20"/>
    </row>
    <row r="845" spans="1:16" x14ac:dyDescent="0.35">
      <c r="A845" s="18"/>
      <c r="B845" s="18"/>
      <c r="C845" s="18"/>
      <c r="D845" s="18"/>
      <c r="E845" s="25"/>
      <c r="F845" s="20"/>
      <c r="G845" s="20"/>
      <c r="H845" s="21"/>
      <c r="I845" s="21"/>
      <c r="J845" s="21"/>
      <c r="K845" s="22"/>
      <c r="L845" s="22"/>
      <c r="M845" s="22"/>
      <c r="N845" s="22"/>
      <c r="O845" s="20"/>
      <c r="P845" s="20"/>
    </row>
    <row r="846" spans="1:16" x14ac:dyDescent="0.35">
      <c r="A846" s="18"/>
      <c r="B846" s="18"/>
      <c r="C846" s="18"/>
      <c r="D846" s="18"/>
      <c r="E846" s="25"/>
      <c r="F846" s="20"/>
      <c r="G846" s="20"/>
      <c r="H846" s="21"/>
      <c r="I846" s="21"/>
      <c r="J846" s="21"/>
      <c r="K846" s="22"/>
      <c r="L846" s="22"/>
      <c r="M846" s="22"/>
      <c r="N846" s="22"/>
      <c r="O846" s="20"/>
      <c r="P846" s="20"/>
    </row>
    <row r="847" spans="1:16" x14ac:dyDescent="0.35">
      <c r="A847" s="18"/>
      <c r="B847" s="18"/>
      <c r="C847" s="18"/>
      <c r="D847" s="18"/>
      <c r="E847" s="25"/>
      <c r="F847" s="20"/>
      <c r="G847" s="20"/>
      <c r="H847" s="21"/>
      <c r="I847" s="21"/>
      <c r="J847" s="21"/>
      <c r="K847" s="22"/>
      <c r="L847" s="22"/>
      <c r="M847" s="22"/>
      <c r="N847" s="22"/>
      <c r="O847" s="20"/>
      <c r="P847" s="20"/>
    </row>
    <row r="848" spans="1:16" x14ac:dyDescent="0.35">
      <c r="A848" s="18"/>
      <c r="B848" s="18"/>
      <c r="C848" s="18"/>
      <c r="D848" s="18"/>
      <c r="E848" s="25"/>
      <c r="F848" s="20"/>
      <c r="G848" s="20"/>
      <c r="H848" s="21"/>
      <c r="I848" s="21"/>
      <c r="J848" s="21"/>
      <c r="K848" s="22"/>
      <c r="L848" s="22"/>
      <c r="M848" s="22"/>
      <c r="N848" s="22"/>
      <c r="O848" s="20"/>
      <c r="P848" s="20"/>
    </row>
    <row r="849" spans="1:16" x14ac:dyDescent="0.35">
      <c r="A849" s="18"/>
      <c r="B849" s="18"/>
      <c r="C849" s="18"/>
      <c r="D849" s="18"/>
      <c r="E849" s="25"/>
      <c r="F849" s="20"/>
      <c r="G849" s="20"/>
      <c r="H849" s="21"/>
      <c r="I849" s="21"/>
      <c r="J849" s="21"/>
      <c r="K849" s="22"/>
      <c r="L849" s="22"/>
      <c r="M849" s="22"/>
      <c r="N849" s="22"/>
      <c r="O849" s="20"/>
      <c r="P849" s="20"/>
    </row>
    <row r="850" spans="1:16" x14ac:dyDescent="0.35">
      <c r="A850" s="18"/>
      <c r="B850" s="18"/>
      <c r="C850" s="18"/>
      <c r="D850" s="18"/>
      <c r="E850" s="25"/>
      <c r="F850" s="20"/>
      <c r="G850" s="20"/>
      <c r="H850" s="21"/>
      <c r="I850" s="21"/>
      <c r="J850" s="21"/>
      <c r="K850" s="22"/>
      <c r="L850" s="22"/>
      <c r="M850" s="22"/>
      <c r="N850" s="22"/>
      <c r="O850" s="20"/>
      <c r="P850" s="20"/>
    </row>
    <row r="851" spans="1:16" x14ac:dyDescent="0.35">
      <c r="A851" s="18"/>
      <c r="B851" s="18"/>
      <c r="C851" s="18"/>
      <c r="D851" s="18"/>
      <c r="E851" s="25"/>
      <c r="F851" s="20"/>
      <c r="G851" s="20"/>
      <c r="H851" s="21"/>
      <c r="I851" s="21"/>
      <c r="J851" s="21"/>
      <c r="K851" s="22"/>
      <c r="L851" s="22"/>
      <c r="M851" s="22"/>
      <c r="N851" s="22"/>
      <c r="O851" s="20"/>
      <c r="P851" s="20"/>
    </row>
    <row r="852" spans="1:16" x14ac:dyDescent="0.35">
      <c r="A852" s="18"/>
      <c r="B852" s="18"/>
      <c r="C852" s="18"/>
      <c r="D852" s="18"/>
      <c r="E852" s="25"/>
      <c r="F852" s="20"/>
      <c r="G852" s="20"/>
      <c r="H852" s="21"/>
      <c r="I852" s="21"/>
      <c r="J852" s="21"/>
      <c r="K852" s="22"/>
      <c r="L852" s="22"/>
      <c r="M852" s="22"/>
      <c r="N852" s="22"/>
      <c r="O852" s="20"/>
      <c r="P852" s="20"/>
    </row>
    <row r="853" spans="1:16" x14ac:dyDescent="0.35">
      <c r="A853" s="18"/>
      <c r="B853" s="18"/>
      <c r="C853" s="18"/>
      <c r="D853" s="18"/>
      <c r="E853" s="25"/>
      <c r="F853" s="20"/>
      <c r="G853" s="20"/>
      <c r="H853" s="21"/>
      <c r="I853" s="21"/>
      <c r="J853" s="21"/>
      <c r="K853" s="22"/>
      <c r="L853" s="22"/>
      <c r="M853" s="22"/>
      <c r="N853" s="22"/>
      <c r="O853" s="20"/>
      <c r="P853" s="20"/>
    </row>
    <row r="854" spans="1:16" x14ac:dyDescent="0.35">
      <c r="A854" s="18"/>
      <c r="B854" s="18"/>
      <c r="C854" s="18"/>
      <c r="D854" s="18"/>
      <c r="E854" s="25"/>
      <c r="F854" s="20"/>
      <c r="G854" s="20"/>
      <c r="H854" s="21"/>
      <c r="I854" s="21"/>
      <c r="J854" s="21"/>
      <c r="K854" s="22"/>
      <c r="L854" s="22"/>
      <c r="M854" s="22"/>
      <c r="N854" s="22"/>
      <c r="O854" s="20"/>
      <c r="P854" s="20"/>
    </row>
    <row r="855" spans="1:16" x14ac:dyDescent="0.35">
      <c r="A855" s="18"/>
      <c r="B855" s="18"/>
      <c r="C855" s="18"/>
      <c r="D855" s="18"/>
      <c r="E855" s="25"/>
      <c r="F855" s="20"/>
      <c r="G855" s="20"/>
      <c r="H855" s="21"/>
      <c r="I855" s="21"/>
      <c r="J855" s="21"/>
      <c r="K855" s="22"/>
      <c r="L855" s="22"/>
      <c r="M855" s="22"/>
      <c r="N855" s="22"/>
      <c r="O855" s="20"/>
      <c r="P855" s="20"/>
    </row>
    <row r="856" spans="1:16" x14ac:dyDescent="0.35">
      <c r="A856" s="18"/>
      <c r="B856" s="18"/>
      <c r="C856" s="18"/>
      <c r="D856" s="18"/>
      <c r="E856" s="25"/>
      <c r="F856" s="20"/>
      <c r="G856" s="20"/>
      <c r="H856" s="21"/>
      <c r="I856" s="21"/>
      <c r="J856" s="21"/>
      <c r="K856" s="22"/>
      <c r="L856" s="22"/>
      <c r="M856" s="22"/>
      <c r="N856" s="22"/>
      <c r="O856" s="20"/>
      <c r="P856" s="20"/>
    </row>
    <row r="857" spans="1:16" x14ac:dyDescent="0.35">
      <c r="A857" s="18"/>
      <c r="B857" s="18"/>
      <c r="C857" s="18"/>
      <c r="D857" s="18"/>
      <c r="E857" s="25"/>
      <c r="F857" s="20"/>
      <c r="G857" s="20"/>
      <c r="H857" s="21"/>
      <c r="I857" s="21"/>
      <c r="J857" s="21"/>
      <c r="K857" s="22"/>
      <c r="L857" s="22"/>
      <c r="M857" s="22"/>
      <c r="N857" s="22"/>
      <c r="O857" s="20"/>
      <c r="P857" s="20"/>
    </row>
    <row r="858" spans="1:16" x14ac:dyDescent="0.35">
      <c r="A858" s="18"/>
      <c r="B858" s="18"/>
      <c r="C858" s="18"/>
      <c r="D858" s="18"/>
      <c r="E858" s="25"/>
      <c r="F858" s="20"/>
      <c r="G858" s="20"/>
      <c r="H858" s="21"/>
      <c r="I858" s="21"/>
      <c r="J858" s="21"/>
      <c r="K858" s="22"/>
      <c r="L858" s="22"/>
      <c r="M858" s="22"/>
      <c r="N858" s="22"/>
      <c r="O858" s="20"/>
      <c r="P858" s="20"/>
    </row>
    <row r="859" spans="1:16" x14ac:dyDescent="0.35">
      <c r="A859" s="18"/>
      <c r="B859" s="18"/>
      <c r="C859" s="18"/>
      <c r="D859" s="18"/>
      <c r="E859" s="25"/>
      <c r="F859" s="20"/>
      <c r="G859" s="20"/>
      <c r="H859" s="21"/>
      <c r="I859" s="21"/>
      <c r="J859" s="21"/>
      <c r="K859" s="22"/>
      <c r="L859" s="22"/>
      <c r="M859" s="22"/>
      <c r="N859" s="22"/>
      <c r="O859" s="20"/>
      <c r="P859" s="20"/>
    </row>
    <row r="860" spans="1:16" x14ac:dyDescent="0.35">
      <c r="A860" s="18"/>
      <c r="B860" s="18"/>
      <c r="C860" s="18"/>
      <c r="D860" s="18"/>
      <c r="E860" s="25"/>
      <c r="F860" s="20"/>
      <c r="G860" s="20"/>
      <c r="H860" s="21"/>
      <c r="I860" s="21"/>
      <c r="J860" s="21"/>
      <c r="K860" s="22"/>
      <c r="L860" s="22"/>
      <c r="M860" s="22"/>
      <c r="N860" s="22"/>
      <c r="O860" s="20"/>
      <c r="P860" s="20"/>
    </row>
    <row r="861" spans="1:16" x14ac:dyDescent="0.35">
      <c r="A861" s="18"/>
      <c r="B861" s="18"/>
      <c r="C861" s="18"/>
      <c r="D861" s="18"/>
      <c r="E861" s="25"/>
      <c r="F861" s="20"/>
      <c r="G861" s="20"/>
      <c r="H861" s="21"/>
      <c r="I861" s="21"/>
      <c r="J861" s="21"/>
      <c r="K861" s="22"/>
      <c r="L861" s="22"/>
      <c r="M861" s="22"/>
      <c r="N861" s="22"/>
      <c r="O861" s="20"/>
      <c r="P861" s="20"/>
    </row>
    <row r="862" spans="1:16" x14ac:dyDescent="0.35">
      <c r="A862" s="18"/>
      <c r="B862" s="18"/>
      <c r="C862" s="18"/>
      <c r="D862" s="18"/>
      <c r="E862" s="25"/>
      <c r="F862" s="20"/>
      <c r="G862" s="20"/>
      <c r="H862" s="21"/>
      <c r="I862" s="21"/>
      <c r="J862" s="21"/>
      <c r="K862" s="22"/>
      <c r="L862" s="22"/>
      <c r="M862" s="22"/>
      <c r="N862" s="22"/>
      <c r="O862" s="20"/>
      <c r="P862" s="20"/>
    </row>
    <row r="863" spans="1:16" x14ac:dyDescent="0.35">
      <c r="A863" s="18"/>
      <c r="B863" s="18"/>
      <c r="C863" s="18"/>
      <c r="D863" s="18"/>
      <c r="E863" s="25"/>
      <c r="F863" s="20"/>
      <c r="G863" s="20"/>
      <c r="H863" s="21"/>
      <c r="I863" s="21"/>
      <c r="J863" s="21"/>
      <c r="K863" s="22"/>
      <c r="L863" s="22"/>
      <c r="M863" s="22"/>
      <c r="N863" s="22"/>
      <c r="O863" s="20"/>
      <c r="P863" s="20"/>
    </row>
    <row r="864" spans="1:16" x14ac:dyDescent="0.35">
      <c r="A864" s="18"/>
      <c r="B864" s="18"/>
      <c r="C864" s="18"/>
      <c r="D864" s="18"/>
      <c r="E864" s="25"/>
      <c r="F864" s="20"/>
      <c r="G864" s="20"/>
      <c r="H864" s="21"/>
      <c r="I864" s="21"/>
      <c r="J864" s="21"/>
      <c r="K864" s="22"/>
      <c r="L864" s="22"/>
      <c r="M864" s="22"/>
      <c r="N864" s="22"/>
      <c r="O864" s="20"/>
      <c r="P864" s="20"/>
    </row>
    <row r="865" spans="1:16" x14ac:dyDescent="0.35">
      <c r="A865" s="18"/>
      <c r="B865" s="18"/>
      <c r="C865" s="18"/>
      <c r="D865" s="18"/>
      <c r="E865" s="25"/>
      <c r="F865" s="20"/>
      <c r="G865" s="20"/>
      <c r="H865" s="21"/>
      <c r="I865" s="21"/>
      <c r="J865" s="21"/>
      <c r="K865" s="22"/>
      <c r="L865" s="22"/>
      <c r="M865" s="22"/>
      <c r="N865" s="22"/>
      <c r="O865" s="20"/>
      <c r="P865" s="20"/>
    </row>
    <row r="866" spans="1:16" x14ac:dyDescent="0.35">
      <c r="A866" s="18"/>
      <c r="B866" s="18"/>
      <c r="C866" s="18"/>
      <c r="D866" s="18"/>
      <c r="E866" s="25"/>
      <c r="F866" s="20"/>
      <c r="G866" s="20"/>
      <c r="H866" s="21"/>
      <c r="I866" s="21"/>
      <c r="J866" s="21"/>
      <c r="K866" s="22"/>
      <c r="L866" s="22"/>
      <c r="M866" s="22"/>
      <c r="N866" s="22"/>
      <c r="O866" s="20"/>
      <c r="P866" s="20"/>
    </row>
    <row r="867" spans="1:16" x14ac:dyDescent="0.35">
      <c r="A867" s="18"/>
      <c r="B867" s="18"/>
      <c r="C867" s="18"/>
      <c r="D867" s="18"/>
      <c r="E867" s="25"/>
      <c r="F867" s="20"/>
      <c r="G867" s="20"/>
      <c r="H867" s="21"/>
      <c r="I867" s="21"/>
      <c r="J867" s="21"/>
      <c r="K867" s="22"/>
      <c r="L867" s="22"/>
      <c r="M867" s="22"/>
      <c r="N867" s="22"/>
      <c r="O867" s="20"/>
      <c r="P867" s="20"/>
    </row>
    <row r="868" spans="1:16" x14ac:dyDescent="0.35">
      <c r="A868" s="18"/>
      <c r="B868" s="18"/>
      <c r="C868" s="18"/>
      <c r="D868" s="18"/>
      <c r="E868" s="25"/>
      <c r="F868" s="20"/>
      <c r="G868" s="20"/>
      <c r="H868" s="21"/>
      <c r="I868" s="21"/>
      <c r="J868" s="21"/>
      <c r="K868" s="22"/>
      <c r="L868" s="22"/>
      <c r="M868" s="22"/>
      <c r="N868" s="22"/>
      <c r="O868" s="20"/>
      <c r="P868" s="20"/>
    </row>
    <row r="869" spans="1:16" x14ac:dyDescent="0.35">
      <c r="A869" s="18"/>
      <c r="B869" s="18"/>
      <c r="C869" s="18"/>
      <c r="D869" s="18"/>
      <c r="E869" s="25"/>
      <c r="F869" s="20"/>
      <c r="G869" s="20"/>
      <c r="H869" s="21"/>
      <c r="I869" s="21"/>
      <c r="J869" s="21"/>
      <c r="K869" s="22"/>
      <c r="L869" s="22"/>
      <c r="M869" s="22"/>
      <c r="N869" s="22"/>
      <c r="O869" s="20"/>
      <c r="P869" s="20"/>
    </row>
    <row r="870" spans="1:16" x14ac:dyDescent="0.35">
      <c r="A870" s="18"/>
      <c r="B870" s="18"/>
      <c r="C870" s="18"/>
      <c r="D870" s="18"/>
      <c r="E870" s="25"/>
      <c r="F870" s="20"/>
      <c r="G870" s="20"/>
      <c r="H870" s="21"/>
      <c r="I870" s="21"/>
      <c r="J870" s="21"/>
      <c r="K870" s="22"/>
      <c r="L870" s="22"/>
      <c r="M870" s="22"/>
      <c r="N870" s="22"/>
      <c r="O870" s="20"/>
      <c r="P870" s="20"/>
    </row>
    <row r="871" spans="1:16" x14ac:dyDescent="0.35">
      <c r="A871" s="18"/>
      <c r="B871" s="18"/>
      <c r="C871" s="18"/>
      <c r="D871" s="18"/>
      <c r="E871" s="25"/>
      <c r="F871" s="20"/>
      <c r="G871" s="20"/>
      <c r="H871" s="21"/>
      <c r="I871" s="21"/>
      <c r="J871" s="21"/>
      <c r="K871" s="22"/>
      <c r="L871" s="22"/>
      <c r="M871" s="22"/>
      <c r="N871" s="22"/>
      <c r="O871" s="20"/>
      <c r="P871" s="20"/>
    </row>
    <row r="872" spans="1:16" x14ac:dyDescent="0.35">
      <c r="A872" s="18"/>
      <c r="B872" s="18"/>
      <c r="C872" s="18"/>
      <c r="D872" s="18"/>
      <c r="E872" s="25"/>
      <c r="F872" s="20"/>
      <c r="G872" s="20"/>
      <c r="H872" s="21"/>
      <c r="I872" s="21"/>
      <c r="J872" s="21"/>
      <c r="K872" s="22"/>
      <c r="L872" s="22"/>
      <c r="M872" s="22"/>
      <c r="N872" s="22"/>
      <c r="O872" s="20"/>
      <c r="P872" s="20"/>
    </row>
    <row r="873" spans="1:16" x14ac:dyDescent="0.35">
      <c r="A873" s="18"/>
      <c r="B873" s="18"/>
      <c r="C873" s="18"/>
      <c r="D873" s="18"/>
      <c r="E873" s="25"/>
      <c r="F873" s="20"/>
      <c r="G873" s="20"/>
      <c r="H873" s="21"/>
      <c r="I873" s="21"/>
      <c r="J873" s="21"/>
      <c r="K873" s="22"/>
      <c r="L873" s="22"/>
      <c r="M873" s="22"/>
      <c r="N873" s="22"/>
      <c r="O873" s="20"/>
      <c r="P873" s="20"/>
    </row>
    <row r="874" spans="1:16" x14ac:dyDescent="0.35">
      <c r="A874" s="18"/>
      <c r="B874" s="18"/>
      <c r="C874" s="18"/>
      <c r="D874" s="18"/>
      <c r="E874" s="25"/>
      <c r="F874" s="20"/>
      <c r="G874" s="20"/>
      <c r="H874" s="21"/>
      <c r="I874" s="21"/>
      <c r="J874" s="21"/>
      <c r="K874" s="22"/>
      <c r="L874" s="22"/>
      <c r="M874" s="22"/>
      <c r="N874" s="22"/>
      <c r="O874" s="20"/>
      <c r="P874" s="20"/>
    </row>
    <row r="875" spans="1:16" x14ac:dyDescent="0.35">
      <c r="A875" s="18"/>
      <c r="B875" s="18"/>
      <c r="C875" s="18"/>
      <c r="D875" s="18"/>
      <c r="E875" s="25"/>
      <c r="F875" s="20"/>
      <c r="G875" s="20"/>
      <c r="H875" s="21"/>
      <c r="I875" s="21"/>
      <c r="J875" s="21"/>
      <c r="K875" s="22"/>
      <c r="L875" s="22"/>
      <c r="M875" s="22"/>
      <c r="N875" s="22"/>
      <c r="O875" s="20"/>
      <c r="P875" s="20"/>
    </row>
    <row r="876" spans="1:16" x14ac:dyDescent="0.35">
      <c r="A876" s="18"/>
      <c r="B876" s="18"/>
      <c r="C876" s="18"/>
      <c r="D876" s="18"/>
      <c r="E876" s="25"/>
      <c r="F876" s="20"/>
      <c r="G876" s="20"/>
      <c r="H876" s="21"/>
      <c r="I876" s="21"/>
      <c r="J876" s="21"/>
      <c r="K876" s="22"/>
      <c r="L876" s="22"/>
      <c r="M876" s="22"/>
      <c r="N876" s="22"/>
      <c r="O876" s="20"/>
      <c r="P876" s="20"/>
    </row>
    <row r="877" spans="1:16" x14ac:dyDescent="0.35">
      <c r="A877" s="18"/>
      <c r="B877" s="18"/>
      <c r="C877" s="18"/>
      <c r="D877" s="18"/>
      <c r="E877" s="25"/>
      <c r="F877" s="20"/>
      <c r="G877" s="20"/>
      <c r="H877" s="21"/>
      <c r="I877" s="21"/>
      <c r="J877" s="21"/>
      <c r="K877" s="22"/>
      <c r="L877" s="22"/>
      <c r="M877" s="22"/>
      <c r="N877" s="22"/>
      <c r="O877" s="20"/>
      <c r="P877" s="20"/>
    </row>
    <row r="878" spans="1:16" x14ac:dyDescent="0.35">
      <c r="A878" s="18"/>
      <c r="B878" s="18"/>
      <c r="C878" s="18"/>
      <c r="D878" s="18"/>
      <c r="E878" s="25"/>
      <c r="F878" s="20"/>
      <c r="G878" s="20"/>
      <c r="H878" s="21"/>
      <c r="I878" s="21"/>
      <c r="J878" s="21"/>
      <c r="K878" s="22"/>
      <c r="L878" s="22"/>
      <c r="M878" s="22"/>
      <c r="N878" s="22"/>
      <c r="O878" s="20"/>
      <c r="P878" s="20"/>
    </row>
    <row r="879" spans="1:16" x14ac:dyDescent="0.35">
      <c r="A879" s="18"/>
      <c r="B879" s="18"/>
      <c r="C879" s="18"/>
      <c r="D879" s="18"/>
      <c r="E879" s="25"/>
      <c r="F879" s="20"/>
      <c r="G879" s="20"/>
      <c r="H879" s="21"/>
      <c r="I879" s="21"/>
      <c r="J879" s="21"/>
      <c r="K879" s="22"/>
      <c r="L879" s="22"/>
      <c r="M879" s="22"/>
      <c r="N879" s="22"/>
      <c r="O879" s="20"/>
      <c r="P879" s="20"/>
    </row>
    <row r="880" spans="1:16" x14ac:dyDescent="0.35">
      <c r="A880" s="18"/>
      <c r="B880" s="18"/>
      <c r="C880" s="18"/>
      <c r="D880" s="18"/>
      <c r="E880" s="25"/>
      <c r="F880" s="20"/>
      <c r="G880" s="20"/>
      <c r="H880" s="21"/>
      <c r="I880" s="21"/>
      <c r="J880" s="21"/>
      <c r="K880" s="22"/>
      <c r="L880" s="22"/>
      <c r="M880" s="22"/>
      <c r="N880" s="22"/>
      <c r="O880" s="20"/>
      <c r="P880" s="20"/>
    </row>
    <row r="881" spans="1:16" x14ac:dyDescent="0.35">
      <c r="A881" s="18"/>
      <c r="B881" s="18"/>
      <c r="C881" s="18"/>
      <c r="D881" s="18"/>
      <c r="E881" s="25"/>
      <c r="F881" s="20"/>
      <c r="G881" s="20"/>
      <c r="H881" s="21"/>
      <c r="I881" s="21"/>
      <c r="J881" s="21"/>
      <c r="K881" s="22"/>
      <c r="L881" s="22"/>
      <c r="M881" s="22"/>
      <c r="N881" s="22"/>
      <c r="O881" s="20"/>
      <c r="P881" s="20"/>
    </row>
    <row r="882" spans="1:16" x14ac:dyDescent="0.35">
      <c r="A882" s="18"/>
      <c r="B882" s="18"/>
      <c r="C882" s="18"/>
      <c r="D882" s="18"/>
      <c r="E882" s="25"/>
      <c r="F882" s="20"/>
      <c r="G882" s="20"/>
      <c r="H882" s="21"/>
      <c r="I882" s="21"/>
      <c r="J882" s="21"/>
      <c r="K882" s="22"/>
      <c r="L882" s="22"/>
      <c r="M882" s="22"/>
      <c r="N882" s="22"/>
      <c r="O882" s="20"/>
      <c r="P882" s="20"/>
    </row>
    <row r="883" spans="1:16" x14ac:dyDescent="0.35">
      <c r="A883" s="18"/>
      <c r="B883" s="18"/>
      <c r="C883" s="18"/>
      <c r="D883" s="18"/>
      <c r="E883" s="25"/>
      <c r="F883" s="20"/>
      <c r="G883" s="20"/>
      <c r="H883" s="21"/>
      <c r="I883" s="21"/>
      <c r="J883" s="21"/>
      <c r="K883" s="22"/>
      <c r="L883" s="22"/>
      <c r="M883" s="22"/>
      <c r="N883" s="22"/>
      <c r="O883" s="20"/>
      <c r="P883" s="20"/>
    </row>
    <row r="884" spans="1:16" x14ac:dyDescent="0.35">
      <c r="A884" s="18"/>
      <c r="B884" s="18"/>
      <c r="C884" s="18"/>
      <c r="D884" s="18"/>
      <c r="E884" s="25"/>
      <c r="F884" s="20"/>
      <c r="G884" s="20"/>
      <c r="H884" s="21"/>
      <c r="I884" s="21"/>
      <c r="J884" s="21"/>
      <c r="K884" s="22"/>
      <c r="L884" s="22"/>
      <c r="M884" s="22"/>
      <c r="N884" s="22"/>
      <c r="O884" s="20"/>
      <c r="P884" s="20"/>
    </row>
    <row r="885" spans="1:16" x14ac:dyDescent="0.35">
      <c r="A885" s="18"/>
      <c r="B885" s="18"/>
      <c r="C885" s="18"/>
      <c r="D885" s="18"/>
      <c r="E885" s="25"/>
      <c r="F885" s="20"/>
      <c r="G885" s="20"/>
      <c r="H885" s="21"/>
      <c r="I885" s="21"/>
      <c r="J885" s="21"/>
      <c r="K885" s="22"/>
      <c r="L885" s="22"/>
      <c r="M885" s="22"/>
      <c r="N885" s="22"/>
      <c r="O885" s="20"/>
      <c r="P885" s="20"/>
    </row>
    <row r="886" spans="1:16" x14ac:dyDescent="0.35">
      <c r="A886" s="18"/>
      <c r="B886" s="18"/>
      <c r="C886" s="18"/>
      <c r="D886" s="18"/>
      <c r="E886" s="25"/>
      <c r="F886" s="20"/>
      <c r="G886" s="20"/>
      <c r="H886" s="21"/>
      <c r="I886" s="21"/>
      <c r="J886" s="21"/>
      <c r="K886" s="22"/>
      <c r="L886" s="22"/>
      <c r="M886" s="22"/>
      <c r="N886" s="22"/>
      <c r="O886" s="20"/>
      <c r="P886" s="20"/>
    </row>
    <row r="887" spans="1:16" x14ac:dyDescent="0.35">
      <c r="A887" s="18"/>
      <c r="B887" s="18"/>
      <c r="C887" s="18"/>
      <c r="D887" s="18"/>
      <c r="E887" s="25"/>
      <c r="F887" s="20"/>
      <c r="G887" s="20"/>
      <c r="H887" s="21"/>
      <c r="I887" s="21"/>
      <c r="J887" s="21"/>
      <c r="K887" s="22"/>
      <c r="L887" s="22"/>
      <c r="M887" s="22"/>
      <c r="N887" s="22"/>
      <c r="O887" s="20"/>
      <c r="P887" s="20"/>
    </row>
    <row r="888" spans="1:16" x14ac:dyDescent="0.35">
      <c r="A888" s="18"/>
      <c r="B888" s="18"/>
      <c r="C888" s="18"/>
      <c r="D888" s="18"/>
      <c r="E888" s="25"/>
      <c r="F888" s="20"/>
      <c r="G888" s="20"/>
      <c r="H888" s="21"/>
      <c r="I888" s="21"/>
      <c r="J888" s="21"/>
      <c r="K888" s="22"/>
      <c r="L888" s="22"/>
      <c r="M888" s="22"/>
      <c r="N888" s="22"/>
      <c r="O888" s="20"/>
      <c r="P888" s="20"/>
    </row>
    <row r="889" spans="1:16" x14ac:dyDescent="0.35">
      <c r="A889" s="18"/>
      <c r="B889" s="18"/>
      <c r="C889" s="18"/>
      <c r="D889" s="18"/>
      <c r="E889" s="25"/>
      <c r="F889" s="20"/>
      <c r="G889" s="20"/>
      <c r="H889" s="21"/>
      <c r="I889" s="21"/>
      <c r="J889" s="21"/>
      <c r="K889" s="22"/>
      <c r="L889" s="22"/>
      <c r="M889" s="22"/>
      <c r="N889" s="22"/>
      <c r="O889" s="20"/>
      <c r="P889" s="20"/>
    </row>
    <row r="890" spans="1:16" x14ac:dyDescent="0.35">
      <c r="A890" s="18"/>
      <c r="B890" s="18"/>
      <c r="C890" s="18"/>
      <c r="D890" s="18"/>
      <c r="E890" s="25"/>
      <c r="F890" s="20"/>
      <c r="G890" s="20"/>
      <c r="H890" s="21"/>
      <c r="I890" s="21"/>
      <c r="J890" s="21"/>
      <c r="K890" s="22"/>
      <c r="L890" s="22"/>
      <c r="M890" s="22"/>
      <c r="N890" s="22"/>
      <c r="O890" s="20"/>
      <c r="P890" s="20"/>
    </row>
    <row r="891" spans="1:16" x14ac:dyDescent="0.35">
      <c r="A891" s="18"/>
      <c r="B891" s="18"/>
      <c r="C891" s="18"/>
      <c r="D891" s="18"/>
      <c r="E891" s="25"/>
      <c r="F891" s="20"/>
      <c r="G891" s="20"/>
      <c r="H891" s="21"/>
      <c r="I891" s="21"/>
      <c r="J891" s="21"/>
      <c r="K891" s="22"/>
      <c r="L891" s="22"/>
      <c r="M891" s="22"/>
      <c r="N891" s="22"/>
      <c r="O891" s="20"/>
      <c r="P891" s="20"/>
    </row>
    <row r="892" spans="1:16" x14ac:dyDescent="0.35">
      <c r="A892" s="18"/>
      <c r="B892" s="18"/>
      <c r="C892" s="18"/>
      <c r="D892" s="18"/>
      <c r="E892" s="25"/>
      <c r="F892" s="20"/>
      <c r="G892" s="20"/>
      <c r="H892" s="21"/>
      <c r="I892" s="21"/>
      <c r="J892" s="21"/>
      <c r="K892" s="22"/>
      <c r="L892" s="22"/>
      <c r="M892" s="22"/>
      <c r="N892" s="22"/>
      <c r="O892" s="20"/>
      <c r="P892" s="20"/>
    </row>
    <row r="893" spans="1:16" x14ac:dyDescent="0.35">
      <c r="A893" s="18"/>
      <c r="B893" s="18"/>
      <c r="C893" s="18"/>
      <c r="D893" s="18"/>
      <c r="E893" s="25"/>
      <c r="F893" s="20"/>
      <c r="G893" s="20"/>
      <c r="H893" s="21"/>
      <c r="I893" s="21"/>
      <c r="J893" s="21"/>
      <c r="K893" s="22"/>
      <c r="L893" s="22"/>
      <c r="M893" s="22"/>
      <c r="N893" s="22"/>
      <c r="O893" s="20"/>
      <c r="P893" s="20"/>
    </row>
    <row r="894" spans="1:16" x14ac:dyDescent="0.35">
      <c r="A894" s="18"/>
      <c r="B894" s="18"/>
      <c r="C894" s="18"/>
      <c r="D894" s="18"/>
      <c r="E894" s="25"/>
      <c r="F894" s="20"/>
      <c r="G894" s="20"/>
      <c r="H894" s="21"/>
      <c r="I894" s="21"/>
      <c r="J894" s="21"/>
      <c r="K894" s="22"/>
      <c r="L894" s="22"/>
      <c r="M894" s="22"/>
      <c r="N894" s="22"/>
      <c r="O894" s="20"/>
      <c r="P894" s="20"/>
    </row>
    <row r="895" spans="1:16" x14ac:dyDescent="0.35">
      <c r="A895" s="18"/>
      <c r="B895" s="18"/>
      <c r="C895" s="18"/>
      <c r="D895" s="18"/>
      <c r="E895" s="25"/>
      <c r="F895" s="20"/>
      <c r="G895" s="20"/>
      <c r="H895" s="21"/>
      <c r="I895" s="21"/>
      <c r="J895" s="21"/>
      <c r="K895" s="22"/>
      <c r="L895" s="22"/>
      <c r="M895" s="22"/>
      <c r="N895" s="22"/>
      <c r="O895" s="20"/>
      <c r="P895" s="20"/>
    </row>
    <row r="896" spans="1:16" x14ac:dyDescent="0.35">
      <c r="A896" s="18"/>
      <c r="B896" s="18"/>
      <c r="C896" s="18"/>
      <c r="D896" s="18"/>
      <c r="E896" s="25"/>
      <c r="F896" s="20"/>
      <c r="G896" s="20"/>
      <c r="H896" s="21"/>
      <c r="I896" s="21"/>
      <c r="J896" s="21"/>
      <c r="K896" s="22"/>
      <c r="L896" s="22"/>
      <c r="M896" s="22"/>
      <c r="N896" s="22"/>
      <c r="O896" s="20"/>
      <c r="P896" s="20"/>
    </row>
    <row r="897" spans="1:16" x14ac:dyDescent="0.35">
      <c r="A897" s="18"/>
      <c r="B897" s="18"/>
      <c r="C897" s="18"/>
      <c r="D897" s="18"/>
      <c r="E897" s="25"/>
      <c r="F897" s="20"/>
      <c r="G897" s="20"/>
      <c r="H897" s="21"/>
      <c r="I897" s="21"/>
      <c r="J897" s="21"/>
      <c r="K897" s="22"/>
      <c r="L897" s="22"/>
      <c r="M897" s="22"/>
      <c r="N897" s="22"/>
      <c r="O897" s="20"/>
      <c r="P897" s="20"/>
    </row>
    <row r="898" spans="1:16" x14ac:dyDescent="0.35">
      <c r="A898" s="18"/>
      <c r="B898" s="18"/>
      <c r="C898" s="18"/>
      <c r="D898" s="18"/>
      <c r="E898" s="25"/>
      <c r="F898" s="20"/>
      <c r="G898" s="20"/>
      <c r="H898" s="21"/>
      <c r="I898" s="21"/>
      <c r="J898" s="21"/>
      <c r="K898" s="22"/>
      <c r="L898" s="22"/>
      <c r="M898" s="22"/>
      <c r="N898" s="22"/>
      <c r="O898" s="20"/>
      <c r="P898" s="20"/>
    </row>
    <row r="899" spans="1:16" x14ac:dyDescent="0.35">
      <c r="A899" s="18"/>
      <c r="B899" s="18"/>
      <c r="C899" s="18"/>
      <c r="D899" s="18"/>
      <c r="E899" s="25"/>
      <c r="F899" s="20"/>
      <c r="G899" s="20"/>
      <c r="H899" s="21"/>
      <c r="I899" s="21"/>
      <c r="J899" s="21"/>
      <c r="K899" s="22"/>
      <c r="L899" s="22"/>
      <c r="M899" s="22"/>
      <c r="N899" s="22"/>
      <c r="O899" s="20"/>
      <c r="P899" s="20"/>
    </row>
    <row r="900" spans="1:16" x14ac:dyDescent="0.35">
      <c r="A900" s="18"/>
      <c r="B900" s="18"/>
      <c r="C900" s="20"/>
      <c r="D900" s="18"/>
      <c r="E900" s="26"/>
      <c r="F900" s="26"/>
      <c r="G900" s="20"/>
      <c r="H900" s="21"/>
      <c r="I900" s="21"/>
      <c r="J900" s="21"/>
      <c r="K900" s="22"/>
      <c r="L900" s="22"/>
      <c r="M900" s="22"/>
      <c r="N900" s="22"/>
      <c r="O900" s="20"/>
      <c r="P900" s="20"/>
    </row>
    <row r="901" spans="1:16" x14ac:dyDescent="0.35">
      <c r="A901" s="18"/>
      <c r="B901" s="18"/>
      <c r="C901" s="20"/>
      <c r="D901" s="18"/>
      <c r="E901" s="26"/>
      <c r="F901" s="26"/>
      <c r="G901" s="20"/>
      <c r="H901" s="21"/>
      <c r="I901" s="21"/>
      <c r="J901" s="21"/>
      <c r="K901" s="22"/>
      <c r="L901" s="22"/>
      <c r="M901" s="22"/>
      <c r="N901" s="22"/>
      <c r="O901" s="20"/>
      <c r="P901" s="20"/>
    </row>
    <row r="902" spans="1:16" x14ac:dyDescent="0.35">
      <c r="A902" s="18"/>
      <c r="B902" s="18"/>
      <c r="C902" s="20"/>
      <c r="D902" s="18"/>
      <c r="E902" s="26"/>
      <c r="F902" s="26"/>
      <c r="G902" s="20"/>
      <c r="H902" s="21"/>
      <c r="I902" s="21"/>
      <c r="J902" s="21"/>
      <c r="K902" s="22"/>
      <c r="L902" s="22"/>
      <c r="M902" s="22"/>
      <c r="N902" s="22"/>
      <c r="O902" s="20"/>
      <c r="P902" s="20"/>
    </row>
    <row r="903" spans="1:16" x14ac:dyDescent="0.35">
      <c r="A903" s="18"/>
      <c r="B903" s="18"/>
      <c r="C903" s="20"/>
      <c r="D903" s="18"/>
      <c r="E903" s="26"/>
      <c r="F903" s="26"/>
      <c r="G903" s="20"/>
      <c r="H903" s="21"/>
      <c r="I903" s="21"/>
      <c r="J903" s="21"/>
      <c r="K903" s="22"/>
      <c r="L903" s="22"/>
      <c r="M903" s="22"/>
      <c r="N903" s="22"/>
      <c r="O903" s="20"/>
      <c r="P903" s="20"/>
    </row>
    <row r="904" spans="1:16" x14ac:dyDescent="0.35">
      <c r="A904" s="18"/>
      <c r="B904" s="18"/>
      <c r="C904" s="20"/>
      <c r="D904" s="18"/>
      <c r="E904" s="26"/>
      <c r="F904" s="26"/>
      <c r="G904" s="20"/>
      <c r="H904" s="21"/>
      <c r="I904" s="21"/>
      <c r="J904" s="21"/>
      <c r="K904" s="22"/>
      <c r="L904" s="22"/>
      <c r="M904" s="22"/>
      <c r="N904" s="22"/>
      <c r="O904" s="20"/>
      <c r="P904" s="20"/>
    </row>
    <row r="905" spans="1:16" x14ac:dyDescent="0.35">
      <c r="A905" s="18"/>
      <c r="B905" s="18"/>
      <c r="C905" s="20"/>
      <c r="D905" s="18"/>
      <c r="E905" s="26"/>
      <c r="F905" s="26"/>
      <c r="G905" s="20"/>
      <c r="H905" s="21"/>
      <c r="I905" s="21"/>
      <c r="J905" s="21"/>
      <c r="K905" s="22"/>
      <c r="L905" s="22"/>
      <c r="M905" s="22"/>
      <c r="N905" s="22"/>
      <c r="O905" s="20"/>
      <c r="P905" s="20"/>
    </row>
    <row r="906" spans="1:16" x14ac:dyDescent="0.35">
      <c r="A906" s="18"/>
      <c r="B906" s="18"/>
      <c r="C906" s="20"/>
      <c r="D906" s="18"/>
      <c r="E906" s="26"/>
      <c r="F906" s="26"/>
      <c r="G906" s="20"/>
      <c r="H906" s="21"/>
      <c r="I906" s="21"/>
      <c r="J906" s="21"/>
      <c r="K906" s="22"/>
      <c r="L906" s="22"/>
      <c r="M906" s="22"/>
      <c r="N906" s="22"/>
      <c r="O906" s="20"/>
      <c r="P906" s="20"/>
    </row>
    <row r="907" spans="1:16" x14ac:dyDescent="0.35">
      <c r="A907" s="18"/>
      <c r="B907" s="18"/>
      <c r="C907" s="20"/>
      <c r="D907" s="18"/>
      <c r="E907" s="26"/>
      <c r="F907" s="26"/>
      <c r="G907" s="20"/>
      <c r="H907" s="21"/>
      <c r="I907" s="21"/>
      <c r="J907" s="21"/>
      <c r="K907" s="22"/>
      <c r="L907" s="22"/>
      <c r="M907" s="22"/>
      <c r="N907" s="22"/>
      <c r="O907" s="20"/>
      <c r="P907" s="20"/>
    </row>
    <row r="908" spans="1:16" x14ac:dyDescent="0.35">
      <c r="A908" s="18"/>
      <c r="B908" s="18"/>
      <c r="C908" s="20"/>
      <c r="D908" s="18"/>
      <c r="E908" s="26"/>
      <c r="F908" s="26"/>
      <c r="G908" s="20"/>
      <c r="H908" s="21"/>
      <c r="I908" s="21"/>
      <c r="J908" s="21"/>
      <c r="K908" s="22"/>
      <c r="L908" s="22"/>
      <c r="M908" s="22"/>
      <c r="N908" s="22"/>
      <c r="O908" s="20"/>
      <c r="P908" s="20"/>
    </row>
    <row r="909" spans="1:16" x14ac:dyDescent="0.35">
      <c r="A909" s="18"/>
      <c r="B909" s="18"/>
      <c r="C909" s="20"/>
      <c r="D909" s="18"/>
      <c r="E909" s="26"/>
      <c r="F909" s="26"/>
      <c r="G909" s="20"/>
      <c r="H909" s="21"/>
      <c r="I909" s="21"/>
      <c r="J909" s="21"/>
      <c r="K909" s="22"/>
      <c r="L909" s="22"/>
      <c r="M909" s="22"/>
      <c r="N909" s="22"/>
      <c r="O909" s="20"/>
      <c r="P909" s="20"/>
    </row>
    <row r="910" spans="1:16" x14ac:dyDescent="0.35">
      <c r="A910" s="18"/>
      <c r="B910" s="18"/>
      <c r="C910" s="20"/>
      <c r="D910" s="18"/>
      <c r="E910" s="26"/>
      <c r="F910" s="26"/>
      <c r="G910" s="20"/>
      <c r="H910" s="21"/>
      <c r="I910" s="21"/>
      <c r="J910" s="21"/>
      <c r="K910" s="22"/>
      <c r="L910" s="22"/>
      <c r="M910" s="22"/>
      <c r="N910" s="22"/>
      <c r="O910" s="20"/>
      <c r="P910" s="20"/>
    </row>
    <row r="911" spans="1:16" x14ac:dyDescent="0.35">
      <c r="A911" s="18"/>
      <c r="B911" s="18"/>
      <c r="C911" s="20"/>
      <c r="D911" s="18"/>
      <c r="E911" s="26"/>
      <c r="F911" s="26"/>
      <c r="G911" s="20"/>
      <c r="H911" s="21"/>
      <c r="I911" s="21"/>
      <c r="J911" s="21"/>
      <c r="K911" s="22"/>
      <c r="L911" s="22"/>
      <c r="M911" s="22"/>
      <c r="N911" s="22"/>
      <c r="O911" s="20"/>
      <c r="P911" s="20"/>
    </row>
    <row r="912" spans="1:16" x14ac:dyDescent="0.35">
      <c r="A912" s="18"/>
      <c r="B912" s="18"/>
      <c r="C912" s="20"/>
      <c r="D912" s="18"/>
      <c r="E912" s="26"/>
      <c r="F912" s="26"/>
      <c r="G912" s="20"/>
      <c r="H912" s="21"/>
      <c r="I912" s="21"/>
      <c r="J912" s="21"/>
      <c r="K912" s="22"/>
      <c r="L912" s="22"/>
      <c r="M912" s="22"/>
      <c r="N912" s="22"/>
      <c r="O912" s="20"/>
      <c r="P912" s="20"/>
    </row>
    <row r="913" spans="1:16" x14ac:dyDescent="0.35">
      <c r="A913" s="18"/>
      <c r="B913" s="18"/>
      <c r="C913" s="20"/>
      <c r="D913" s="18"/>
      <c r="E913" s="26"/>
      <c r="F913" s="26"/>
      <c r="G913" s="20"/>
      <c r="H913" s="21"/>
      <c r="I913" s="21"/>
      <c r="J913" s="21"/>
      <c r="K913" s="22"/>
      <c r="L913" s="22"/>
      <c r="M913" s="22"/>
      <c r="N913" s="22"/>
      <c r="O913" s="20"/>
      <c r="P913" s="20"/>
    </row>
    <row r="914" spans="1:16" x14ac:dyDescent="0.35">
      <c r="A914" s="18"/>
      <c r="B914" s="18"/>
      <c r="C914" s="20"/>
      <c r="D914" s="18"/>
      <c r="E914" s="26"/>
      <c r="F914" s="26"/>
      <c r="G914" s="20"/>
      <c r="H914" s="21"/>
      <c r="I914" s="21"/>
      <c r="J914" s="21"/>
      <c r="K914" s="22"/>
      <c r="L914" s="22"/>
      <c r="M914" s="22"/>
      <c r="N914" s="22"/>
      <c r="O914" s="20"/>
      <c r="P914" s="20"/>
    </row>
    <row r="915" spans="1:16" x14ac:dyDescent="0.35">
      <c r="A915" s="18"/>
      <c r="B915" s="18"/>
      <c r="C915" s="20"/>
      <c r="D915" s="18"/>
      <c r="E915" s="26"/>
      <c r="F915" s="26"/>
      <c r="G915" s="20"/>
      <c r="H915" s="21"/>
      <c r="I915" s="21"/>
      <c r="J915" s="21"/>
      <c r="K915" s="22"/>
      <c r="L915" s="22"/>
      <c r="M915" s="22"/>
      <c r="N915" s="22"/>
      <c r="O915" s="20"/>
      <c r="P915" s="20"/>
    </row>
    <row r="916" spans="1:16" x14ac:dyDescent="0.35">
      <c r="A916" s="18"/>
      <c r="B916" s="18"/>
      <c r="C916" s="20"/>
      <c r="D916" s="18"/>
      <c r="E916" s="26"/>
      <c r="F916" s="26"/>
      <c r="G916" s="20"/>
      <c r="H916" s="21"/>
      <c r="I916" s="21"/>
      <c r="J916" s="21"/>
      <c r="K916" s="22"/>
      <c r="L916" s="22"/>
      <c r="M916" s="22"/>
      <c r="N916" s="22"/>
      <c r="O916" s="20"/>
      <c r="P916" s="20"/>
    </row>
    <row r="917" spans="1:16" x14ac:dyDescent="0.35">
      <c r="A917" s="18"/>
      <c r="B917" s="18"/>
      <c r="C917" s="20"/>
      <c r="D917" s="18"/>
      <c r="E917" s="26"/>
      <c r="F917" s="26"/>
      <c r="G917" s="20"/>
      <c r="H917" s="21"/>
      <c r="I917" s="21"/>
      <c r="J917" s="21"/>
      <c r="K917" s="22"/>
      <c r="L917" s="22"/>
      <c r="M917" s="22"/>
      <c r="N917" s="22"/>
      <c r="O917" s="20"/>
      <c r="P917" s="20"/>
    </row>
    <row r="918" spans="1:16" x14ac:dyDescent="0.35">
      <c r="A918" s="18"/>
      <c r="B918" s="18"/>
      <c r="C918" s="20"/>
      <c r="D918" s="18"/>
      <c r="E918" s="26"/>
      <c r="F918" s="26"/>
      <c r="G918" s="20"/>
      <c r="H918" s="21"/>
      <c r="I918" s="21"/>
      <c r="J918" s="21"/>
      <c r="K918" s="22"/>
      <c r="L918" s="22"/>
      <c r="M918" s="22"/>
      <c r="N918" s="22"/>
      <c r="O918" s="20"/>
      <c r="P918" s="20"/>
    </row>
    <row r="919" spans="1:16" x14ac:dyDescent="0.35">
      <c r="A919" s="18"/>
      <c r="B919" s="18"/>
      <c r="C919" s="20"/>
      <c r="D919" s="18"/>
      <c r="E919" s="26"/>
      <c r="F919" s="26"/>
      <c r="G919" s="20"/>
      <c r="H919" s="21"/>
      <c r="I919" s="21"/>
      <c r="J919" s="21"/>
      <c r="K919" s="22"/>
      <c r="L919" s="22"/>
      <c r="M919" s="22"/>
      <c r="N919" s="22"/>
      <c r="O919" s="20"/>
      <c r="P919" s="20"/>
    </row>
    <row r="920" spans="1:16" x14ac:dyDescent="0.35">
      <c r="A920" s="18"/>
      <c r="B920" s="18"/>
      <c r="C920" s="20"/>
      <c r="D920" s="18"/>
      <c r="E920" s="26"/>
      <c r="F920" s="26"/>
      <c r="G920" s="20"/>
      <c r="H920" s="21"/>
      <c r="I920" s="21"/>
      <c r="J920" s="21"/>
      <c r="K920" s="22"/>
      <c r="L920" s="22"/>
      <c r="M920" s="22"/>
      <c r="N920" s="22"/>
      <c r="O920" s="20"/>
      <c r="P920" s="20"/>
    </row>
    <row r="921" spans="1:16" x14ac:dyDescent="0.35">
      <c r="A921" s="18"/>
      <c r="B921" s="18"/>
      <c r="C921" s="20"/>
      <c r="D921" s="18"/>
      <c r="E921" s="26"/>
      <c r="F921" s="26"/>
      <c r="G921" s="20"/>
      <c r="H921" s="21"/>
      <c r="I921" s="21"/>
      <c r="J921" s="21"/>
      <c r="K921" s="22"/>
      <c r="L921" s="22"/>
      <c r="M921" s="22"/>
      <c r="N921" s="22"/>
      <c r="O921" s="20"/>
      <c r="P921" s="20"/>
    </row>
    <row r="922" spans="1:16" x14ac:dyDescent="0.35">
      <c r="A922" s="18"/>
      <c r="B922" s="18"/>
      <c r="C922" s="20"/>
      <c r="D922" s="18"/>
      <c r="E922" s="26"/>
      <c r="F922" s="26"/>
      <c r="G922" s="20"/>
      <c r="H922" s="21"/>
      <c r="I922" s="21"/>
      <c r="J922" s="21"/>
      <c r="K922" s="22"/>
      <c r="L922" s="22"/>
      <c r="M922" s="22"/>
      <c r="N922" s="22"/>
      <c r="O922" s="20"/>
      <c r="P922" s="20"/>
    </row>
    <row r="923" spans="1:16" x14ac:dyDescent="0.35">
      <c r="A923" s="18"/>
      <c r="B923" s="18"/>
      <c r="C923" s="20"/>
      <c r="D923" s="18"/>
      <c r="E923" s="26"/>
      <c r="F923" s="26"/>
      <c r="G923" s="20"/>
      <c r="H923" s="21"/>
      <c r="I923" s="21"/>
      <c r="J923" s="21"/>
      <c r="K923" s="22"/>
      <c r="L923" s="22"/>
      <c r="M923" s="22"/>
      <c r="N923" s="22"/>
      <c r="O923" s="20"/>
      <c r="P923" s="20"/>
    </row>
    <row r="924" spans="1:16" x14ac:dyDescent="0.35">
      <c r="A924" s="18"/>
      <c r="B924" s="18"/>
      <c r="C924" s="20"/>
      <c r="D924" s="18"/>
      <c r="E924" s="26"/>
      <c r="F924" s="26"/>
      <c r="G924" s="20"/>
      <c r="H924" s="21"/>
      <c r="I924" s="21"/>
      <c r="J924" s="21"/>
      <c r="K924" s="22"/>
      <c r="L924" s="22"/>
      <c r="M924" s="22"/>
      <c r="N924" s="22"/>
      <c r="O924" s="20"/>
      <c r="P924" s="20"/>
    </row>
    <row r="925" spans="1:16" x14ac:dyDescent="0.35">
      <c r="A925" s="18"/>
      <c r="B925" s="18"/>
      <c r="C925" s="20"/>
      <c r="D925" s="18"/>
      <c r="E925" s="26"/>
      <c r="F925" s="26"/>
      <c r="G925" s="20"/>
      <c r="H925" s="21"/>
      <c r="I925" s="21"/>
      <c r="J925" s="21"/>
      <c r="K925" s="22"/>
      <c r="L925" s="22"/>
      <c r="M925" s="22"/>
      <c r="N925" s="22"/>
      <c r="O925" s="20"/>
      <c r="P925" s="20"/>
    </row>
    <row r="926" spans="1:16" x14ac:dyDescent="0.35">
      <c r="A926" s="18"/>
      <c r="B926" s="18"/>
      <c r="C926" s="20"/>
      <c r="D926" s="18"/>
      <c r="E926" s="26"/>
      <c r="F926" s="26"/>
      <c r="G926" s="20"/>
      <c r="H926" s="21"/>
      <c r="I926" s="21"/>
      <c r="J926" s="21"/>
      <c r="K926" s="22"/>
      <c r="L926" s="22"/>
      <c r="M926" s="22"/>
      <c r="N926" s="22"/>
      <c r="O926" s="20"/>
      <c r="P926" s="20"/>
    </row>
    <row r="927" spans="1:16" x14ac:dyDescent="0.35">
      <c r="A927" s="18"/>
      <c r="B927" s="18"/>
      <c r="C927" s="20"/>
      <c r="D927" s="18"/>
      <c r="E927" s="26"/>
      <c r="F927" s="26"/>
      <c r="G927" s="20"/>
      <c r="H927" s="21"/>
      <c r="I927" s="21"/>
      <c r="J927" s="21"/>
      <c r="K927" s="22"/>
      <c r="L927" s="22"/>
      <c r="M927" s="22"/>
      <c r="N927" s="22"/>
      <c r="O927" s="20"/>
      <c r="P927" s="20"/>
    </row>
    <row r="928" spans="1:16" x14ac:dyDescent="0.35">
      <c r="A928" s="18"/>
      <c r="B928" s="18"/>
      <c r="C928" s="20"/>
      <c r="D928" s="18"/>
      <c r="E928" s="26"/>
      <c r="F928" s="26"/>
      <c r="G928" s="20"/>
      <c r="H928" s="21"/>
      <c r="I928" s="21"/>
      <c r="J928" s="21"/>
      <c r="K928" s="22"/>
      <c r="L928" s="22"/>
      <c r="M928" s="22"/>
      <c r="N928" s="22"/>
      <c r="O928" s="20"/>
      <c r="P928" s="20"/>
    </row>
    <row r="929" spans="1:16" x14ac:dyDescent="0.35">
      <c r="A929" s="18"/>
      <c r="B929" s="18"/>
      <c r="C929" s="20"/>
      <c r="D929" s="18"/>
      <c r="E929" s="26"/>
      <c r="F929" s="26"/>
      <c r="G929" s="20"/>
      <c r="H929" s="21"/>
      <c r="I929" s="21"/>
      <c r="J929" s="21"/>
      <c r="K929" s="22"/>
      <c r="L929" s="22"/>
      <c r="M929" s="22"/>
      <c r="N929" s="22"/>
      <c r="O929" s="20"/>
      <c r="P929" s="20"/>
    </row>
    <row r="930" spans="1:16" x14ac:dyDescent="0.35">
      <c r="A930" s="18"/>
      <c r="B930" s="18"/>
      <c r="C930" s="20"/>
      <c r="D930" s="18"/>
      <c r="E930" s="26"/>
      <c r="F930" s="26"/>
      <c r="G930" s="20"/>
      <c r="H930" s="21"/>
      <c r="I930" s="21"/>
      <c r="J930" s="21"/>
      <c r="K930" s="22"/>
      <c r="L930" s="22"/>
      <c r="M930" s="22"/>
      <c r="N930" s="22"/>
      <c r="O930" s="20"/>
      <c r="P930" s="20"/>
    </row>
    <row r="931" spans="1:16" x14ac:dyDescent="0.35">
      <c r="A931" s="18"/>
      <c r="B931" s="18"/>
      <c r="C931" s="20"/>
      <c r="D931" s="18"/>
      <c r="E931" s="26"/>
      <c r="F931" s="26"/>
      <c r="G931" s="20"/>
      <c r="H931" s="21"/>
      <c r="I931" s="21"/>
      <c r="J931" s="21"/>
      <c r="K931" s="22"/>
      <c r="L931" s="22"/>
      <c r="M931" s="22"/>
      <c r="N931" s="22"/>
      <c r="O931" s="20"/>
      <c r="P931" s="20"/>
    </row>
    <row r="932" spans="1:16" x14ac:dyDescent="0.35">
      <c r="A932" s="18"/>
      <c r="B932" s="18"/>
      <c r="C932" s="20"/>
      <c r="D932" s="18"/>
      <c r="E932" s="26"/>
      <c r="F932" s="26"/>
      <c r="G932" s="20"/>
      <c r="H932" s="21"/>
      <c r="I932" s="21"/>
      <c r="J932" s="21"/>
      <c r="K932" s="22"/>
      <c r="L932" s="22"/>
      <c r="M932" s="22"/>
      <c r="N932" s="22"/>
      <c r="O932" s="20"/>
      <c r="P932" s="20"/>
    </row>
    <row r="933" spans="1:16" x14ac:dyDescent="0.35">
      <c r="A933" s="18"/>
      <c r="B933" s="18"/>
      <c r="C933" s="20"/>
      <c r="D933" s="18"/>
      <c r="E933" s="26"/>
      <c r="F933" s="26"/>
      <c r="G933" s="20"/>
      <c r="H933" s="21"/>
      <c r="I933" s="21"/>
      <c r="J933" s="21"/>
      <c r="K933" s="22"/>
      <c r="L933" s="22"/>
      <c r="M933" s="22"/>
      <c r="N933" s="22"/>
      <c r="O933" s="20"/>
      <c r="P933" s="20"/>
    </row>
    <row r="934" spans="1:16" x14ac:dyDescent="0.35">
      <c r="A934" s="18"/>
      <c r="B934" s="18"/>
      <c r="C934" s="20"/>
      <c r="D934" s="18"/>
      <c r="E934" s="26"/>
      <c r="F934" s="26"/>
      <c r="G934" s="20"/>
      <c r="H934" s="21"/>
      <c r="I934" s="21"/>
      <c r="J934" s="21"/>
      <c r="K934" s="22"/>
      <c r="L934" s="22"/>
      <c r="M934" s="22"/>
      <c r="N934" s="22"/>
      <c r="O934" s="20"/>
      <c r="P934" s="20"/>
    </row>
    <row r="935" spans="1:16" x14ac:dyDescent="0.35">
      <c r="A935" s="18"/>
      <c r="B935" s="18"/>
      <c r="C935" s="20"/>
      <c r="D935" s="18"/>
      <c r="E935" s="26"/>
      <c r="F935" s="26"/>
      <c r="G935" s="20"/>
      <c r="H935" s="21"/>
      <c r="I935" s="21"/>
      <c r="J935" s="21"/>
      <c r="K935" s="22"/>
      <c r="L935" s="22"/>
      <c r="M935" s="22"/>
      <c r="N935" s="22"/>
      <c r="O935" s="20"/>
      <c r="P935" s="20"/>
    </row>
    <row r="936" spans="1:16" x14ac:dyDescent="0.35">
      <c r="A936" s="18"/>
      <c r="B936" s="18"/>
      <c r="C936" s="20"/>
      <c r="D936" s="18"/>
      <c r="E936" s="26"/>
      <c r="F936" s="26"/>
      <c r="G936" s="20"/>
      <c r="H936" s="21"/>
      <c r="I936" s="21"/>
      <c r="J936" s="21"/>
      <c r="K936" s="22"/>
      <c r="L936" s="22"/>
      <c r="M936" s="22"/>
      <c r="N936" s="22"/>
      <c r="O936" s="20"/>
      <c r="P936" s="20"/>
    </row>
    <row r="937" spans="1:16" x14ac:dyDescent="0.35">
      <c r="A937" s="18"/>
      <c r="B937" s="18"/>
      <c r="C937" s="20"/>
      <c r="D937" s="18"/>
      <c r="E937" s="26"/>
      <c r="F937" s="26"/>
      <c r="G937" s="20"/>
      <c r="H937" s="21"/>
      <c r="I937" s="21"/>
      <c r="J937" s="21"/>
      <c r="K937" s="22"/>
      <c r="L937" s="22"/>
      <c r="M937" s="22"/>
      <c r="N937" s="22"/>
      <c r="O937" s="20"/>
      <c r="P937" s="20"/>
    </row>
    <row r="938" spans="1:16" x14ac:dyDescent="0.35">
      <c r="A938" s="18"/>
      <c r="B938" s="18"/>
      <c r="C938" s="20"/>
      <c r="D938" s="18"/>
      <c r="E938" s="26"/>
      <c r="F938" s="26"/>
      <c r="G938" s="20"/>
      <c r="H938" s="21"/>
      <c r="I938" s="21"/>
      <c r="J938" s="21"/>
      <c r="K938" s="22"/>
      <c r="L938" s="22"/>
      <c r="M938" s="22"/>
      <c r="N938" s="22"/>
      <c r="O938" s="20"/>
      <c r="P938" s="20"/>
    </row>
    <row r="939" spans="1:16" x14ac:dyDescent="0.35">
      <c r="A939" s="18"/>
      <c r="B939" s="18"/>
      <c r="C939" s="20"/>
      <c r="D939" s="18"/>
      <c r="E939" s="26"/>
      <c r="F939" s="26"/>
      <c r="G939" s="20"/>
      <c r="H939" s="21"/>
      <c r="I939" s="21"/>
      <c r="J939" s="21"/>
      <c r="K939" s="22"/>
      <c r="L939" s="22"/>
      <c r="M939" s="22"/>
      <c r="N939" s="22"/>
      <c r="O939" s="20"/>
      <c r="P939" s="20"/>
    </row>
    <row r="940" spans="1:16" x14ac:dyDescent="0.35">
      <c r="A940" s="18"/>
      <c r="B940" s="18"/>
      <c r="C940" s="20"/>
      <c r="D940" s="18"/>
      <c r="E940" s="26"/>
      <c r="F940" s="26"/>
      <c r="G940" s="20"/>
      <c r="H940" s="21"/>
      <c r="I940" s="21"/>
      <c r="J940" s="21"/>
      <c r="K940" s="22"/>
      <c r="L940" s="22"/>
      <c r="M940" s="22"/>
      <c r="N940" s="22"/>
      <c r="O940" s="20"/>
      <c r="P940" s="20"/>
    </row>
    <row r="941" spans="1:16" x14ac:dyDescent="0.35">
      <c r="A941" s="18"/>
      <c r="B941" s="18"/>
      <c r="C941" s="20"/>
      <c r="D941" s="18"/>
      <c r="E941" s="26"/>
      <c r="F941" s="26"/>
      <c r="G941" s="20"/>
      <c r="H941" s="21"/>
      <c r="I941" s="21"/>
      <c r="J941" s="21"/>
      <c r="K941" s="22"/>
      <c r="L941" s="22"/>
      <c r="M941" s="22"/>
      <c r="N941" s="22"/>
      <c r="O941" s="20"/>
      <c r="P941" s="20"/>
    </row>
    <row r="942" spans="1:16" x14ac:dyDescent="0.35">
      <c r="A942" s="18"/>
      <c r="B942" s="18"/>
      <c r="C942" s="20"/>
      <c r="D942" s="18"/>
      <c r="E942" s="26"/>
      <c r="F942" s="26"/>
      <c r="G942" s="20"/>
      <c r="H942" s="21"/>
      <c r="I942" s="21"/>
      <c r="J942" s="21"/>
      <c r="K942" s="22"/>
      <c r="L942" s="22"/>
      <c r="M942" s="22"/>
      <c r="N942" s="22"/>
      <c r="O942" s="20"/>
      <c r="P942" s="20"/>
    </row>
    <row r="943" spans="1:16" x14ac:dyDescent="0.35">
      <c r="A943" s="18"/>
      <c r="B943" s="18"/>
      <c r="C943" s="20"/>
      <c r="D943" s="18"/>
      <c r="E943" s="26"/>
      <c r="F943" s="26"/>
      <c r="G943" s="20"/>
      <c r="H943" s="21"/>
      <c r="I943" s="21"/>
      <c r="J943" s="21"/>
      <c r="K943" s="22"/>
      <c r="L943" s="22"/>
      <c r="M943" s="22"/>
      <c r="N943" s="22"/>
      <c r="O943" s="20"/>
      <c r="P943" s="20"/>
    </row>
    <row r="944" spans="1:16" x14ac:dyDescent="0.35">
      <c r="A944" s="18"/>
      <c r="B944" s="18"/>
      <c r="C944" s="20"/>
      <c r="D944" s="18"/>
      <c r="E944" s="26"/>
      <c r="F944" s="26"/>
      <c r="G944" s="20"/>
      <c r="H944" s="21"/>
      <c r="I944" s="21"/>
      <c r="J944" s="21"/>
      <c r="K944" s="22"/>
      <c r="L944" s="22"/>
      <c r="M944" s="22"/>
      <c r="N944" s="22"/>
      <c r="O944" s="20"/>
      <c r="P944" s="20"/>
    </row>
    <row r="945" spans="1:16" x14ac:dyDescent="0.35">
      <c r="A945" s="18"/>
      <c r="B945" s="18"/>
      <c r="C945" s="20"/>
      <c r="D945" s="18"/>
      <c r="E945" s="26"/>
      <c r="F945" s="26"/>
      <c r="G945" s="20"/>
      <c r="H945" s="21"/>
      <c r="I945" s="21"/>
      <c r="J945" s="21"/>
      <c r="K945" s="22"/>
      <c r="L945" s="22"/>
      <c r="M945" s="22"/>
      <c r="N945" s="22"/>
      <c r="O945" s="20"/>
      <c r="P945" s="20"/>
    </row>
    <row r="946" spans="1:16" x14ac:dyDescent="0.35">
      <c r="A946" s="18"/>
      <c r="B946" s="18"/>
      <c r="C946" s="20"/>
      <c r="D946" s="18"/>
      <c r="E946" s="26"/>
      <c r="F946" s="26"/>
      <c r="G946" s="20"/>
      <c r="H946" s="21"/>
      <c r="I946" s="21"/>
      <c r="J946" s="21"/>
      <c r="K946" s="22"/>
      <c r="L946" s="22"/>
      <c r="M946" s="22"/>
      <c r="N946" s="22"/>
      <c r="O946" s="20"/>
      <c r="P946" s="20"/>
    </row>
    <row r="947" spans="1:16" x14ac:dyDescent="0.35">
      <c r="A947" s="18"/>
      <c r="B947" s="18"/>
      <c r="C947" s="20"/>
      <c r="D947" s="18"/>
      <c r="E947" s="26"/>
      <c r="F947" s="26"/>
      <c r="G947" s="20"/>
      <c r="H947" s="21"/>
      <c r="I947" s="21"/>
      <c r="J947" s="21"/>
      <c r="K947" s="22"/>
      <c r="L947" s="22"/>
      <c r="M947" s="22"/>
      <c r="N947" s="22"/>
      <c r="O947" s="20"/>
      <c r="P947" s="20"/>
    </row>
    <row r="948" spans="1:16" x14ac:dyDescent="0.35">
      <c r="A948" s="18"/>
      <c r="B948" s="18"/>
      <c r="C948" s="20"/>
      <c r="D948" s="18"/>
      <c r="E948" s="26"/>
      <c r="F948" s="26"/>
      <c r="G948" s="20"/>
      <c r="H948" s="21"/>
      <c r="I948" s="21"/>
      <c r="J948" s="21"/>
      <c r="K948" s="22"/>
      <c r="L948" s="22"/>
      <c r="M948" s="22"/>
      <c r="N948" s="22"/>
      <c r="O948" s="20"/>
      <c r="P948" s="20"/>
    </row>
    <row r="949" spans="1:16" x14ac:dyDescent="0.35">
      <c r="A949" s="18"/>
      <c r="B949" s="18"/>
      <c r="C949" s="20"/>
      <c r="D949" s="18"/>
      <c r="E949" s="26"/>
      <c r="F949" s="26"/>
      <c r="G949" s="20"/>
      <c r="H949" s="21"/>
      <c r="I949" s="21"/>
      <c r="J949" s="21"/>
      <c r="K949" s="22"/>
      <c r="L949" s="22"/>
      <c r="M949" s="22"/>
      <c r="N949" s="22"/>
      <c r="O949" s="20"/>
      <c r="P949" s="20"/>
    </row>
    <row r="950" spans="1:16" x14ac:dyDescent="0.35">
      <c r="A950" s="18"/>
      <c r="B950" s="18"/>
      <c r="C950" s="20"/>
      <c r="D950" s="18"/>
      <c r="E950" s="26"/>
      <c r="F950" s="26"/>
      <c r="G950" s="20"/>
      <c r="H950" s="21"/>
      <c r="I950" s="21"/>
      <c r="J950" s="21"/>
      <c r="K950" s="22"/>
      <c r="L950" s="22"/>
      <c r="M950" s="22"/>
      <c r="N950" s="22"/>
      <c r="O950" s="20"/>
      <c r="P950" s="20"/>
    </row>
    <row r="951" spans="1:16" x14ac:dyDescent="0.35">
      <c r="A951" s="18"/>
      <c r="B951" s="18"/>
      <c r="C951" s="20"/>
      <c r="D951" s="18"/>
      <c r="E951" s="26"/>
      <c r="F951" s="26"/>
      <c r="G951" s="20"/>
      <c r="H951" s="21"/>
      <c r="I951" s="21"/>
      <c r="J951" s="21"/>
      <c r="K951" s="22"/>
      <c r="L951" s="22"/>
      <c r="M951" s="22"/>
      <c r="N951" s="22"/>
      <c r="O951" s="20"/>
      <c r="P951" s="20"/>
    </row>
    <row r="952" spans="1:16" x14ac:dyDescent="0.35">
      <c r="A952" s="18"/>
      <c r="B952" s="18"/>
      <c r="C952" s="20"/>
      <c r="D952" s="18"/>
      <c r="E952" s="26"/>
      <c r="F952" s="26"/>
      <c r="G952" s="20"/>
      <c r="H952" s="21"/>
      <c r="I952" s="21"/>
      <c r="J952" s="21"/>
      <c r="K952" s="22"/>
      <c r="L952" s="22"/>
      <c r="M952" s="22"/>
      <c r="N952" s="22"/>
      <c r="O952" s="20"/>
      <c r="P952" s="20"/>
    </row>
    <row r="953" spans="1:16" x14ac:dyDescent="0.35">
      <c r="A953" s="18"/>
      <c r="B953" s="18"/>
      <c r="C953" s="20"/>
      <c r="D953" s="18"/>
      <c r="E953" s="26"/>
      <c r="F953" s="26"/>
      <c r="G953" s="20"/>
      <c r="H953" s="21"/>
      <c r="I953" s="21"/>
      <c r="J953" s="21"/>
      <c r="K953" s="22"/>
      <c r="L953" s="22"/>
      <c r="M953" s="22"/>
      <c r="N953" s="22"/>
      <c r="O953" s="20"/>
      <c r="P953" s="20"/>
    </row>
    <row r="954" spans="1:16" x14ac:dyDescent="0.35">
      <c r="A954" s="18"/>
      <c r="B954" s="18"/>
      <c r="C954" s="20"/>
      <c r="D954" s="18"/>
      <c r="E954" s="26"/>
      <c r="F954" s="26"/>
      <c r="G954" s="20"/>
      <c r="H954" s="21"/>
      <c r="I954" s="21"/>
      <c r="J954" s="21"/>
      <c r="K954" s="22"/>
      <c r="L954" s="22"/>
      <c r="M954" s="22"/>
      <c r="N954" s="22"/>
      <c r="O954" s="20"/>
      <c r="P954" s="20"/>
    </row>
    <row r="955" spans="1:16" x14ac:dyDescent="0.35">
      <c r="A955" s="18"/>
      <c r="B955" s="18"/>
      <c r="C955" s="20"/>
      <c r="D955" s="18"/>
      <c r="E955" s="26"/>
      <c r="F955" s="26"/>
      <c r="G955" s="20"/>
      <c r="H955" s="21"/>
      <c r="I955" s="21"/>
      <c r="J955" s="21"/>
      <c r="K955" s="22"/>
      <c r="L955" s="22"/>
      <c r="M955" s="22"/>
      <c r="N955" s="22"/>
      <c r="O955" s="20"/>
      <c r="P955" s="20"/>
    </row>
    <row r="956" spans="1:16" x14ac:dyDescent="0.35">
      <c r="A956" s="18"/>
      <c r="B956" s="18"/>
      <c r="C956" s="20"/>
      <c r="D956" s="18"/>
      <c r="E956" s="26"/>
      <c r="F956" s="26"/>
      <c r="G956" s="20"/>
      <c r="H956" s="21"/>
      <c r="I956" s="21"/>
      <c r="J956" s="21"/>
      <c r="K956" s="22"/>
      <c r="L956" s="22"/>
      <c r="M956" s="22"/>
      <c r="N956" s="22"/>
      <c r="O956" s="20"/>
      <c r="P956" s="20"/>
    </row>
    <row r="957" spans="1:16" x14ac:dyDescent="0.35">
      <c r="A957" s="18"/>
      <c r="B957" s="18"/>
      <c r="C957" s="20"/>
      <c r="D957" s="18"/>
      <c r="E957" s="26"/>
      <c r="F957" s="26"/>
      <c r="G957" s="20"/>
      <c r="H957" s="21"/>
      <c r="I957" s="21"/>
      <c r="J957" s="21"/>
      <c r="K957" s="22"/>
      <c r="L957" s="22"/>
      <c r="M957" s="22"/>
      <c r="N957" s="22"/>
      <c r="O957" s="20"/>
      <c r="P957" s="20"/>
    </row>
    <row r="958" spans="1:16" x14ac:dyDescent="0.35">
      <c r="A958" s="18"/>
      <c r="B958" s="18"/>
      <c r="C958" s="20"/>
      <c r="D958" s="18"/>
      <c r="E958" s="26"/>
      <c r="F958" s="26"/>
      <c r="G958" s="20"/>
      <c r="H958" s="21"/>
      <c r="I958" s="21"/>
      <c r="J958" s="21"/>
      <c r="K958" s="22"/>
      <c r="L958" s="22"/>
      <c r="M958" s="22"/>
      <c r="N958" s="22"/>
      <c r="O958" s="20"/>
      <c r="P958" s="20"/>
    </row>
    <row r="959" spans="1:16" x14ac:dyDescent="0.35">
      <c r="A959" s="18"/>
      <c r="B959" s="18"/>
      <c r="C959" s="20"/>
      <c r="D959" s="18"/>
      <c r="E959" s="26"/>
      <c r="F959" s="26"/>
      <c r="G959" s="20"/>
      <c r="H959" s="21"/>
      <c r="I959" s="21"/>
      <c r="J959" s="21"/>
      <c r="K959" s="22"/>
      <c r="L959" s="22"/>
      <c r="M959" s="22"/>
      <c r="N959" s="22"/>
      <c r="O959" s="20"/>
      <c r="P959" s="20"/>
    </row>
    <row r="960" spans="1:16" x14ac:dyDescent="0.35">
      <c r="A960" s="18"/>
      <c r="B960" s="18"/>
      <c r="C960" s="20"/>
      <c r="D960" s="18"/>
      <c r="E960" s="26"/>
      <c r="F960" s="26"/>
      <c r="G960" s="20"/>
      <c r="H960" s="21"/>
      <c r="I960" s="21"/>
      <c r="J960" s="21"/>
      <c r="K960" s="22"/>
      <c r="L960" s="22"/>
      <c r="M960" s="22"/>
      <c r="N960" s="22"/>
      <c r="O960" s="20"/>
      <c r="P960" s="20"/>
    </row>
    <row r="961" spans="1:16" x14ac:dyDescent="0.35">
      <c r="A961" s="18"/>
      <c r="B961" s="18"/>
      <c r="C961" s="20"/>
      <c r="D961" s="18"/>
      <c r="E961" s="26"/>
      <c r="F961" s="26"/>
      <c r="G961" s="20"/>
      <c r="H961" s="21"/>
      <c r="I961" s="21"/>
      <c r="J961" s="21"/>
      <c r="K961" s="22"/>
      <c r="L961" s="22"/>
      <c r="M961" s="22"/>
      <c r="N961" s="22"/>
      <c r="O961" s="20"/>
      <c r="P961" s="20"/>
    </row>
    <row r="962" spans="1:16" x14ac:dyDescent="0.35">
      <c r="A962" s="18"/>
      <c r="B962" s="18"/>
      <c r="C962" s="20"/>
      <c r="D962" s="18"/>
      <c r="E962" s="26"/>
      <c r="F962" s="26"/>
      <c r="G962" s="20"/>
      <c r="H962" s="21"/>
      <c r="I962" s="21"/>
      <c r="J962" s="21"/>
      <c r="K962" s="22"/>
      <c r="L962" s="22"/>
      <c r="M962" s="22"/>
      <c r="N962" s="22"/>
      <c r="O962" s="20"/>
      <c r="P962" s="20"/>
    </row>
    <row r="963" spans="1:16" x14ac:dyDescent="0.35">
      <c r="A963" s="18"/>
      <c r="B963" s="18"/>
      <c r="C963" s="20"/>
      <c r="D963" s="18"/>
      <c r="E963" s="26"/>
      <c r="F963" s="26"/>
      <c r="G963" s="20"/>
      <c r="H963" s="21"/>
      <c r="I963" s="21"/>
      <c r="J963" s="21"/>
      <c r="K963" s="22"/>
      <c r="L963" s="22"/>
      <c r="M963" s="22"/>
      <c r="N963" s="22"/>
      <c r="O963" s="20"/>
      <c r="P963" s="20"/>
    </row>
    <row r="964" spans="1:16" x14ac:dyDescent="0.35">
      <c r="A964" s="18"/>
      <c r="B964" s="18"/>
      <c r="C964" s="20"/>
      <c r="D964" s="18"/>
      <c r="E964" s="26"/>
      <c r="F964" s="26"/>
      <c r="G964" s="20"/>
      <c r="H964" s="21"/>
      <c r="I964" s="21"/>
      <c r="J964" s="21"/>
      <c r="K964" s="22"/>
      <c r="L964" s="22"/>
      <c r="M964" s="22"/>
      <c r="N964" s="22"/>
      <c r="O964" s="20"/>
      <c r="P964" s="20"/>
    </row>
    <row r="965" spans="1:16" x14ac:dyDescent="0.35">
      <c r="A965" s="18"/>
      <c r="B965" s="18"/>
      <c r="C965" s="20"/>
      <c r="D965" s="18"/>
      <c r="E965" s="26"/>
      <c r="F965" s="26"/>
      <c r="G965" s="20"/>
      <c r="H965" s="21"/>
      <c r="I965" s="21"/>
      <c r="J965" s="21"/>
      <c r="K965" s="22"/>
      <c r="L965" s="22"/>
      <c r="M965" s="22"/>
      <c r="N965" s="22"/>
      <c r="O965" s="20"/>
      <c r="P965" s="20"/>
    </row>
    <row r="966" spans="1:16" x14ac:dyDescent="0.35">
      <c r="A966" s="18"/>
      <c r="B966" s="18"/>
      <c r="C966" s="20"/>
      <c r="D966" s="18"/>
      <c r="E966" s="26"/>
      <c r="F966" s="26"/>
      <c r="G966" s="20"/>
      <c r="H966" s="21"/>
      <c r="I966" s="21"/>
      <c r="J966" s="21"/>
      <c r="K966" s="22"/>
      <c r="L966" s="22"/>
      <c r="M966" s="22"/>
      <c r="N966" s="22"/>
      <c r="O966" s="20"/>
      <c r="P966" s="20"/>
    </row>
    <row r="967" spans="1:16" x14ac:dyDescent="0.35">
      <c r="A967" s="18"/>
      <c r="B967" s="18"/>
      <c r="C967" s="20"/>
      <c r="D967" s="18"/>
      <c r="E967" s="26"/>
      <c r="F967" s="26"/>
      <c r="G967" s="20"/>
      <c r="H967" s="21"/>
      <c r="I967" s="21"/>
      <c r="J967" s="21"/>
      <c r="K967" s="22"/>
      <c r="L967" s="22"/>
      <c r="M967" s="22"/>
      <c r="N967" s="22"/>
      <c r="O967" s="20"/>
      <c r="P967" s="20"/>
    </row>
    <row r="968" spans="1:16" x14ac:dyDescent="0.35">
      <c r="A968" s="18"/>
      <c r="B968" s="18"/>
      <c r="C968" s="20"/>
      <c r="D968" s="18"/>
      <c r="E968" s="26"/>
      <c r="F968" s="26"/>
      <c r="G968" s="20"/>
      <c r="H968" s="21"/>
      <c r="I968" s="21"/>
      <c r="J968" s="21"/>
      <c r="K968" s="22"/>
      <c r="L968" s="22"/>
      <c r="M968" s="22"/>
      <c r="N968" s="22"/>
      <c r="O968" s="20"/>
      <c r="P968" s="20"/>
    </row>
    <row r="969" spans="1:16" x14ac:dyDescent="0.35">
      <c r="A969" s="18"/>
      <c r="B969" s="18"/>
      <c r="C969" s="20"/>
      <c r="D969" s="18"/>
      <c r="E969" s="26"/>
      <c r="F969" s="26"/>
      <c r="G969" s="20"/>
      <c r="H969" s="21"/>
      <c r="I969" s="21"/>
      <c r="J969" s="21"/>
      <c r="K969" s="22"/>
      <c r="L969" s="22"/>
      <c r="M969" s="22"/>
      <c r="N969" s="22"/>
      <c r="O969" s="20"/>
      <c r="P969" s="20"/>
    </row>
    <row r="970" spans="1:16" x14ac:dyDescent="0.35">
      <c r="A970" s="18"/>
      <c r="B970" s="18"/>
      <c r="C970" s="20"/>
      <c r="D970" s="18"/>
      <c r="E970" s="26"/>
      <c r="F970" s="26"/>
      <c r="G970" s="20"/>
      <c r="H970" s="21"/>
      <c r="I970" s="21"/>
      <c r="J970" s="21"/>
      <c r="K970" s="22"/>
      <c r="L970" s="22"/>
      <c r="M970" s="22"/>
      <c r="N970" s="22"/>
      <c r="O970" s="20"/>
      <c r="P970" s="20"/>
    </row>
    <row r="971" spans="1:16" x14ac:dyDescent="0.35">
      <c r="A971" s="18"/>
      <c r="B971" s="18"/>
      <c r="C971" s="20"/>
      <c r="D971" s="18"/>
      <c r="E971" s="26"/>
      <c r="F971" s="26"/>
      <c r="G971" s="20"/>
      <c r="H971" s="21"/>
      <c r="I971" s="21"/>
      <c r="J971" s="21"/>
      <c r="K971" s="22"/>
      <c r="L971" s="22"/>
      <c r="M971" s="22"/>
      <c r="N971" s="22"/>
      <c r="O971" s="20"/>
      <c r="P971" s="20"/>
    </row>
    <row r="972" spans="1:16" x14ac:dyDescent="0.35">
      <c r="A972" s="18"/>
      <c r="B972" s="18"/>
      <c r="C972" s="20"/>
      <c r="D972" s="18"/>
      <c r="E972" s="26"/>
      <c r="F972" s="26"/>
      <c r="G972" s="20"/>
      <c r="H972" s="21"/>
      <c r="I972" s="21"/>
      <c r="J972" s="21"/>
      <c r="K972" s="22"/>
      <c r="L972" s="22"/>
      <c r="M972" s="22"/>
      <c r="N972" s="22"/>
      <c r="O972" s="20"/>
      <c r="P972" s="20"/>
    </row>
    <row r="973" spans="1:16" x14ac:dyDescent="0.35">
      <c r="A973" s="18"/>
      <c r="B973" s="18"/>
      <c r="C973" s="20"/>
      <c r="D973" s="18"/>
      <c r="E973" s="26"/>
      <c r="F973" s="26"/>
      <c r="G973" s="20"/>
      <c r="H973" s="21"/>
      <c r="I973" s="21"/>
      <c r="J973" s="21"/>
      <c r="K973" s="22"/>
      <c r="L973" s="22"/>
      <c r="M973" s="22"/>
      <c r="N973" s="22"/>
      <c r="O973" s="20"/>
      <c r="P973" s="20"/>
    </row>
    <row r="974" spans="1:16" x14ac:dyDescent="0.35">
      <c r="A974" s="18"/>
      <c r="B974" s="18"/>
      <c r="C974" s="20"/>
      <c r="D974" s="18"/>
      <c r="E974" s="26"/>
      <c r="F974" s="26"/>
      <c r="G974" s="20"/>
      <c r="H974" s="21"/>
      <c r="I974" s="21"/>
      <c r="J974" s="21"/>
      <c r="K974" s="22"/>
      <c r="L974" s="22"/>
      <c r="M974" s="22"/>
      <c r="N974" s="22"/>
      <c r="O974" s="20"/>
      <c r="P974" s="20"/>
    </row>
    <row r="975" spans="1:16" x14ac:dyDescent="0.35">
      <c r="A975" s="18"/>
      <c r="B975" s="18"/>
      <c r="C975" s="20"/>
      <c r="D975" s="18"/>
      <c r="E975" s="26"/>
      <c r="F975" s="26"/>
      <c r="G975" s="20"/>
      <c r="H975" s="21"/>
      <c r="I975" s="21"/>
      <c r="J975" s="21"/>
      <c r="K975" s="22"/>
      <c r="L975" s="22"/>
      <c r="M975" s="22"/>
      <c r="N975" s="22"/>
      <c r="O975" s="20"/>
      <c r="P975" s="20"/>
    </row>
    <row r="976" spans="1:16" x14ac:dyDescent="0.35">
      <c r="A976" s="18"/>
      <c r="B976" s="18"/>
      <c r="C976" s="20"/>
      <c r="D976" s="18"/>
      <c r="E976" s="26"/>
      <c r="F976" s="26"/>
      <c r="G976" s="20"/>
      <c r="H976" s="21"/>
      <c r="I976" s="21"/>
      <c r="J976" s="21"/>
      <c r="K976" s="22"/>
      <c r="L976" s="22"/>
      <c r="M976" s="22"/>
      <c r="N976" s="22"/>
      <c r="O976" s="20"/>
      <c r="P976" s="20"/>
    </row>
    <row r="977" spans="1:16" x14ac:dyDescent="0.35">
      <c r="A977" s="18"/>
      <c r="B977" s="18"/>
      <c r="C977" s="20"/>
      <c r="D977" s="18"/>
      <c r="E977" s="26"/>
      <c r="F977" s="26"/>
      <c r="G977" s="20"/>
      <c r="H977" s="21"/>
      <c r="I977" s="21"/>
      <c r="J977" s="21"/>
      <c r="K977" s="22"/>
      <c r="L977" s="22"/>
      <c r="M977" s="22"/>
      <c r="N977" s="22"/>
      <c r="O977" s="20"/>
      <c r="P977" s="20"/>
    </row>
    <row r="978" spans="1:16" x14ac:dyDescent="0.35">
      <c r="A978" s="18"/>
      <c r="B978" s="18"/>
      <c r="C978" s="20"/>
      <c r="D978" s="18"/>
      <c r="E978" s="26"/>
      <c r="F978" s="26"/>
      <c r="G978" s="20"/>
      <c r="H978" s="21"/>
      <c r="I978" s="21"/>
      <c r="J978" s="21"/>
      <c r="K978" s="22"/>
      <c r="L978" s="22"/>
      <c r="M978" s="22"/>
      <c r="N978" s="22"/>
      <c r="O978" s="20"/>
      <c r="P978" s="20"/>
    </row>
    <row r="979" spans="1:16" x14ac:dyDescent="0.35">
      <c r="A979" s="18"/>
      <c r="B979" s="18"/>
      <c r="C979" s="20"/>
      <c r="D979" s="18"/>
      <c r="E979" s="26"/>
      <c r="F979" s="26"/>
      <c r="G979" s="20"/>
      <c r="H979" s="21"/>
      <c r="I979" s="21"/>
      <c r="J979" s="21"/>
      <c r="K979" s="22"/>
      <c r="L979" s="22"/>
      <c r="M979" s="22"/>
      <c r="N979" s="22"/>
      <c r="O979" s="20"/>
      <c r="P979" s="20"/>
    </row>
    <row r="980" spans="1:16" x14ac:dyDescent="0.35">
      <c r="A980" s="18"/>
      <c r="B980" s="18"/>
      <c r="C980" s="20"/>
      <c r="D980" s="18"/>
      <c r="E980" s="26"/>
      <c r="F980" s="26"/>
      <c r="G980" s="20"/>
      <c r="H980" s="21"/>
      <c r="I980" s="21"/>
      <c r="J980" s="21"/>
      <c r="K980" s="22"/>
      <c r="L980" s="22"/>
      <c r="M980" s="22"/>
      <c r="N980" s="22"/>
      <c r="O980" s="20"/>
      <c r="P980" s="20"/>
    </row>
    <row r="981" spans="1:16" x14ac:dyDescent="0.35">
      <c r="A981" s="18"/>
      <c r="B981" s="18"/>
      <c r="C981" s="20"/>
      <c r="D981" s="18"/>
      <c r="E981" s="26"/>
      <c r="F981" s="26"/>
      <c r="G981" s="20"/>
      <c r="H981" s="21"/>
      <c r="I981" s="21"/>
      <c r="J981" s="21"/>
      <c r="K981" s="22"/>
      <c r="L981" s="22"/>
      <c r="M981" s="22"/>
      <c r="N981" s="22"/>
      <c r="O981" s="20"/>
      <c r="P981" s="20"/>
    </row>
    <row r="982" spans="1:16" x14ac:dyDescent="0.35">
      <c r="A982" s="18"/>
      <c r="B982" s="18"/>
      <c r="C982" s="20"/>
      <c r="D982" s="18"/>
      <c r="E982" s="26"/>
      <c r="F982" s="26"/>
      <c r="G982" s="20"/>
      <c r="H982" s="21"/>
      <c r="I982" s="21"/>
      <c r="J982" s="21"/>
      <c r="K982" s="22"/>
      <c r="L982" s="22"/>
      <c r="M982" s="22"/>
      <c r="N982" s="22"/>
      <c r="O982" s="20"/>
      <c r="P982" s="20"/>
    </row>
    <row r="983" spans="1:16" x14ac:dyDescent="0.35">
      <c r="A983" s="18"/>
      <c r="B983" s="18"/>
      <c r="C983" s="20"/>
      <c r="D983" s="18"/>
      <c r="E983" s="26"/>
      <c r="F983" s="26"/>
      <c r="G983" s="20"/>
      <c r="H983" s="21"/>
      <c r="I983" s="21"/>
      <c r="J983" s="21"/>
      <c r="K983" s="22"/>
      <c r="L983" s="22"/>
      <c r="M983" s="22"/>
      <c r="N983" s="22"/>
      <c r="O983" s="20"/>
      <c r="P983" s="20"/>
    </row>
    <row r="984" spans="1:16" x14ac:dyDescent="0.35">
      <c r="A984" s="18"/>
      <c r="B984" s="18"/>
      <c r="C984" s="20"/>
      <c r="D984" s="18"/>
      <c r="E984" s="26"/>
      <c r="F984" s="26"/>
      <c r="G984" s="20"/>
      <c r="H984" s="21"/>
      <c r="I984" s="21"/>
      <c r="J984" s="21"/>
      <c r="K984" s="22"/>
      <c r="L984" s="22"/>
      <c r="M984" s="22"/>
      <c r="N984" s="22"/>
      <c r="O984" s="20"/>
      <c r="P984" s="20"/>
    </row>
    <row r="985" spans="1:16" x14ac:dyDescent="0.35">
      <c r="A985" s="18"/>
      <c r="B985" s="18"/>
      <c r="C985" s="20"/>
      <c r="D985" s="18"/>
      <c r="E985" s="26"/>
      <c r="F985" s="26"/>
      <c r="G985" s="20"/>
      <c r="H985" s="21"/>
      <c r="I985" s="21"/>
      <c r="J985" s="21"/>
      <c r="K985" s="22"/>
      <c r="L985" s="22"/>
      <c r="M985" s="22"/>
      <c r="N985" s="22"/>
      <c r="O985" s="20"/>
      <c r="P985" s="20"/>
    </row>
    <row r="986" spans="1:16" x14ac:dyDescent="0.35">
      <c r="A986" s="18"/>
      <c r="B986" s="18"/>
      <c r="C986" s="20"/>
      <c r="D986" s="18"/>
      <c r="E986" s="26"/>
      <c r="F986" s="26"/>
      <c r="G986" s="20"/>
      <c r="H986" s="21"/>
      <c r="I986" s="21"/>
      <c r="J986" s="21"/>
      <c r="K986" s="22"/>
      <c r="L986" s="22"/>
      <c r="M986" s="22"/>
      <c r="N986" s="22"/>
      <c r="O986" s="20"/>
      <c r="P986" s="20"/>
    </row>
    <row r="987" spans="1:16" x14ac:dyDescent="0.35">
      <c r="A987" s="18"/>
      <c r="B987" s="18"/>
      <c r="C987" s="20"/>
      <c r="D987" s="18"/>
      <c r="E987" s="26"/>
      <c r="F987" s="26"/>
      <c r="G987" s="20"/>
      <c r="H987" s="21"/>
      <c r="I987" s="21"/>
      <c r="J987" s="21"/>
      <c r="K987" s="22"/>
      <c r="L987" s="22"/>
      <c r="M987" s="22"/>
      <c r="N987" s="22"/>
      <c r="O987" s="20"/>
      <c r="P987" s="20"/>
    </row>
    <row r="988" spans="1:16" x14ac:dyDescent="0.35">
      <c r="A988" s="18"/>
      <c r="B988" s="18"/>
      <c r="C988" s="20"/>
      <c r="D988" s="18"/>
      <c r="E988" s="26"/>
      <c r="F988" s="26"/>
      <c r="G988" s="20"/>
      <c r="H988" s="21"/>
      <c r="I988" s="21"/>
      <c r="J988" s="21"/>
      <c r="K988" s="22"/>
      <c r="L988" s="22"/>
      <c r="M988" s="22"/>
      <c r="N988" s="22"/>
      <c r="O988" s="20"/>
      <c r="P988" s="20"/>
    </row>
    <row r="989" spans="1:16" x14ac:dyDescent="0.35">
      <c r="A989" s="18"/>
      <c r="B989" s="18"/>
      <c r="C989" s="20"/>
      <c r="D989" s="18"/>
      <c r="E989" s="26"/>
      <c r="F989" s="26"/>
      <c r="G989" s="20"/>
      <c r="H989" s="21"/>
      <c r="I989" s="21"/>
      <c r="J989" s="21"/>
      <c r="K989" s="22"/>
      <c r="L989" s="22"/>
      <c r="M989" s="22"/>
      <c r="N989" s="22"/>
      <c r="O989" s="20"/>
      <c r="P989" s="20"/>
    </row>
    <row r="990" spans="1:16" x14ac:dyDescent="0.35">
      <c r="A990" s="18"/>
      <c r="B990" s="18"/>
      <c r="C990" s="20"/>
      <c r="D990" s="18"/>
      <c r="E990" s="26"/>
      <c r="F990" s="26"/>
      <c r="G990" s="20"/>
      <c r="H990" s="21"/>
      <c r="I990" s="21"/>
      <c r="J990" s="21"/>
      <c r="K990" s="22"/>
      <c r="L990" s="22"/>
      <c r="M990" s="22"/>
      <c r="N990" s="22"/>
      <c r="O990" s="20"/>
      <c r="P990" s="20"/>
    </row>
    <row r="991" spans="1:16" x14ac:dyDescent="0.35">
      <c r="A991" s="18"/>
      <c r="B991" s="18"/>
      <c r="C991" s="20"/>
      <c r="D991" s="18"/>
      <c r="E991" s="26"/>
      <c r="F991" s="26"/>
      <c r="G991" s="20"/>
      <c r="H991" s="21"/>
      <c r="I991" s="21"/>
      <c r="J991" s="21"/>
      <c r="K991" s="22"/>
      <c r="L991" s="22"/>
      <c r="M991" s="22"/>
      <c r="N991" s="22"/>
      <c r="O991" s="20"/>
      <c r="P991" s="20"/>
    </row>
    <row r="992" spans="1:16" x14ac:dyDescent="0.35">
      <c r="A992" s="18"/>
      <c r="B992" s="18"/>
      <c r="C992" s="20"/>
      <c r="D992" s="18"/>
      <c r="E992" s="26"/>
      <c r="F992" s="26"/>
      <c r="G992" s="20"/>
      <c r="H992" s="21"/>
      <c r="I992" s="21"/>
      <c r="J992" s="21"/>
      <c r="K992" s="22"/>
      <c r="L992" s="22"/>
      <c r="M992" s="22"/>
      <c r="N992" s="22"/>
      <c r="O992" s="20"/>
      <c r="P992" s="20"/>
    </row>
    <row r="993" spans="1:16" x14ac:dyDescent="0.35">
      <c r="A993" s="18"/>
      <c r="B993" s="18"/>
      <c r="C993" s="20"/>
      <c r="D993" s="18"/>
      <c r="E993" s="26"/>
      <c r="F993" s="26"/>
      <c r="G993" s="20"/>
      <c r="H993" s="21"/>
      <c r="I993" s="21"/>
      <c r="J993" s="21"/>
      <c r="K993" s="22"/>
      <c r="L993" s="22"/>
      <c r="M993" s="22"/>
      <c r="N993" s="22"/>
      <c r="O993" s="20"/>
      <c r="P993" s="20"/>
    </row>
    <row r="994" spans="1:16" x14ac:dyDescent="0.35">
      <c r="A994" s="18"/>
      <c r="B994" s="18"/>
      <c r="C994" s="20"/>
      <c r="D994" s="18"/>
      <c r="E994" s="26"/>
      <c r="F994" s="26"/>
      <c r="G994" s="20"/>
      <c r="H994" s="21"/>
      <c r="I994" s="21"/>
      <c r="J994" s="21"/>
      <c r="K994" s="22"/>
      <c r="L994" s="22"/>
      <c r="M994" s="22"/>
      <c r="N994" s="22"/>
      <c r="O994" s="20"/>
      <c r="P994" s="20"/>
    </row>
    <row r="995" spans="1:16" x14ac:dyDescent="0.35">
      <c r="A995" s="18"/>
      <c r="B995" s="18"/>
      <c r="C995" s="20"/>
      <c r="D995" s="18"/>
      <c r="E995" s="26"/>
      <c r="F995" s="26"/>
      <c r="G995" s="20"/>
      <c r="H995" s="21"/>
      <c r="I995" s="21"/>
      <c r="J995" s="21"/>
      <c r="K995" s="22"/>
      <c r="L995" s="22"/>
      <c r="M995" s="22"/>
      <c r="N995" s="22"/>
      <c r="O995" s="20"/>
      <c r="P995" s="20"/>
    </row>
    <row r="996" spans="1:16" x14ac:dyDescent="0.35">
      <c r="A996" s="18"/>
      <c r="B996" s="18"/>
      <c r="C996" s="20"/>
      <c r="D996" s="18"/>
      <c r="E996" s="26"/>
      <c r="F996" s="26"/>
      <c r="G996" s="20"/>
      <c r="H996" s="21"/>
      <c r="I996" s="21"/>
      <c r="J996" s="21"/>
      <c r="K996" s="22"/>
      <c r="L996" s="22"/>
      <c r="M996" s="22"/>
      <c r="N996" s="22"/>
      <c r="O996" s="20"/>
      <c r="P996" s="20"/>
    </row>
    <row r="997" spans="1:16" x14ac:dyDescent="0.35">
      <c r="A997" s="18"/>
      <c r="B997" s="18"/>
      <c r="C997" s="20"/>
      <c r="D997" s="18"/>
      <c r="E997" s="26"/>
      <c r="F997" s="26"/>
      <c r="G997" s="20"/>
      <c r="H997" s="21"/>
      <c r="I997" s="21"/>
      <c r="J997" s="21"/>
      <c r="K997" s="22"/>
      <c r="L997" s="22"/>
      <c r="M997" s="22"/>
      <c r="N997" s="22"/>
      <c r="O997" s="20"/>
      <c r="P997" s="20"/>
    </row>
    <row r="998" spans="1:16" x14ac:dyDescent="0.35">
      <c r="A998" s="18"/>
      <c r="B998" s="18"/>
      <c r="C998" s="20"/>
      <c r="D998" s="18"/>
      <c r="E998" s="26"/>
      <c r="F998" s="26"/>
      <c r="G998" s="20"/>
      <c r="H998" s="21"/>
      <c r="I998" s="21"/>
      <c r="J998" s="21"/>
      <c r="K998" s="22"/>
      <c r="L998" s="22"/>
      <c r="M998" s="22"/>
      <c r="N998" s="22"/>
      <c r="O998" s="20"/>
      <c r="P998" s="20"/>
    </row>
    <row r="999" spans="1:16" x14ac:dyDescent="0.35">
      <c r="A999" s="18"/>
      <c r="B999" s="18"/>
      <c r="C999" s="20"/>
      <c r="D999" s="18"/>
      <c r="E999" s="26"/>
      <c r="F999" s="26"/>
      <c r="G999" s="20"/>
      <c r="H999" s="21"/>
      <c r="I999" s="21"/>
      <c r="J999" s="21"/>
      <c r="K999" s="22"/>
      <c r="L999" s="22"/>
      <c r="M999" s="22"/>
      <c r="N999" s="22"/>
      <c r="O999" s="20"/>
      <c r="P999" s="20"/>
    </row>
    <row r="1000" spans="1:16" x14ac:dyDescent="0.35">
      <c r="A1000" s="18"/>
      <c r="B1000" s="18"/>
      <c r="C1000" s="20"/>
      <c r="D1000" s="18"/>
      <c r="E1000" s="26"/>
      <c r="F1000" s="26"/>
      <c r="G1000" s="20"/>
      <c r="H1000" s="21"/>
      <c r="I1000" s="21"/>
      <c r="J1000" s="21"/>
      <c r="K1000" s="22"/>
      <c r="L1000" s="22"/>
      <c r="M1000" s="22"/>
      <c r="N1000" s="22"/>
      <c r="O1000" s="20"/>
      <c r="P1000" s="20"/>
    </row>
    <row r="1001" spans="1:16" x14ac:dyDescent="0.35">
      <c r="A1001" s="18"/>
      <c r="B1001" s="18"/>
      <c r="C1001" s="20"/>
      <c r="D1001" s="18"/>
      <c r="E1001" s="26"/>
      <c r="F1001" s="26"/>
      <c r="G1001" s="20"/>
      <c r="H1001" s="21"/>
      <c r="I1001" s="21"/>
      <c r="J1001" s="21"/>
      <c r="K1001" s="22"/>
      <c r="L1001" s="22"/>
      <c r="M1001" s="22"/>
      <c r="N1001" s="22"/>
      <c r="O1001" s="20"/>
      <c r="P1001" s="20"/>
    </row>
    <row r="1002" spans="1:16" x14ac:dyDescent="0.35">
      <c r="A1002" s="18"/>
      <c r="B1002" s="18"/>
      <c r="C1002" s="20"/>
      <c r="D1002" s="18"/>
      <c r="E1002" s="26"/>
      <c r="F1002" s="26"/>
      <c r="G1002" s="20"/>
      <c r="H1002" s="21"/>
      <c r="I1002" s="21"/>
      <c r="J1002" s="21"/>
      <c r="K1002" s="22"/>
      <c r="L1002" s="22"/>
      <c r="M1002" s="22"/>
      <c r="N1002" s="22"/>
      <c r="O1002" s="20"/>
      <c r="P1002" s="20"/>
    </row>
    <row r="1003" spans="1:16" x14ac:dyDescent="0.35">
      <c r="A1003" s="18"/>
      <c r="B1003" s="18"/>
      <c r="C1003" s="20"/>
      <c r="D1003" s="18"/>
      <c r="E1003" s="26"/>
      <c r="F1003" s="26"/>
      <c r="G1003" s="20"/>
      <c r="H1003" s="21"/>
      <c r="I1003" s="21"/>
      <c r="J1003" s="21"/>
      <c r="K1003" s="22"/>
      <c r="L1003" s="22"/>
      <c r="M1003" s="22"/>
      <c r="N1003" s="22"/>
      <c r="O1003" s="20"/>
      <c r="P1003" s="20"/>
    </row>
    <row r="1004" spans="1:16" x14ac:dyDescent="0.35">
      <c r="A1004" s="18"/>
      <c r="B1004" s="18"/>
      <c r="C1004" s="20"/>
      <c r="D1004" s="18"/>
      <c r="E1004" s="26"/>
      <c r="F1004" s="26"/>
      <c r="G1004" s="20"/>
      <c r="H1004" s="21"/>
      <c r="I1004" s="21"/>
      <c r="J1004" s="21"/>
      <c r="K1004" s="22"/>
      <c r="L1004" s="22"/>
      <c r="M1004" s="22"/>
      <c r="N1004" s="22"/>
      <c r="O1004" s="20"/>
      <c r="P1004" s="20"/>
    </row>
    <row r="1005" spans="1:16" x14ac:dyDescent="0.35">
      <c r="A1005" s="18"/>
      <c r="B1005" s="18"/>
      <c r="C1005" s="20"/>
      <c r="D1005" s="18"/>
      <c r="E1005" s="26"/>
      <c r="F1005" s="26"/>
      <c r="G1005" s="20"/>
      <c r="H1005" s="21"/>
      <c r="I1005" s="21"/>
      <c r="J1005" s="21"/>
      <c r="K1005" s="22"/>
      <c r="L1005" s="22"/>
      <c r="M1005" s="22"/>
      <c r="N1005" s="22"/>
      <c r="O1005" s="20"/>
      <c r="P1005" s="20"/>
    </row>
    <row r="1006" spans="1:16" x14ac:dyDescent="0.35">
      <c r="A1006" s="18"/>
      <c r="B1006" s="18"/>
      <c r="C1006" s="20"/>
      <c r="D1006" s="18"/>
      <c r="E1006" s="26"/>
      <c r="F1006" s="26"/>
      <c r="G1006" s="20"/>
      <c r="H1006" s="21"/>
      <c r="I1006" s="21"/>
      <c r="J1006" s="21"/>
      <c r="K1006" s="22"/>
      <c r="L1006" s="22"/>
      <c r="M1006" s="22"/>
      <c r="N1006" s="22"/>
      <c r="O1006" s="20"/>
      <c r="P1006" s="20"/>
    </row>
    <row r="1007" spans="1:16" x14ac:dyDescent="0.35">
      <c r="A1007" s="18"/>
      <c r="B1007" s="18"/>
      <c r="C1007" s="20"/>
      <c r="D1007" s="18"/>
      <c r="E1007" s="26"/>
      <c r="F1007" s="26"/>
      <c r="G1007" s="20"/>
      <c r="H1007" s="21"/>
      <c r="I1007" s="21"/>
      <c r="J1007" s="21"/>
      <c r="K1007" s="22"/>
      <c r="L1007" s="22"/>
      <c r="M1007" s="22"/>
      <c r="N1007" s="22"/>
      <c r="O1007" s="20"/>
      <c r="P1007" s="20"/>
    </row>
    <row r="1008" spans="1:16" x14ac:dyDescent="0.35">
      <c r="A1008" s="18"/>
      <c r="B1008" s="18"/>
      <c r="C1008" s="20"/>
      <c r="D1008" s="18"/>
      <c r="E1008" s="26"/>
      <c r="F1008" s="26"/>
      <c r="G1008" s="20"/>
      <c r="H1008" s="21"/>
      <c r="I1008" s="21"/>
      <c r="J1008" s="21"/>
      <c r="K1008" s="22"/>
      <c r="L1008" s="22"/>
      <c r="M1008" s="22"/>
      <c r="N1008" s="22"/>
      <c r="O1008" s="20"/>
      <c r="P1008" s="20"/>
    </row>
    <row r="1009" spans="1:16" x14ac:dyDescent="0.35">
      <c r="A1009" s="18"/>
      <c r="B1009" s="18"/>
      <c r="C1009" s="20"/>
      <c r="D1009" s="18"/>
      <c r="E1009" s="26"/>
      <c r="F1009" s="26"/>
      <c r="G1009" s="20"/>
      <c r="H1009" s="21"/>
      <c r="I1009" s="21"/>
      <c r="J1009" s="21"/>
      <c r="K1009" s="22"/>
      <c r="L1009" s="22"/>
      <c r="M1009" s="22"/>
      <c r="N1009" s="22"/>
      <c r="O1009" s="20"/>
      <c r="P1009" s="20"/>
    </row>
    <row r="1010" spans="1:16" x14ac:dyDescent="0.35">
      <c r="A1010" s="18"/>
      <c r="B1010" s="18"/>
      <c r="C1010" s="20"/>
      <c r="D1010" s="18"/>
      <c r="E1010" s="26"/>
      <c r="F1010" s="26"/>
      <c r="G1010" s="20"/>
      <c r="H1010" s="21"/>
      <c r="I1010" s="21"/>
      <c r="J1010" s="21"/>
      <c r="K1010" s="22"/>
      <c r="L1010" s="22"/>
      <c r="M1010" s="22"/>
      <c r="N1010" s="22"/>
      <c r="O1010" s="20"/>
      <c r="P1010" s="20"/>
    </row>
    <row r="1011" spans="1:16" x14ac:dyDescent="0.35">
      <c r="A1011" s="18"/>
      <c r="B1011" s="18"/>
      <c r="C1011" s="20"/>
      <c r="D1011" s="18"/>
      <c r="E1011" s="26"/>
      <c r="F1011" s="26"/>
      <c r="G1011" s="20"/>
      <c r="H1011" s="21"/>
      <c r="I1011" s="21"/>
      <c r="J1011" s="21"/>
      <c r="K1011" s="22"/>
      <c r="L1011" s="22"/>
      <c r="M1011" s="22"/>
      <c r="N1011" s="22"/>
      <c r="O1011" s="20"/>
      <c r="P1011" s="20"/>
    </row>
    <row r="1012" spans="1:16" x14ac:dyDescent="0.35">
      <c r="A1012" s="18"/>
      <c r="B1012" s="18"/>
      <c r="C1012" s="20"/>
      <c r="D1012" s="18"/>
      <c r="E1012" s="26"/>
      <c r="F1012" s="26"/>
      <c r="G1012" s="20"/>
      <c r="H1012" s="21"/>
      <c r="I1012" s="21"/>
      <c r="J1012" s="21"/>
      <c r="K1012" s="22"/>
      <c r="L1012" s="22"/>
      <c r="M1012" s="22"/>
      <c r="N1012" s="22"/>
      <c r="O1012" s="20"/>
      <c r="P1012" s="20"/>
    </row>
    <row r="1013" spans="1:16" x14ac:dyDescent="0.35">
      <c r="A1013" s="18"/>
      <c r="B1013" s="18"/>
      <c r="C1013" s="20"/>
      <c r="D1013" s="18"/>
      <c r="E1013" s="26"/>
      <c r="F1013" s="26"/>
      <c r="G1013" s="20"/>
      <c r="H1013" s="21"/>
      <c r="I1013" s="21"/>
      <c r="J1013" s="21"/>
      <c r="K1013" s="22"/>
      <c r="L1013" s="22"/>
      <c r="M1013" s="22"/>
      <c r="N1013" s="22"/>
      <c r="O1013" s="20"/>
      <c r="P1013" s="20"/>
    </row>
    <row r="1014" spans="1:16" x14ac:dyDescent="0.35">
      <c r="A1014" s="18"/>
      <c r="B1014" s="18"/>
      <c r="C1014" s="20"/>
      <c r="D1014" s="18"/>
      <c r="E1014" s="26"/>
      <c r="F1014" s="26"/>
      <c r="G1014" s="20"/>
      <c r="H1014" s="21"/>
      <c r="I1014" s="21"/>
      <c r="J1014" s="21"/>
      <c r="K1014" s="22"/>
      <c r="L1014" s="22"/>
      <c r="M1014" s="22"/>
      <c r="N1014" s="22"/>
      <c r="O1014" s="20"/>
      <c r="P1014" s="20"/>
    </row>
    <row r="1015" spans="1:16" x14ac:dyDescent="0.35">
      <c r="A1015" s="18"/>
      <c r="B1015" s="18"/>
      <c r="C1015" s="20"/>
      <c r="D1015" s="18"/>
      <c r="E1015" s="26"/>
      <c r="F1015" s="26"/>
      <c r="G1015" s="20"/>
      <c r="H1015" s="21"/>
      <c r="I1015" s="21"/>
      <c r="J1015" s="21"/>
      <c r="K1015" s="22"/>
      <c r="L1015" s="22"/>
      <c r="M1015" s="22"/>
      <c r="N1015" s="22"/>
      <c r="O1015" s="20"/>
      <c r="P1015" s="20"/>
    </row>
    <row r="1016" spans="1:16" x14ac:dyDescent="0.35">
      <c r="A1016" s="18"/>
      <c r="B1016" s="18"/>
      <c r="C1016" s="20"/>
      <c r="D1016" s="18"/>
      <c r="E1016" s="26"/>
      <c r="F1016" s="26"/>
      <c r="G1016" s="20"/>
      <c r="H1016" s="21"/>
      <c r="I1016" s="21"/>
      <c r="J1016" s="21"/>
      <c r="K1016" s="22"/>
      <c r="L1016" s="22"/>
      <c r="M1016" s="22"/>
      <c r="N1016" s="22"/>
      <c r="O1016" s="20"/>
      <c r="P1016" s="20"/>
    </row>
    <row r="1017" spans="1:16" x14ac:dyDescent="0.35">
      <c r="A1017" s="18"/>
      <c r="B1017" s="18"/>
      <c r="C1017" s="20"/>
      <c r="D1017" s="18"/>
      <c r="E1017" s="26"/>
      <c r="F1017" s="26"/>
      <c r="G1017" s="20"/>
      <c r="H1017" s="21"/>
      <c r="I1017" s="21"/>
      <c r="J1017" s="21"/>
      <c r="K1017" s="22"/>
      <c r="L1017" s="22"/>
      <c r="M1017" s="22"/>
      <c r="N1017" s="22"/>
      <c r="O1017" s="20"/>
      <c r="P1017" s="20"/>
    </row>
    <row r="1018" spans="1:16" x14ac:dyDescent="0.35">
      <c r="A1018" s="18"/>
      <c r="B1018" s="18"/>
      <c r="C1018" s="20"/>
      <c r="D1018" s="18"/>
      <c r="E1018" s="26"/>
      <c r="F1018" s="26"/>
      <c r="G1018" s="20"/>
      <c r="H1018" s="21"/>
      <c r="I1018" s="21"/>
      <c r="J1018" s="21"/>
      <c r="K1018" s="22"/>
      <c r="L1018" s="22"/>
      <c r="M1018" s="22"/>
      <c r="N1018" s="22"/>
      <c r="O1018" s="20"/>
      <c r="P1018" s="20"/>
    </row>
    <row r="1019" spans="1:16" x14ac:dyDescent="0.35">
      <c r="A1019" s="18"/>
      <c r="B1019" s="18"/>
      <c r="C1019" s="20"/>
      <c r="D1019" s="18"/>
      <c r="E1019" s="26"/>
      <c r="F1019" s="26"/>
      <c r="G1019" s="20"/>
      <c r="H1019" s="21"/>
      <c r="I1019" s="21"/>
      <c r="J1019" s="21"/>
      <c r="K1019" s="22"/>
      <c r="L1019" s="22"/>
      <c r="M1019" s="22"/>
      <c r="N1019" s="22"/>
      <c r="O1019" s="20"/>
      <c r="P1019" s="20"/>
    </row>
    <row r="1020" spans="1:16" x14ac:dyDescent="0.35">
      <c r="A1020" s="18"/>
      <c r="B1020" s="18"/>
      <c r="C1020" s="20"/>
      <c r="D1020" s="18"/>
      <c r="E1020" s="26"/>
      <c r="F1020" s="26"/>
      <c r="G1020" s="20"/>
      <c r="H1020" s="21"/>
      <c r="I1020" s="21"/>
      <c r="J1020" s="21"/>
      <c r="K1020" s="22"/>
      <c r="L1020" s="22"/>
      <c r="M1020" s="22"/>
      <c r="N1020" s="22"/>
      <c r="O1020" s="20"/>
      <c r="P1020" s="20"/>
    </row>
    <row r="1021" spans="1:16" x14ac:dyDescent="0.35">
      <c r="A1021" s="18"/>
      <c r="B1021" s="18"/>
      <c r="C1021" s="20"/>
      <c r="D1021" s="18"/>
      <c r="E1021" s="26"/>
      <c r="F1021" s="26"/>
      <c r="G1021" s="20"/>
      <c r="H1021" s="21"/>
      <c r="I1021" s="21"/>
      <c r="J1021" s="21"/>
      <c r="K1021" s="22"/>
      <c r="L1021" s="22"/>
      <c r="M1021" s="22"/>
      <c r="N1021" s="22"/>
      <c r="O1021" s="20"/>
      <c r="P1021" s="20"/>
    </row>
    <row r="1022" spans="1:16" x14ac:dyDescent="0.35">
      <c r="A1022" s="18"/>
      <c r="B1022" s="18"/>
      <c r="C1022" s="20"/>
      <c r="D1022" s="18"/>
      <c r="E1022" s="26"/>
      <c r="F1022" s="26"/>
      <c r="G1022" s="20"/>
      <c r="H1022" s="21"/>
      <c r="I1022" s="21"/>
      <c r="J1022" s="21"/>
      <c r="K1022" s="22"/>
      <c r="L1022" s="22"/>
      <c r="M1022" s="22"/>
      <c r="N1022" s="22"/>
      <c r="O1022" s="20"/>
      <c r="P1022" s="20"/>
    </row>
    <row r="1023" spans="1:16" x14ac:dyDescent="0.35">
      <c r="A1023" s="18"/>
      <c r="B1023" s="18"/>
      <c r="C1023" s="20"/>
      <c r="D1023" s="18"/>
      <c r="E1023" s="26"/>
      <c r="F1023" s="26"/>
      <c r="G1023" s="20"/>
      <c r="H1023" s="21"/>
      <c r="I1023" s="21"/>
      <c r="J1023" s="21"/>
      <c r="K1023" s="22"/>
      <c r="L1023" s="22"/>
      <c r="M1023" s="22"/>
      <c r="N1023" s="22"/>
      <c r="O1023" s="20"/>
      <c r="P1023" s="20"/>
    </row>
    <row r="1024" spans="1:16" x14ac:dyDescent="0.35">
      <c r="A1024" s="18"/>
      <c r="B1024" s="18"/>
      <c r="C1024" s="20"/>
      <c r="D1024" s="18"/>
      <c r="E1024" s="26"/>
      <c r="F1024" s="26"/>
      <c r="G1024" s="20"/>
      <c r="H1024" s="21"/>
      <c r="I1024" s="21"/>
      <c r="J1024" s="21"/>
      <c r="K1024" s="22"/>
      <c r="L1024" s="22"/>
      <c r="M1024" s="22"/>
      <c r="N1024" s="22"/>
      <c r="O1024" s="20"/>
      <c r="P1024" s="20"/>
    </row>
    <row r="1025" spans="1:16" x14ac:dyDescent="0.35">
      <c r="A1025" s="18"/>
      <c r="B1025" s="18"/>
      <c r="C1025" s="20"/>
      <c r="D1025" s="18"/>
      <c r="E1025" s="26"/>
      <c r="F1025" s="26"/>
      <c r="G1025" s="20"/>
      <c r="H1025" s="21"/>
      <c r="I1025" s="21"/>
      <c r="J1025" s="21"/>
      <c r="K1025" s="22"/>
      <c r="L1025" s="22"/>
      <c r="M1025" s="22"/>
      <c r="N1025" s="22"/>
      <c r="O1025" s="20"/>
      <c r="P1025" s="20"/>
    </row>
    <row r="1026" spans="1:16" x14ac:dyDescent="0.35">
      <c r="A1026" s="18"/>
      <c r="B1026" s="18"/>
      <c r="C1026" s="20"/>
      <c r="D1026" s="18"/>
      <c r="E1026" s="26"/>
      <c r="F1026" s="26"/>
      <c r="G1026" s="20"/>
      <c r="H1026" s="21"/>
      <c r="I1026" s="21"/>
      <c r="J1026" s="21"/>
      <c r="K1026" s="22"/>
      <c r="L1026" s="22"/>
      <c r="M1026" s="22"/>
      <c r="N1026" s="22"/>
      <c r="O1026" s="20"/>
      <c r="P1026" s="20"/>
    </row>
    <row r="1027" spans="1:16" x14ac:dyDescent="0.35">
      <c r="A1027" s="18"/>
      <c r="B1027" s="18"/>
      <c r="C1027" s="20"/>
      <c r="D1027" s="18"/>
      <c r="E1027" s="26"/>
      <c r="F1027" s="26"/>
      <c r="G1027" s="20"/>
      <c r="H1027" s="21"/>
      <c r="I1027" s="21"/>
      <c r="J1027" s="21"/>
      <c r="K1027" s="22"/>
      <c r="L1027" s="22"/>
      <c r="M1027" s="22"/>
      <c r="N1027" s="22"/>
      <c r="O1027" s="20"/>
      <c r="P1027" s="20"/>
    </row>
    <row r="1028" spans="1:16" x14ac:dyDescent="0.35">
      <c r="A1028" s="18"/>
      <c r="B1028" s="18"/>
      <c r="C1028" s="20"/>
      <c r="D1028" s="18"/>
      <c r="E1028" s="26"/>
      <c r="F1028" s="26"/>
      <c r="G1028" s="20"/>
      <c r="H1028" s="21"/>
      <c r="I1028" s="21"/>
      <c r="J1028" s="21"/>
      <c r="K1028" s="22"/>
      <c r="L1028" s="22"/>
      <c r="M1028" s="22"/>
      <c r="N1028" s="22"/>
      <c r="O1028" s="20"/>
      <c r="P1028" s="20"/>
    </row>
    <row r="1029" spans="1:16" x14ac:dyDescent="0.35">
      <c r="A1029" s="18"/>
      <c r="B1029" s="18"/>
      <c r="C1029" s="20"/>
      <c r="D1029" s="18"/>
      <c r="E1029" s="26"/>
      <c r="F1029" s="26"/>
      <c r="G1029" s="20"/>
      <c r="H1029" s="21"/>
      <c r="I1029" s="21"/>
      <c r="J1029" s="21"/>
      <c r="K1029" s="22"/>
      <c r="L1029" s="22"/>
      <c r="M1029" s="22"/>
      <c r="N1029" s="22"/>
      <c r="O1029" s="20"/>
      <c r="P1029" s="20"/>
    </row>
    <row r="1030" spans="1:16" x14ac:dyDescent="0.35">
      <c r="A1030" s="18"/>
      <c r="B1030" s="18"/>
      <c r="C1030" s="20"/>
      <c r="D1030" s="18"/>
      <c r="E1030" s="26"/>
      <c r="F1030" s="26"/>
      <c r="G1030" s="20"/>
      <c r="H1030" s="21"/>
      <c r="I1030" s="21"/>
      <c r="J1030" s="21"/>
      <c r="K1030" s="22"/>
      <c r="L1030" s="22"/>
      <c r="M1030" s="22"/>
      <c r="N1030" s="22"/>
      <c r="O1030" s="20"/>
      <c r="P1030" s="20"/>
    </row>
    <row r="1031" spans="1:16" x14ac:dyDescent="0.35">
      <c r="A1031" s="18"/>
      <c r="B1031" s="18"/>
      <c r="C1031" s="20"/>
      <c r="D1031" s="18"/>
      <c r="E1031" s="26"/>
      <c r="F1031" s="26"/>
      <c r="G1031" s="20"/>
      <c r="H1031" s="21"/>
      <c r="I1031" s="21"/>
      <c r="J1031" s="21"/>
      <c r="K1031" s="22"/>
      <c r="L1031" s="22"/>
      <c r="M1031" s="22"/>
      <c r="N1031" s="22"/>
      <c r="O1031" s="20"/>
      <c r="P1031" s="20"/>
    </row>
    <row r="1032" spans="1:16" x14ac:dyDescent="0.35">
      <c r="A1032" s="18"/>
      <c r="B1032" s="18"/>
      <c r="C1032" s="20"/>
      <c r="D1032" s="18"/>
      <c r="E1032" s="26"/>
      <c r="F1032" s="26"/>
      <c r="G1032" s="20"/>
      <c r="H1032" s="21"/>
      <c r="I1032" s="21"/>
      <c r="J1032" s="21"/>
      <c r="K1032" s="22"/>
      <c r="L1032" s="22"/>
      <c r="M1032" s="22"/>
      <c r="N1032" s="22"/>
      <c r="O1032" s="20"/>
      <c r="P1032" s="20"/>
    </row>
    <row r="1033" spans="1:16" x14ac:dyDescent="0.35">
      <c r="A1033" s="18"/>
      <c r="B1033" s="18"/>
      <c r="C1033" s="20"/>
      <c r="D1033" s="18"/>
      <c r="E1033" s="26"/>
      <c r="F1033" s="26"/>
      <c r="G1033" s="20"/>
      <c r="H1033" s="21"/>
      <c r="I1033" s="21"/>
      <c r="J1033" s="21"/>
      <c r="K1033" s="22"/>
      <c r="L1033" s="22"/>
      <c r="M1033" s="22"/>
      <c r="N1033" s="22"/>
      <c r="O1033" s="20"/>
      <c r="P1033" s="20"/>
    </row>
    <row r="1034" spans="1:16" x14ac:dyDescent="0.35">
      <c r="A1034" s="18"/>
      <c r="B1034" s="18"/>
      <c r="C1034" s="20"/>
      <c r="D1034" s="18"/>
      <c r="E1034" s="26"/>
      <c r="F1034" s="26"/>
      <c r="G1034" s="20"/>
      <c r="H1034" s="21"/>
      <c r="I1034" s="21"/>
      <c r="J1034" s="21"/>
      <c r="K1034" s="22"/>
      <c r="L1034" s="22"/>
      <c r="M1034" s="22"/>
      <c r="N1034" s="22"/>
      <c r="O1034" s="20"/>
      <c r="P1034" s="20"/>
    </row>
    <row r="1035" spans="1:16" x14ac:dyDescent="0.35">
      <c r="A1035" s="18"/>
      <c r="B1035" s="18"/>
      <c r="C1035" s="20"/>
      <c r="D1035" s="18"/>
      <c r="E1035" s="26"/>
      <c r="F1035" s="26"/>
      <c r="G1035" s="20"/>
      <c r="H1035" s="21"/>
      <c r="I1035" s="21"/>
      <c r="J1035" s="21"/>
      <c r="K1035" s="22"/>
      <c r="L1035" s="22"/>
      <c r="M1035" s="22"/>
      <c r="N1035" s="22"/>
      <c r="O1035" s="20"/>
      <c r="P1035" s="20"/>
    </row>
    <row r="1036" spans="1:16" x14ac:dyDescent="0.35">
      <c r="A1036" s="18"/>
      <c r="B1036" s="18"/>
      <c r="C1036" s="20"/>
      <c r="D1036" s="18"/>
      <c r="E1036" s="26"/>
      <c r="F1036" s="26"/>
      <c r="G1036" s="20"/>
      <c r="H1036" s="21"/>
      <c r="I1036" s="21"/>
      <c r="J1036" s="21"/>
      <c r="K1036" s="22"/>
      <c r="L1036" s="22"/>
      <c r="M1036" s="22"/>
      <c r="N1036" s="22"/>
      <c r="O1036" s="20"/>
      <c r="P1036" s="20"/>
    </row>
    <row r="1037" spans="1:16" x14ac:dyDescent="0.35">
      <c r="A1037" s="18"/>
      <c r="B1037" s="18"/>
      <c r="C1037" s="20"/>
      <c r="D1037" s="18"/>
      <c r="E1037" s="26"/>
      <c r="F1037" s="26"/>
      <c r="G1037" s="20"/>
      <c r="H1037" s="21"/>
      <c r="I1037" s="21"/>
      <c r="J1037" s="21"/>
      <c r="K1037" s="22"/>
      <c r="L1037" s="22"/>
      <c r="M1037" s="22"/>
      <c r="N1037" s="22"/>
      <c r="O1037" s="20"/>
      <c r="P1037" s="20"/>
    </row>
    <row r="1038" spans="1:16" x14ac:dyDescent="0.35">
      <c r="A1038" s="18"/>
      <c r="B1038" s="18"/>
      <c r="C1038" s="20"/>
      <c r="D1038" s="18"/>
      <c r="E1038" s="26"/>
      <c r="F1038" s="26"/>
      <c r="G1038" s="20"/>
      <c r="H1038" s="21"/>
      <c r="I1038" s="21"/>
      <c r="J1038" s="21"/>
      <c r="K1038" s="22"/>
      <c r="L1038" s="22"/>
      <c r="M1038" s="22"/>
      <c r="N1038" s="22"/>
      <c r="O1038" s="20"/>
      <c r="P1038" s="20"/>
    </row>
    <row r="1039" spans="1:16" x14ac:dyDescent="0.35">
      <c r="A1039" s="18"/>
      <c r="B1039" s="18"/>
      <c r="C1039" s="20"/>
      <c r="D1039" s="18"/>
      <c r="E1039" s="26"/>
      <c r="F1039" s="26"/>
      <c r="G1039" s="20"/>
      <c r="H1039" s="21"/>
      <c r="I1039" s="21"/>
      <c r="J1039" s="21"/>
      <c r="K1039" s="22"/>
      <c r="L1039" s="22"/>
      <c r="M1039" s="22"/>
      <c r="N1039" s="22"/>
      <c r="O1039" s="20"/>
      <c r="P1039" s="20"/>
    </row>
    <row r="1040" spans="1:16" x14ac:dyDescent="0.35">
      <c r="A1040" s="18"/>
      <c r="B1040" s="18"/>
      <c r="C1040" s="20"/>
      <c r="D1040" s="18"/>
      <c r="E1040" s="26"/>
      <c r="F1040" s="26"/>
      <c r="G1040" s="20"/>
      <c r="H1040" s="21"/>
      <c r="I1040" s="21"/>
      <c r="J1040" s="21"/>
      <c r="K1040" s="22"/>
      <c r="L1040" s="22"/>
      <c r="M1040" s="22"/>
      <c r="N1040" s="22"/>
      <c r="O1040" s="20"/>
      <c r="P1040" s="20"/>
    </row>
    <row r="1041" spans="1:16" x14ac:dyDescent="0.35">
      <c r="A1041" s="18"/>
      <c r="B1041" s="18"/>
      <c r="C1041" s="20"/>
      <c r="D1041" s="18"/>
      <c r="E1041" s="26"/>
      <c r="F1041" s="26"/>
      <c r="G1041" s="20"/>
      <c r="H1041" s="21"/>
      <c r="I1041" s="21"/>
      <c r="J1041" s="21"/>
      <c r="K1041" s="22"/>
      <c r="L1041" s="22"/>
      <c r="M1041" s="22"/>
      <c r="N1041" s="22"/>
      <c r="O1041" s="20"/>
      <c r="P1041" s="20"/>
    </row>
    <row r="1042" spans="1:16" x14ac:dyDescent="0.35">
      <c r="A1042" s="18"/>
      <c r="B1042" s="18"/>
      <c r="C1042" s="20"/>
      <c r="D1042" s="18"/>
      <c r="E1042" s="26"/>
      <c r="F1042" s="26"/>
      <c r="G1042" s="20"/>
      <c r="H1042" s="21"/>
      <c r="I1042" s="21"/>
      <c r="J1042" s="21"/>
      <c r="K1042" s="22"/>
      <c r="L1042" s="22"/>
      <c r="M1042" s="22"/>
      <c r="N1042" s="22"/>
      <c r="O1042" s="20"/>
      <c r="P1042" s="20"/>
    </row>
    <row r="1043" spans="1:16" x14ac:dyDescent="0.35">
      <c r="A1043" s="18"/>
      <c r="B1043" s="18"/>
      <c r="C1043" s="20"/>
      <c r="D1043" s="18"/>
      <c r="E1043" s="26"/>
      <c r="F1043" s="26"/>
      <c r="G1043" s="20"/>
      <c r="H1043" s="21"/>
      <c r="I1043" s="21"/>
      <c r="J1043" s="21"/>
      <c r="K1043" s="22"/>
      <c r="L1043" s="22"/>
      <c r="M1043" s="22"/>
      <c r="N1043" s="22"/>
      <c r="O1043" s="20"/>
      <c r="P1043" s="20"/>
    </row>
    <row r="1044" spans="1:16" x14ac:dyDescent="0.35">
      <c r="A1044" s="18"/>
      <c r="B1044" s="18"/>
      <c r="C1044" s="20"/>
      <c r="D1044" s="18"/>
      <c r="E1044" s="26"/>
      <c r="F1044" s="26"/>
      <c r="G1044" s="20"/>
      <c r="H1044" s="21"/>
      <c r="I1044" s="21"/>
      <c r="J1044" s="21"/>
      <c r="K1044" s="22"/>
      <c r="L1044" s="22"/>
      <c r="M1044" s="22"/>
      <c r="N1044" s="22"/>
      <c r="O1044" s="20"/>
      <c r="P1044" s="20"/>
    </row>
    <row r="1045" spans="1:16" x14ac:dyDescent="0.35">
      <c r="A1045" s="18"/>
      <c r="B1045" s="18"/>
      <c r="C1045" s="20"/>
      <c r="D1045" s="18"/>
      <c r="E1045" s="26"/>
      <c r="F1045" s="26"/>
      <c r="G1045" s="20"/>
      <c r="H1045" s="21"/>
      <c r="I1045" s="21"/>
      <c r="J1045" s="21"/>
      <c r="K1045" s="22"/>
      <c r="L1045" s="22"/>
      <c r="M1045" s="22"/>
      <c r="N1045" s="22"/>
      <c r="O1045" s="20"/>
      <c r="P1045" s="20"/>
    </row>
    <row r="1046" spans="1:16" x14ac:dyDescent="0.35">
      <c r="A1046" s="18"/>
      <c r="B1046" s="18"/>
      <c r="C1046" s="20"/>
      <c r="D1046" s="18"/>
      <c r="E1046" s="26"/>
      <c r="F1046" s="26"/>
      <c r="G1046" s="20"/>
      <c r="H1046" s="21"/>
      <c r="I1046" s="21"/>
      <c r="J1046" s="21"/>
      <c r="K1046" s="22"/>
      <c r="L1046" s="22"/>
      <c r="M1046" s="22"/>
      <c r="N1046" s="22"/>
      <c r="O1046" s="20"/>
      <c r="P1046" s="20"/>
    </row>
    <row r="1047" spans="1:16" x14ac:dyDescent="0.35">
      <c r="A1047" s="18"/>
      <c r="B1047" s="18"/>
      <c r="C1047" s="20"/>
      <c r="D1047" s="18"/>
      <c r="E1047" s="26"/>
      <c r="F1047" s="26"/>
      <c r="G1047" s="20"/>
      <c r="H1047" s="21"/>
      <c r="I1047" s="21"/>
      <c r="J1047" s="21"/>
      <c r="K1047" s="22"/>
      <c r="L1047" s="22"/>
      <c r="M1047" s="22"/>
      <c r="N1047" s="22"/>
      <c r="O1047" s="20"/>
      <c r="P1047" s="20"/>
    </row>
    <row r="1048" spans="1:16" x14ac:dyDescent="0.35">
      <c r="A1048" s="18"/>
      <c r="B1048" s="18"/>
      <c r="C1048" s="20"/>
      <c r="D1048" s="18"/>
      <c r="E1048" s="26"/>
      <c r="F1048" s="26"/>
      <c r="G1048" s="20"/>
      <c r="H1048" s="21"/>
      <c r="I1048" s="21"/>
      <c r="J1048" s="21"/>
      <c r="K1048" s="22"/>
      <c r="L1048" s="22"/>
      <c r="M1048" s="22"/>
      <c r="N1048" s="22"/>
      <c r="O1048" s="20"/>
      <c r="P1048" s="20"/>
    </row>
    <row r="1049" spans="1:16" x14ac:dyDescent="0.35">
      <c r="A1049" s="18"/>
      <c r="B1049" s="18"/>
      <c r="C1049" s="20"/>
      <c r="D1049" s="18"/>
      <c r="E1049" s="26"/>
      <c r="F1049" s="26"/>
      <c r="G1049" s="20"/>
      <c r="H1049" s="21"/>
      <c r="I1049" s="21"/>
      <c r="J1049" s="21"/>
      <c r="K1049" s="22"/>
      <c r="L1049" s="22"/>
      <c r="M1049" s="22"/>
      <c r="N1049" s="22"/>
      <c r="O1049" s="20"/>
      <c r="P1049" s="20"/>
    </row>
    <row r="1050" spans="1:16" x14ac:dyDescent="0.35">
      <c r="A1050" s="18"/>
      <c r="B1050" s="18"/>
      <c r="C1050" s="20"/>
      <c r="D1050" s="18"/>
      <c r="E1050" s="26"/>
      <c r="F1050" s="26"/>
      <c r="G1050" s="20"/>
      <c r="H1050" s="21"/>
      <c r="I1050" s="21"/>
      <c r="J1050" s="21"/>
      <c r="K1050" s="22"/>
      <c r="L1050" s="22"/>
      <c r="M1050" s="22"/>
      <c r="N1050" s="22"/>
      <c r="O1050" s="20"/>
      <c r="P1050" s="20"/>
    </row>
    <row r="1051" spans="1:16" x14ac:dyDescent="0.35">
      <c r="A1051" s="18"/>
      <c r="B1051" s="18"/>
      <c r="C1051" s="20"/>
      <c r="D1051" s="18"/>
      <c r="E1051" s="26"/>
      <c r="F1051" s="26"/>
      <c r="G1051" s="20"/>
      <c r="H1051" s="21"/>
      <c r="I1051" s="21"/>
      <c r="J1051" s="21"/>
      <c r="K1051" s="22"/>
      <c r="L1051" s="22"/>
      <c r="M1051" s="22"/>
      <c r="N1051" s="22"/>
      <c r="O1051" s="20"/>
      <c r="P1051" s="20"/>
    </row>
    <row r="1052" spans="1:16" x14ac:dyDescent="0.35">
      <c r="A1052" s="18"/>
      <c r="B1052" s="18"/>
      <c r="C1052" s="20"/>
      <c r="D1052" s="18"/>
      <c r="E1052" s="26"/>
      <c r="F1052" s="26"/>
      <c r="G1052" s="20"/>
      <c r="H1052" s="21"/>
      <c r="I1052" s="21"/>
      <c r="J1052" s="21"/>
      <c r="K1052" s="22"/>
      <c r="L1052" s="22"/>
      <c r="M1052" s="22"/>
      <c r="N1052" s="22"/>
      <c r="O1052" s="20"/>
      <c r="P1052" s="20"/>
    </row>
    <row r="1053" spans="1:16" x14ac:dyDescent="0.35">
      <c r="A1053" s="18"/>
      <c r="B1053" s="18"/>
      <c r="C1053" s="20"/>
      <c r="D1053" s="18"/>
      <c r="E1053" s="26"/>
      <c r="F1053" s="26"/>
      <c r="G1053" s="20"/>
      <c r="H1053" s="21"/>
      <c r="I1053" s="21"/>
      <c r="J1053" s="21"/>
      <c r="K1053" s="22"/>
      <c r="L1053" s="22"/>
      <c r="M1053" s="22"/>
      <c r="N1053" s="22"/>
      <c r="O1053" s="20"/>
      <c r="P1053" s="20"/>
    </row>
    <row r="1054" spans="1:16" x14ac:dyDescent="0.35">
      <c r="A1054" s="18"/>
      <c r="B1054" s="18"/>
      <c r="C1054" s="20"/>
      <c r="D1054" s="18"/>
      <c r="E1054" s="26"/>
      <c r="F1054" s="26"/>
      <c r="G1054" s="20"/>
      <c r="H1054" s="21"/>
      <c r="I1054" s="21"/>
      <c r="J1054" s="21"/>
      <c r="K1054" s="22"/>
      <c r="L1054" s="22"/>
      <c r="M1054" s="22"/>
      <c r="N1054" s="22"/>
      <c r="O1054" s="20"/>
      <c r="P1054" s="20"/>
    </row>
    <row r="1055" spans="1:16" x14ac:dyDescent="0.35">
      <c r="A1055" s="18"/>
      <c r="B1055" s="18"/>
      <c r="C1055" s="20"/>
      <c r="D1055" s="18"/>
      <c r="E1055" s="26"/>
      <c r="F1055" s="26"/>
      <c r="G1055" s="20"/>
      <c r="H1055" s="21"/>
      <c r="I1055" s="21"/>
      <c r="J1055" s="21"/>
      <c r="K1055" s="22"/>
      <c r="L1055" s="22"/>
      <c r="M1055" s="22"/>
      <c r="N1055" s="22"/>
      <c r="O1055" s="20"/>
      <c r="P1055" s="20"/>
    </row>
    <row r="1056" spans="1:16" x14ac:dyDescent="0.35">
      <c r="A1056" s="18"/>
      <c r="B1056" s="18"/>
      <c r="C1056" s="20"/>
      <c r="D1056" s="18"/>
      <c r="E1056" s="26"/>
      <c r="F1056" s="26"/>
      <c r="G1056" s="20"/>
      <c r="H1056" s="21"/>
      <c r="I1056" s="21"/>
      <c r="J1056" s="21"/>
      <c r="K1056" s="22"/>
      <c r="L1056" s="22"/>
      <c r="M1056" s="22"/>
      <c r="N1056" s="22"/>
      <c r="O1056" s="20"/>
      <c r="P1056" s="20"/>
    </row>
    <row r="1057" spans="1:16" x14ac:dyDescent="0.35">
      <c r="A1057" s="18"/>
      <c r="B1057" s="18"/>
      <c r="C1057" s="20"/>
      <c r="D1057" s="18"/>
      <c r="E1057" s="26"/>
      <c r="F1057" s="26"/>
      <c r="G1057" s="20"/>
      <c r="H1057" s="21"/>
      <c r="I1057" s="21"/>
      <c r="J1057" s="21"/>
      <c r="K1057" s="22"/>
      <c r="L1057" s="22"/>
      <c r="M1057" s="22"/>
      <c r="N1057" s="22"/>
      <c r="O1057" s="20"/>
      <c r="P1057" s="20"/>
    </row>
    <row r="1058" spans="1:16" x14ac:dyDescent="0.35">
      <c r="A1058" s="18"/>
      <c r="B1058" s="18"/>
      <c r="C1058" s="20"/>
      <c r="D1058" s="18"/>
      <c r="E1058" s="26"/>
      <c r="F1058" s="26"/>
      <c r="G1058" s="20"/>
      <c r="H1058" s="21"/>
      <c r="I1058" s="21"/>
      <c r="J1058" s="21"/>
      <c r="K1058" s="22"/>
      <c r="L1058" s="22"/>
      <c r="M1058" s="22"/>
      <c r="N1058" s="22"/>
      <c r="O1058" s="20"/>
      <c r="P1058" s="20"/>
    </row>
    <row r="1059" spans="1:16" x14ac:dyDescent="0.35">
      <c r="A1059" s="18"/>
      <c r="B1059" s="18"/>
      <c r="C1059" s="20"/>
      <c r="D1059" s="18"/>
      <c r="E1059" s="26"/>
      <c r="F1059" s="26"/>
      <c r="G1059" s="20"/>
      <c r="H1059" s="21"/>
      <c r="I1059" s="21"/>
      <c r="J1059" s="21"/>
      <c r="K1059" s="22"/>
      <c r="L1059" s="22"/>
      <c r="M1059" s="22"/>
      <c r="N1059" s="22"/>
      <c r="O1059" s="20"/>
      <c r="P1059" s="20"/>
    </row>
    <row r="1060" spans="1:16" x14ac:dyDescent="0.35">
      <c r="A1060" s="18"/>
      <c r="B1060" s="18"/>
      <c r="C1060" s="20"/>
      <c r="D1060" s="18"/>
      <c r="E1060" s="26"/>
      <c r="F1060" s="26"/>
      <c r="G1060" s="20"/>
      <c r="H1060" s="21"/>
      <c r="I1060" s="21"/>
      <c r="J1060" s="21"/>
      <c r="K1060" s="22"/>
      <c r="L1060" s="22"/>
      <c r="M1060" s="22"/>
      <c r="N1060" s="22"/>
      <c r="O1060" s="20"/>
      <c r="P1060" s="20"/>
    </row>
    <row r="1061" spans="1:16" x14ac:dyDescent="0.35">
      <c r="A1061" s="18"/>
      <c r="B1061" s="18"/>
      <c r="C1061" s="20"/>
      <c r="D1061" s="18"/>
      <c r="E1061" s="26"/>
      <c r="F1061" s="26"/>
      <c r="G1061" s="20"/>
      <c r="H1061" s="21"/>
      <c r="I1061" s="21"/>
      <c r="J1061" s="21"/>
      <c r="K1061" s="22"/>
      <c r="L1061" s="22"/>
      <c r="M1061" s="22"/>
      <c r="N1061" s="22"/>
      <c r="O1061" s="20"/>
      <c r="P1061" s="20"/>
    </row>
    <row r="1062" spans="1:16" x14ac:dyDescent="0.35">
      <c r="A1062" s="18"/>
      <c r="B1062" s="18"/>
      <c r="C1062" s="20"/>
      <c r="D1062" s="18"/>
      <c r="E1062" s="26"/>
      <c r="F1062" s="26"/>
      <c r="G1062" s="20"/>
      <c r="H1062" s="21"/>
      <c r="I1062" s="21"/>
      <c r="J1062" s="21"/>
      <c r="K1062" s="22"/>
      <c r="L1062" s="22"/>
      <c r="M1062" s="22"/>
      <c r="N1062" s="22"/>
      <c r="O1062" s="20"/>
      <c r="P1062" s="20"/>
    </row>
    <row r="1063" spans="1:16" x14ac:dyDescent="0.35">
      <c r="A1063" s="18"/>
      <c r="B1063" s="18"/>
      <c r="C1063" s="18"/>
      <c r="D1063" s="18"/>
      <c r="E1063" s="26"/>
      <c r="F1063" s="26"/>
      <c r="G1063" s="20"/>
      <c r="H1063" s="21"/>
      <c r="I1063" s="21"/>
      <c r="J1063" s="21"/>
      <c r="K1063" s="22"/>
      <c r="L1063" s="22"/>
      <c r="M1063" s="22"/>
      <c r="N1063" s="22"/>
      <c r="O1063" s="20"/>
      <c r="P1063" s="20"/>
    </row>
    <row r="1064" spans="1:16" x14ac:dyDescent="0.35">
      <c r="A1064" s="18"/>
      <c r="B1064" s="18"/>
      <c r="C1064" s="18"/>
      <c r="D1064" s="18"/>
      <c r="E1064" s="26"/>
      <c r="F1064" s="26"/>
      <c r="G1064" s="20"/>
      <c r="H1064" s="21"/>
      <c r="I1064" s="21"/>
      <c r="J1064" s="21"/>
      <c r="K1064" s="22"/>
      <c r="L1064" s="22"/>
      <c r="M1064" s="22"/>
      <c r="N1064" s="22"/>
      <c r="O1064" s="20"/>
      <c r="P1064" s="20"/>
    </row>
    <row r="1065" spans="1:16" x14ac:dyDescent="0.35">
      <c r="A1065" s="18"/>
      <c r="B1065" s="18"/>
      <c r="C1065" s="18"/>
      <c r="D1065" s="18"/>
      <c r="E1065" s="26"/>
      <c r="F1065" s="26"/>
      <c r="G1065" s="20"/>
      <c r="H1065" s="21"/>
      <c r="I1065" s="21"/>
      <c r="J1065" s="21"/>
      <c r="K1065" s="22"/>
      <c r="L1065" s="22"/>
      <c r="M1065" s="22"/>
      <c r="N1065" s="22"/>
      <c r="O1065" s="20"/>
      <c r="P1065" s="20"/>
    </row>
    <row r="1066" spans="1:16" x14ac:dyDescent="0.35">
      <c r="A1066" s="18"/>
      <c r="B1066" s="18"/>
      <c r="C1066" s="18"/>
      <c r="D1066" s="18"/>
      <c r="E1066" s="26"/>
      <c r="F1066" s="26"/>
      <c r="G1066" s="20"/>
      <c r="H1066" s="21"/>
      <c r="I1066" s="21"/>
      <c r="J1066" s="21"/>
      <c r="K1066" s="22"/>
      <c r="L1066" s="22"/>
      <c r="M1066" s="22"/>
      <c r="N1066" s="22"/>
      <c r="O1066" s="20"/>
      <c r="P1066" s="20"/>
    </row>
    <row r="1067" spans="1:16" x14ac:dyDescent="0.35">
      <c r="A1067" s="18"/>
      <c r="B1067" s="18"/>
      <c r="C1067" s="18"/>
      <c r="D1067" s="18"/>
      <c r="E1067" s="26"/>
      <c r="F1067" s="26"/>
      <c r="G1067" s="20"/>
      <c r="H1067" s="21"/>
      <c r="I1067" s="21"/>
      <c r="J1067" s="21"/>
      <c r="K1067" s="22"/>
      <c r="L1067" s="22"/>
      <c r="M1067" s="22"/>
      <c r="N1067" s="22"/>
      <c r="O1067" s="20"/>
      <c r="P1067" s="20"/>
    </row>
    <row r="1068" spans="1:16" x14ac:dyDescent="0.35">
      <c r="A1068" s="18"/>
      <c r="B1068" s="18"/>
      <c r="C1068" s="18"/>
      <c r="D1068" s="18"/>
      <c r="E1068" s="26"/>
      <c r="F1068" s="26"/>
      <c r="G1068" s="20"/>
      <c r="H1068" s="21"/>
      <c r="I1068" s="21"/>
      <c r="J1068" s="21"/>
      <c r="K1068" s="22"/>
      <c r="L1068" s="22"/>
      <c r="M1068" s="22"/>
      <c r="N1068" s="22"/>
      <c r="O1068" s="20"/>
      <c r="P1068" s="20"/>
    </row>
    <row r="1069" spans="1:16" x14ac:dyDescent="0.35">
      <c r="A1069" s="18"/>
      <c r="B1069" s="18"/>
      <c r="C1069" s="18"/>
      <c r="D1069" s="18"/>
      <c r="E1069" s="26"/>
      <c r="F1069" s="26"/>
      <c r="G1069" s="20"/>
      <c r="H1069" s="21"/>
      <c r="I1069" s="21"/>
      <c r="J1069" s="21"/>
      <c r="K1069" s="22"/>
      <c r="L1069" s="22"/>
      <c r="M1069" s="22"/>
      <c r="N1069" s="22"/>
      <c r="O1069" s="20"/>
      <c r="P1069" s="20"/>
    </row>
    <row r="1070" spans="1:16" x14ac:dyDescent="0.35">
      <c r="A1070" s="18"/>
      <c r="B1070" s="18"/>
      <c r="C1070" s="18"/>
      <c r="D1070" s="18"/>
      <c r="E1070" s="26"/>
      <c r="F1070" s="26"/>
      <c r="G1070" s="20"/>
      <c r="H1070" s="21"/>
      <c r="I1070" s="21"/>
      <c r="J1070" s="21"/>
      <c r="K1070" s="22"/>
      <c r="L1070" s="22"/>
      <c r="M1070" s="22"/>
      <c r="N1070" s="22"/>
      <c r="O1070" s="20"/>
      <c r="P1070" s="20"/>
    </row>
    <row r="1071" spans="1:16" x14ac:dyDescent="0.35">
      <c r="A1071" s="18"/>
      <c r="B1071" s="18"/>
      <c r="C1071" s="18"/>
      <c r="D1071" s="18"/>
      <c r="E1071" s="26"/>
      <c r="F1071" s="26"/>
      <c r="G1071" s="20"/>
      <c r="H1071" s="21"/>
      <c r="I1071" s="21"/>
      <c r="J1071" s="21"/>
      <c r="K1071" s="22"/>
      <c r="L1071" s="22"/>
      <c r="M1071" s="22"/>
      <c r="N1071" s="22"/>
      <c r="O1071" s="20"/>
      <c r="P1071" s="20"/>
    </row>
    <row r="1072" spans="1:16" x14ac:dyDescent="0.35">
      <c r="A1072" s="18"/>
      <c r="B1072" s="18"/>
      <c r="C1072" s="18"/>
      <c r="D1072" s="18"/>
      <c r="E1072" s="26"/>
      <c r="F1072" s="26"/>
      <c r="G1072" s="20"/>
      <c r="H1072" s="21"/>
      <c r="I1072" s="21"/>
      <c r="J1072" s="21"/>
      <c r="K1072" s="22"/>
      <c r="L1072" s="22"/>
      <c r="M1072" s="22"/>
      <c r="N1072" s="22"/>
      <c r="O1072" s="20"/>
      <c r="P1072" s="20"/>
    </row>
    <row r="1073" spans="1:16" x14ac:dyDescent="0.35">
      <c r="A1073" s="18"/>
      <c r="B1073" s="18"/>
      <c r="C1073" s="18"/>
      <c r="D1073" s="18"/>
      <c r="E1073" s="26"/>
      <c r="F1073" s="26"/>
      <c r="G1073" s="20"/>
      <c r="H1073" s="21"/>
      <c r="I1073" s="21"/>
      <c r="J1073" s="21"/>
      <c r="K1073" s="22"/>
      <c r="L1073" s="22"/>
      <c r="M1073" s="22"/>
      <c r="N1073" s="22"/>
      <c r="O1073" s="20"/>
      <c r="P1073" s="20"/>
    </row>
    <row r="1074" spans="1:16" x14ac:dyDescent="0.35">
      <c r="A1074" s="18"/>
      <c r="B1074" s="18"/>
      <c r="C1074" s="18"/>
      <c r="D1074" s="18"/>
      <c r="E1074" s="26"/>
      <c r="F1074" s="26"/>
      <c r="G1074" s="20"/>
      <c r="H1074" s="21"/>
      <c r="I1074" s="21"/>
      <c r="J1074" s="21"/>
      <c r="K1074" s="22"/>
      <c r="L1074" s="22"/>
      <c r="M1074" s="22"/>
      <c r="N1074" s="22"/>
      <c r="O1074" s="20"/>
      <c r="P1074" s="20"/>
    </row>
    <row r="1075" spans="1:16" x14ac:dyDescent="0.35">
      <c r="A1075" s="18"/>
      <c r="B1075" s="18"/>
      <c r="C1075" s="18"/>
      <c r="D1075" s="18"/>
      <c r="E1075" s="26"/>
      <c r="F1075" s="26"/>
      <c r="G1075" s="20"/>
      <c r="H1075" s="21"/>
      <c r="I1075" s="21"/>
      <c r="J1075" s="21"/>
      <c r="K1075" s="22"/>
      <c r="L1075" s="22"/>
      <c r="M1075" s="22"/>
      <c r="N1075" s="22"/>
      <c r="O1075" s="20"/>
      <c r="P1075" s="20"/>
    </row>
    <row r="1076" spans="1:16" x14ac:dyDescent="0.35">
      <c r="A1076" s="18"/>
      <c r="B1076" s="18"/>
      <c r="C1076" s="18"/>
      <c r="D1076" s="18"/>
      <c r="E1076" s="26"/>
      <c r="F1076" s="26"/>
      <c r="G1076" s="20"/>
      <c r="H1076" s="21"/>
      <c r="I1076" s="21"/>
      <c r="J1076" s="21"/>
      <c r="K1076" s="22"/>
      <c r="L1076" s="22"/>
      <c r="M1076" s="22"/>
      <c r="N1076" s="22"/>
      <c r="O1076" s="20"/>
      <c r="P1076" s="20"/>
    </row>
    <row r="1077" spans="1:16" x14ac:dyDescent="0.35">
      <c r="A1077" s="18"/>
      <c r="B1077" s="18"/>
      <c r="C1077" s="18"/>
      <c r="D1077" s="18"/>
      <c r="E1077" s="26"/>
      <c r="F1077" s="26"/>
      <c r="G1077" s="20"/>
      <c r="H1077" s="21"/>
      <c r="I1077" s="21"/>
      <c r="J1077" s="21"/>
      <c r="K1077" s="22"/>
      <c r="L1077" s="22"/>
      <c r="M1077" s="22"/>
      <c r="N1077" s="22"/>
      <c r="O1077" s="20"/>
      <c r="P1077" s="20"/>
    </row>
    <row r="1078" spans="1:16" x14ac:dyDescent="0.35">
      <c r="A1078" s="18"/>
      <c r="B1078" s="18"/>
      <c r="C1078" s="18"/>
      <c r="D1078" s="18"/>
      <c r="E1078" s="26"/>
      <c r="F1078" s="26"/>
      <c r="G1078" s="20"/>
      <c r="H1078" s="21"/>
      <c r="I1078" s="21"/>
      <c r="J1078" s="21"/>
      <c r="K1078" s="22"/>
      <c r="L1078" s="22"/>
      <c r="M1078" s="22"/>
      <c r="N1078" s="22"/>
      <c r="O1078" s="20"/>
      <c r="P1078" s="20"/>
    </row>
    <row r="1079" spans="1:16" x14ac:dyDescent="0.35">
      <c r="A1079" s="18"/>
      <c r="B1079" s="18"/>
      <c r="C1079" s="18"/>
      <c r="D1079" s="18"/>
      <c r="E1079" s="26"/>
      <c r="F1079" s="26"/>
      <c r="G1079" s="20"/>
      <c r="H1079" s="21"/>
      <c r="I1079" s="21"/>
      <c r="J1079" s="21"/>
      <c r="K1079" s="22"/>
      <c r="L1079" s="22"/>
      <c r="M1079" s="22"/>
      <c r="N1079" s="22"/>
      <c r="O1079" s="20"/>
      <c r="P1079" s="20"/>
    </row>
    <row r="1080" spans="1:16" x14ac:dyDescent="0.35">
      <c r="A1080" s="18"/>
      <c r="B1080" s="18"/>
      <c r="C1080" s="18"/>
      <c r="D1080" s="18"/>
      <c r="E1080" s="26"/>
      <c r="F1080" s="26"/>
      <c r="G1080" s="20"/>
      <c r="H1080" s="21"/>
      <c r="I1080" s="21"/>
      <c r="J1080" s="21"/>
      <c r="K1080" s="22"/>
      <c r="L1080" s="22"/>
      <c r="M1080" s="22"/>
      <c r="N1080" s="22"/>
      <c r="O1080" s="20"/>
      <c r="P1080" s="20"/>
    </row>
    <row r="1081" spans="1:16" x14ac:dyDescent="0.35">
      <c r="A1081" s="18"/>
      <c r="B1081" s="18"/>
      <c r="C1081" s="18"/>
      <c r="D1081" s="18"/>
      <c r="E1081" s="26"/>
      <c r="F1081" s="26"/>
      <c r="G1081" s="20"/>
      <c r="H1081" s="21"/>
      <c r="I1081" s="21"/>
      <c r="J1081" s="21"/>
      <c r="K1081" s="22"/>
      <c r="L1081" s="22"/>
      <c r="M1081" s="22"/>
      <c r="N1081" s="22"/>
      <c r="O1081" s="20"/>
      <c r="P1081" s="20"/>
    </row>
    <row r="1082" spans="1:16" x14ac:dyDescent="0.35">
      <c r="A1082" s="18"/>
      <c r="B1082" s="18"/>
      <c r="C1082" s="18"/>
      <c r="D1082" s="18"/>
      <c r="E1082" s="26"/>
      <c r="F1082" s="26"/>
      <c r="G1082" s="20"/>
      <c r="H1082" s="21"/>
      <c r="I1082" s="21"/>
      <c r="J1082" s="21"/>
      <c r="K1082" s="22"/>
      <c r="L1082" s="22"/>
      <c r="M1082" s="22"/>
      <c r="N1082" s="22"/>
      <c r="O1082" s="20"/>
      <c r="P1082" s="20"/>
    </row>
    <row r="1083" spans="1:16" x14ac:dyDescent="0.35">
      <c r="A1083" s="18"/>
      <c r="B1083" s="18"/>
      <c r="C1083" s="18"/>
      <c r="D1083" s="18"/>
      <c r="E1083" s="26"/>
      <c r="F1083" s="26"/>
      <c r="G1083" s="20"/>
      <c r="H1083" s="21"/>
      <c r="I1083" s="21"/>
      <c r="J1083" s="21"/>
      <c r="K1083" s="22"/>
      <c r="L1083" s="22"/>
      <c r="M1083" s="22"/>
      <c r="N1083" s="22"/>
      <c r="O1083" s="20"/>
      <c r="P1083" s="20"/>
    </row>
    <row r="1084" spans="1:16" x14ac:dyDescent="0.35">
      <c r="A1084" s="18"/>
      <c r="B1084" s="18"/>
      <c r="C1084" s="18"/>
      <c r="D1084" s="18"/>
      <c r="E1084" s="26"/>
      <c r="F1084" s="26"/>
      <c r="G1084" s="20"/>
      <c r="H1084" s="21"/>
      <c r="I1084" s="21"/>
      <c r="J1084" s="21"/>
      <c r="K1084" s="22"/>
      <c r="L1084" s="22"/>
      <c r="M1084" s="22"/>
      <c r="N1084" s="22"/>
      <c r="O1084" s="20"/>
      <c r="P1084" s="20"/>
    </row>
    <row r="1085" spans="1:16" x14ac:dyDescent="0.35">
      <c r="A1085" s="18"/>
      <c r="B1085" s="18"/>
      <c r="C1085" s="18"/>
      <c r="D1085" s="18"/>
      <c r="E1085" s="26"/>
      <c r="F1085" s="26"/>
      <c r="G1085" s="20"/>
      <c r="H1085" s="21"/>
      <c r="I1085" s="21"/>
      <c r="J1085" s="21"/>
      <c r="K1085" s="22"/>
      <c r="L1085" s="22"/>
      <c r="M1085" s="22"/>
      <c r="N1085" s="22"/>
      <c r="O1085" s="20"/>
      <c r="P1085" s="20"/>
    </row>
    <row r="1086" spans="1:16" x14ac:dyDescent="0.35">
      <c r="A1086" s="18"/>
      <c r="B1086" s="18"/>
      <c r="C1086" s="18"/>
      <c r="D1086" s="18"/>
      <c r="E1086" s="26"/>
      <c r="F1086" s="26"/>
      <c r="G1086" s="20"/>
      <c r="H1086" s="21"/>
      <c r="I1086" s="21"/>
      <c r="J1086" s="21"/>
      <c r="K1086" s="22"/>
      <c r="L1086" s="22"/>
      <c r="M1086" s="22"/>
      <c r="N1086" s="22"/>
      <c r="O1086" s="20"/>
      <c r="P1086" s="20"/>
    </row>
    <row r="1087" spans="1:16" x14ac:dyDescent="0.35">
      <c r="A1087" s="18"/>
      <c r="B1087" s="18"/>
      <c r="C1087" s="18"/>
      <c r="D1087" s="18"/>
      <c r="E1087" s="26"/>
      <c r="F1087" s="26"/>
      <c r="G1087" s="20"/>
      <c r="H1087" s="21"/>
      <c r="I1087" s="21"/>
      <c r="J1087" s="21"/>
      <c r="K1087" s="22"/>
      <c r="L1087" s="22"/>
      <c r="M1087" s="22"/>
      <c r="N1087" s="22"/>
      <c r="O1087" s="20"/>
      <c r="P1087" s="20"/>
    </row>
    <row r="1088" spans="1:16" x14ac:dyDescent="0.35">
      <c r="A1088" s="18"/>
      <c r="B1088" s="18"/>
      <c r="C1088" s="18"/>
      <c r="D1088" s="18"/>
      <c r="E1088" s="26"/>
      <c r="F1088" s="26"/>
      <c r="G1088" s="20"/>
      <c r="H1088" s="21"/>
      <c r="I1088" s="21"/>
      <c r="J1088" s="21"/>
      <c r="K1088" s="22"/>
      <c r="L1088" s="22"/>
      <c r="M1088" s="22"/>
      <c r="N1088" s="22"/>
      <c r="O1088" s="20"/>
      <c r="P1088" s="20"/>
    </row>
    <row r="1089" spans="1:16" x14ac:dyDescent="0.35">
      <c r="A1089" s="18"/>
      <c r="B1089" s="18"/>
      <c r="C1089" s="18"/>
      <c r="D1089" s="18"/>
      <c r="E1089" s="26"/>
      <c r="F1089" s="26"/>
      <c r="G1089" s="20"/>
      <c r="H1089" s="21"/>
      <c r="I1089" s="21"/>
      <c r="J1089" s="21"/>
      <c r="K1089" s="22"/>
      <c r="L1089" s="22"/>
      <c r="M1089" s="22"/>
      <c r="N1089" s="22"/>
      <c r="O1089" s="20"/>
      <c r="P1089" s="20"/>
    </row>
    <row r="1090" spans="1:16" x14ac:dyDescent="0.35">
      <c r="A1090" s="18"/>
      <c r="B1090" s="18"/>
      <c r="C1090" s="18"/>
      <c r="D1090" s="18"/>
      <c r="E1090" s="26"/>
      <c r="F1090" s="26"/>
      <c r="G1090" s="20"/>
      <c r="H1090" s="21"/>
      <c r="I1090" s="21"/>
      <c r="J1090" s="21"/>
      <c r="K1090" s="22"/>
      <c r="L1090" s="22"/>
      <c r="M1090" s="22"/>
      <c r="N1090" s="22"/>
      <c r="O1090" s="20"/>
      <c r="P1090" s="20"/>
    </row>
    <row r="1091" spans="1:16" x14ac:dyDescent="0.35">
      <c r="A1091" s="18"/>
      <c r="B1091" s="18"/>
      <c r="C1091" s="18"/>
      <c r="D1091" s="18"/>
      <c r="E1091" s="26"/>
      <c r="F1091" s="26"/>
      <c r="G1091" s="20"/>
      <c r="H1091" s="21"/>
      <c r="I1091" s="21"/>
      <c r="J1091" s="21"/>
      <c r="K1091" s="22"/>
      <c r="L1091" s="22"/>
      <c r="M1091" s="22"/>
      <c r="N1091" s="22"/>
      <c r="O1091" s="20"/>
      <c r="P1091" s="20"/>
    </row>
    <row r="1092" spans="1:16" x14ac:dyDescent="0.35">
      <c r="A1092" s="18"/>
      <c r="B1092" s="18"/>
      <c r="C1092" s="18"/>
      <c r="D1092" s="18"/>
      <c r="E1092" s="26"/>
      <c r="F1092" s="26"/>
      <c r="G1092" s="20"/>
      <c r="H1092" s="21"/>
      <c r="I1092" s="21"/>
      <c r="J1092" s="21"/>
      <c r="K1092" s="22"/>
      <c r="L1092" s="22"/>
      <c r="M1092" s="22"/>
      <c r="N1092" s="22"/>
      <c r="O1092" s="20"/>
      <c r="P1092" s="20"/>
    </row>
    <row r="1093" spans="1:16" x14ac:dyDescent="0.35">
      <c r="A1093" s="18"/>
      <c r="B1093" s="18"/>
      <c r="C1093" s="18"/>
      <c r="D1093" s="18"/>
      <c r="E1093" s="26"/>
      <c r="F1093" s="26"/>
      <c r="G1093" s="20"/>
      <c r="H1093" s="21"/>
      <c r="I1093" s="21"/>
      <c r="J1093" s="21"/>
      <c r="K1093" s="22"/>
      <c r="L1093" s="22"/>
      <c r="M1093" s="22"/>
      <c r="N1093" s="22"/>
      <c r="O1093" s="20"/>
      <c r="P1093" s="20"/>
    </row>
    <row r="1094" spans="1:16" x14ac:dyDescent="0.35">
      <c r="A1094" s="18"/>
      <c r="B1094" s="18"/>
      <c r="C1094" s="18"/>
      <c r="D1094" s="18"/>
      <c r="E1094" s="26"/>
      <c r="F1094" s="26"/>
      <c r="G1094" s="20"/>
      <c r="H1094" s="21"/>
      <c r="I1094" s="21"/>
      <c r="J1094" s="21"/>
      <c r="K1094" s="22"/>
      <c r="L1094" s="22"/>
      <c r="M1094" s="22"/>
      <c r="N1094" s="22"/>
      <c r="O1094" s="20"/>
      <c r="P1094" s="20"/>
    </row>
    <row r="1095" spans="1:16" x14ac:dyDescent="0.35">
      <c r="A1095" s="18"/>
      <c r="B1095" s="18"/>
      <c r="C1095" s="18"/>
      <c r="D1095" s="18"/>
      <c r="E1095" s="26"/>
      <c r="F1095" s="26"/>
      <c r="G1095" s="20"/>
      <c r="H1095" s="21"/>
      <c r="I1095" s="21"/>
      <c r="J1095" s="21"/>
      <c r="K1095" s="22"/>
      <c r="L1095" s="22"/>
      <c r="M1095" s="22"/>
      <c r="N1095" s="22"/>
      <c r="O1095" s="20"/>
      <c r="P1095" s="20"/>
    </row>
    <row r="1096" spans="1:16" x14ac:dyDescent="0.35">
      <c r="A1096" s="18"/>
      <c r="B1096" s="18"/>
      <c r="C1096" s="18"/>
      <c r="D1096" s="18"/>
      <c r="E1096" s="26"/>
      <c r="F1096" s="26"/>
      <c r="G1096" s="20"/>
      <c r="H1096" s="21"/>
      <c r="I1096" s="21"/>
      <c r="J1096" s="21"/>
      <c r="K1096" s="22"/>
      <c r="L1096" s="22"/>
      <c r="M1096" s="22"/>
      <c r="N1096" s="22"/>
      <c r="O1096" s="20"/>
      <c r="P1096" s="20"/>
    </row>
    <row r="1097" spans="1:16" x14ac:dyDescent="0.35">
      <c r="A1097" s="18"/>
      <c r="B1097" s="18"/>
      <c r="C1097" s="18"/>
      <c r="D1097" s="18"/>
      <c r="E1097" s="26"/>
      <c r="F1097" s="26"/>
      <c r="G1097" s="20"/>
      <c r="H1097" s="21"/>
      <c r="I1097" s="21"/>
      <c r="J1097" s="21"/>
      <c r="K1097" s="22"/>
      <c r="L1097" s="22"/>
      <c r="M1097" s="22"/>
      <c r="N1097" s="22"/>
      <c r="O1097" s="20"/>
      <c r="P1097" s="20"/>
    </row>
    <row r="1098" spans="1:16" x14ac:dyDescent="0.35">
      <c r="A1098" s="18"/>
      <c r="B1098" s="18"/>
      <c r="C1098" s="18"/>
      <c r="D1098" s="18"/>
      <c r="E1098" s="26"/>
      <c r="F1098" s="26"/>
      <c r="G1098" s="20"/>
      <c r="H1098" s="21"/>
      <c r="I1098" s="21"/>
      <c r="J1098" s="21"/>
      <c r="K1098" s="22"/>
      <c r="L1098" s="22"/>
      <c r="M1098" s="22"/>
      <c r="N1098" s="22"/>
      <c r="O1098" s="20"/>
      <c r="P1098" s="20"/>
    </row>
    <row r="1099" spans="1:16" x14ac:dyDescent="0.35">
      <c r="A1099" s="18"/>
      <c r="B1099" s="18"/>
      <c r="C1099" s="18"/>
      <c r="D1099" s="18"/>
      <c r="E1099" s="26"/>
      <c r="F1099" s="26"/>
      <c r="G1099" s="20"/>
      <c r="H1099" s="21"/>
      <c r="I1099" s="21"/>
      <c r="J1099" s="21"/>
      <c r="K1099" s="22"/>
      <c r="L1099" s="22"/>
      <c r="M1099" s="22"/>
      <c r="N1099" s="22"/>
      <c r="O1099" s="20"/>
      <c r="P1099" s="20"/>
    </row>
    <row r="1100" spans="1:16" x14ac:dyDescent="0.35">
      <c r="A1100" s="18"/>
      <c r="B1100" s="18"/>
      <c r="C1100" s="18"/>
      <c r="D1100" s="18"/>
      <c r="E1100" s="26"/>
      <c r="F1100" s="26"/>
      <c r="G1100" s="20"/>
      <c r="H1100" s="21"/>
      <c r="I1100" s="21"/>
      <c r="J1100" s="21"/>
      <c r="K1100" s="22"/>
      <c r="L1100" s="22"/>
      <c r="M1100" s="22"/>
      <c r="N1100" s="22"/>
      <c r="O1100" s="20"/>
      <c r="P1100" s="20"/>
    </row>
    <row r="1101" spans="1:16" x14ac:dyDescent="0.35">
      <c r="A1101" s="18"/>
      <c r="B1101" s="18"/>
      <c r="C1101" s="18"/>
      <c r="D1101" s="18"/>
      <c r="E1101" s="26"/>
      <c r="F1101" s="26"/>
      <c r="G1101" s="20"/>
      <c r="H1101" s="21"/>
      <c r="I1101" s="21"/>
      <c r="J1101" s="21"/>
      <c r="K1101" s="22"/>
      <c r="L1101" s="22"/>
      <c r="M1101" s="22"/>
      <c r="N1101" s="22"/>
      <c r="O1101" s="20"/>
      <c r="P1101" s="20"/>
    </row>
    <row r="1102" spans="1:16" x14ac:dyDescent="0.35">
      <c r="A1102" s="18"/>
      <c r="B1102" s="18"/>
      <c r="C1102" s="18"/>
      <c r="D1102" s="18"/>
      <c r="E1102" s="26"/>
      <c r="F1102" s="26"/>
      <c r="G1102" s="20"/>
      <c r="H1102" s="21"/>
      <c r="I1102" s="21"/>
      <c r="J1102" s="21"/>
      <c r="K1102" s="22"/>
      <c r="L1102" s="22"/>
      <c r="M1102" s="22"/>
      <c r="N1102" s="22"/>
      <c r="O1102" s="20"/>
      <c r="P1102" s="20"/>
    </row>
    <row r="1103" spans="1:16" x14ac:dyDescent="0.35">
      <c r="A1103" s="18"/>
      <c r="B1103" s="18"/>
      <c r="C1103" s="18"/>
      <c r="D1103" s="18"/>
      <c r="E1103" s="26"/>
      <c r="F1103" s="26"/>
      <c r="G1103" s="20"/>
      <c r="H1103" s="21"/>
      <c r="I1103" s="21"/>
      <c r="J1103" s="21"/>
      <c r="K1103" s="22"/>
      <c r="L1103" s="22"/>
      <c r="M1103" s="22"/>
      <c r="N1103" s="22"/>
      <c r="O1103" s="20"/>
      <c r="P1103" s="20"/>
    </row>
    <row r="1104" spans="1:16" x14ac:dyDescent="0.35">
      <c r="A1104" s="18"/>
      <c r="B1104" s="18"/>
      <c r="C1104" s="18"/>
      <c r="D1104" s="18"/>
      <c r="E1104" s="26"/>
      <c r="F1104" s="26"/>
      <c r="G1104" s="20"/>
      <c r="H1104" s="21"/>
      <c r="I1104" s="21"/>
      <c r="J1104" s="21"/>
      <c r="K1104" s="22"/>
      <c r="L1104" s="22"/>
      <c r="M1104" s="22"/>
      <c r="N1104" s="22"/>
      <c r="O1104" s="20"/>
      <c r="P1104" s="20"/>
    </row>
    <row r="1105" spans="1:16" x14ac:dyDescent="0.35">
      <c r="A1105" s="18"/>
      <c r="B1105" s="18"/>
      <c r="C1105" s="18"/>
      <c r="D1105" s="18"/>
      <c r="E1105" s="26"/>
      <c r="F1105" s="26"/>
      <c r="G1105" s="20"/>
      <c r="H1105" s="21"/>
      <c r="I1105" s="21"/>
      <c r="J1105" s="21"/>
      <c r="K1105" s="22"/>
      <c r="L1105" s="22"/>
      <c r="M1105" s="22"/>
      <c r="N1105" s="22"/>
      <c r="O1105" s="20"/>
      <c r="P1105" s="20"/>
    </row>
    <row r="1106" spans="1:16" x14ac:dyDescent="0.35">
      <c r="A1106" s="18"/>
      <c r="B1106" s="18"/>
      <c r="C1106" s="18"/>
      <c r="D1106" s="18"/>
      <c r="E1106" s="26"/>
      <c r="F1106" s="26"/>
      <c r="G1106" s="20"/>
      <c r="H1106" s="21"/>
      <c r="I1106" s="21"/>
      <c r="J1106" s="21"/>
      <c r="K1106" s="22"/>
      <c r="L1106" s="22"/>
      <c r="M1106" s="22"/>
      <c r="N1106" s="22"/>
      <c r="O1106" s="20"/>
      <c r="P1106" s="20"/>
    </row>
    <row r="1107" spans="1:16" x14ac:dyDescent="0.35">
      <c r="A1107" s="18"/>
      <c r="B1107" s="18"/>
      <c r="C1107" s="18"/>
      <c r="D1107" s="18"/>
      <c r="E1107" s="26"/>
      <c r="F1107" s="26"/>
      <c r="G1107" s="20"/>
      <c r="H1107" s="21"/>
      <c r="I1107" s="21"/>
      <c r="J1107" s="21"/>
      <c r="K1107" s="22"/>
      <c r="L1107" s="22"/>
      <c r="M1107" s="22"/>
      <c r="N1107" s="22"/>
      <c r="O1107" s="20"/>
      <c r="P1107" s="20"/>
    </row>
    <row r="1108" spans="1:16" x14ac:dyDescent="0.35">
      <c r="A1108" s="18"/>
      <c r="B1108" s="18"/>
      <c r="C1108" s="18"/>
      <c r="D1108" s="18"/>
      <c r="E1108" s="26"/>
      <c r="F1108" s="26"/>
      <c r="G1108" s="20"/>
      <c r="H1108" s="21"/>
      <c r="I1108" s="21"/>
      <c r="J1108" s="21"/>
      <c r="K1108" s="22"/>
      <c r="L1108" s="22"/>
      <c r="M1108" s="22"/>
      <c r="N1108" s="22"/>
      <c r="O1108" s="20"/>
      <c r="P1108" s="20"/>
    </row>
    <row r="1109" spans="1:16" x14ac:dyDescent="0.35">
      <c r="A1109" s="18"/>
      <c r="B1109" s="18"/>
      <c r="C1109" s="18"/>
      <c r="D1109" s="18"/>
      <c r="E1109" s="26"/>
      <c r="F1109" s="26"/>
      <c r="G1109" s="20"/>
      <c r="H1109" s="21"/>
      <c r="I1109" s="21"/>
      <c r="J1109" s="21"/>
      <c r="K1109" s="22"/>
      <c r="L1109" s="22"/>
      <c r="M1109" s="22"/>
      <c r="N1109" s="22"/>
      <c r="O1109" s="20"/>
      <c r="P1109" s="20"/>
    </row>
    <row r="1110" spans="1:16" x14ac:dyDescent="0.35">
      <c r="A1110" s="18"/>
      <c r="B1110" s="18"/>
      <c r="C1110" s="18"/>
      <c r="D1110" s="18"/>
      <c r="E1110" s="26"/>
      <c r="F1110" s="26"/>
      <c r="G1110" s="20"/>
      <c r="H1110" s="21"/>
      <c r="I1110" s="21"/>
      <c r="J1110" s="21"/>
      <c r="K1110" s="22"/>
      <c r="L1110" s="22"/>
      <c r="M1110" s="22"/>
      <c r="N1110" s="22"/>
      <c r="O1110" s="20"/>
      <c r="P1110" s="20"/>
    </row>
    <row r="1111" spans="1:16" x14ac:dyDescent="0.35">
      <c r="A1111" s="18"/>
      <c r="B1111" s="18"/>
      <c r="C1111" s="18"/>
      <c r="D1111" s="18"/>
      <c r="E1111" s="26"/>
      <c r="F1111" s="26"/>
      <c r="G1111" s="20"/>
      <c r="H1111" s="21"/>
      <c r="I1111" s="21"/>
      <c r="J1111" s="21"/>
      <c r="K1111" s="22"/>
      <c r="L1111" s="22"/>
      <c r="M1111" s="22"/>
      <c r="N1111" s="22"/>
      <c r="O1111" s="20"/>
      <c r="P1111" s="20"/>
    </row>
    <row r="1112" spans="1:16" x14ac:dyDescent="0.35">
      <c r="A1112" s="18"/>
      <c r="B1112" s="18"/>
      <c r="C1112" s="18"/>
      <c r="D1112" s="18"/>
      <c r="E1112" s="26"/>
      <c r="F1112" s="26"/>
      <c r="G1112" s="20"/>
      <c r="H1112" s="21"/>
      <c r="I1112" s="21"/>
      <c r="J1112" s="21"/>
      <c r="K1112" s="22"/>
      <c r="L1112" s="22"/>
      <c r="M1112" s="22"/>
      <c r="N1112" s="22"/>
      <c r="O1112" s="20"/>
      <c r="P1112" s="20"/>
    </row>
    <row r="1113" spans="1:16" x14ac:dyDescent="0.35">
      <c r="A1113" s="18"/>
      <c r="B1113" s="18"/>
      <c r="C1113" s="18"/>
      <c r="D1113" s="18"/>
      <c r="E1113" s="26"/>
      <c r="F1113" s="26"/>
      <c r="G1113" s="20"/>
      <c r="H1113" s="21"/>
      <c r="I1113" s="21"/>
      <c r="J1113" s="21"/>
      <c r="K1113" s="22"/>
      <c r="L1113" s="22"/>
      <c r="M1113" s="22"/>
      <c r="N1113" s="22"/>
      <c r="O1113" s="20"/>
      <c r="P1113" s="20"/>
    </row>
    <row r="1114" spans="1:16" x14ac:dyDescent="0.35">
      <c r="A1114" s="18"/>
      <c r="B1114" s="18"/>
      <c r="C1114" s="18"/>
      <c r="D1114" s="18"/>
      <c r="E1114" s="26"/>
      <c r="F1114" s="26"/>
      <c r="G1114" s="20"/>
      <c r="H1114" s="21"/>
      <c r="I1114" s="21"/>
      <c r="J1114" s="21"/>
      <c r="K1114" s="22"/>
      <c r="L1114" s="22"/>
      <c r="M1114" s="22"/>
      <c r="N1114" s="22"/>
      <c r="O1114" s="20"/>
      <c r="P1114" s="20"/>
    </row>
    <row r="1115" spans="1:16" x14ac:dyDescent="0.35">
      <c r="A1115" s="18"/>
      <c r="B1115" s="18"/>
      <c r="C1115" s="18"/>
      <c r="D1115" s="18"/>
      <c r="E1115" s="26"/>
      <c r="F1115" s="26"/>
      <c r="G1115" s="20"/>
      <c r="H1115" s="21"/>
      <c r="I1115" s="21"/>
      <c r="J1115" s="21"/>
      <c r="K1115" s="22"/>
      <c r="L1115" s="22"/>
      <c r="M1115" s="22"/>
      <c r="N1115" s="22"/>
      <c r="O1115" s="20"/>
      <c r="P1115" s="20"/>
    </row>
    <row r="1116" spans="1:16" x14ac:dyDescent="0.35">
      <c r="A1116" s="18"/>
      <c r="B1116" s="18"/>
      <c r="C1116" s="18"/>
      <c r="D1116" s="18"/>
      <c r="E1116" s="26"/>
      <c r="F1116" s="26"/>
      <c r="G1116" s="20"/>
      <c r="H1116" s="21"/>
      <c r="I1116" s="21"/>
      <c r="J1116" s="21"/>
      <c r="K1116" s="22"/>
      <c r="L1116" s="22"/>
      <c r="M1116" s="22"/>
      <c r="N1116" s="22"/>
      <c r="O1116" s="20"/>
      <c r="P1116" s="20"/>
    </row>
    <row r="1117" spans="1:16" x14ac:dyDescent="0.35">
      <c r="A1117" s="18"/>
      <c r="B1117" s="18"/>
      <c r="C1117" s="18"/>
      <c r="D1117" s="18"/>
      <c r="E1117" s="26"/>
      <c r="F1117" s="26"/>
      <c r="G1117" s="20"/>
      <c r="H1117" s="21"/>
      <c r="I1117" s="21"/>
      <c r="J1117" s="21"/>
      <c r="K1117" s="22"/>
      <c r="L1117" s="22"/>
      <c r="M1117" s="22"/>
      <c r="N1117" s="22"/>
      <c r="O1117" s="20"/>
      <c r="P1117" s="20"/>
    </row>
    <row r="1118" spans="1:16" x14ac:dyDescent="0.35">
      <c r="A1118" s="18"/>
      <c r="B1118" s="18"/>
      <c r="C1118" s="18"/>
      <c r="D1118" s="18"/>
      <c r="E1118" s="26"/>
      <c r="F1118" s="26"/>
      <c r="G1118" s="20"/>
      <c r="H1118" s="21"/>
      <c r="I1118" s="21"/>
      <c r="J1118" s="21"/>
      <c r="K1118" s="22"/>
      <c r="L1118" s="22"/>
      <c r="M1118" s="22"/>
      <c r="N1118" s="22"/>
      <c r="O1118" s="20"/>
      <c r="P1118" s="20"/>
    </row>
    <row r="1119" spans="1:16" x14ac:dyDescent="0.35">
      <c r="A1119" s="18"/>
      <c r="B1119" s="18"/>
      <c r="C1119" s="18"/>
      <c r="D1119" s="18"/>
      <c r="E1119" s="26"/>
      <c r="F1119" s="26"/>
      <c r="G1119" s="20"/>
      <c r="H1119" s="21"/>
      <c r="I1119" s="21"/>
      <c r="J1119" s="21"/>
      <c r="K1119" s="22"/>
      <c r="L1119" s="22"/>
      <c r="M1119" s="22"/>
      <c r="N1119" s="22"/>
      <c r="O1119" s="20"/>
      <c r="P1119" s="20"/>
    </row>
    <row r="1120" spans="1:16" x14ac:dyDescent="0.35">
      <c r="A1120" s="18"/>
      <c r="B1120" s="18"/>
      <c r="C1120" s="18"/>
      <c r="D1120" s="18"/>
      <c r="E1120" s="26"/>
      <c r="F1120" s="26"/>
      <c r="G1120" s="20"/>
      <c r="H1120" s="21"/>
      <c r="I1120" s="21"/>
      <c r="J1120" s="21"/>
      <c r="K1120" s="22"/>
      <c r="L1120" s="22"/>
      <c r="M1120" s="22"/>
      <c r="N1120" s="22"/>
      <c r="O1120" s="20"/>
      <c r="P1120" s="20"/>
    </row>
    <row r="1121" spans="1:16" x14ac:dyDescent="0.35">
      <c r="A1121" s="18"/>
      <c r="B1121" s="18"/>
      <c r="C1121" s="18"/>
      <c r="D1121" s="18"/>
      <c r="E1121" s="26"/>
      <c r="F1121" s="26"/>
      <c r="G1121" s="20"/>
      <c r="H1121" s="21"/>
      <c r="I1121" s="21"/>
      <c r="J1121" s="21"/>
      <c r="K1121" s="22"/>
      <c r="L1121" s="22"/>
      <c r="M1121" s="22"/>
      <c r="N1121" s="22"/>
      <c r="O1121" s="20"/>
      <c r="P1121" s="20"/>
    </row>
    <row r="1122" spans="1:16" x14ac:dyDescent="0.35">
      <c r="A1122" s="18"/>
      <c r="B1122" s="18"/>
      <c r="C1122" s="18"/>
      <c r="D1122" s="18"/>
      <c r="E1122" s="26"/>
      <c r="F1122" s="26"/>
      <c r="G1122" s="20"/>
      <c r="H1122" s="21"/>
      <c r="I1122" s="21"/>
      <c r="J1122" s="21"/>
      <c r="K1122" s="22"/>
      <c r="L1122" s="22"/>
      <c r="M1122" s="22"/>
      <c r="N1122" s="22"/>
      <c r="O1122" s="20"/>
      <c r="P1122" s="20"/>
    </row>
    <row r="1123" spans="1:16" x14ac:dyDescent="0.35">
      <c r="A1123" s="18"/>
      <c r="B1123" s="18"/>
      <c r="C1123" s="18"/>
      <c r="D1123" s="18"/>
      <c r="E1123" s="26"/>
      <c r="F1123" s="26"/>
      <c r="G1123" s="20"/>
      <c r="H1123" s="21"/>
      <c r="I1123" s="21"/>
      <c r="J1123" s="21"/>
      <c r="K1123" s="22"/>
      <c r="L1123" s="22"/>
      <c r="M1123" s="22"/>
      <c r="N1123" s="22"/>
      <c r="O1123" s="20"/>
      <c r="P1123" s="20"/>
    </row>
    <row r="1124" spans="1:16" x14ac:dyDescent="0.35">
      <c r="A1124" s="18"/>
      <c r="B1124" s="18"/>
      <c r="C1124" s="18"/>
      <c r="D1124" s="18"/>
      <c r="E1124" s="26"/>
      <c r="F1124" s="26"/>
      <c r="G1124" s="20"/>
      <c r="H1124" s="21"/>
      <c r="I1124" s="21"/>
      <c r="J1124" s="21"/>
      <c r="K1124" s="22"/>
      <c r="L1124" s="22"/>
      <c r="M1124" s="22"/>
      <c r="N1124" s="22"/>
      <c r="O1124" s="20"/>
      <c r="P1124" s="20"/>
    </row>
    <row r="1125" spans="1:16" x14ac:dyDescent="0.35">
      <c r="A1125" s="18"/>
      <c r="B1125" s="18"/>
      <c r="C1125" s="18"/>
      <c r="D1125" s="18"/>
      <c r="E1125" s="26"/>
      <c r="F1125" s="26"/>
      <c r="G1125" s="20"/>
      <c r="H1125" s="21"/>
      <c r="I1125" s="21"/>
      <c r="J1125" s="21"/>
      <c r="K1125" s="22"/>
      <c r="L1125" s="22"/>
      <c r="M1125" s="22"/>
      <c r="N1125" s="22"/>
      <c r="O1125" s="20"/>
      <c r="P1125" s="20"/>
    </row>
    <row r="1126" spans="1:16" x14ac:dyDescent="0.35">
      <c r="A1126" s="18"/>
      <c r="B1126" s="18"/>
      <c r="C1126" s="18"/>
      <c r="D1126" s="18"/>
      <c r="E1126" s="26"/>
      <c r="F1126" s="26"/>
      <c r="G1126" s="20"/>
      <c r="H1126" s="21"/>
      <c r="I1126" s="21"/>
      <c r="J1126" s="21"/>
      <c r="K1126" s="22"/>
      <c r="L1126" s="22"/>
      <c r="M1126" s="22"/>
      <c r="N1126" s="22"/>
      <c r="O1126" s="20"/>
      <c r="P1126" s="20"/>
    </row>
    <row r="1127" spans="1:16" x14ac:dyDescent="0.35">
      <c r="A1127" s="18"/>
      <c r="B1127" s="18"/>
      <c r="C1127" s="18"/>
      <c r="D1127" s="18"/>
      <c r="E1127" s="26"/>
      <c r="F1127" s="26"/>
      <c r="G1127" s="20"/>
      <c r="H1127" s="21"/>
      <c r="I1127" s="21"/>
      <c r="J1127" s="21"/>
      <c r="K1127" s="22"/>
      <c r="L1127" s="22"/>
      <c r="M1127" s="22"/>
      <c r="N1127" s="22"/>
      <c r="O1127" s="20"/>
      <c r="P1127" s="20"/>
    </row>
    <row r="1128" spans="1:16" x14ac:dyDescent="0.35">
      <c r="A1128" s="18"/>
      <c r="B1128" s="18"/>
      <c r="C1128" s="18"/>
      <c r="D1128" s="18"/>
      <c r="E1128" s="26"/>
      <c r="F1128" s="26"/>
      <c r="G1128" s="20"/>
      <c r="H1128" s="21"/>
      <c r="I1128" s="21"/>
      <c r="J1128" s="21"/>
      <c r="K1128" s="22"/>
      <c r="L1128" s="22"/>
      <c r="M1128" s="22"/>
      <c r="N1128" s="22"/>
      <c r="O1128" s="20"/>
      <c r="P1128" s="20"/>
    </row>
    <row r="1129" spans="1:16" x14ac:dyDescent="0.35">
      <c r="A1129" s="18"/>
      <c r="B1129" s="18"/>
      <c r="C1129" s="18"/>
      <c r="D1129" s="18"/>
      <c r="E1129" s="26"/>
      <c r="F1129" s="26"/>
      <c r="G1129" s="20"/>
      <c r="H1129" s="21"/>
      <c r="I1129" s="21"/>
      <c r="J1129" s="21"/>
      <c r="K1129" s="22"/>
      <c r="L1129" s="22"/>
      <c r="M1129" s="22"/>
      <c r="N1129" s="22"/>
      <c r="O1129" s="20"/>
      <c r="P1129" s="20"/>
    </row>
    <row r="1130" spans="1:16" x14ac:dyDescent="0.35">
      <c r="A1130" s="18"/>
      <c r="B1130" s="18"/>
      <c r="C1130" s="18"/>
      <c r="D1130" s="18"/>
      <c r="E1130" s="26"/>
      <c r="F1130" s="26"/>
      <c r="G1130" s="20"/>
      <c r="H1130" s="21"/>
      <c r="I1130" s="21"/>
      <c r="J1130" s="21"/>
      <c r="K1130" s="22"/>
      <c r="L1130" s="22"/>
      <c r="M1130" s="22"/>
      <c r="N1130" s="22"/>
      <c r="O1130" s="20"/>
      <c r="P1130" s="20"/>
    </row>
    <row r="1131" spans="1:16" x14ac:dyDescent="0.35">
      <c r="A1131" s="18"/>
      <c r="B1131" s="18"/>
      <c r="C1131" s="18"/>
      <c r="D1131" s="18"/>
      <c r="E1131" s="26"/>
      <c r="F1131" s="26"/>
      <c r="G1131" s="20"/>
      <c r="H1131" s="21"/>
      <c r="I1131" s="21"/>
      <c r="J1131" s="21"/>
      <c r="K1131" s="22"/>
      <c r="L1131" s="22"/>
      <c r="M1131" s="22"/>
      <c r="N1131" s="22"/>
      <c r="O1131" s="20"/>
      <c r="P1131" s="20"/>
    </row>
    <row r="1132" spans="1:16" x14ac:dyDescent="0.35">
      <c r="A1132" s="18"/>
      <c r="B1132" s="18"/>
      <c r="C1132" s="18"/>
      <c r="D1132" s="18"/>
      <c r="E1132" s="26"/>
      <c r="F1132" s="26"/>
      <c r="G1132" s="20"/>
      <c r="H1132" s="21"/>
      <c r="I1132" s="21"/>
      <c r="J1132" s="21"/>
      <c r="K1132" s="22"/>
      <c r="L1132" s="22"/>
      <c r="M1132" s="22"/>
      <c r="N1132" s="22"/>
      <c r="O1132" s="20"/>
      <c r="P1132" s="20"/>
    </row>
    <row r="1133" spans="1:16" x14ac:dyDescent="0.35">
      <c r="A1133" s="18"/>
      <c r="B1133" s="18"/>
      <c r="C1133" s="18"/>
      <c r="D1133" s="18"/>
      <c r="E1133" s="26"/>
      <c r="F1133" s="26"/>
      <c r="G1133" s="20"/>
      <c r="H1133" s="21"/>
      <c r="I1133" s="21"/>
      <c r="J1133" s="21"/>
      <c r="K1133" s="22"/>
      <c r="L1133" s="22"/>
      <c r="M1133" s="22"/>
      <c r="N1133" s="22"/>
      <c r="O1133" s="20"/>
      <c r="P1133" s="20"/>
    </row>
    <row r="1134" spans="1:16" x14ac:dyDescent="0.35">
      <c r="A1134" s="18"/>
      <c r="B1134" s="18"/>
      <c r="C1134" s="18"/>
      <c r="D1134" s="18"/>
      <c r="E1134" s="26"/>
      <c r="F1134" s="26"/>
      <c r="G1134" s="20"/>
      <c r="H1134" s="21"/>
      <c r="I1134" s="21"/>
      <c r="J1134" s="21"/>
      <c r="K1134" s="22"/>
      <c r="L1134" s="22"/>
      <c r="M1134" s="22"/>
      <c r="N1134" s="22"/>
      <c r="O1134" s="20"/>
      <c r="P1134" s="20"/>
    </row>
    <row r="1135" spans="1:16" x14ac:dyDescent="0.35">
      <c r="A1135" s="18"/>
      <c r="B1135" s="18"/>
      <c r="C1135" s="18"/>
      <c r="D1135" s="18"/>
      <c r="E1135" s="26"/>
      <c r="F1135" s="26"/>
      <c r="G1135" s="20"/>
      <c r="H1135" s="21"/>
      <c r="I1135" s="21"/>
      <c r="J1135" s="21"/>
      <c r="K1135" s="22"/>
      <c r="L1135" s="22"/>
      <c r="M1135" s="22"/>
      <c r="N1135" s="22"/>
      <c r="O1135" s="20"/>
      <c r="P1135" s="20"/>
    </row>
    <row r="1136" spans="1:16" x14ac:dyDescent="0.35">
      <c r="A1136" s="18"/>
      <c r="B1136" s="18"/>
      <c r="C1136" s="18"/>
      <c r="D1136" s="18"/>
      <c r="E1136" s="26"/>
      <c r="F1136" s="26"/>
      <c r="G1136" s="20"/>
      <c r="H1136" s="21"/>
      <c r="I1136" s="21"/>
      <c r="J1136" s="21"/>
      <c r="K1136" s="22"/>
      <c r="L1136" s="22"/>
      <c r="M1136" s="22"/>
      <c r="N1136" s="22"/>
      <c r="O1136" s="20"/>
      <c r="P1136" s="20"/>
    </row>
    <row r="1137" spans="1:16" x14ac:dyDescent="0.35">
      <c r="A1137" s="18"/>
      <c r="B1137" s="18"/>
      <c r="C1137" s="18"/>
      <c r="D1137" s="18"/>
      <c r="E1137" s="26"/>
      <c r="F1137" s="26"/>
      <c r="G1137" s="20"/>
      <c r="H1137" s="21"/>
      <c r="I1137" s="21"/>
      <c r="J1137" s="21"/>
      <c r="K1137" s="22"/>
      <c r="L1137" s="22"/>
      <c r="M1137" s="22"/>
      <c r="N1137" s="22"/>
      <c r="O1137" s="20"/>
      <c r="P1137" s="20"/>
    </row>
    <row r="1138" spans="1:16" x14ac:dyDescent="0.35">
      <c r="A1138" s="18"/>
      <c r="B1138" s="18"/>
      <c r="C1138" s="18"/>
      <c r="D1138" s="18"/>
      <c r="E1138" s="26"/>
      <c r="F1138" s="26"/>
      <c r="G1138" s="20"/>
      <c r="H1138" s="21"/>
      <c r="I1138" s="21"/>
      <c r="J1138" s="21"/>
      <c r="K1138" s="22"/>
      <c r="L1138" s="22"/>
      <c r="M1138" s="22"/>
      <c r="N1138" s="22"/>
      <c r="O1138" s="20"/>
      <c r="P1138" s="20"/>
    </row>
    <row r="1139" spans="1:16" x14ac:dyDescent="0.35">
      <c r="A1139" s="18"/>
      <c r="B1139" s="18"/>
      <c r="C1139" s="18"/>
      <c r="D1139" s="18"/>
      <c r="E1139" s="26"/>
      <c r="F1139" s="26"/>
      <c r="G1139" s="20"/>
      <c r="H1139" s="21"/>
      <c r="I1139" s="21"/>
      <c r="J1139" s="21"/>
      <c r="K1139" s="22"/>
      <c r="L1139" s="22"/>
      <c r="M1139" s="22"/>
      <c r="N1139" s="22"/>
      <c r="O1139" s="20"/>
      <c r="P1139" s="20"/>
    </row>
    <row r="1140" spans="1:16" x14ac:dyDescent="0.35">
      <c r="A1140" s="18"/>
      <c r="B1140" s="18"/>
      <c r="C1140" s="18"/>
      <c r="D1140" s="18"/>
      <c r="E1140" s="26"/>
      <c r="F1140" s="26"/>
      <c r="G1140" s="20"/>
      <c r="H1140" s="21"/>
      <c r="I1140" s="21"/>
      <c r="J1140" s="21"/>
      <c r="K1140" s="22"/>
      <c r="L1140" s="22"/>
      <c r="M1140" s="22"/>
      <c r="N1140" s="22"/>
      <c r="O1140" s="20"/>
      <c r="P1140" s="20"/>
    </row>
    <row r="1141" spans="1:16" x14ac:dyDescent="0.35">
      <c r="A1141" s="18"/>
      <c r="B1141" s="18"/>
      <c r="C1141" s="18"/>
      <c r="D1141" s="18"/>
      <c r="E1141" s="26"/>
      <c r="F1141" s="26"/>
      <c r="G1141" s="20"/>
      <c r="H1141" s="21"/>
      <c r="I1141" s="21"/>
      <c r="J1141" s="21"/>
      <c r="K1141" s="22"/>
      <c r="L1141" s="22"/>
      <c r="M1141" s="22"/>
      <c r="N1141" s="22"/>
      <c r="O1141" s="20"/>
      <c r="P1141" s="20"/>
    </row>
    <row r="1142" spans="1:16" x14ac:dyDescent="0.35">
      <c r="A1142" s="18"/>
      <c r="B1142" s="18"/>
      <c r="C1142" s="18"/>
      <c r="D1142" s="18"/>
      <c r="E1142" s="26"/>
      <c r="F1142" s="26"/>
      <c r="G1142" s="20"/>
      <c r="H1142" s="21"/>
      <c r="I1142" s="21"/>
      <c r="J1142" s="21"/>
      <c r="K1142" s="22"/>
      <c r="L1142" s="22"/>
      <c r="M1142" s="22"/>
      <c r="N1142" s="22"/>
      <c r="O1142" s="20"/>
      <c r="P1142" s="20"/>
    </row>
    <row r="1143" spans="1:16" x14ac:dyDescent="0.35">
      <c r="A1143" s="18"/>
      <c r="B1143" s="18"/>
      <c r="C1143" s="18"/>
      <c r="D1143" s="18"/>
      <c r="E1143" s="26"/>
      <c r="F1143" s="26"/>
      <c r="G1143" s="20"/>
      <c r="H1143" s="21"/>
      <c r="I1143" s="21"/>
      <c r="J1143" s="21"/>
      <c r="K1143" s="22"/>
      <c r="L1143" s="22"/>
      <c r="M1143" s="22"/>
      <c r="N1143" s="22"/>
      <c r="O1143" s="20"/>
      <c r="P1143" s="20"/>
    </row>
    <row r="1144" spans="1:16" x14ac:dyDescent="0.35">
      <c r="A1144" s="18"/>
      <c r="B1144" s="18"/>
      <c r="C1144" s="18"/>
      <c r="D1144" s="18"/>
      <c r="E1144" s="26"/>
      <c r="F1144" s="26"/>
      <c r="G1144" s="20"/>
      <c r="H1144" s="21"/>
      <c r="I1144" s="21"/>
      <c r="J1144" s="21"/>
      <c r="K1144" s="22"/>
      <c r="L1144" s="22"/>
      <c r="M1144" s="22"/>
      <c r="N1144" s="22"/>
      <c r="O1144" s="20"/>
      <c r="P1144" s="20"/>
    </row>
    <row r="1145" spans="1:16" x14ac:dyDescent="0.35">
      <c r="A1145" s="18"/>
      <c r="B1145" s="18"/>
      <c r="C1145" s="20"/>
      <c r="D1145" s="18"/>
      <c r="E1145" s="26"/>
      <c r="F1145" s="20"/>
      <c r="G1145" s="20"/>
      <c r="H1145" s="21"/>
      <c r="I1145" s="21"/>
      <c r="J1145" s="21"/>
      <c r="K1145" s="22"/>
      <c r="L1145" s="22"/>
      <c r="M1145" s="22"/>
      <c r="N1145" s="22"/>
      <c r="O1145" s="20"/>
      <c r="P1145" s="20"/>
    </row>
    <row r="1146" spans="1:16" x14ac:dyDescent="0.35">
      <c r="A1146" s="18"/>
      <c r="B1146" s="18"/>
      <c r="C1146" s="20"/>
      <c r="D1146" s="18"/>
      <c r="E1146" s="26"/>
      <c r="F1146" s="20"/>
      <c r="G1146" s="20"/>
      <c r="H1146" s="21"/>
      <c r="I1146" s="21"/>
      <c r="J1146" s="21"/>
      <c r="K1146" s="22"/>
      <c r="L1146" s="22"/>
      <c r="M1146" s="22"/>
      <c r="N1146" s="22"/>
      <c r="O1146" s="20"/>
      <c r="P1146" s="20"/>
    </row>
    <row r="1147" spans="1:16" x14ac:dyDescent="0.35">
      <c r="A1147" s="18"/>
      <c r="B1147" s="18"/>
      <c r="C1147" s="20"/>
      <c r="D1147" s="18"/>
      <c r="E1147" s="26"/>
      <c r="F1147" s="20"/>
      <c r="G1147" s="20"/>
      <c r="H1147" s="21"/>
      <c r="I1147" s="21"/>
      <c r="J1147" s="21"/>
      <c r="K1147" s="22"/>
      <c r="L1147" s="22"/>
      <c r="M1147" s="22"/>
      <c r="N1147" s="22"/>
      <c r="O1147" s="20"/>
      <c r="P1147" s="20"/>
    </row>
    <row r="1148" spans="1:16" x14ac:dyDescent="0.35">
      <c r="A1148" s="18"/>
      <c r="B1148" s="18"/>
      <c r="C1148" s="20"/>
      <c r="D1148" s="18"/>
      <c r="E1148" s="26"/>
      <c r="F1148" s="20"/>
      <c r="G1148" s="20"/>
      <c r="H1148" s="21"/>
      <c r="I1148" s="21"/>
      <c r="J1148" s="21"/>
      <c r="K1148" s="22"/>
      <c r="L1148" s="22"/>
      <c r="M1148" s="22"/>
      <c r="N1148" s="22"/>
      <c r="O1148" s="20"/>
      <c r="P1148" s="20"/>
    </row>
    <row r="1149" spans="1:16" x14ac:dyDescent="0.35">
      <c r="A1149" s="18"/>
      <c r="B1149" s="18"/>
      <c r="C1149" s="20"/>
      <c r="D1149" s="18"/>
      <c r="E1149" s="26"/>
      <c r="F1149" s="20"/>
      <c r="G1149" s="20"/>
      <c r="H1149" s="21"/>
      <c r="I1149" s="21"/>
      <c r="J1149" s="21"/>
      <c r="K1149" s="22"/>
      <c r="L1149" s="22"/>
      <c r="M1149" s="22"/>
      <c r="N1149" s="22"/>
      <c r="O1149" s="20"/>
      <c r="P1149" s="20"/>
    </row>
    <row r="1150" spans="1:16" x14ac:dyDescent="0.35">
      <c r="A1150" s="18"/>
      <c r="B1150" s="18"/>
      <c r="C1150" s="20"/>
      <c r="D1150" s="18"/>
      <c r="E1150" s="26"/>
      <c r="F1150" s="20"/>
      <c r="G1150" s="20"/>
      <c r="H1150" s="21"/>
      <c r="I1150" s="21"/>
      <c r="J1150" s="21"/>
      <c r="K1150" s="22"/>
      <c r="L1150" s="22"/>
      <c r="M1150" s="22"/>
      <c r="N1150" s="22"/>
      <c r="O1150" s="20"/>
      <c r="P1150" s="20"/>
    </row>
    <row r="1151" spans="1:16" x14ac:dyDescent="0.35">
      <c r="A1151" s="18"/>
      <c r="B1151" s="18"/>
      <c r="C1151" s="20"/>
      <c r="D1151" s="18"/>
      <c r="E1151" s="26"/>
      <c r="F1151" s="20"/>
      <c r="G1151" s="20"/>
      <c r="H1151" s="21"/>
      <c r="I1151" s="21"/>
      <c r="J1151" s="21"/>
      <c r="K1151" s="22"/>
      <c r="L1151" s="22"/>
      <c r="M1151" s="22"/>
      <c r="N1151" s="22"/>
      <c r="O1151" s="20"/>
      <c r="P1151" s="20"/>
    </row>
    <row r="1152" spans="1:16" x14ac:dyDescent="0.35">
      <c r="A1152" s="18"/>
      <c r="B1152" s="18"/>
      <c r="C1152" s="20"/>
      <c r="D1152" s="18"/>
      <c r="E1152" s="26"/>
      <c r="F1152" s="20"/>
      <c r="G1152" s="20"/>
      <c r="H1152" s="21"/>
      <c r="I1152" s="21"/>
      <c r="J1152" s="21"/>
      <c r="K1152" s="22"/>
      <c r="L1152" s="22"/>
      <c r="M1152" s="22"/>
      <c r="N1152" s="22"/>
      <c r="O1152" s="20"/>
      <c r="P1152" s="20"/>
    </row>
    <row r="1153" spans="1:16" x14ac:dyDescent="0.35">
      <c r="A1153" s="18"/>
      <c r="B1153" s="18"/>
      <c r="C1153" s="20"/>
      <c r="D1153" s="18"/>
      <c r="E1153" s="26"/>
      <c r="F1153" s="20"/>
      <c r="G1153" s="20"/>
      <c r="H1153" s="21"/>
      <c r="I1153" s="21"/>
      <c r="J1153" s="21"/>
      <c r="K1153" s="22"/>
      <c r="L1153" s="22"/>
      <c r="M1153" s="22"/>
      <c r="N1153" s="22"/>
      <c r="O1153" s="20"/>
      <c r="P1153" s="20"/>
    </row>
    <row r="1154" spans="1:16" x14ac:dyDescent="0.35">
      <c r="A1154" s="18"/>
      <c r="B1154" s="18"/>
      <c r="C1154" s="20"/>
      <c r="D1154" s="18"/>
      <c r="E1154" s="26"/>
      <c r="F1154" s="20"/>
      <c r="G1154" s="20"/>
      <c r="H1154" s="21"/>
      <c r="I1154" s="21"/>
      <c r="J1154" s="21"/>
      <c r="K1154" s="22"/>
      <c r="L1154" s="22"/>
      <c r="M1154" s="22"/>
      <c r="N1154" s="22"/>
      <c r="O1154" s="20"/>
      <c r="P1154" s="20"/>
    </row>
    <row r="1155" spans="1:16" x14ac:dyDescent="0.35">
      <c r="A1155" s="18"/>
      <c r="B1155" s="18"/>
      <c r="C1155" s="20"/>
      <c r="D1155" s="18"/>
      <c r="E1155" s="26"/>
      <c r="F1155" s="20"/>
      <c r="G1155" s="20"/>
      <c r="H1155" s="21"/>
      <c r="I1155" s="21"/>
      <c r="J1155" s="21"/>
      <c r="K1155" s="22"/>
      <c r="L1155" s="22"/>
      <c r="M1155" s="22"/>
      <c r="N1155" s="22"/>
      <c r="O1155" s="20"/>
      <c r="P1155" s="20"/>
    </row>
    <row r="1156" spans="1:16" x14ac:dyDescent="0.35">
      <c r="A1156" s="18"/>
      <c r="B1156" s="18"/>
      <c r="C1156" s="20"/>
      <c r="D1156" s="18"/>
      <c r="E1156" s="26"/>
      <c r="F1156" s="20"/>
      <c r="G1156" s="20"/>
      <c r="H1156" s="21"/>
      <c r="I1156" s="21"/>
      <c r="J1156" s="21"/>
      <c r="K1156" s="22"/>
      <c r="L1156" s="22"/>
      <c r="M1156" s="22"/>
      <c r="N1156" s="22"/>
      <c r="O1156" s="20"/>
      <c r="P1156" s="20"/>
    </row>
    <row r="1157" spans="1:16" x14ac:dyDescent="0.35">
      <c r="A1157" s="18"/>
      <c r="B1157" s="18"/>
      <c r="C1157" s="20"/>
      <c r="D1157" s="18"/>
      <c r="E1157" s="26"/>
      <c r="F1157" s="20"/>
      <c r="G1157" s="20"/>
      <c r="H1157" s="21"/>
      <c r="I1157" s="21"/>
      <c r="J1157" s="21"/>
      <c r="K1157" s="22"/>
      <c r="L1157" s="22"/>
      <c r="M1157" s="22"/>
      <c r="N1157" s="22"/>
      <c r="O1157" s="20"/>
      <c r="P1157" s="20"/>
    </row>
    <row r="1158" spans="1:16" x14ac:dyDescent="0.35">
      <c r="A1158" s="18"/>
      <c r="B1158" s="18"/>
      <c r="C1158" s="20"/>
      <c r="D1158" s="18"/>
      <c r="E1158" s="26"/>
      <c r="F1158" s="20"/>
      <c r="G1158" s="20"/>
      <c r="H1158" s="21"/>
      <c r="I1158" s="21"/>
      <c r="J1158" s="21"/>
      <c r="K1158" s="22"/>
      <c r="L1158" s="22"/>
      <c r="M1158" s="22"/>
      <c r="N1158" s="22"/>
      <c r="O1158" s="20"/>
      <c r="P1158" s="20"/>
    </row>
    <row r="1159" spans="1:16" x14ac:dyDescent="0.35">
      <c r="A1159" s="18"/>
      <c r="B1159" s="18"/>
      <c r="C1159" s="20"/>
      <c r="D1159" s="18"/>
      <c r="E1159" s="26"/>
      <c r="F1159" s="20"/>
      <c r="G1159" s="20"/>
      <c r="H1159" s="21"/>
      <c r="I1159" s="21"/>
      <c r="J1159" s="21"/>
      <c r="K1159" s="22"/>
      <c r="L1159" s="22"/>
      <c r="M1159" s="22"/>
      <c r="N1159" s="22"/>
      <c r="O1159" s="20"/>
      <c r="P1159" s="20"/>
    </row>
    <row r="1160" spans="1:16" x14ac:dyDescent="0.35">
      <c r="A1160" s="18"/>
      <c r="B1160" s="18"/>
      <c r="C1160" s="20"/>
      <c r="D1160" s="18"/>
      <c r="E1160" s="26"/>
      <c r="F1160" s="20"/>
      <c r="G1160" s="20"/>
      <c r="H1160" s="21"/>
      <c r="I1160" s="21"/>
      <c r="J1160" s="21"/>
      <c r="K1160" s="22"/>
      <c r="L1160" s="22"/>
      <c r="M1160" s="22"/>
      <c r="N1160" s="22"/>
      <c r="O1160" s="20"/>
      <c r="P1160" s="20"/>
    </row>
    <row r="1161" spans="1:16" x14ac:dyDescent="0.35">
      <c r="A1161" s="18"/>
      <c r="B1161" s="18"/>
      <c r="C1161" s="20"/>
      <c r="D1161" s="18"/>
      <c r="E1161" s="26"/>
      <c r="F1161" s="20"/>
      <c r="G1161" s="20"/>
      <c r="H1161" s="21"/>
      <c r="I1161" s="21"/>
      <c r="J1161" s="21"/>
      <c r="K1161" s="22"/>
      <c r="L1161" s="22"/>
      <c r="M1161" s="22"/>
      <c r="N1161" s="22"/>
      <c r="O1161" s="20"/>
      <c r="P1161" s="20"/>
    </row>
    <row r="1162" spans="1:16" x14ac:dyDescent="0.35">
      <c r="A1162" s="18"/>
      <c r="B1162" s="18"/>
      <c r="C1162" s="20"/>
      <c r="D1162" s="18"/>
      <c r="E1162" s="26"/>
      <c r="F1162" s="20"/>
      <c r="G1162" s="20"/>
      <c r="H1162" s="21"/>
      <c r="I1162" s="21"/>
      <c r="J1162" s="21"/>
      <c r="K1162" s="22"/>
      <c r="L1162" s="22"/>
      <c r="M1162" s="22"/>
      <c r="N1162" s="22"/>
      <c r="O1162" s="20"/>
      <c r="P1162" s="20"/>
    </row>
    <row r="1163" spans="1:16" x14ac:dyDescent="0.35">
      <c r="A1163" s="18"/>
      <c r="B1163" s="18"/>
      <c r="C1163" s="20"/>
      <c r="D1163" s="18"/>
      <c r="E1163" s="26"/>
      <c r="F1163" s="20"/>
      <c r="G1163" s="20"/>
      <c r="H1163" s="21"/>
      <c r="I1163" s="21"/>
      <c r="J1163" s="21"/>
      <c r="K1163" s="22"/>
      <c r="L1163" s="22"/>
      <c r="M1163" s="22"/>
      <c r="N1163" s="22"/>
      <c r="O1163" s="20"/>
      <c r="P1163" s="20"/>
    </row>
    <row r="1164" spans="1:16" x14ac:dyDescent="0.35">
      <c r="A1164" s="18"/>
      <c r="B1164" s="18"/>
      <c r="C1164" s="20"/>
      <c r="D1164" s="18"/>
      <c r="E1164" s="26"/>
      <c r="F1164" s="20"/>
      <c r="G1164" s="20"/>
      <c r="H1164" s="21"/>
      <c r="I1164" s="21"/>
      <c r="J1164" s="21"/>
      <c r="K1164" s="22"/>
      <c r="L1164" s="22"/>
      <c r="M1164" s="22"/>
      <c r="N1164" s="22"/>
      <c r="O1164" s="20"/>
      <c r="P1164" s="20"/>
    </row>
    <row r="1165" spans="1:16" x14ac:dyDescent="0.35">
      <c r="A1165" s="18"/>
      <c r="B1165" s="18"/>
      <c r="C1165" s="20"/>
      <c r="D1165" s="18"/>
      <c r="E1165" s="26"/>
      <c r="F1165" s="20"/>
      <c r="G1165" s="20"/>
      <c r="H1165" s="21"/>
      <c r="I1165" s="21"/>
      <c r="J1165" s="21"/>
      <c r="K1165" s="22"/>
      <c r="L1165" s="22"/>
      <c r="M1165" s="22"/>
      <c r="N1165" s="22"/>
      <c r="O1165" s="20"/>
      <c r="P1165" s="20"/>
    </row>
    <row r="1166" spans="1:16" x14ac:dyDescent="0.35">
      <c r="A1166" s="18"/>
      <c r="B1166" s="18"/>
      <c r="C1166" s="20"/>
      <c r="D1166" s="18"/>
      <c r="E1166" s="26"/>
      <c r="F1166" s="20"/>
      <c r="G1166" s="20"/>
      <c r="H1166" s="21"/>
      <c r="I1166" s="21"/>
      <c r="J1166" s="21"/>
      <c r="K1166" s="22"/>
      <c r="L1166" s="22"/>
      <c r="M1166" s="22"/>
      <c r="N1166" s="22"/>
      <c r="O1166" s="20"/>
      <c r="P1166" s="20"/>
    </row>
    <row r="1167" spans="1:16" x14ac:dyDescent="0.35">
      <c r="A1167" s="18"/>
      <c r="B1167" s="18"/>
      <c r="C1167" s="20"/>
      <c r="D1167" s="18"/>
      <c r="E1167" s="26"/>
      <c r="F1167" s="20"/>
      <c r="G1167" s="20"/>
      <c r="H1167" s="21"/>
      <c r="I1167" s="21"/>
      <c r="J1167" s="21"/>
      <c r="K1167" s="22"/>
      <c r="L1167" s="22"/>
      <c r="M1167" s="22"/>
      <c r="N1167" s="22"/>
      <c r="O1167" s="20"/>
      <c r="P1167" s="20"/>
    </row>
    <row r="1168" spans="1:16" x14ac:dyDescent="0.35">
      <c r="A1168" s="18"/>
      <c r="B1168" s="18"/>
      <c r="C1168" s="20"/>
      <c r="D1168" s="18"/>
      <c r="E1168" s="26"/>
      <c r="F1168" s="20"/>
      <c r="G1168" s="20"/>
      <c r="H1168" s="21"/>
      <c r="I1168" s="21"/>
      <c r="J1168" s="21"/>
      <c r="K1168" s="22"/>
      <c r="L1168" s="22"/>
      <c r="M1168" s="22"/>
      <c r="N1168" s="22"/>
      <c r="O1168" s="20"/>
      <c r="P1168" s="20"/>
    </row>
    <row r="1169" spans="1:16" x14ac:dyDescent="0.35">
      <c r="A1169" s="18"/>
      <c r="B1169" s="18"/>
      <c r="C1169" s="20"/>
      <c r="D1169" s="18"/>
      <c r="E1169" s="26"/>
      <c r="F1169" s="20"/>
      <c r="G1169" s="20"/>
      <c r="H1169" s="21"/>
      <c r="I1169" s="21"/>
      <c r="J1169" s="21"/>
      <c r="K1169" s="22"/>
      <c r="L1169" s="22"/>
      <c r="M1169" s="22"/>
      <c r="N1169" s="22"/>
      <c r="O1169" s="20"/>
      <c r="P1169" s="20"/>
    </row>
    <row r="1170" spans="1:16" x14ac:dyDescent="0.35">
      <c r="A1170" s="18"/>
      <c r="B1170" s="18"/>
      <c r="C1170" s="20"/>
      <c r="D1170" s="18"/>
      <c r="E1170" s="26"/>
      <c r="F1170" s="20"/>
      <c r="G1170" s="20"/>
      <c r="H1170" s="21"/>
      <c r="I1170" s="21"/>
      <c r="J1170" s="21"/>
      <c r="K1170" s="22"/>
      <c r="L1170" s="22"/>
      <c r="M1170" s="22"/>
      <c r="N1170" s="22"/>
      <c r="O1170" s="20"/>
      <c r="P1170" s="20"/>
    </row>
    <row r="1171" spans="1:16" x14ac:dyDescent="0.35">
      <c r="A1171" s="18"/>
      <c r="B1171" s="18"/>
      <c r="C1171" s="20"/>
      <c r="D1171" s="18"/>
      <c r="E1171" s="26"/>
      <c r="F1171" s="20"/>
      <c r="G1171" s="20"/>
      <c r="H1171" s="21"/>
      <c r="I1171" s="21"/>
      <c r="J1171" s="21"/>
      <c r="K1171" s="22"/>
      <c r="L1171" s="22"/>
      <c r="M1171" s="22"/>
      <c r="N1171" s="22"/>
      <c r="O1171" s="20"/>
      <c r="P1171" s="20"/>
    </row>
    <row r="1172" spans="1:16" x14ac:dyDescent="0.35">
      <c r="A1172" s="18"/>
      <c r="B1172" s="18"/>
      <c r="C1172" s="20"/>
      <c r="D1172" s="18"/>
      <c r="E1172" s="26"/>
      <c r="F1172" s="20"/>
      <c r="G1172" s="20"/>
      <c r="H1172" s="21"/>
      <c r="I1172" s="21"/>
      <c r="J1172" s="21"/>
      <c r="K1172" s="22"/>
      <c r="L1172" s="22"/>
      <c r="M1172" s="22"/>
      <c r="N1172" s="22"/>
      <c r="O1172" s="20"/>
      <c r="P1172" s="20"/>
    </row>
    <row r="1173" spans="1:16" x14ac:dyDescent="0.35">
      <c r="A1173" s="18"/>
      <c r="B1173" s="18"/>
      <c r="C1173" s="20"/>
      <c r="D1173" s="18"/>
      <c r="E1173" s="26"/>
      <c r="F1173" s="20"/>
      <c r="G1173" s="20"/>
      <c r="H1173" s="21"/>
      <c r="I1173" s="21"/>
      <c r="J1173" s="21"/>
      <c r="K1173" s="22"/>
      <c r="L1173" s="22"/>
      <c r="M1173" s="22"/>
      <c r="N1173" s="22"/>
      <c r="O1173" s="20"/>
      <c r="P1173" s="20"/>
    </row>
    <row r="1174" spans="1:16" x14ac:dyDescent="0.35">
      <c r="A1174" s="18"/>
      <c r="B1174" s="18"/>
      <c r="C1174" s="20"/>
      <c r="D1174" s="18"/>
      <c r="E1174" s="26"/>
      <c r="F1174" s="20"/>
      <c r="G1174" s="20"/>
      <c r="H1174" s="21"/>
      <c r="I1174" s="21"/>
      <c r="J1174" s="21"/>
      <c r="K1174" s="22"/>
      <c r="L1174" s="22"/>
      <c r="M1174" s="22"/>
      <c r="N1174" s="22"/>
      <c r="O1174" s="20"/>
      <c r="P1174" s="20"/>
    </row>
    <row r="1175" spans="1:16" x14ac:dyDescent="0.35">
      <c r="A1175" s="18"/>
      <c r="B1175" s="18"/>
      <c r="C1175" s="20"/>
      <c r="D1175" s="18"/>
      <c r="E1175" s="26"/>
      <c r="F1175" s="20"/>
      <c r="G1175" s="20"/>
      <c r="H1175" s="21"/>
      <c r="I1175" s="21"/>
      <c r="J1175" s="21"/>
      <c r="K1175" s="22"/>
      <c r="L1175" s="22"/>
      <c r="M1175" s="22"/>
      <c r="N1175" s="22"/>
      <c r="O1175" s="20"/>
      <c r="P1175" s="20"/>
    </row>
    <row r="1176" spans="1:16" x14ac:dyDescent="0.35">
      <c r="A1176" s="18"/>
      <c r="B1176" s="18"/>
      <c r="C1176" s="20"/>
      <c r="D1176" s="18"/>
      <c r="E1176" s="26"/>
      <c r="F1176" s="20"/>
      <c r="G1176" s="20"/>
      <c r="H1176" s="21"/>
      <c r="I1176" s="21"/>
      <c r="J1176" s="21"/>
      <c r="K1176" s="22"/>
      <c r="L1176" s="22"/>
      <c r="M1176" s="22"/>
      <c r="N1176" s="22"/>
      <c r="O1176" s="20"/>
      <c r="P1176" s="20"/>
    </row>
    <row r="1177" spans="1:16" x14ac:dyDescent="0.35">
      <c r="A1177" s="18"/>
      <c r="B1177" s="18"/>
      <c r="C1177" s="20"/>
      <c r="D1177" s="18"/>
      <c r="E1177" s="26"/>
      <c r="F1177" s="20"/>
      <c r="G1177" s="20"/>
      <c r="H1177" s="21"/>
      <c r="I1177" s="21"/>
      <c r="J1177" s="21"/>
      <c r="K1177" s="22"/>
      <c r="L1177" s="22"/>
      <c r="M1177" s="22"/>
      <c r="N1177" s="22"/>
      <c r="O1177" s="20"/>
      <c r="P1177" s="20"/>
    </row>
    <row r="1178" spans="1:16" x14ac:dyDescent="0.35">
      <c r="A1178" s="18"/>
      <c r="B1178" s="18"/>
      <c r="C1178" s="20"/>
      <c r="D1178" s="18"/>
      <c r="E1178" s="26"/>
      <c r="F1178" s="20"/>
      <c r="G1178" s="20"/>
      <c r="H1178" s="21"/>
      <c r="I1178" s="21"/>
      <c r="J1178" s="21"/>
      <c r="K1178" s="22"/>
      <c r="L1178" s="22"/>
      <c r="M1178" s="22"/>
      <c r="N1178" s="22"/>
      <c r="O1178" s="20"/>
      <c r="P1178" s="20"/>
    </row>
    <row r="1179" spans="1:16" x14ac:dyDescent="0.35">
      <c r="A1179" s="18"/>
      <c r="B1179" s="18"/>
      <c r="C1179" s="20"/>
      <c r="D1179" s="18"/>
      <c r="E1179" s="26"/>
      <c r="F1179" s="20"/>
      <c r="G1179" s="20"/>
      <c r="H1179" s="21"/>
      <c r="I1179" s="21"/>
      <c r="J1179" s="21"/>
      <c r="K1179" s="22"/>
      <c r="L1179" s="22"/>
      <c r="M1179" s="22"/>
      <c r="N1179" s="22"/>
      <c r="O1179" s="20"/>
      <c r="P1179" s="20"/>
    </row>
    <row r="1180" spans="1:16" x14ac:dyDescent="0.35">
      <c r="A1180" s="18"/>
      <c r="B1180" s="18"/>
      <c r="C1180" s="20"/>
      <c r="D1180" s="18"/>
      <c r="E1180" s="26"/>
      <c r="F1180" s="20"/>
      <c r="G1180" s="20"/>
      <c r="H1180" s="21"/>
      <c r="I1180" s="21"/>
      <c r="J1180" s="21"/>
      <c r="K1180" s="22"/>
      <c r="L1180" s="22"/>
      <c r="M1180" s="22"/>
      <c r="N1180" s="22"/>
      <c r="O1180" s="20"/>
      <c r="P1180" s="20"/>
    </row>
    <row r="1181" spans="1:16" x14ac:dyDescent="0.35">
      <c r="A1181" s="18"/>
      <c r="B1181" s="18"/>
      <c r="C1181" s="20"/>
      <c r="D1181" s="18"/>
      <c r="E1181" s="26"/>
      <c r="F1181" s="20"/>
      <c r="G1181" s="20"/>
      <c r="H1181" s="21"/>
      <c r="I1181" s="21"/>
      <c r="J1181" s="21"/>
      <c r="K1181" s="22"/>
      <c r="L1181" s="22"/>
      <c r="M1181" s="22"/>
      <c r="N1181" s="22"/>
      <c r="O1181" s="20"/>
      <c r="P1181" s="20"/>
    </row>
    <row r="1182" spans="1:16" x14ac:dyDescent="0.35">
      <c r="A1182" s="18"/>
      <c r="B1182" s="18"/>
      <c r="C1182" s="20"/>
      <c r="D1182" s="18"/>
      <c r="E1182" s="26"/>
      <c r="F1182" s="20"/>
      <c r="G1182" s="20"/>
      <c r="H1182" s="21"/>
      <c r="I1182" s="21"/>
      <c r="J1182" s="21"/>
      <c r="K1182" s="22"/>
      <c r="L1182" s="22"/>
      <c r="M1182" s="22"/>
      <c r="N1182" s="22"/>
      <c r="O1182" s="20"/>
      <c r="P1182" s="20"/>
    </row>
    <row r="1183" spans="1:16" x14ac:dyDescent="0.35">
      <c r="A1183" s="18"/>
      <c r="B1183" s="18"/>
      <c r="C1183" s="20"/>
      <c r="D1183" s="18"/>
      <c r="E1183" s="26"/>
      <c r="F1183" s="20"/>
      <c r="G1183" s="20"/>
      <c r="H1183" s="21"/>
      <c r="I1183" s="21"/>
      <c r="J1183" s="21"/>
      <c r="K1183" s="22"/>
      <c r="L1183" s="22"/>
      <c r="M1183" s="22"/>
      <c r="N1183" s="22"/>
      <c r="O1183" s="20"/>
      <c r="P1183" s="20"/>
    </row>
    <row r="1184" spans="1:16" x14ac:dyDescent="0.35">
      <c r="A1184" s="18"/>
      <c r="B1184" s="18"/>
      <c r="C1184" s="20"/>
      <c r="D1184" s="18"/>
      <c r="E1184" s="26"/>
      <c r="F1184" s="20"/>
      <c r="G1184" s="20"/>
      <c r="H1184" s="21"/>
      <c r="I1184" s="21"/>
      <c r="J1184" s="21"/>
      <c r="K1184" s="22"/>
      <c r="L1184" s="22"/>
      <c r="M1184" s="22"/>
      <c r="N1184" s="22"/>
      <c r="O1184" s="20"/>
      <c r="P1184" s="20"/>
    </row>
    <row r="1185" spans="1:16" x14ac:dyDescent="0.35">
      <c r="A1185" s="18"/>
      <c r="B1185" s="18"/>
      <c r="C1185" s="20"/>
      <c r="D1185" s="18"/>
      <c r="E1185" s="26"/>
      <c r="F1185" s="20"/>
      <c r="G1185" s="20"/>
      <c r="H1185" s="21"/>
      <c r="I1185" s="21"/>
      <c r="J1185" s="21"/>
      <c r="K1185" s="22"/>
      <c r="L1185" s="22"/>
      <c r="M1185" s="22"/>
      <c r="N1185" s="22"/>
      <c r="O1185" s="20"/>
      <c r="P1185" s="20"/>
    </row>
    <row r="1186" spans="1:16" x14ac:dyDescent="0.35">
      <c r="A1186" s="18"/>
      <c r="B1186" s="18"/>
      <c r="C1186" s="20"/>
      <c r="D1186" s="18"/>
      <c r="E1186" s="26"/>
      <c r="F1186" s="20"/>
      <c r="G1186" s="20"/>
      <c r="H1186" s="21"/>
      <c r="I1186" s="21"/>
      <c r="J1186" s="21"/>
      <c r="K1186" s="22"/>
      <c r="L1186" s="22"/>
      <c r="M1186" s="22"/>
      <c r="N1186" s="22"/>
      <c r="O1186" s="20"/>
      <c r="P1186" s="20"/>
    </row>
    <row r="1187" spans="1:16" x14ac:dyDescent="0.35">
      <c r="A1187" s="18"/>
      <c r="B1187" s="18"/>
      <c r="C1187" s="20"/>
      <c r="D1187" s="18"/>
      <c r="E1187" s="26"/>
      <c r="F1187" s="20"/>
      <c r="G1187" s="20"/>
      <c r="H1187" s="21"/>
      <c r="I1187" s="21"/>
      <c r="J1187" s="21"/>
      <c r="K1187" s="22"/>
      <c r="L1187" s="22"/>
      <c r="M1187" s="22"/>
      <c r="N1187" s="22"/>
      <c r="O1187" s="20"/>
      <c r="P1187" s="20"/>
    </row>
    <row r="1188" spans="1:16" x14ac:dyDescent="0.35">
      <c r="A1188" s="18"/>
      <c r="B1188" s="18"/>
      <c r="C1188" s="20"/>
      <c r="D1188" s="18"/>
      <c r="E1188" s="26"/>
      <c r="F1188" s="20"/>
      <c r="G1188" s="20"/>
      <c r="H1188" s="21"/>
      <c r="I1188" s="21"/>
      <c r="J1188" s="21"/>
      <c r="K1188" s="22"/>
      <c r="L1188" s="22"/>
      <c r="M1188" s="22"/>
      <c r="N1188" s="22"/>
      <c r="O1188" s="20"/>
      <c r="P1188" s="20"/>
    </row>
    <row r="1189" spans="1:16" x14ac:dyDescent="0.35">
      <c r="A1189" s="18"/>
      <c r="B1189" s="18"/>
      <c r="C1189" s="20"/>
      <c r="D1189" s="18"/>
      <c r="E1189" s="26"/>
      <c r="F1189" s="20"/>
      <c r="G1189" s="20"/>
      <c r="H1189" s="21"/>
      <c r="I1189" s="21"/>
      <c r="J1189" s="21"/>
      <c r="K1189" s="22"/>
      <c r="L1189" s="22"/>
      <c r="M1189" s="22"/>
      <c r="N1189" s="22"/>
      <c r="O1189" s="20"/>
      <c r="P1189" s="20"/>
    </row>
    <row r="1190" spans="1:16" x14ac:dyDescent="0.35">
      <c r="A1190" s="18"/>
      <c r="B1190" s="18"/>
      <c r="C1190" s="20"/>
      <c r="D1190" s="18"/>
      <c r="E1190" s="26"/>
      <c r="F1190" s="20"/>
      <c r="G1190" s="20"/>
      <c r="H1190" s="21"/>
      <c r="I1190" s="21"/>
      <c r="J1190" s="21"/>
      <c r="K1190" s="22"/>
      <c r="L1190" s="22"/>
      <c r="M1190" s="22"/>
      <c r="N1190" s="22"/>
      <c r="O1190" s="20"/>
      <c r="P1190" s="20"/>
    </row>
    <row r="1191" spans="1:16" x14ac:dyDescent="0.35">
      <c r="A1191" s="18"/>
      <c r="B1191" s="18"/>
      <c r="C1191" s="20"/>
      <c r="D1191" s="18"/>
      <c r="E1191" s="26"/>
      <c r="F1191" s="20"/>
      <c r="G1191" s="20"/>
      <c r="H1191" s="21"/>
      <c r="I1191" s="21"/>
      <c r="J1191" s="21"/>
      <c r="K1191" s="22"/>
      <c r="L1191" s="22"/>
      <c r="M1191" s="22"/>
      <c r="N1191" s="22"/>
      <c r="O1191" s="20"/>
      <c r="P1191" s="20"/>
    </row>
    <row r="1192" spans="1:16" x14ac:dyDescent="0.35">
      <c r="A1192" s="18"/>
      <c r="B1192" s="18"/>
      <c r="C1192" s="20"/>
      <c r="D1192" s="18"/>
      <c r="E1192" s="26"/>
      <c r="F1192" s="20"/>
      <c r="G1192" s="20"/>
      <c r="H1192" s="21"/>
      <c r="I1192" s="21"/>
      <c r="J1192" s="21"/>
      <c r="K1192" s="22"/>
      <c r="L1192" s="22"/>
      <c r="M1192" s="22"/>
      <c r="N1192" s="22"/>
      <c r="O1192" s="20"/>
      <c r="P1192" s="20"/>
    </row>
    <row r="1193" spans="1:16" x14ac:dyDescent="0.35">
      <c r="A1193" s="18"/>
      <c r="B1193" s="18"/>
      <c r="C1193" s="20"/>
      <c r="D1193" s="18"/>
      <c r="E1193" s="26"/>
      <c r="F1193" s="20"/>
      <c r="G1193" s="20"/>
      <c r="H1193" s="21"/>
      <c r="I1193" s="21"/>
      <c r="J1193" s="21"/>
      <c r="K1193" s="22"/>
      <c r="L1193" s="22"/>
      <c r="M1193" s="22"/>
      <c r="N1193" s="22"/>
      <c r="O1193" s="20"/>
      <c r="P1193" s="20"/>
    </row>
    <row r="1194" spans="1:16" x14ac:dyDescent="0.35">
      <c r="A1194" s="18"/>
      <c r="B1194" s="18"/>
      <c r="C1194" s="20"/>
      <c r="D1194" s="18"/>
      <c r="E1194" s="26"/>
      <c r="F1194" s="20"/>
      <c r="G1194" s="20"/>
      <c r="H1194" s="21"/>
      <c r="I1194" s="21"/>
      <c r="J1194" s="21"/>
      <c r="K1194" s="22"/>
      <c r="L1194" s="22"/>
      <c r="M1194" s="22"/>
      <c r="N1194" s="22"/>
      <c r="O1194" s="20"/>
      <c r="P1194" s="20"/>
    </row>
    <row r="1195" spans="1:16" x14ac:dyDescent="0.35">
      <c r="A1195" s="18"/>
      <c r="B1195" s="18"/>
      <c r="C1195" s="20"/>
      <c r="D1195" s="18"/>
      <c r="E1195" s="26"/>
      <c r="F1195" s="20"/>
      <c r="G1195" s="20"/>
      <c r="H1195" s="21"/>
      <c r="I1195" s="21"/>
      <c r="J1195" s="21"/>
      <c r="K1195" s="22"/>
      <c r="L1195" s="22"/>
      <c r="M1195" s="22"/>
      <c r="N1195" s="22"/>
      <c r="O1195" s="20"/>
      <c r="P1195" s="20"/>
    </row>
    <row r="1196" spans="1:16" x14ac:dyDescent="0.35">
      <c r="A1196" s="18"/>
      <c r="B1196" s="18"/>
      <c r="C1196" s="20"/>
      <c r="D1196" s="18"/>
      <c r="E1196" s="26"/>
      <c r="F1196" s="20"/>
      <c r="G1196" s="20"/>
      <c r="H1196" s="21"/>
      <c r="I1196" s="21"/>
      <c r="J1196" s="21"/>
      <c r="K1196" s="22"/>
      <c r="L1196" s="22"/>
      <c r="M1196" s="22"/>
      <c r="N1196" s="22"/>
      <c r="O1196" s="20"/>
      <c r="P1196" s="20"/>
    </row>
    <row r="1197" spans="1:16" x14ac:dyDescent="0.35">
      <c r="A1197" s="18"/>
      <c r="B1197" s="18"/>
      <c r="C1197" s="20"/>
      <c r="D1197" s="18"/>
      <c r="E1197" s="26"/>
      <c r="F1197" s="20"/>
      <c r="G1197" s="20"/>
      <c r="H1197" s="21"/>
      <c r="I1197" s="21"/>
      <c r="J1197" s="21"/>
      <c r="K1197" s="22"/>
      <c r="L1197" s="22"/>
      <c r="M1197" s="22"/>
      <c r="N1197" s="22"/>
      <c r="O1197" s="20"/>
      <c r="P1197" s="20"/>
    </row>
    <row r="1198" spans="1:16" x14ac:dyDescent="0.35">
      <c r="A1198" s="18"/>
      <c r="B1198" s="18"/>
      <c r="C1198" s="20"/>
      <c r="D1198" s="18"/>
      <c r="E1198" s="26"/>
      <c r="F1198" s="20"/>
      <c r="G1198" s="20"/>
      <c r="H1198" s="21"/>
      <c r="I1198" s="21"/>
      <c r="J1198" s="21"/>
      <c r="K1198" s="22"/>
      <c r="L1198" s="22"/>
      <c r="M1198" s="22"/>
      <c r="N1198" s="22"/>
      <c r="O1198" s="20"/>
      <c r="P1198" s="20"/>
    </row>
    <row r="1199" spans="1:16" x14ac:dyDescent="0.35">
      <c r="A1199" s="18"/>
      <c r="B1199" s="18"/>
      <c r="C1199" s="20"/>
      <c r="D1199" s="18"/>
      <c r="E1199" s="26"/>
      <c r="F1199" s="20"/>
      <c r="G1199" s="20"/>
      <c r="H1199" s="21"/>
      <c r="I1199" s="21"/>
      <c r="J1199" s="21"/>
      <c r="K1199" s="22"/>
      <c r="L1199" s="22"/>
      <c r="M1199" s="22"/>
      <c r="N1199" s="22"/>
      <c r="O1199" s="20"/>
      <c r="P1199" s="20"/>
    </row>
    <row r="1200" spans="1:16" x14ac:dyDescent="0.35">
      <c r="A1200" s="18"/>
      <c r="B1200" s="18"/>
      <c r="C1200" s="20"/>
      <c r="D1200" s="18"/>
      <c r="E1200" s="26"/>
      <c r="F1200" s="20"/>
      <c r="G1200" s="20"/>
      <c r="H1200" s="21"/>
      <c r="I1200" s="21"/>
      <c r="J1200" s="21"/>
      <c r="K1200" s="22"/>
      <c r="L1200" s="22"/>
      <c r="M1200" s="22"/>
      <c r="N1200" s="22"/>
      <c r="O1200" s="20"/>
      <c r="P1200" s="20"/>
    </row>
    <row r="1201" spans="1:16" x14ac:dyDescent="0.35">
      <c r="A1201" s="18"/>
      <c r="B1201" s="18"/>
      <c r="C1201" s="20"/>
      <c r="D1201" s="18"/>
      <c r="E1201" s="26"/>
      <c r="F1201" s="20"/>
      <c r="G1201" s="20"/>
      <c r="H1201" s="21"/>
      <c r="I1201" s="21"/>
      <c r="J1201" s="21"/>
      <c r="K1201" s="22"/>
      <c r="L1201" s="22"/>
      <c r="M1201" s="22"/>
      <c r="N1201" s="22"/>
      <c r="O1201" s="20"/>
      <c r="P1201" s="20"/>
    </row>
    <row r="1202" spans="1:16" x14ac:dyDescent="0.35">
      <c r="A1202" s="18"/>
      <c r="B1202" s="18"/>
      <c r="C1202" s="20"/>
      <c r="D1202" s="18"/>
      <c r="E1202" s="26"/>
      <c r="F1202" s="20"/>
      <c r="G1202" s="20"/>
      <c r="H1202" s="21"/>
      <c r="I1202" s="21"/>
      <c r="J1202" s="21"/>
      <c r="K1202" s="22"/>
      <c r="L1202" s="22"/>
      <c r="M1202" s="22"/>
      <c r="N1202" s="22"/>
      <c r="O1202" s="20"/>
      <c r="P1202" s="20"/>
    </row>
    <row r="1203" spans="1:16" x14ac:dyDescent="0.35">
      <c r="A1203" s="18"/>
      <c r="B1203" s="18"/>
      <c r="C1203" s="20"/>
      <c r="D1203" s="18"/>
      <c r="E1203" s="26"/>
      <c r="F1203" s="20"/>
      <c r="G1203" s="20"/>
      <c r="H1203" s="21"/>
      <c r="I1203" s="21"/>
      <c r="J1203" s="21"/>
      <c r="K1203" s="22"/>
      <c r="L1203" s="22"/>
      <c r="M1203" s="22"/>
      <c r="N1203" s="22"/>
      <c r="O1203" s="20"/>
      <c r="P1203" s="20"/>
    </row>
    <row r="1204" spans="1:16" x14ac:dyDescent="0.35">
      <c r="A1204" s="18"/>
      <c r="B1204" s="18"/>
      <c r="C1204" s="20"/>
      <c r="D1204" s="18"/>
      <c r="E1204" s="26"/>
      <c r="F1204" s="20"/>
      <c r="G1204" s="20"/>
      <c r="H1204" s="21"/>
      <c r="I1204" s="21"/>
      <c r="J1204" s="21"/>
      <c r="K1204" s="22"/>
      <c r="L1204" s="22"/>
      <c r="M1204" s="22"/>
      <c r="N1204" s="22"/>
      <c r="O1204" s="20"/>
      <c r="P1204" s="20"/>
    </row>
    <row r="1205" spans="1:16" x14ac:dyDescent="0.35">
      <c r="A1205" s="18"/>
      <c r="B1205" s="18"/>
      <c r="C1205" s="20"/>
      <c r="D1205" s="18"/>
      <c r="E1205" s="26"/>
      <c r="F1205" s="20"/>
      <c r="G1205" s="20"/>
      <c r="H1205" s="21"/>
      <c r="I1205" s="21"/>
      <c r="J1205" s="21"/>
      <c r="K1205" s="22"/>
      <c r="L1205" s="22"/>
      <c r="M1205" s="22"/>
      <c r="N1205" s="22"/>
      <c r="O1205" s="20"/>
      <c r="P1205" s="20"/>
    </row>
    <row r="1206" spans="1:16" x14ac:dyDescent="0.35">
      <c r="A1206" s="18"/>
      <c r="B1206" s="18"/>
      <c r="C1206" s="20"/>
      <c r="D1206" s="18"/>
      <c r="E1206" s="26"/>
      <c r="F1206" s="20"/>
      <c r="G1206" s="20"/>
      <c r="H1206" s="21"/>
      <c r="I1206" s="21"/>
      <c r="J1206" s="21"/>
      <c r="K1206" s="22"/>
      <c r="L1206" s="22"/>
      <c r="M1206" s="22"/>
      <c r="N1206" s="22"/>
      <c r="O1206" s="20"/>
      <c r="P1206" s="20"/>
    </row>
    <row r="1207" spans="1:16" x14ac:dyDescent="0.35">
      <c r="A1207" s="18"/>
      <c r="B1207" s="18"/>
      <c r="C1207" s="20"/>
      <c r="D1207" s="18"/>
      <c r="E1207" s="26"/>
      <c r="F1207" s="20"/>
      <c r="G1207" s="20"/>
      <c r="H1207" s="21"/>
      <c r="I1207" s="21"/>
      <c r="J1207" s="21"/>
      <c r="K1207" s="22"/>
      <c r="L1207" s="22"/>
      <c r="M1207" s="22"/>
      <c r="N1207" s="22"/>
      <c r="O1207" s="20"/>
      <c r="P1207" s="20"/>
    </row>
    <row r="1208" spans="1:16" x14ac:dyDescent="0.35">
      <c r="A1208" s="18"/>
      <c r="B1208" s="18"/>
      <c r="C1208" s="20"/>
      <c r="D1208" s="18"/>
      <c r="E1208" s="26"/>
      <c r="F1208" s="20"/>
      <c r="G1208" s="20"/>
      <c r="H1208" s="21"/>
      <c r="I1208" s="21"/>
      <c r="J1208" s="21"/>
      <c r="K1208" s="22"/>
      <c r="L1208" s="22"/>
      <c r="M1208" s="22"/>
      <c r="N1208" s="22"/>
      <c r="O1208" s="20"/>
      <c r="P1208" s="20"/>
    </row>
    <row r="1209" spans="1:16" x14ac:dyDescent="0.35">
      <c r="A1209" s="18"/>
      <c r="B1209" s="18"/>
      <c r="C1209" s="20"/>
      <c r="D1209" s="18"/>
      <c r="E1209" s="26"/>
      <c r="F1209" s="20"/>
      <c r="G1209" s="20"/>
      <c r="H1209" s="21"/>
      <c r="I1209" s="21"/>
      <c r="J1209" s="21"/>
      <c r="K1209" s="22"/>
      <c r="L1209" s="22"/>
      <c r="M1209" s="22"/>
      <c r="N1209" s="22"/>
      <c r="O1209" s="20"/>
      <c r="P1209" s="20"/>
    </row>
    <row r="1210" spans="1:16" x14ac:dyDescent="0.35">
      <c r="A1210" s="18"/>
      <c r="B1210" s="18"/>
      <c r="C1210" s="20"/>
      <c r="D1210" s="18"/>
      <c r="E1210" s="26"/>
      <c r="F1210" s="20"/>
      <c r="G1210" s="20"/>
      <c r="H1210" s="21"/>
      <c r="I1210" s="21"/>
      <c r="J1210" s="21"/>
      <c r="K1210" s="22"/>
      <c r="L1210" s="22"/>
      <c r="M1210" s="22"/>
      <c r="N1210" s="22"/>
      <c r="O1210" s="20"/>
      <c r="P1210" s="20"/>
    </row>
    <row r="1211" spans="1:16" x14ac:dyDescent="0.35">
      <c r="A1211" s="18"/>
      <c r="B1211" s="18"/>
      <c r="C1211" s="20"/>
      <c r="D1211" s="18"/>
      <c r="E1211" s="26"/>
      <c r="F1211" s="20"/>
      <c r="G1211" s="20"/>
      <c r="H1211" s="21"/>
      <c r="I1211" s="21"/>
      <c r="J1211" s="21"/>
      <c r="K1211" s="22"/>
      <c r="L1211" s="22"/>
      <c r="M1211" s="22"/>
      <c r="N1211" s="22"/>
      <c r="O1211" s="20"/>
      <c r="P1211" s="20"/>
    </row>
    <row r="1212" spans="1:16" x14ac:dyDescent="0.35">
      <c r="A1212" s="18"/>
      <c r="B1212" s="18"/>
      <c r="C1212" s="20"/>
      <c r="D1212" s="18"/>
      <c r="E1212" s="26"/>
      <c r="F1212" s="20"/>
      <c r="G1212" s="20"/>
      <c r="H1212" s="21"/>
      <c r="I1212" s="21"/>
      <c r="J1212" s="21"/>
      <c r="K1212" s="22"/>
      <c r="L1212" s="22"/>
      <c r="M1212" s="22"/>
      <c r="N1212" s="22"/>
      <c r="O1212" s="20"/>
      <c r="P1212" s="20"/>
    </row>
    <row r="1213" spans="1:16" x14ac:dyDescent="0.35">
      <c r="A1213" s="18"/>
      <c r="B1213" s="18"/>
      <c r="C1213" s="20"/>
      <c r="D1213" s="18"/>
      <c r="E1213" s="26"/>
      <c r="F1213" s="20"/>
      <c r="G1213" s="20"/>
      <c r="H1213" s="21"/>
      <c r="I1213" s="21"/>
      <c r="J1213" s="21"/>
      <c r="K1213" s="22"/>
      <c r="L1213" s="22"/>
      <c r="M1213" s="22"/>
      <c r="N1213" s="22"/>
      <c r="O1213" s="20"/>
      <c r="P1213" s="20"/>
    </row>
    <row r="1214" spans="1:16" x14ac:dyDescent="0.35">
      <c r="A1214" s="18"/>
      <c r="B1214" s="18"/>
      <c r="C1214" s="20"/>
      <c r="D1214" s="18"/>
      <c r="E1214" s="26"/>
      <c r="F1214" s="20"/>
      <c r="G1214" s="20"/>
      <c r="H1214" s="21"/>
      <c r="I1214" s="21"/>
      <c r="J1214" s="21"/>
      <c r="K1214" s="22"/>
      <c r="L1214" s="22"/>
      <c r="M1214" s="22"/>
      <c r="N1214" s="22"/>
      <c r="O1214" s="20"/>
      <c r="P1214" s="20"/>
    </row>
    <row r="1215" spans="1:16" x14ac:dyDescent="0.35">
      <c r="A1215" s="18"/>
      <c r="B1215" s="18"/>
      <c r="C1215" s="20"/>
      <c r="D1215" s="18"/>
      <c r="E1215" s="26"/>
      <c r="F1215" s="20"/>
      <c r="G1215" s="20"/>
      <c r="H1215" s="21"/>
      <c r="I1215" s="21"/>
      <c r="J1215" s="21"/>
      <c r="K1215" s="22"/>
      <c r="L1215" s="22"/>
      <c r="M1215" s="22"/>
      <c r="N1215" s="22"/>
      <c r="O1215" s="20"/>
      <c r="P1215" s="20"/>
    </row>
    <row r="1216" spans="1:16" x14ac:dyDescent="0.35">
      <c r="A1216" s="18"/>
      <c r="B1216" s="18"/>
      <c r="C1216" s="20"/>
      <c r="D1216" s="18"/>
      <c r="E1216" s="26"/>
      <c r="F1216" s="20"/>
      <c r="G1216" s="20"/>
      <c r="H1216" s="21"/>
      <c r="I1216" s="21"/>
      <c r="J1216" s="21"/>
      <c r="K1216" s="22"/>
      <c r="L1216" s="22"/>
      <c r="M1216" s="22"/>
      <c r="N1216" s="22"/>
      <c r="O1216" s="20"/>
      <c r="P1216" s="20"/>
    </row>
    <row r="1217" spans="1:16" x14ac:dyDescent="0.35">
      <c r="A1217" s="18"/>
      <c r="B1217" s="18"/>
      <c r="C1217" s="20"/>
      <c r="D1217" s="18"/>
      <c r="E1217" s="26"/>
      <c r="F1217" s="20"/>
      <c r="G1217" s="20"/>
      <c r="H1217" s="21"/>
      <c r="I1217" s="21"/>
      <c r="J1217" s="21"/>
      <c r="K1217" s="22"/>
      <c r="L1217" s="22"/>
      <c r="M1217" s="22"/>
      <c r="N1217" s="22"/>
      <c r="O1217" s="20"/>
      <c r="P1217" s="20"/>
    </row>
    <row r="1218" spans="1:16" x14ac:dyDescent="0.35">
      <c r="A1218" s="18"/>
      <c r="B1218" s="18"/>
      <c r="C1218" s="20"/>
      <c r="D1218" s="18"/>
      <c r="E1218" s="26"/>
      <c r="F1218" s="20"/>
      <c r="G1218" s="20"/>
      <c r="H1218" s="21"/>
      <c r="I1218" s="21"/>
      <c r="J1218" s="21"/>
      <c r="K1218" s="22"/>
      <c r="L1218" s="22"/>
      <c r="M1218" s="22"/>
      <c r="N1218" s="22"/>
      <c r="O1218" s="20"/>
      <c r="P1218" s="20"/>
    </row>
    <row r="1219" spans="1:16" x14ac:dyDescent="0.35">
      <c r="A1219" s="18"/>
      <c r="B1219" s="18"/>
      <c r="C1219" s="20"/>
      <c r="D1219" s="18"/>
      <c r="E1219" s="26"/>
      <c r="F1219" s="20"/>
      <c r="G1219" s="20"/>
      <c r="H1219" s="21"/>
      <c r="I1219" s="21"/>
      <c r="J1219" s="21"/>
      <c r="K1219" s="22"/>
      <c r="L1219" s="22"/>
      <c r="M1219" s="22"/>
      <c r="N1219" s="22"/>
      <c r="O1219" s="20"/>
      <c r="P1219" s="20"/>
    </row>
    <row r="1220" spans="1:16" x14ac:dyDescent="0.35">
      <c r="A1220" s="18"/>
      <c r="B1220" s="18"/>
      <c r="C1220" s="20"/>
      <c r="D1220" s="18"/>
      <c r="E1220" s="26"/>
      <c r="F1220" s="20"/>
      <c r="G1220" s="20"/>
      <c r="H1220" s="21"/>
      <c r="I1220" s="21"/>
      <c r="J1220" s="21"/>
      <c r="K1220" s="22"/>
      <c r="L1220" s="22"/>
      <c r="M1220" s="22"/>
      <c r="N1220" s="22"/>
      <c r="O1220" s="20"/>
      <c r="P1220" s="20"/>
    </row>
    <row r="1221" spans="1:16" x14ac:dyDescent="0.35">
      <c r="A1221" s="18"/>
      <c r="B1221" s="18"/>
      <c r="C1221" s="20"/>
      <c r="D1221" s="18"/>
      <c r="E1221" s="26"/>
      <c r="F1221" s="20"/>
      <c r="G1221" s="20"/>
      <c r="H1221" s="21"/>
      <c r="I1221" s="21"/>
      <c r="J1221" s="21"/>
      <c r="K1221" s="22"/>
      <c r="L1221" s="22"/>
      <c r="M1221" s="22"/>
      <c r="N1221" s="22"/>
      <c r="O1221" s="20"/>
      <c r="P1221" s="20"/>
    </row>
    <row r="1222" spans="1:16" x14ac:dyDescent="0.35">
      <c r="A1222" s="18"/>
      <c r="B1222" s="18"/>
      <c r="C1222" s="20"/>
      <c r="D1222" s="18"/>
      <c r="E1222" s="26"/>
      <c r="F1222" s="20"/>
      <c r="G1222" s="20"/>
      <c r="H1222" s="21"/>
      <c r="I1222" s="21"/>
      <c r="J1222" s="21"/>
      <c r="K1222" s="22"/>
      <c r="L1222" s="22"/>
      <c r="M1222" s="22"/>
      <c r="N1222" s="22"/>
      <c r="O1222" s="20"/>
      <c r="P1222" s="20"/>
    </row>
    <row r="1223" spans="1:16" x14ac:dyDescent="0.35">
      <c r="A1223" s="18"/>
      <c r="B1223" s="18"/>
      <c r="C1223" s="20"/>
      <c r="D1223" s="18"/>
      <c r="E1223" s="26"/>
      <c r="F1223" s="20"/>
      <c r="G1223" s="20"/>
      <c r="H1223" s="21"/>
      <c r="I1223" s="21"/>
      <c r="J1223" s="21"/>
      <c r="K1223" s="22"/>
      <c r="L1223" s="22"/>
      <c r="M1223" s="22"/>
      <c r="N1223" s="22"/>
      <c r="O1223" s="20"/>
      <c r="P1223" s="20"/>
    </row>
    <row r="1224" spans="1:16" x14ac:dyDescent="0.35">
      <c r="A1224" s="18"/>
      <c r="B1224" s="18"/>
      <c r="C1224" s="20"/>
      <c r="D1224" s="18"/>
      <c r="E1224" s="26"/>
      <c r="F1224" s="20"/>
      <c r="G1224" s="20"/>
      <c r="H1224" s="21"/>
      <c r="I1224" s="21"/>
      <c r="J1224" s="21"/>
      <c r="K1224" s="22"/>
      <c r="L1224" s="22"/>
      <c r="M1224" s="22"/>
      <c r="N1224" s="22"/>
      <c r="O1224" s="20"/>
      <c r="P1224" s="20"/>
    </row>
    <row r="1225" spans="1:16" x14ac:dyDescent="0.35">
      <c r="A1225" s="18"/>
      <c r="B1225" s="18"/>
      <c r="C1225" s="20"/>
      <c r="D1225" s="18"/>
      <c r="E1225" s="26"/>
      <c r="F1225" s="20"/>
      <c r="G1225" s="20"/>
      <c r="H1225" s="21"/>
      <c r="I1225" s="21"/>
      <c r="J1225" s="21"/>
      <c r="K1225" s="22"/>
      <c r="L1225" s="22"/>
      <c r="M1225" s="22"/>
      <c r="N1225" s="22"/>
      <c r="O1225" s="20"/>
      <c r="P1225" s="20"/>
    </row>
    <row r="1226" spans="1:16" x14ac:dyDescent="0.35">
      <c r="A1226" s="18"/>
      <c r="B1226" s="18"/>
      <c r="C1226" s="20"/>
      <c r="D1226" s="18"/>
      <c r="E1226" s="26"/>
      <c r="F1226" s="20"/>
      <c r="G1226" s="20"/>
      <c r="H1226" s="21"/>
      <c r="I1226" s="21"/>
      <c r="J1226" s="21"/>
      <c r="K1226" s="22"/>
      <c r="L1226" s="22"/>
      <c r="M1226" s="22"/>
      <c r="N1226" s="22"/>
      <c r="O1226" s="20"/>
      <c r="P1226" s="20"/>
    </row>
    <row r="1227" spans="1:16" x14ac:dyDescent="0.35">
      <c r="A1227" s="18"/>
      <c r="B1227" s="18"/>
      <c r="C1227" s="20"/>
      <c r="D1227" s="18"/>
      <c r="E1227" s="26"/>
      <c r="F1227" s="20"/>
      <c r="G1227" s="20"/>
      <c r="H1227" s="21"/>
      <c r="I1227" s="21"/>
      <c r="J1227" s="21"/>
      <c r="K1227" s="22"/>
      <c r="L1227" s="22"/>
      <c r="M1227" s="22"/>
      <c r="N1227" s="22"/>
      <c r="O1227" s="20"/>
      <c r="P1227" s="20"/>
    </row>
    <row r="1228" spans="1:16" x14ac:dyDescent="0.35">
      <c r="A1228" s="18"/>
      <c r="B1228" s="18"/>
      <c r="C1228" s="20"/>
      <c r="D1228" s="18"/>
      <c r="E1228" s="26"/>
      <c r="F1228" s="20"/>
      <c r="G1228" s="20"/>
      <c r="H1228" s="21"/>
      <c r="I1228" s="21"/>
      <c r="J1228" s="21"/>
      <c r="K1228" s="22"/>
      <c r="L1228" s="22"/>
      <c r="M1228" s="22"/>
      <c r="N1228" s="22"/>
      <c r="O1228" s="20"/>
      <c r="P1228" s="20"/>
    </row>
    <row r="1229" spans="1:16" x14ac:dyDescent="0.35">
      <c r="A1229" s="18"/>
      <c r="B1229" s="18"/>
      <c r="C1229" s="20"/>
      <c r="D1229" s="18"/>
      <c r="E1229" s="26"/>
      <c r="F1229" s="20"/>
      <c r="G1229" s="20"/>
      <c r="H1229" s="21"/>
      <c r="I1229" s="21"/>
      <c r="J1229" s="21"/>
      <c r="K1229" s="22"/>
      <c r="L1229" s="22"/>
      <c r="M1229" s="22"/>
      <c r="N1229" s="22"/>
      <c r="O1229" s="20"/>
      <c r="P1229" s="20"/>
    </row>
    <row r="1230" spans="1:16" x14ac:dyDescent="0.35">
      <c r="A1230" s="18"/>
      <c r="B1230" s="18"/>
      <c r="C1230" s="20"/>
      <c r="D1230" s="18"/>
      <c r="E1230" s="26"/>
      <c r="F1230" s="20"/>
      <c r="G1230" s="20"/>
      <c r="H1230" s="21"/>
      <c r="I1230" s="21"/>
      <c r="J1230" s="21"/>
      <c r="K1230" s="22"/>
      <c r="L1230" s="22"/>
      <c r="M1230" s="22"/>
      <c r="N1230" s="22"/>
      <c r="O1230" s="20"/>
      <c r="P1230" s="20"/>
    </row>
    <row r="1231" spans="1:16" x14ac:dyDescent="0.35">
      <c r="A1231" s="18"/>
      <c r="B1231" s="18"/>
      <c r="C1231" s="20"/>
      <c r="D1231" s="18"/>
      <c r="E1231" s="26"/>
      <c r="F1231" s="20"/>
      <c r="G1231" s="20"/>
      <c r="H1231" s="21"/>
      <c r="I1231" s="21"/>
      <c r="J1231" s="21"/>
      <c r="K1231" s="22"/>
      <c r="L1231" s="22"/>
      <c r="M1231" s="22"/>
      <c r="N1231" s="22"/>
      <c r="O1231" s="20"/>
      <c r="P1231" s="20"/>
    </row>
    <row r="1232" spans="1:16" x14ac:dyDescent="0.35">
      <c r="A1232" s="18"/>
      <c r="B1232" s="18"/>
      <c r="C1232" s="20"/>
      <c r="D1232" s="18"/>
      <c r="E1232" s="26"/>
      <c r="F1232" s="20"/>
      <c r="G1232" s="20"/>
      <c r="H1232" s="21"/>
      <c r="I1232" s="21"/>
      <c r="J1232" s="21"/>
      <c r="K1232" s="22"/>
      <c r="L1232" s="22"/>
      <c r="M1232" s="22"/>
      <c r="N1232" s="22"/>
      <c r="O1232" s="20"/>
      <c r="P1232" s="20"/>
    </row>
    <row r="1233" spans="1:16" x14ac:dyDescent="0.35">
      <c r="A1233" s="18"/>
      <c r="B1233" s="18"/>
      <c r="C1233" s="20"/>
      <c r="D1233" s="18"/>
      <c r="E1233" s="26"/>
      <c r="F1233" s="20"/>
      <c r="G1233" s="20"/>
      <c r="H1233" s="21"/>
      <c r="I1233" s="21"/>
      <c r="J1233" s="21"/>
      <c r="K1233" s="22"/>
      <c r="L1233" s="22"/>
      <c r="M1233" s="22"/>
      <c r="N1233" s="22"/>
      <c r="O1233" s="20"/>
      <c r="P1233" s="20"/>
    </row>
    <row r="1234" spans="1:16" x14ac:dyDescent="0.35">
      <c r="A1234" s="18"/>
      <c r="B1234" s="18"/>
      <c r="C1234" s="20"/>
      <c r="D1234" s="18"/>
      <c r="E1234" s="26"/>
      <c r="F1234" s="20"/>
      <c r="G1234" s="20"/>
      <c r="H1234" s="21"/>
      <c r="I1234" s="21"/>
      <c r="J1234" s="21"/>
      <c r="K1234" s="22"/>
      <c r="L1234" s="22"/>
      <c r="M1234" s="22"/>
      <c r="N1234" s="22"/>
      <c r="O1234" s="20"/>
      <c r="P1234" s="20"/>
    </row>
    <row r="1235" spans="1:16" x14ac:dyDescent="0.35">
      <c r="A1235" s="18"/>
      <c r="B1235" s="18"/>
      <c r="C1235" s="20"/>
      <c r="D1235" s="18"/>
      <c r="E1235" s="26"/>
      <c r="F1235" s="20"/>
      <c r="G1235" s="20"/>
      <c r="H1235" s="21"/>
      <c r="I1235" s="21"/>
      <c r="J1235" s="21"/>
      <c r="K1235" s="22"/>
      <c r="L1235" s="22"/>
      <c r="M1235" s="22"/>
      <c r="N1235" s="22"/>
      <c r="O1235" s="20"/>
      <c r="P1235" s="20"/>
    </row>
    <row r="1236" spans="1:16" x14ac:dyDescent="0.35">
      <c r="A1236" s="18"/>
      <c r="B1236" s="18"/>
      <c r="C1236" s="20"/>
      <c r="D1236" s="18"/>
      <c r="E1236" s="26"/>
      <c r="F1236" s="20"/>
      <c r="G1236" s="20"/>
      <c r="H1236" s="21"/>
      <c r="I1236" s="21"/>
      <c r="J1236" s="21"/>
      <c r="K1236" s="22"/>
      <c r="L1236" s="22"/>
      <c r="M1236" s="22"/>
      <c r="N1236" s="22"/>
      <c r="O1236" s="20"/>
      <c r="P1236" s="20"/>
    </row>
    <row r="1237" spans="1:16" x14ac:dyDescent="0.35">
      <c r="A1237" s="18"/>
      <c r="B1237" s="18"/>
      <c r="C1237" s="20"/>
      <c r="D1237" s="18"/>
      <c r="E1237" s="26"/>
      <c r="F1237" s="20"/>
      <c r="G1237" s="20"/>
      <c r="H1237" s="21"/>
      <c r="I1237" s="21"/>
      <c r="J1237" s="21"/>
      <c r="K1237" s="22"/>
      <c r="L1237" s="22"/>
      <c r="M1237" s="22"/>
      <c r="N1237" s="22"/>
      <c r="O1237" s="20"/>
      <c r="P1237" s="20"/>
    </row>
    <row r="1238" spans="1:16" x14ac:dyDescent="0.35">
      <c r="A1238" s="18"/>
      <c r="B1238" s="18"/>
      <c r="C1238" s="20"/>
      <c r="D1238" s="18"/>
      <c r="E1238" s="26"/>
      <c r="F1238" s="20"/>
      <c r="G1238" s="20"/>
      <c r="H1238" s="21"/>
      <c r="I1238" s="21"/>
      <c r="J1238" s="21"/>
      <c r="K1238" s="22"/>
      <c r="L1238" s="22"/>
      <c r="M1238" s="22"/>
      <c r="N1238" s="22"/>
      <c r="O1238" s="20"/>
      <c r="P1238" s="20"/>
    </row>
    <row r="1239" spans="1:16" x14ac:dyDescent="0.35">
      <c r="A1239" s="18"/>
      <c r="B1239" s="18"/>
      <c r="C1239" s="20"/>
      <c r="D1239" s="18"/>
      <c r="E1239" s="26"/>
      <c r="F1239" s="20"/>
      <c r="G1239" s="20"/>
      <c r="H1239" s="21"/>
      <c r="I1239" s="21"/>
      <c r="J1239" s="21"/>
      <c r="K1239" s="22"/>
      <c r="L1239" s="22"/>
      <c r="M1239" s="22"/>
      <c r="N1239" s="22"/>
      <c r="O1239" s="20"/>
      <c r="P1239" s="20"/>
    </row>
    <row r="1240" spans="1:16" x14ac:dyDescent="0.35">
      <c r="A1240" s="18"/>
      <c r="B1240" s="18"/>
      <c r="C1240" s="20"/>
      <c r="D1240" s="18"/>
      <c r="E1240" s="26"/>
      <c r="F1240" s="20"/>
      <c r="G1240" s="20"/>
      <c r="H1240" s="21"/>
      <c r="I1240" s="21"/>
      <c r="J1240" s="21"/>
      <c r="K1240" s="22"/>
      <c r="L1240" s="22"/>
      <c r="M1240" s="22"/>
      <c r="N1240" s="22"/>
      <c r="O1240" s="20"/>
      <c r="P1240" s="20"/>
    </row>
    <row r="1241" spans="1:16" x14ac:dyDescent="0.35">
      <c r="A1241" s="18"/>
      <c r="B1241" s="18"/>
      <c r="C1241" s="20"/>
      <c r="D1241" s="18"/>
      <c r="E1241" s="26"/>
      <c r="F1241" s="20"/>
      <c r="G1241" s="20"/>
      <c r="H1241" s="21"/>
      <c r="I1241" s="21"/>
      <c r="J1241" s="21"/>
      <c r="K1241" s="22"/>
      <c r="L1241" s="22"/>
      <c r="M1241" s="22"/>
      <c r="N1241" s="22"/>
      <c r="O1241" s="20"/>
      <c r="P1241" s="20"/>
    </row>
    <row r="1242" spans="1:16" x14ac:dyDescent="0.35">
      <c r="A1242" s="18"/>
      <c r="B1242" s="18"/>
      <c r="C1242" s="20"/>
      <c r="D1242" s="18"/>
      <c r="E1242" s="26"/>
      <c r="F1242" s="20"/>
      <c r="G1242" s="20"/>
      <c r="H1242" s="21"/>
      <c r="I1242" s="21"/>
      <c r="J1242" s="21"/>
      <c r="K1242" s="22"/>
      <c r="L1242" s="22"/>
      <c r="M1242" s="22"/>
      <c r="N1242" s="22"/>
      <c r="O1242" s="20"/>
      <c r="P1242" s="20"/>
    </row>
    <row r="1243" spans="1:16" x14ac:dyDescent="0.35">
      <c r="A1243" s="18"/>
      <c r="B1243" s="18"/>
      <c r="C1243" s="20"/>
      <c r="D1243" s="18"/>
      <c r="E1243" s="26"/>
      <c r="F1243" s="20"/>
      <c r="G1243" s="20"/>
      <c r="H1243" s="21"/>
      <c r="I1243" s="21"/>
      <c r="J1243" s="21"/>
      <c r="K1243" s="22"/>
      <c r="L1243" s="22"/>
      <c r="M1243" s="22"/>
      <c r="N1243" s="22"/>
      <c r="O1243" s="20"/>
      <c r="P1243" s="20"/>
    </row>
    <row r="1244" spans="1:16" x14ac:dyDescent="0.35">
      <c r="A1244" s="18"/>
      <c r="B1244" s="18"/>
      <c r="C1244" s="20"/>
      <c r="D1244" s="18"/>
      <c r="E1244" s="26"/>
      <c r="F1244" s="20"/>
      <c r="G1244" s="20"/>
      <c r="H1244" s="21"/>
      <c r="I1244" s="21"/>
      <c r="J1244" s="21"/>
      <c r="K1244" s="22"/>
      <c r="L1244" s="22"/>
      <c r="M1244" s="22"/>
      <c r="N1244" s="22"/>
      <c r="O1244" s="20"/>
      <c r="P1244" s="20"/>
    </row>
    <row r="1245" spans="1:16" x14ac:dyDescent="0.35">
      <c r="A1245" s="18"/>
      <c r="B1245" s="18"/>
      <c r="C1245" s="20"/>
      <c r="D1245" s="18"/>
      <c r="E1245" s="26"/>
      <c r="F1245" s="20"/>
      <c r="G1245" s="20"/>
      <c r="H1245" s="21"/>
      <c r="I1245" s="21"/>
      <c r="J1245" s="21"/>
      <c r="K1245" s="22"/>
      <c r="L1245" s="22"/>
      <c r="M1245" s="22"/>
      <c r="N1245" s="22"/>
      <c r="O1245" s="20"/>
      <c r="P1245" s="20"/>
    </row>
    <row r="1246" spans="1:16" x14ac:dyDescent="0.35">
      <c r="A1246" s="18"/>
      <c r="B1246" s="18"/>
      <c r="C1246" s="20"/>
      <c r="D1246" s="18"/>
      <c r="E1246" s="26"/>
      <c r="F1246" s="20"/>
      <c r="G1246" s="20"/>
      <c r="H1246" s="21"/>
      <c r="I1246" s="21"/>
      <c r="J1246" s="21"/>
      <c r="K1246" s="22"/>
      <c r="L1246" s="22"/>
      <c r="M1246" s="22"/>
      <c r="N1246" s="22"/>
      <c r="O1246" s="20"/>
      <c r="P1246" s="20"/>
    </row>
    <row r="1247" spans="1:16" x14ac:dyDescent="0.35">
      <c r="A1247" s="18"/>
      <c r="B1247" s="18"/>
      <c r="C1247" s="20"/>
      <c r="D1247" s="18"/>
      <c r="E1247" s="26"/>
      <c r="F1247" s="20"/>
      <c r="G1247" s="20"/>
      <c r="H1247" s="21"/>
      <c r="I1247" s="21"/>
      <c r="J1247" s="21"/>
      <c r="K1247" s="22"/>
      <c r="L1247" s="22"/>
      <c r="M1247" s="22"/>
      <c r="N1247" s="22"/>
      <c r="O1247" s="20"/>
      <c r="P1247" s="20"/>
    </row>
    <row r="1248" spans="1:16" x14ac:dyDescent="0.35">
      <c r="A1248" s="18"/>
      <c r="B1248" s="18"/>
      <c r="C1248" s="20"/>
      <c r="D1248" s="18"/>
      <c r="E1248" s="26"/>
      <c r="F1248" s="20"/>
      <c r="G1248" s="20"/>
      <c r="H1248" s="21"/>
      <c r="I1248" s="21"/>
      <c r="J1248" s="21"/>
      <c r="K1248" s="22"/>
      <c r="L1248" s="22"/>
      <c r="M1248" s="22"/>
      <c r="N1248" s="22"/>
      <c r="O1248" s="20"/>
      <c r="P1248" s="20"/>
    </row>
    <row r="1249" spans="1:16" x14ac:dyDescent="0.35">
      <c r="A1249" s="18"/>
      <c r="B1249" s="18"/>
      <c r="C1249" s="20"/>
      <c r="D1249" s="18"/>
      <c r="E1249" s="26"/>
      <c r="F1249" s="20"/>
      <c r="G1249" s="20"/>
      <c r="H1249" s="21"/>
      <c r="I1249" s="21"/>
      <c r="J1249" s="21"/>
      <c r="K1249" s="22"/>
      <c r="L1249" s="22"/>
      <c r="M1249" s="22"/>
      <c r="N1249" s="22"/>
      <c r="O1249" s="20"/>
      <c r="P1249" s="20"/>
    </row>
    <row r="1250" spans="1:16" x14ac:dyDescent="0.35">
      <c r="A1250" s="18"/>
      <c r="B1250" s="18"/>
      <c r="C1250" s="20"/>
      <c r="D1250" s="18"/>
      <c r="E1250" s="26"/>
      <c r="F1250" s="20"/>
      <c r="G1250" s="20"/>
      <c r="H1250" s="21"/>
      <c r="I1250" s="21"/>
      <c r="J1250" s="21"/>
      <c r="K1250" s="22"/>
      <c r="L1250" s="22"/>
      <c r="M1250" s="22"/>
      <c r="N1250" s="22"/>
      <c r="O1250" s="20"/>
      <c r="P1250" s="20"/>
    </row>
    <row r="1251" spans="1:16" x14ac:dyDescent="0.35">
      <c r="A1251" s="18"/>
      <c r="B1251" s="18"/>
      <c r="C1251" s="20"/>
      <c r="D1251" s="18"/>
      <c r="E1251" s="26"/>
      <c r="F1251" s="20"/>
      <c r="G1251" s="20"/>
      <c r="H1251" s="21"/>
      <c r="I1251" s="21"/>
      <c r="J1251" s="21"/>
      <c r="K1251" s="22"/>
      <c r="L1251" s="22"/>
      <c r="M1251" s="22"/>
      <c r="N1251" s="22"/>
      <c r="O1251" s="20"/>
      <c r="P1251" s="20"/>
    </row>
    <row r="1252" spans="1:16" x14ac:dyDescent="0.35">
      <c r="A1252" s="18"/>
      <c r="B1252" s="18"/>
      <c r="C1252" s="20"/>
      <c r="D1252" s="18"/>
      <c r="E1252" s="26"/>
      <c r="F1252" s="20"/>
      <c r="G1252" s="20"/>
      <c r="H1252" s="21"/>
      <c r="I1252" s="21"/>
      <c r="J1252" s="21"/>
      <c r="K1252" s="22"/>
      <c r="L1252" s="22"/>
      <c r="M1252" s="22"/>
      <c r="N1252" s="22"/>
      <c r="O1252" s="20"/>
      <c r="P1252" s="20"/>
    </row>
    <row r="1253" spans="1:16" x14ac:dyDescent="0.35">
      <c r="A1253" s="18"/>
      <c r="B1253" s="18"/>
      <c r="C1253" s="20"/>
      <c r="D1253" s="18"/>
      <c r="E1253" s="26"/>
      <c r="F1253" s="20"/>
      <c r="G1253" s="20"/>
      <c r="H1253" s="21"/>
      <c r="I1253" s="21"/>
      <c r="J1253" s="21"/>
      <c r="K1253" s="22"/>
      <c r="L1253" s="22"/>
      <c r="M1253" s="22"/>
      <c r="N1253" s="22"/>
      <c r="O1253" s="20"/>
      <c r="P1253" s="20"/>
    </row>
    <row r="1254" spans="1:16" x14ac:dyDescent="0.35">
      <c r="A1254" s="18"/>
      <c r="B1254" s="18"/>
      <c r="C1254" s="20"/>
      <c r="D1254" s="18"/>
      <c r="E1254" s="26"/>
      <c r="F1254" s="20"/>
      <c r="G1254" s="20"/>
      <c r="H1254" s="21"/>
      <c r="I1254" s="21"/>
      <c r="J1254" s="21"/>
      <c r="K1254" s="22"/>
      <c r="L1254" s="22"/>
      <c r="M1254" s="22"/>
      <c r="N1254" s="22"/>
      <c r="O1254" s="20"/>
      <c r="P1254" s="20"/>
    </row>
    <row r="1255" spans="1:16" x14ac:dyDescent="0.35">
      <c r="A1255" s="18"/>
      <c r="B1255" s="18"/>
      <c r="C1255" s="20"/>
      <c r="D1255" s="18"/>
      <c r="E1255" s="26"/>
      <c r="F1255" s="20"/>
      <c r="G1255" s="20"/>
      <c r="H1255" s="21"/>
      <c r="I1255" s="21"/>
      <c r="J1255" s="21"/>
      <c r="K1255" s="22"/>
      <c r="L1255" s="22"/>
      <c r="M1255" s="22"/>
      <c r="N1255" s="22"/>
      <c r="O1255" s="20"/>
      <c r="P1255" s="20"/>
    </row>
    <row r="1256" spans="1:16" x14ac:dyDescent="0.35">
      <c r="A1256" s="18"/>
      <c r="B1256" s="18"/>
      <c r="C1256" s="20"/>
      <c r="D1256" s="18"/>
      <c r="E1256" s="26"/>
      <c r="F1256" s="20"/>
      <c r="G1256" s="20"/>
      <c r="H1256" s="21"/>
      <c r="I1256" s="21"/>
      <c r="J1256" s="21"/>
      <c r="K1256" s="22"/>
      <c r="L1256" s="22"/>
      <c r="M1256" s="22"/>
      <c r="N1256" s="22"/>
      <c r="O1256" s="20"/>
      <c r="P1256" s="20"/>
    </row>
    <row r="1257" spans="1:16" x14ac:dyDescent="0.35">
      <c r="A1257" s="18"/>
      <c r="B1257" s="18"/>
      <c r="C1257" s="20"/>
      <c r="D1257" s="18"/>
      <c r="E1257" s="26"/>
      <c r="F1257" s="20"/>
      <c r="G1257" s="20"/>
      <c r="H1257" s="21"/>
      <c r="I1257" s="21"/>
      <c r="J1257" s="21"/>
      <c r="K1257" s="22"/>
      <c r="L1257" s="22"/>
      <c r="M1257" s="22"/>
      <c r="N1257" s="22"/>
      <c r="O1257" s="20"/>
      <c r="P1257" s="20"/>
    </row>
    <row r="1258" spans="1:16" x14ac:dyDescent="0.35">
      <c r="A1258" s="18"/>
      <c r="B1258" s="18"/>
      <c r="C1258" s="20"/>
      <c r="D1258" s="18"/>
      <c r="E1258" s="26"/>
      <c r="F1258" s="20"/>
      <c r="G1258" s="20"/>
      <c r="H1258" s="21"/>
      <c r="I1258" s="21"/>
      <c r="J1258" s="21"/>
      <c r="K1258" s="22"/>
      <c r="L1258" s="22"/>
      <c r="M1258" s="22"/>
      <c r="N1258" s="22"/>
      <c r="O1258" s="20"/>
      <c r="P1258" s="20"/>
    </row>
    <row r="1259" spans="1:16" x14ac:dyDescent="0.35">
      <c r="A1259" s="18"/>
      <c r="B1259" s="18"/>
      <c r="C1259" s="20"/>
      <c r="D1259" s="18"/>
      <c r="E1259" s="26"/>
      <c r="F1259" s="20"/>
      <c r="G1259" s="20"/>
      <c r="H1259" s="21"/>
      <c r="I1259" s="21"/>
      <c r="J1259" s="21"/>
      <c r="K1259" s="22"/>
      <c r="L1259" s="22"/>
      <c r="M1259" s="22"/>
      <c r="N1259" s="22"/>
      <c r="O1259" s="20"/>
      <c r="P1259" s="20"/>
    </row>
    <row r="1260" spans="1:16" x14ac:dyDescent="0.35">
      <c r="A1260" s="18"/>
      <c r="B1260" s="18"/>
      <c r="C1260" s="20"/>
      <c r="D1260" s="18"/>
      <c r="E1260" s="26"/>
      <c r="F1260" s="20"/>
      <c r="G1260" s="20"/>
      <c r="H1260" s="21"/>
      <c r="I1260" s="21"/>
      <c r="J1260" s="21"/>
      <c r="K1260" s="22"/>
      <c r="L1260" s="22"/>
      <c r="M1260" s="22"/>
      <c r="N1260" s="22"/>
      <c r="O1260" s="20"/>
      <c r="P1260" s="20"/>
    </row>
    <row r="1261" spans="1:16" x14ac:dyDescent="0.35">
      <c r="A1261" s="18"/>
      <c r="B1261" s="18"/>
      <c r="C1261" s="20"/>
      <c r="D1261" s="18"/>
      <c r="E1261" s="26"/>
      <c r="F1261" s="20"/>
      <c r="G1261" s="20"/>
      <c r="H1261" s="21"/>
      <c r="I1261" s="21"/>
      <c r="J1261" s="21"/>
      <c r="K1261" s="22"/>
      <c r="L1261" s="22"/>
      <c r="M1261" s="22"/>
      <c r="N1261" s="22"/>
      <c r="O1261" s="20"/>
      <c r="P1261" s="20"/>
    </row>
    <row r="1262" spans="1:16" x14ac:dyDescent="0.35">
      <c r="A1262" s="18"/>
      <c r="B1262" s="18"/>
      <c r="C1262" s="20"/>
      <c r="D1262" s="18"/>
      <c r="E1262" s="26"/>
      <c r="F1262" s="20"/>
      <c r="G1262" s="20"/>
      <c r="H1262" s="21"/>
      <c r="I1262" s="21"/>
      <c r="J1262" s="21"/>
      <c r="K1262" s="22"/>
      <c r="L1262" s="22"/>
      <c r="M1262" s="22"/>
      <c r="N1262" s="22"/>
      <c r="O1262" s="20"/>
      <c r="P1262" s="20"/>
    </row>
    <row r="1263" spans="1:16" x14ac:dyDescent="0.35">
      <c r="A1263" s="18"/>
      <c r="B1263" s="18"/>
      <c r="C1263" s="20"/>
      <c r="D1263" s="18"/>
      <c r="E1263" s="26"/>
      <c r="F1263" s="20"/>
      <c r="G1263" s="20"/>
      <c r="H1263" s="21"/>
      <c r="I1263" s="21"/>
      <c r="J1263" s="21"/>
      <c r="K1263" s="22"/>
      <c r="L1263" s="22"/>
      <c r="M1263" s="22"/>
      <c r="N1263" s="22"/>
      <c r="O1263" s="20"/>
      <c r="P1263" s="20"/>
    </row>
    <row r="1264" spans="1:16" x14ac:dyDescent="0.35">
      <c r="A1264" s="18"/>
      <c r="B1264" s="18"/>
      <c r="C1264" s="20"/>
      <c r="D1264" s="18"/>
      <c r="E1264" s="26"/>
      <c r="F1264" s="20"/>
      <c r="G1264" s="20"/>
      <c r="H1264" s="21"/>
      <c r="I1264" s="21"/>
      <c r="J1264" s="21"/>
      <c r="K1264" s="22"/>
      <c r="L1264" s="22"/>
      <c r="M1264" s="22"/>
      <c r="N1264" s="22"/>
      <c r="O1264" s="20"/>
      <c r="P1264" s="20"/>
    </row>
    <row r="1265" spans="1:16" x14ac:dyDescent="0.35">
      <c r="A1265" s="18"/>
      <c r="B1265" s="18"/>
      <c r="C1265" s="20"/>
      <c r="D1265" s="18"/>
      <c r="E1265" s="26"/>
      <c r="F1265" s="20"/>
      <c r="G1265" s="20"/>
      <c r="H1265" s="21"/>
      <c r="I1265" s="21"/>
      <c r="J1265" s="21"/>
      <c r="K1265" s="22"/>
      <c r="L1265" s="22"/>
      <c r="M1265" s="22"/>
      <c r="N1265" s="22"/>
      <c r="O1265" s="20"/>
      <c r="P1265" s="20"/>
    </row>
    <row r="1266" spans="1:16" x14ac:dyDescent="0.35">
      <c r="A1266" s="18"/>
      <c r="B1266" s="18"/>
      <c r="C1266" s="20"/>
      <c r="D1266" s="18"/>
      <c r="E1266" s="26"/>
      <c r="F1266" s="20"/>
      <c r="G1266" s="20"/>
      <c r="H1266" s="21"/>
      <c r="I1266" s="21"/>
      <c r="J1266" s="21"/>
      <c r="K1266" s="22"/>
      <c r="L1266" s="22"/>
      <c r="M1266" s="22"/>
      <c r="N1266" s="22"/>
      <c r="O1266" s="20"/>
      <c r="P1266" s="20"/>
    </row>
    <row r="1267" spans="1:16" x14ac:dyDescent="0.35">
      <c r="A1267" s="18"/>
      <c r="B1267" s="18"/>
      <c r="C1267" s="20"/>
      <c r="D1267" s="18"/>
      <c r="E1267" s="26"/>
      <c r="F1267" s="20"/>
      <c r="G1267" s="20"/>
      <c r="H1267" s="21"/>
      <c r="I1267" s="21"/>
      <c r="J1267" s="21"/>
      <c r="K1267" s="22"/>
      <c r="L1267" s="22"/>
      <c r="M1267" s="22"/>
      <c r="N1267" s="22"/>
      <c r="O1267" s="20"/>
      <c r="P1267" s="20"/>
    </row>
    <row r="1268" spans="1:16" x14ac:dyDescent="0.35">
      <c r="A1268" s="18"/>
      <c r="B1268" s="18"/>
      <c r="C1268" s="20"/>
      <c r="D1268" s="18"/>
      <c r="E1268" s="26"/>
      <c r="F1268" s="20"/>
      <c r="G1268" s="20"/>
      <c r="H1268" s="21"/>
      <c r="I1268" s="21"/>
      <c r="J1268" s="21"/>
      <c r="K1268" s="22"/>
      <c r="L1268" s="22"/>
      <c r="M1268" s="22"/>
      <c r="N1268" s="22"/>
      <c r="O1268" s="20"/>
      <c r="P1268" s="20"/>
    </row>
    <row r="1269" spans="1:16" x14ac:dyDescent="0.35">
      <c r="A1269" s="18"/>
      <c r="B1269" s="18"/>
      <c r="C1269" s="20"/>
      <c r="D1269" s="18"/>
      <c r="E1269" s="26"/>
      <c r="F1269" s="20"/>
      <c r="G1269" s="20"/>
      <c r="H1269" s="21"/>
      <c r="I1269" s="21"/>
      <c r="J1269" s="21"/>
      <c r="K1269" s="22"/>
      <c r="L1269" s="22"/>
      <c r="M1269" s="22"/>
      <c r="N1269" s="22"/>
      <c r="O1269" s="20"/>
      <c r="P1269" s="20"/>
    </row>
    <row r="1270" spans="1:16" x14ac:dyDescent="0.35">
      <c r="A1270" s="18"/>
      <c r="B1270" s="18"/>
      <c r="C1270" s="20"/>
      <c r="D1270" s="18"/>
      <c r="E1270" s="26"/>
      <c r="F1270" s="20"/>
      <c r="G1270" s="20"/>
      <c r="H1270" s="21"/>
      <c r="I1270" s="21"/>
      <c r="J1270" s="21"/>
      <c r="K1270" s="22"/>
      <c r="L1270" s="22"/>
      <c r="M1270" s="22"/>
      <c r="N1270" s="22"/>
      <c r="O1270" s="20"/>
      <c r="P1270" s="20"/>
    </row>
    <row r="1271" spans="1:16" x14ac:dyDescent="0.35">
      <c r="A1271" s="18"/>
      <c r="B1271" s="18"/>
      <c r="C1271" s="20"/>
      <c r="D1271" s="18"/>
      <c r="E1271" s="26"/>
      <c r="F1271" s="20"/>
      <c r="G1271" s="20"/>
      <c r="H1271" s="21"/>
      <c r="I1271" s="21"/>
      <c r="J1271" s="21"/>
      <c r="K1271" s="22"/>
      <c r="L1271" s="22"/>
      <c r="M1271" s="22"/>
      <c r="N1271" s="22"/>
      <c r="O1271" s="20"/>
      <c r="P1271" s="20"/>
    </row>
    <row r="1272" spans="1:16" x14ac:dyDescent="0.35">
      <c r="A1272" s="18"/>
      <c r="B1272" s="18"/>
      <c r="C1272" s="20"/>
      <c r="D1272" s="18"/>
      <c r="E1272" s="26"/>
      <c r="F1272" s="20"/>
      <c r="G1272" s="20"/>
      <c r="H1272" s="21"/>
      <c r="I1272" s="21"/>
      <c r="J1272" s="21"/>
      <c r="K1272" s="22"/>
      <c r="L1272" s="22"/>
      <c r="M1272" s="22"/>
      <c r="N1272" s="22"/>
      <c r="O1272" s="20"/>
      <c r="P1272" s="20"/>
    </row>
    <row r="1273" spans="1:16" x14ac:dyDescent="0.35">
      <c r="A1273" s="18"/>
      <c r="B1273" s="18"/>
      <c r="C1273" s="20"/>
      <c r="D1273" s="18"/>
      <c r="E1273" s="26"/>
      <c r="F1273" s="20"/>
      <c r="G1273" s="20"/>
      <c r="H1273" s="21"/>
      <c r="I1273" s="21"/>
      <c r="J1273" s="21"/>
      <c r="K1273" s="22"/>
      <c r="L1273" s="22"/>
      <c r="M1273" s="22"/>
      <c r="N1273" s="22"/>
      <c r="O1273" s="20"/>
      <c r="P1273" s="20"/>
    </row>
    <row r="1274" spans="1:16" x14ac:dyDescent="0.35">
      <c r="A1274" s="18"/>
      <c r="B1274" s="18"/>
      <c r="C1274" s="20"/>
      <c r="D1274" s="18"/>
      <c r="E1274" s="26"/>
      <c r="F1274" s="20"/>
      <c r="G1274" s="20"/>
      <c r="H1274" s="21"/>
      <c r="I1274" s="21"/>
      <c r="J1274" s="21"/>
      <c r="K1274" s="22"/>
      <c r="L1274" s="22"/>
      <c r="M1274" s="22"/>
      <c r="N1274" s="22"/>
      <c r="O1274" s="20"/>
      <c r="P1274" s="20"/>
    </row>
    <row r="1275" spans="1:16" x14ac:dyDescent="0.35">
      <c r="A1275" s="18"/>
      <c r="B1275" s="18"/>
      <c r="C1275" s="20"/>
      <c r="D1275" s="18"/>
      <c r="E1275" s="26"/>
      <c r="F1275" s="20"/>
      <c r="G1275" s="20"/>
      <c r="H1275" s="21"/>
      <c r="I1275" s="21"/>
      <c r="J1275" s="21"/>
      <c r="K1275" s="22"/>
      <c r="L1275" s="22"/>
      <c r="M1275" s="22"/>
      <c r="N1275" s="22"/>
      <c r="O1275" s="20"/>
      <c r="P1275" s="20"/>
    </row>
    <row r="1276" spans="1:16" x14ac:dyDescent="0.35">
      <c r="A1276" s="18"/>
      <c r="B1276" s="18"/>
      <c r="C1276" s="20"/>
      <c r="D1276" s="18"/>
      <c r="E1276" s="26"/>
      <c r="F1276" s="20"/>
      <c r="G1276" s="20"/>
      <c r="H1276" s="21"/>
      <c r="I1276" s="21"/>
      <c r="J1276" s="21"/>
      <c r="K1276" s="22"/>
      <c r="L1276" s="22"/>
      <c r="M1276" s="22"/>
      <c r="N1276" s="22"/>
      <c r="O1276" s="20"/>
      <c r="P1276" s="20"/>
    </row>
    <row r="1277" spans="1:16" x14ac:dyDescent="0.35">
      <c r="A1277" s="18"/>
      <c r="B1277" s="18"/>
      <c r="C1277" s="20"/>
      <c r="D1277" s="18"/>
      <c r="E1277" s="26"/>
      <c r="F1277" s="20"/>
      <c r="G1277" s="20"/>
      <c r="H1277" s="21"/>
      <c r="I1277" s="21"/>
      <c r="J1277" s="21"/>
      <c r="K1277" s="22"/>
      <c r="L1277" s="22"/>
      <c r="M1277" s="22"/>
      <c r="N1277" s="22"/>
      <c r="O1277" s="20"/>
      <c r="P1277" s="20"/>
    </row>
    <row r="1278" spans="1:16" x14ac:dyDescent="0.35">
      <c r="A1278" s="18"/>
      <c r="B1278" s="18"/>
      <c r="C1278" s="20"/>
      <c r="D1278" s="18"/>
      <c r="E1278" s="26"/>
      <c r="F1278" s="20"/>
      <c r="G1278" s="20"/>
      <c r="H1278" s="21"/>
      <c r="I1278" s="21"/>
      <c r="J1278" s="21"/>
      <c r="K1278" s="22"/>
      <c r="L1278" s="22"/>
      <c r="M1278" s="22"/>
      <c r="N1278" s="22"/>
      <c r="O1278" s="20"/>
      <c r="P1278" s="20"/>
    </row>
    <row r="1279" spans="1:16" x14ac:dyDescent="0.35">
      <c r="A1279" s="18"/>
      <c r="B1279" s="18"/>
      <c r="C1279" s="20"/>
      <c r="D1279" s="18"/>
      <c r="E1279" s="26"/>
      <c r="F1279" s="20"/>
      <c r="G1279" s="20"/>
      <c r="H1279" s="21"/>
      <c r="I1279" s="21"/>
      <c r="J1279" s="21"/>
      <c r="K1279" s="22"/>
      <c r="L1279" s="22"/>
      <c r="M1279" s="22"/>
      <c r="N1279" s="22"/>
      <c r="O1279" s="20"/>
      <c r="P1279" s="20"/>
    </row>
    <row r="1280" spans="1:16" x14ac:dyDescent="0.35">
      <c r="A1280" s="18"/>
      <c r="B1280" s="18"/>
      <c r="C1280" s="20"/>
      <c r="D1280" s="18"/>
      <c r="E1280" s="26"/>
      <c r="F1280" s="20"/>
      <c r="G1280" s="20"/>
      <c r="H1280" s="21"/>
      <c r="I1280" s="21"/>
      <c r="J1280" s="21"/>
      <c r="K1280" s="22"/>
      <c r="L1280" s="22"/>
      <c r="M1280" s="22"/>
      <c r="N1280" s="22"/>
      <c r="O1280" s="20"/>
      <c r="P1280" s="20"/>
    </row>
    <row r="1281" spans="1:16" x14ac:dyDescent="0.35">
      <c r="A1281" s="18"/>
      <c r="B1281" s="18"/>
      <c r="C1281" s="20"/>
      <c r="D1281" s="18"/>
      <c r="E1281" s="26"/>
      <c r="F1281" s="20"/>
      <c r="G1281" s="20"/>
      <c r="H1281" s="21"/>
      <c r="I1281" s="21"/>
      <c r="J1281" s="21"/>
      <c r="K1281" s="22"/>
      <c r="L1281" s="22"/>
      <c r="M1281" s="22"/>
      <c r="N1281" s="22"/>
      <c r="O1281" s="20"/>
      <c r="P1281" s="20"/>
    </row>
    <row r="1282" spans="1:16" x14ac:dyDescent="0.35">
      <c r="A1282" s="18"/>
      <c r="B1282" s="18"/>
      <c r="C1282" s="20"/>
      <c r="D1282" s="18"/>
      <c r="E1282" s="26"/>
      <c r="F1282" s="20"/>
      <c r="G1282" s="20"/>
      <c r="H1282" s="21"/>
      <c r="I1282" s="21"/>
      <c r="J1282" s="21"/>
      <c r="K1282" s="22"/>
      <c r="L1282" s="22"/>
      <c r="M1282" s="22"/>
      <c r="N1282" s="22"/>
      <c r="O1282" s="20"/>
      <c r="P1282" s="20"/>
    </row>
    <row r="1283" spans="1:16" x14ac:dyDescent="0.35">
      <c r="A1283" s="18"/>
      <c r="B1283" s="18"/>
      <c r="C1283" s="20"/>
      <c r="D1283" s="18"/>
      <c r="E1283" s="26"/>
      <c r="F1283" s="20"/>
      <c r="G1283" s="20"/>
      <c r="H1283" s="21"/>
      <c r="I1283" s="21"/>
      <c r="J1283" s="21"/>
      <c r="K1283" s="22"/>
      <c r="L1283" s="22"/>
      <c r="M1283" s="22"/>
      <c r="N1283" s="22"/>
      <c r="O1283" s="20"/>
      <c r="P1283" s="20"/>
    </row>
    <row r="1284" spans="1:16" x14ac:dyDescent="0.35">
      <c r="A1284" s="18"/>
      <c r="B1284" s="18"/>
      <c r="C1284" s="20"/>
      <c r="D1284" s="18"/>
      <c r="E1284" s="26"/>
      <c r="F1284" s="20"/>
      <c r="G1284" s="20"/>
      <c r="H1284" s="21"/>
      <c r="I1284" s="21"/>
      <c r="J1284" s="21"/>
      <c r="K1284" s="22"/>
      <c r="L1284" s="22"/>
      <c r="M1284" s="22"/>
      <c r="N1284" s="22"/>
      <c r="O1284" s="20"/>
      <c r="P1284" s="20"/>
    </row>
    <row r="1285" spans="1:16" x14ac:dyDescent="0.35">
      <c r="A1285" s="18"/>
      <c r="B1285" s="18"/>
      <c r="C1285" s="20"/>
      <c r="D1285" s="18"/>
      <c r="E1285" s="26"/>
      <c r="F1285" s="20"/>
      <c r="G1285" s="20"/>
      <c r="H1285" s="21"/>
      <c r="I1285" s="21"/>
      <c r="J1285" s="21"/>
      <c r="K1285" s="22"/>
      <c r="L1285" s="22"/>
      <c r="M1285" s="22"/>
      <c r="N1285" s="22"/>
      <c r="O1285" s="20"/>
      <c r="P1285" s="20"/>
    </row>
    <row r="1286" spans="1:16" x14ac:dyDescent="0.35">
      <c r="A1286" s="18"/>
      <c r="B1286" s="18"/>
      <c r="C1286" s="20"/>
      <c r="D1286" s="18"/>
      <c r="E1286" s="26"/>
      <c r="F1286" s="20"/>
      <c r="G1286" s="20"/>
      <c r="H1286" s="21"/>
      <c r="I1286" s="21"/>
      <c r="J1286" s="21"/>
      <c r="K1286" s="22"/>
      <c r="L1286" s="22"/>
      <c r="M1286" s="22"/>
      <c r="N1286" s="22"/>
      <c r="O1286" s="20"/>
      <c r="P1286" s="20"/>
    </row>
    <row r="1287" spans="1:16" x14ac:dyDescent="0.35">
      <c r="A1287" s="18"/>
      <c r="B1287" s="18"/>
      <c r="C1287" s="20"/>
      <c r="D1287" s="18"/>
      <c r="E1287" s="26"/>
      <c r="F1287" s="20"/>
      <c r="G1287" s="20"/>
      <c r="H1287" s="21"/>
      <c r="I1287" s="21"/>
      <c r="J1287" s="21"/>
      <c r="K1287" s="22"/>
      <c r="L1287" s="22"/>
      <c r="M1287" s="22"/>
      <c r="N1287" s="22"/>
      <c r="O1287" s="20"/>
      <c r="P1287" s="20"/>
    </row>
    <row r="1288" spans="1:16" x14ac:dyDescent="0.35">
      <c r="A1288" s="18"/>
      <c r="B1288" s="18"/>
      <c r="C1288" s="20"/>
      <c r="D1288" s="18"/>
      <c r="E1288" s="26"/>
      <c r="F1288" s="20"/>
      <c r="G1288" s="20"/>
      <c r="H1288" s="21"/>
      <c r="I1288" s="21"/>
      <c r="J1288" s="21"/>
      <c r="K1288" s="22"/>
      <c r="L1288" s="22"/>
      <c r="M1288" s="22"/>
      <c r="N1288" s="22"/>
      <c r="O1288" s="20"/>
      <c r="P1288" s="20"/>
    </row>
    <row r="1289" spans="1:16" x14ac:dyDescent="0.35">
      <c r="A1289" s="18"/>
      <c r="B1289" s="18"/>
      <c r="C1289" s="20"/>
      <c r="D1289" s="18"/>
      <c r="E1289" s="26"/>
      <c r="F1289" s="20"/>
      <c r="G1289" s="20"/>
      <c r="H1289" s="21"/>
      <c r="I1289" s="21"/>
      <c r="J1289" s="21"/>
      <c r="K1289" s="22"/>
      <c r="L1289" s="22"/>
      <c r="M1289" s="22"/>
      <c r="N1289" s="22"/>
      <c r="O1289" s="20"/>
      <c r="P1289" s="20"/>
    </row>
    <row r="1290" spans="1:16" x14ac:dyDescent="0.35">
      <c r="A1290" s="18"/>
      <c r="B1290" s="18"/>
      <c r="C1290" s="20"/>
      <c r="D1290" s="18"/>
      <c r="E1290" s="26"/>
      <c r="F1290" s="20"/>
      <c r="G1290" s="20"/>
      <c r="H1290" s="21"/>
      <c r="I1290" s="21"/>
      <c r="J1290" s="21"/>
      <c r="K1290" s="22"/>
      <c r="L1290" s="22"/>
      <c r="M1290" s="22"/>
      <c r="N1290" s="22"/>
      <c r="O1290" s="20"/>
      <c r="P1290" s="20"/>
    </row>
    <row r="1291" spans="1:16" x14ac:dyDescent="0.35">
      <c r="A1291" s="18"/>
      <c r="B1291" s="18"/>
      <c r="C1291" s="20"/>
      <c r="D1291" s="18"/>
      <c r="E1291" s="26"/>
      <c r="F1291" s="20"/>
      <c r="G1291" s="20"/>
      <c r="H1291" s="21"/>
      <c r="I1291" s="21"/>
      <c r="J1291" s="21"/>
      <c r="K1291" s="22"/>
      <c r="L1291" s="22"/>
      <c r="M1291" s="22"/>
      <c r="N1291" s="22"/>
      <c r="O1291" s="20"/>
      <c r="P1291" s="20"/>
    </row>
    <row r="1292" spans="1:16" x14ac:dyDescent="0.35">
      <c r="A1292" s="18"/>
      <c r="B1292" s="18"/>
      <c r="C1292" s="20"/>
      <c r="D1292" s="18"/>
      <c r="E1292" s="26"/>
      <c r="F1292" s="20"/>
      <c r="G1292" s="20"/>
      <c r="H1292" s="21"/>
      <c r="I1292" s="21"/>
      <c r="J1292" s="21"/>
      <c r="K1292" s="22"/>
      <c r="L1292" s="22"/>
      <c r="M1292" s="22"/>
      <c r="N1292" s="22"/>
      <c r="O1292" s="20"/>
      <c r="P1292" s="20"/>
    </row>
    <row r="1293" spans="1:16" x14ac:dyDescent="0.35">
      <c r="A1293" s="18"/>
      <c r="B1293" s="18"/>
      <c r="C1293" s="20"/>
      <c r="D1293" s="18"/>
      <c r="E1293" s="26"/>
      <c r="F1293" s="20"/>
      <c r="G1293" s="20"/>
      <c r="H1293" s="21"/>
      <c r="I1293" s="21"/>
      <c r="J1293" s="21"/>
      <c r="K1293" s="22"/>
      <c r="L1293" s="22"/>
      <c r="M1293" s="22"/>
      <c r="N1293" s="22"/>
      <c r="O1293" s="20"/>
      <c r="P1293" s="20"/>
    </row>
    <row r="1294" spans="1:16" x14ac:dyDescent="0.35">
      <c r="A1294" s="18"/>
      <c r="B1294" s="18"/>
      <c r="C1294" s="20"/>
      <c r="D1294" s="18"/>
      <c r="E1294" s="26"/>
      <c r="F1294" s="20"/>
      <c r="G1294" s="20"/>
      <c r="H1294" s="21"/>
      <c r="I1294" s="21"/>
      <c r="J1294" s="21"/>
      <c r="K1294" s="22"/>
      <c r="L1294" s="22"/>
      <c r="M1294" s="22"/>
      <c r="N1294" s="22"/>
      <c r="O1294" s="20"/>
      <c r="P1294" s="20"/>
    </row>
    <row r="1295" spans="1:16" x14ac:dyDescent="0.35">
      <c r="A1295" s="18"/>
      <c r="B1295" s="18"/>
      <c r="C1295" s="20"/>
      <c r="D1295" s="18"/>
      <c r="E1295" s="26"/>
      <c r="F1295" s="20"/>
      <c r="G1295" s="20"/>
      <c r="H1295" s="21"/>
      <c r="I1295" s="21"/>
      <c r="J1295" s="21"/>
      <c r="K1295" s="22"/>
      <c r="L1295" s="22"/>
      <c r="M1295" s="22"/>
      <c r="N1295" s="22"/>
      <c r="O1295" s="20"/>
      <c r="P1295" s="20"/>
    </row>
    <row r="1296" spans="1:16" x14ac:dyDescent="0.35">
      <c r="A1296" s="18"/>
      <c r="B1296" s="18"/>
      <c r="C1296" s="20"/>
      <c r="D1296" s="18"/>
      <c r="E1296" s="26"/>
      <c r="F1296" s="20"/>
      <c r="G1296" s="20"/>
      <c r="H1296" s="21"/>
      <c r="I1296" s="21"/>
      <c r="J1296" s="21"/>
      <c r="K1296" s="22"/>
      <c r="L1296" s="22"/>
      <c r="M1296" s="22"/>
      <c r="N1296" s="22"/>
      <c r="O1296" s="20"/>
      <c r="P1296" s="20"/>
    </row>
    <row r="1297" spans="1:16" x14ac:dyDescent="0.35">
      <c r="A1297" s="18"/>
      <c r="B1297" s="18"/>
      <c r="C1297" s="20"/>
      <c r="D1297" s="18"/>
      <c r="E1297" s="26"/>
      <c r="F1297" s="20"/>
      <c r="G1297" s="20"/>
      <c r="H1297" s="21"/>
      <c r="I1297" s="21"/>
      <c r="J1297" s="21"/>
      <c r="K1297" s="22"/>
      <c r="L1297" s="22"/>
      <c r="M1297" s="22"/>
      <c r="N1297" s="22"/>
      <c r="O1297" s="20"/>
      <c r="P1297" s="20"/>
    </row>
    <row r="1298" spans="1:16" x14ac:dyDescent="0.35">
      <c r="A1298" s="18"/>
      <c r="B1298" s="18"/>
      <c r="C1298" s="20"/>
      <c r="D1298" s="18"/>
      <c r="E1298" s="26"/>
      <c r="F1298" s="20"/>
      <c r="G1298" s="20"/>
      <c r="H1298" s="21"/>
      <c r="I1298" s="21"/>
      <c r="J1298" s="21"/>
      <c r="K1298" s="22"/>
      <c r="L1298" s="22"/>
      <c r="M1298" s="22"/>
      <c r="N1298" s="22"/>
      <c r="O1298" s="20"/>
      <c r="P1298" s="20"/>
    </row>
    <row r="1299" spans="1:16" x14ac:dyDescent="0.35">
      <c r="A1299" s="18"/>
      <c r="B1299" s="18"/>
      <c r="C1299" s="20"/>
      <c r="D1299" s="18"/>
      <c r="E1299" s="26"/>
      <c r="F1299" s="20"/>
      <c r="G1299" s="20"/>
      <c r="H1299" s="21"/>
      <c r="I1299" s="21"/>
      <c r="J1299" s="21"/>
      <c r="K1299" s="22"/>
      <c r="L1299" s="22"/>
      <c r="M1299" s="22"/>
      <c r="N1299" s="22"/>
      <c r="O1299" s="20"/>
      <c r="P1299" s="20"/>
    </row>
    <row r="1300" spans="1:16" x14ac:dyDescent="0.35">
      <c r="A1300" s="18"/>
      <c r="B1300" s="18"/>
      <c r="C1300" s="20"/>
      <c r="D1300" s="18"/>
      <c r="E1300" s="26"/>
      <c r="F1300" s="20"/>
      <c r="G1300" s="20"/>
      <c r="H1300" s="21"/>
      <c r="I1300" s="21"/>
      <c r="J1300" s="21"/>
      <c r="K1300" s="22"/>
      <c r="L1300" s="22"/>
      <c r="M1300" s="22"/>
      <c r="N1300" s="22"/>
      <c r="O1300" s="20"/>
      <c r="P1300" s="20"/>
    </row>
    <row r="1301" spans="1:16" x14ac:dyDescent="0.35">
      <c r="A1301" s="18"/>
      <c r="B1301" s="18"/>
      <c r="C1301" s="20"/>
      <c r="D1301" s="18"/>
      <c r="E1301" s="26"/>
      <c r="F1301" s="20"/>
      <c r="G1301" s="20"/>
      <c r="H1301" s="21"/>
      <c r="I1301" s="21"/>
      <c r="J1301" s="21"/>
      <c r="K1301" s="22"/>
      <c r="L1301" s="22"/>
      <c r="M1301" s="22"/>
      <c r="N1301" s="22"/>
      <c r="O1301" s="20"/>
      <c r="P1301" s="20"/>
    </row>
    <row r="1302" spans="1:16" x14ac:dyDescent="0.35">
      <c r="A1302" s="18"/>
      <c r="B1302" s="18"/>
      <c r="C1302" s="20"/>
      <c r="D1302" s="18"/>
      <c r="E1302" s="26"/>
      <c r="F1302" s="20"/>
      <c r="G1302" s="20"/>
      <c r="H1302" s="21"/>
      <c r="I1302" s="21"/>
      <c r="J1302" s="21"/>
      <c r="K1302" s="22"/>
      <c r="L1302" s="22"/>
      <c r="M1302" s="22"/>
      <c r="N1302" s="22"/>
      <c r="O1302" s="20"/>
      <c r="P1302" s="20"/>
    </row>
    <row r="1303" spans="1:16" x14ac:dyDescent="0.35">
      <c r="A1303" s="18"/>
      <c r="B1303" s="18"/>
      <c r="C1303" s="20"/>
      <c r="D1303" s="18"/>
      <c r="E1303" s="26"/>
      <c r="F1303" s="20"/>
      <c r="G1303" s="20"/>
      <c r="H1303" s="21"/>
      <c r="I1303" s="21"/>
      <c r="J1303" s="21"/>
      <c r="K1303" s="22"/>
      <c r="L1303" s="22"/>
      <c r="M1303" s="22"/>
      <c r="N1303" s="22"/>
      <c r="O1303" s="20"/>
      <c r="P1303" s="20"/>
    </row>
    <row r="1304" spans="1:16" x14ac:dyDescent="0.35">
      <c r="A1304" s="18"/>
      <c r="B1304" s="18"/>
      <c r="C1304" s="20"/>
      <c r="D1304" s="18"/>
      <c r="E1304" s="26"/>
      <c r="F1304" s="20"/>
      <c r="G1304" s="20"/>
      <c r="H1304" s="21"/>
      <c r="I1304" s="21"/>
      <c r="J1304" s="21"/>
      <c r="K1304" s="22"/>
      <c r="L1304" s="22"/>
      <c r="M1304" s="22"/>
      <c r="N1304" s="22"/>
      <c r="O1304" s="20"/>
      <c r="P1304" s="20"/>
    </row>
    <row r="1305" spans="1:16" x14ac:dyDescent="0.35">
      <c r="A1305" s="18"/>
      <c r="B1305" s="18"/>
      <c r="C1305" s="20"/>
      <c r="D1305" s="18"/>
      <c r="E1305" s="26"/>
      <c r="F1305" s="20"/>
      <c r="G1305" s="20"/>
      <c r="H1305" s="21"/>
      <c r="I1305" s="21"/>
      <c r="J1305" s="21"/>
      <c r="K1305" s="22"/>
      <c r="L1305" s="22"/>
      <c r="M1305" s="22"/>
      <c r="N1305" s="22"/>
      <c r="O1305" s="20"/>
      <c r="P1305" s="20"/>
    </row>
    <row r="1306" spans="1:16" x14ac:dyDescent="0.35">
      <c r="A1306" s="18"/>
      <c r="B1306" s="18"/>
      <c r="C1306" s="20"/>
      <c r="D1306" s="18"/>
      <c r="E1306" s="26"/>
      <c r="F1306" s="20"/>
      <c r="G1306" s="20"/>
      <c r="H1306" s="21"/>
      <c r="I1306" s="21"/>
      <c r="J1306" s="21"/>
      <c r="K1306" s="22"/>
      <c r="L1306" s="22"/>
      <c r="M1306" s="22"/>
      <c r="N1306" s="22"/>
      <c r="O1306" s="20"/>
      <c r="P1306" s="20"/>
    </row>
    <row r="1307" spans="1:16" x14ac:dyDescent="0.35">
      <c r="A1307" s="18"/>
      <c r="B1307" s="18"/>
      <c r="C1307" s="20"/>
      <c r="D1307" s="18"/>
      <c r="E1307" s="26"/>
      <c r="F1307" s="20"/>
      <c r="G1307" s="20"/>
      <c r="H1307" s="21"/>
      <c r="I1307" s="21"/>
      <c r="J1307" s="21"/>
      <c r="K1307" s="22"/>
      <c r="L1307" s="22"/>
      <c r="M1307" s="22"/>
      <c r="N1307" s="22"/>
      <c r="O1307" s="20"/>
      <c r="P1307" s="20"/>
    </row>
  </sheetData>
  <autoFilter ref="A1:P1307" xr:uid="{F8C98BFB-58AD-4C65-A181-7653CA70C5F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65FB-BF05-44DC-88B8-6034386CF04A}">
  <sheetPr>
    <tabColor rgb="FF00B0F0"/>
  </sheetPr>
  <dimension ref="A1:J56"/>
  <sheetViews>
    <sheetView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A11" sqref="A11:A14"/>
    </sheetView>
  </sheetViews>
  <sheetFormatPr defaultRowHeight="14.5" x14ac:dyDescent="0.35"/>
  <cols>
    <col min="1" max="1" width="19.81640625" bestFit="1" customWidth="1"/>
    <col min="2" max="2" width="23.90625" customWidth="1"/>
    <col min="3" max="3" width="9.7265625" customWidth="1"/>
    <col min="4" max="4" width="14.6328125" style="6" bestFit="1" customWidth="1"/>
    <col min="5" max="5" width="10" customWidth="1"/>
    <col min="6" max="6" width="105.08984375" bestFit="1" customWidth="1"/>
    <col min="7" max="15" width="27.08984375" customWidth="1"/>
  </cols>
  <sheetData>
    <row r="1" spans="1:10" s="4" customFormat="1" ht="33" customHeight="1" x14ac:dyDescent="0.3">
      <c r="A1" s="13" t="s">
        <v>25</v>
      </c>
      <c r="B1" s="3" t="s">
        <v>23</v>
      </c>
      <c r="C1" s="7" t="s">
        <v>17</v>
      </c>
      <c r="D1" s="8" t="s">
        <v>26</v>
      </c>
      <c r="E1" s="13" t="s">
        <v>17</v>
      </c>
      <c r="F1" s="17" t="s">
        <v>24</v>
      </c>
    </row>
    <row r="2" spans="1:10" ht="15.5" x14ac:dyDescent="0.35">
      <c r="A2" s="14">
        <v>1700702246</v>
      </c>
      <c r="B2" s="9" t="str">
        <f>VLOOKUP(A2,'[1]SM RSM TSM'!$H:$I,2,0)</f>
        <v>Md. Hafizur Rahman</v>
      </c>
      <c r="C2" s="10" t="s">
        <v>21</v>
      </c>
      <c r="D2" s="10" t="s">
        <v>19</v>
      </c>
      <c r="E2" s="15" t="s">
        <v>21</v>
      </c>
      <c r="F2" s="12" t="s">
        <v>34</v>
      </c>
    </row>
    <row r="3" spans="1:10" ht="15.5" x14ac:dyDescent="0.35">
      <c r="A3" s="14">
        <v>1701216041</v>
      </c>
      <c r="B3" s="9" t="str">
        <f>VLOOKUP(A3,'[1]SM RSM TSM'!$H:$I,2,0)</f>
        <v>Md. Rokonuzzaman</v>
      </c>
      <c r="C3" s="10" t="s">
        <v>21</v>
      </c>
      <c r="D3" s="10" t="s">
        <v>19</v>
      </c>
      <c r="E3" s="15" t="s">
        <v>21</v>
      </c>
      <c r="F3" s="12" t="s">
        <v>39</v>
      </c>
    </row>
    <row r="4" spans="1:10" ht="15.5" x14ac:dyDescent="0.35">
      <c r="A4" s="14">
        <v>1701216091</v>
      </c>
      <c r="B4" s="9" t="str">
        <f>VLOOKUP(A4,'[1]SM RSM TSM'!$H:$I,2,0)</f>
        <v>Nasir Sharif Tonmoy</v>
      </c>
      <c r="C4" s="10" t="s">
        <v>21</v>
      </c>
      <c r="D4" s="10" t="s">
        <v>19</v>
      </c>
      <c r="E4" s="15" t="s">
        <v>21</v>
      </c>
      <c r="F4" s="12" t="s">
        <v>49</v>
      </c>
    </row>
    <row r="5" spans="1:10" ht="15.5" x14ac:dyDescent="0.35">
      <c r="A5" s="14">
        <v>1322845171</v>
      </c>
      <c r="B5" s="9" t="str">
        <f>VLOOKUP(A5,'[1]SM RSM TSM'!$H:$I,2,0)</f>
        <v>Md. Rafiqul Islam</v>
      </c>
      <c r="C5" s="10" t="s">
        <v>20</v>
      </c>
      <c r="D5" s="10" t="s">
        <v>19</v>
      </c>
      <c r="E5" s="15" t="s">
        <v>20</v>
      </c>
      <c r="F5" s="12" t="s">
        <v>55</v>
      </c>
    </row>
    <row r="6" spans="1:10" ht="15.5" x14ac:dyDescent="0.35">
      <c r="A6" s="14">
        <v>1322845168</v>
      </c>
      <c r="B6" s="9" t="str">
        <f>VLOOKUP(A6,'[1]SM RSM TSM'!$H:$I,2,0)</f>
        <v>Md. Niaz Morshed</v>
      </c>
      <c r="C6" s="10" t="s">
        <v>20</v>
      </c>
      <c r="D6" s="10" t="s">
        <v>19</v>
      </c>
      <c r="E6" s="15" t="s">
        <v>20</v>
      </c>
      <c r="F6" s="12" t="s">
        <v>58</v>
      </c>
    </row>
    <row r="7" spans="1:10" ht="15.5" x14ac:dyDescent="0.35">
      <c r="A7" s="14">
        <v>1700702248</v>
      </c>
      <c r="B7" s="9" t="str">
        <f>VLOOKUP(A7,'[1]SM RSM TSM'!$H:$I,2,0)</f>
        <v>Md. Akteruzzamann</v>
      </c>
      <c r="C7" s="10" t="s">
        <v>20</v>
      </c>
      <c r="D7" s="10" t="s">
        <v>19</v>
      </c>
      <c r="E7" s="15" t="s">
        <v>20</v>
      </c>
      <c r="F7" s="12" t="s">
        <v>62</v>
      </c>
    </row>
    <row r="8" spans="1:10" ht="15.5" x14ac:dyDescent="0.35">
      <c r="A8" s="14">
        <v>1322845167</v>
      </c>
      <c r="B8" s="9" t="str">
        <f>VLOOKUP(A8,'[1]SM RSM TSM'!$H:$I,2,0)</f>
        <v>Md. Al Amin</v>
      </c>
      <c r="C8" s="10" t="s">
        <v>20</v>
      </c>
      <c r="D8" s="10" t="s">
        <v>19</v>
      </c>
      <c r="E8" s="15" t="s">
        <v>20</v>
      </c>
      <c r="F8" s="12" t="s">
        <v>66</v>
      </c>
    </row>
    <row r="9" spans="1:10" s="5" customFormat="1" ht="15.5" x14ac:dyDescent="0.35">
      <c r="A9" s="14">
        <v>1324732630</v>
      </c>
      <c r="B9" s="9" t="str">
        <f>VLOOKUP(A9,'[1]SM RSM TSM'!$H:$I,2,0)</f>
        <v>Marefat Ali</v>
      </c>
      <c r="C9" s="10" t="s">
        <v>20</v>
      </c>
      <c r="D9" s="10" t="s">
        <v>19</v>
      </c>
      <c r="E9" s="15" t="s">
        <v>20</v>
      </c>
      <c r="F9" s="12" t="s">
        <v>70</v>
      </c>
    </row>
    <row r="10" spans="1:10" ht="15.5" x14ac:dyDescent="0.35">
      <c r="A10" s="14">
        <v>1324732735</v>
      </c>
      <c r="B10" s="9" t="str">
        <f>VLOOKUP(A10,'[1]SM RSM TSM'!$H:$I,2,0)</f>
        <v>Md. Mannan Ali</v>
      </c>
      <c r="C10" s="10" t="s">
        <v>20</v>
      </c>
      <c r="D10" s="10" t="s">
        <v>19</v>
      </c>
      <c r="E10" s="15" t="s">
        <v>20</v>
      </c>
      <c r="F10" s="12" t="s">
        <v>76</v>
      </c>
      <c r="J10" t="s">
        <v>35</v>
      </c>
    </row>
    <row r="11" spans="1:10" ht="15.5" x14ac:dyDescent="0.35">
      <c r="A11" s="42">
        <v>1700702220</v>
      </c>
      <c r="B11" s="9" t="str">
        <f>VLOOKUP(A11,'[1]SM RSM TSM'!$H:$I,2,0)</f>
        <v>Sony Nicholas D Rozario</v>
      </c>
      <c r="C11" s="10" t="s">
        <v>21</v>
      </c>
      <c r="D11" s="11" t="s">
        <v>77</v>
      </c>
      <c r="E11" s="15" t="s">
        <v>21</v>
      </c>
      <c r="F11" s="12" t="s">
        <v>80</v>
      </c>
    </row>
    <row r="12" spans="1:10" ht="15.5" x14ac:dyDescent="0.35">
      <c r="A12" s="42">
        <v>1335108134</v>
      </c>
      <c r="B12" s="9" t="str">
        <f>VLOOKUP(A12,'[1]SM RSM TSM'!$H:$I,2,0)</f>
        <v>Mujahidur Rahaman</v>
      </c>
      <c r="C12" s="10" t="s">
        <v>21</v>
      </c>
      <c r="D12" s="11" t="s">
        <v>77</v>
      </c>
      <c r="E12" s="15" t="s">
        <v>21</v>
      </c>
      <c r="F12" s="12" t="s">
        <v>78</v>
      </c>
    </row>
    <row r="13" spans="1:10" ht="15.5" x14ac:dyDescent="0.35">
      <c r="A13" s="42">
        <v>1322845218</v>
      </c>
      <c r="B13" s="9" t="str">
        <f>VLOOKUP(A13,'[1]SM RSM TSM'!$H:$I,2,0)</f>
        <v>Tanvir Hoque</v>
      </c>
      <c r="C13" s="10" t="s">
        <v>20</v>
      </c>
      <c r="D13" s="11" t="s">
        <v>77</v>
      </c>
      <c r="E13" s="15" t="s">
        <v>77</v>
      </c>
      <c r="F13" s="12" t="s">
        <v>81</v>
      </c>
    </row>
    <row r="14" spans="1:10" s="5" customFormat="1" ht="15.5" x14ac:dyDescent="0.35">
      <c r="A14" s="42">
        <v>1700768072</v>
      </c>
      <c r="B14" s="9" t="str">
        <f>VLOOKUP(A14,'[1]SM RSM TSM'!$H:$I,2,0)</f>
        <v>Shanti Kumar Biswas</v>
      </c>
      <c r="C14" s="10" t="s">
        <v>20</v>
      </c>
      <c r="D14" s="11" t="s">
        <v>77</v>
      </c>
      <c r="E14" s="15" t="s">
        <v>77</v>
      </c>
      <c r="F14" s="12" t="s">
        <v>79</v>
      </c>
    </row>
    <row r="15" spans="1:10" ht="15.5" x14ac:dyDescent="0.35">
      <c r="A15" s="14">
        <v>1322845170</v>
      </c>
      <c r="B15" s="9" t="str">
        <f>VLOOKUP(A15,'[1]SM RSM TSM'!$H:$I,2,0)</f>
        <v>Md. Shakil Chowdhury</v>
      </c>
      <c r="C15" s="10" t="s">
        <v>21</v>
      </c>
      <c r="D15" s="11" t="s">
        <v>18</v>
      </c>
      <c r="E15" s="15" t="s">
        <v>21</v>
      </c>
      <c r="F15" s="12" t="s">
        <v>27</v>
      </c>
    </row>
    <row r="16" spans="1:10" ht="15.5" x14ac:dyDescent="0.35">
      <c r="A16" s="14">
        <v>1322845176</v>
      </c>
      <c r="B16" s="9" t="str">
        <f>VLOOKUP(A16,'[1]SM RSM TSM'!$H:$I,2,0)</f>
        <v>Md. Tito Mia</v>
      </c>
      <c r="C16" s="10" t="s">
        <v>21</v>
      </c>
      <c r="D16" s="11" t="s">
        <v>18</v>
      </c>
      <c r="E16" s="15" t="s">
        <v>21</v>
      </c>
      <c r="F16" s="12" t="s">
        <v>28</v>
      </c>
    </row>
    <row r="17" spans="1:6" ht="15.5" x14ac:dyDescent="0.35">
      <c r="A17" s="14">
        <v>1701216090</v>
      </c>
      <c r="B17" s="9" t="str">
        <f>VLOOKUP(A17,'[1]SM RSM TSM'!$H:$I,2,0)</f>
        <v>Md. Shariful Islam</v>
      </c>
      <c r="C17" s="10" t="s">
        <v>21</v>
      </c>
      <c r="D17" s="11" t="s">
        <v>18</v>
      </c>
      <c r="E17" s="15" t="s">
        <v>21</v>
      </c>
      <c r="F17" s="12" t="s">
        <v>29</v>
      </c>
    </row>
    <row r="18" spans="1:6" ht="15.5" x14ac:dyDescent="0.35">
      <c r="A18" s="14">
        <v>1324725678</v>
      </c>
      <c r="B18" s="9" t="str">
        <f>VLOOKUP(A18,'[1]SM RSM TSM'!$H:$I,2,0)</f>
        <v>Ayubur Rahman Kha</v>
      </c>
      <c r="C18" s="10" t="s">
        <v>21</v>
      </c>
      <c r="D18" s="11" t="s">
        <v>18</v>
      </c>
      <c r="E18" s="15" t="s">
        <v>21</v>
      </c>
      <c r="F18" s="12" t="s">
        <v>30</v>
      </c>
    </row>
    <row r="19" spans="1:6" ht="15.5" x14ac:dyDescent="0.35">
      <c r="A19" s="14">
        <v>1335197833</v>
      </c>
      <c r="B19" s="9" t="str">
        <f>VLOOKUP(A19,'[1]SM RSM TSM'!$H:$I,2,0)</f>
        <v>Md. Jiaul Haque Rony</v>
      </c>
      <c r="C19" s="10" t="s">
        <v>21</v>
      </c>
      <c r="D19" s="11" t="s">
        <v>18</v>
      </c>
      <c r="E19" s="15" t="s">
        <v>21</v>
      </c>
      <c r="F19" s="12" t="s">
        <v>31</v>
      </c>
    </row>
    <row r="20" spans="1:6" ht="15.5" x14ac:dyDescent="0.35">
      <c r="A20" s="14">
        <v>1324725688</v>
      </c>
      <c r="B20" s="9" t="str">
        <f>VLOOKUP(A20,'[1]SM RSM TSM'!$H:$I,2,0)</f>
        <v>Md. Raysul Islam</v>
      </c>
      <c r="C20" s="10" t="s">
        <v>21</v>
      </c>
      <c r="D20" s="11" t="s">
        <v>18</v>
      </c>
      <c r="E20" s="15" t="s">
        <v>21</v>
      </c>
      <c r="F20" s="12" t="s">
        <v>32</v>
      </c>
    </row>
    <row r="21" spans="1:6" ht="15.5" x14ac:dyDescent="0.35">
      <c r="A21" s="14">
        <v>1704124001</v>
      </c>
      <c r="B21" s="9" t="str">
        <f>VLOOKUP(A21,'[1]SM RSM TSM'!$H:$I,2,0)</f>
        <v>Md. Nazmul Huda</v>
      </c>
      <c r="C21" s="10" t="s">
        <v>21</v>
      </c>
      <c r="D21" s="11" t="s">
        <v>18</v>
      </c>
      <c r="E21" s="15" t="s">
        <v>21</v>
      </c>
      <c r="F21" s="12" t="s">
        <v>33</v>
      </c>
    </row>
    <row r="22" spans="1:6" ht="15.5" x14ac:dyDescent="0.35">
      <c r="A22" s="14">
        <v>1704124042</v>
      </c>
      <c r="B22" s="9" t="str">
        <f>VLOOKUP(A22,'[1]SM RSM TSM'!$H:$I,2,0)</f>
        <v>Golam Mostofa</v>
      </c>
      <c r="C22" s="10" t="s">
        <v>21</v>
      </c>
      <c r="D22" s="11" t="s">
        <v>18</v>
      </c>
      <c r="E22" s="15" t="s">
        <v>21</v>
      </c>
      <c r="F22" s="12" t="s">
        <v>35</v>
      </c>
    </row>
    <row r="23" spans="1:6" ht="15.5" x14ac:dyDescent="0.35">
      <c r="A23" s="14">
        <v>1324725622</v>
      </c>
      <c r="B23" s="9" t="str">
        <f>VLOOKUP(A23,'[1]SM RSM TSM'!$H:$I,2,0)</f>
        <v>Md. Rohul Amin</v>
      </c>
      <c r="C23" s="10" t="s">
        <v>21</v>
      </c>
      <c r="D23" s="11" t="s">
        <v>18</v>
      </c>
      <c r="E23" s="15" t="s">
        <v>21</v>
      </c>
      <c r="F23" s="12" t="s">
        <v>36</v>
      </c>
    </row>
    <row r="24" spans="1:6" s="5" customFormat="1" ht="15.5" x14ac:dyDescent="0.35">
      <c r="A24" s="14">
        <v>1322845178</v>
      </c>
      <c r="B24" s="9" t="str">
        <f>VLOOKUP(A24,'[1]SM RSM TSM'!$H:$I,2,0)</f>
        <v>Shimul Ahmed</v>
      </c>
      <c r="C24" s="10" t="s">
        <v>21</v>
      </c>
      <c r="D24" s="11" t="s">
        <v>18</v>
      </c>
      <c r="E24" s="15" t="s">
        <v>21</v>
      </c>
      <c r="F24" s="12" t="s">
        <v>37</v>
      </c>
    </row>
    <row r="25" spans="1:6" ht="15.5" x14ac:dyDescent="0.35">
      <c r="A25" s="14">
        <v>1322845179</v>
      </c>
      <c r="B25" s="9" t="str">
        <f>VLOOKUP(A25,'[1]SM RSM TSM'!$H:$I,2,0)</f>
        <v>Md. Ratul Hasan</v>
      </c>
      <c r="C25" s="10" t="s">
        <v>21</v>
      </c>
      <c r="D25" s="11" t="s">
        <v>18</v>
      </c>
      <c r="E25" s="15" t="s">
        <v>21</v>
      </c>
      <c r="F25" s="12" t="s">
        <v>38</v>
      </c>
    </row>
    <row r="26" spans="1:6" ht="15.5" x14ac:dyDescent="0.35">
      <c r="A26" s="14">
        <v>1704124003</v>
      </c>
      <c r="B26" s="9" t="str">
        <f>VLOOKUP(A26,'[1]SM RSM TSM'!$H:$I,2,0)</f>
        <v>Md. Masum Billah</v>
      </c>
      <c r="C26" s="10" t="s">
        <v>21</v>
      </c>
      <c r="D26" s="11" t="s">
        <v>18</v>
      </c>
      <c r="E26" s="15" t="s">
        <v>21</v>
      </c>
      <c r="F26" s="12" t="s">
        <v>40</v>
      </c>
    </row>
    <row r="27" spans="1:6" ht="15.5" x14ac:dyDescent="0.35">
      <c r="A27" s="14">
        <v>1701216133</v>
      </c>
      <c r="B27" s="9" t="str">
        <f>VLOOKUP(A27,'[1]SM RSM TSM'!$H:$I,2,0)</f>
        <v>Protap Mondol</v>
      </c>
      <c r="C27" s="10" t="s">
        <v>21</v>
      </c>
      <c r="D27" s="11" t="s">
        <v>18</v>
      </c>
      <c r="E27" s="15" t="s">
        <v>21</v>
      </c>
      <c r="F27" s="12" t="s">
        <v>41</v>
      </c>
    </row>
    <row r="28" spans="1:6" ht="15.5" x14ac:dyDescent="0.35">
      <c r="A28" s="14">
        <v>1324725648</v>
      </c>
      <c r="B28" s="9" t="str">
        <f>VLOOKUP(A28,'[1]SM RSM TSM'!$H:$I,2,0)</f>
        <v>Ruman Das</v>
      </c>
      <c r="C28" s="10" t="s">
        <v>21</v>
      </c>
      <c r="D28" s="11" t="s">
        <v>18</v>
      </c>
      <c r="E28" s="15" t="s">
        <v>21</v>
      </c>
      <c r="F28" s="12" t="s">
        <v>42</v>
      </c>
    </row>
    <row r="29" spans="1:6" ht="15.5" x14ac:dyDescent="0.35">
      <c r="A29" s="14">
        <v>1704123809</v>
      </c>
      <c r="B29" s="9" t="str">
        <f>VLOOKUP(A29,'[1]SM RSM TSM'!$H:$I,2,0)</f>
        <v>Md. Tazidul Islam Papon</v>
      </c>
      <c r="C29" s="10" t="s">
        <v>21</v>
      </c>
      <c r="D29" s="11" t="s">
        <v>18</v>
      </c>
      <c r="E29" s="15" t="s">
        <v>21</v>
      </c>
      <c r="F29" s="12" t="s">
        <v>43</v>
      </c>
    </row>
    <row r="30" spans="1:6" s="5" customFormat="1" ht="15.5" x14ac:dyDescent="0.35">
      <c r="A30" s="14">
        <v>1748464976</v>
      </c>
      <c r="B30" s="9" t="str">
        <f>VLOOKUP(A30,'[1]SM RSM TSM'!$H:$I,2,0)</f>
        <v>Khandaker Iklil Azam</v>
      </c>
      <c r="C30" s="10" t="s">
        <v>21</v>
      </c>
      <c r="D30" s="11" t="s">
        <v>18</v>
      </c>
      <c r="E30" s="15" t="s">
        <v>21</v>
      </c>
      <c r="F30" s="12" t="s">
        <v>44</v>
      </c>
    </row>
    <row r="31" spans="1:6" ht="15.5" x14ac:dyDescent="0.35">
      <c r="A31" s="14">
        <v>1700702245</v>
      </c>
      <c r="B31" s="9" t="str">
        <f>VLOOKUP(A31,'[1]SM RSM TSM'!$H:$I,2,0)</f>
        <v>Md. Zahidul Islam</v>
      </c>
      <c r="C31" s="10" t="s">
        <v>21</v>
      </c>
      <c r="D31" s="11" t="s">
        <v>18</v>
      </c>
      <c r="E31" s="15" t="s">
        <v>21</v>
      </c>
      <c r="F31" s="12" t="s">
        <v>45</v>
      </c>
    </row>
    <row r="32" spans="1:6" ht="15.5" x14ac:dyDescent="0.35">
      <c r="A32" s="14">
        <v>1322845174</v>
      </c>
      <c r="B32" s="9" t="str">
        <f>VLOOKUP(A32,'[1]SM RSM TSM'!$H:$I,2,0)</f>
        <v>Md. Masum Kabir</v>
      </c>
      <c r="C32" s="10" t="s">
        <v>21</v>
      </c>
      <c r="D32" s="11" t="s">
        <v>18</v>
      </c>
      <c r="E32" s="15" t="s">
        <v>21</v>
      </c>
      <c r="F32" s="12" t="s">
        <v>46</v>
      </c>
    </row>
    <row r="33" spans="1:6" s="5" customFormat="1" ht="15.5" x14ac:dyDescent="0.35">
      <c r="A33" s="14">
        <v>1700702275</v>
      </c>
      <c r="B33" s="9" t="str">
        <f>VLOOKUP(A33,'[1]SM RSM TSM'!$H:$I,2,0)</f>
        <v>Rajib Chandra Nath</v>
      </c>
      <c r="C33" s="10" t="s">
        <v>21</v>
      </c>
      <c r="D33" s="11" t="s">
        <v>18</v>
      </c>
      <c r="E33" s="15" t="s">
        <v>21</v>
      </c>
      <c r="F33" s="12" t="s">
        <v>47</v>
      </c>
    </row>
    <row r="34" spans="1:6" ht="15.5" x14ac:dyDescent="0.35">
      <c r="A34" s="14">
        <v>1324732631</v>
      </c>
      <c r="B34" s="9" t="str">
        <f>VLOOKUP(A34,'[1]SM RSM TSM'!$H:$I,2,0)</f>
        <v>Md. Akbar Hossain</v>
      </c>
      <c r="C34" s="10" t="s">
        <v>21</v>
      </c>
      <c r="D34" s="11" t="s">
        <v>18</v>
      </c>
      <c r="E34" s="15" t="s">
        <v>21</v>
      </c>
      <c r="F34" s="12" t="s">
        <v>48</v>
      </c>
    </row>
    <row r="35" spans="1:6" ht="15.5" x14ac:dyDescent="0.35">
      <c r="A35" s="14">
        <v>1324725625</v>
      </c>
      <c r="B35" s="9" t="str">
        <f>VLOOKUP(A35,'[1]SM RSM TSM'!$H:$I,2,0)</f>
        <v>Md. Mezanur Rahman</v>
      </c>
      <c r="C35" s="10" t="s">
        <v>20</v>
      </c>
      <c r="D35" s="11" t="s">
        <v>18</v>
      </c>
      <c r="E35" s="15" t="s">
        <v>20</v>
      </c>
      <c r="F35" s="12" t="s">
        <v>50</v>
      </c>
    </row>
    <row r="36" spans="1:6" ht="15.5" x14ac:dyDescent="0.35">
      <c r="A36" s="14">
        <v>1324725712</v>
      </c>
      <c r="B36" s="9" t="str">
        <f>VLOOKUP(A36,'[1]SM RSM TSM'!$H:$I,2,0)</f>
        <v>Md. Akteruzzaman</v>
      </c>
      <c r="C36" s="10" t="s">
        <v>20</v>
      </c>
      <c r="D36" s="11" t="s">
        <v>18</v>
      </c>
      <c r="E36" s="15" t="s">
        <v>20</v>
      </c>
      <c r="F36" s="12" t="s">
        <v>51</v>
      </c>
    </row>
    <row r="37" spans="1:6" s="5" customFormat="1" ht="15.5" x14ac:dyDescent="0.35">
      <c r="A37" s="14">
        <v>1701216087</v>
      </c>
      <c r="B37" s="9" t="str">
        <f>VLOOKUP(A37,'[1]SM RSM TSM'!$H:$I,2,0)</f>
        <v>Arifur Rahman</v>
      </c>
      <c r="C37" s="10" t="s">
        <v>20</v>
      </c>
      <c r="D37" s="11" t="s">
        <v>18</v>
      </c>
      <c r="E37" s="15" t="s">
        <v>20</v>
      </c>
      <c r="F37" s="12" t="s">
        <v>52</v>
      </c>
    </row>
    <row r="38" spans="1:6" ht="15.5" x14ac:dyDescent="0.35">
      <c r="A38" s="14">
        <v>1322845177</v>
      </c>
      <c r="B38" s="9" t="str">
        <f>VLOOKUP(A38,'[1]SM RSM TSM'!$H:$I,2,0)</f>
        <v>Gopal Kumar</v>
      </c>
      <c r="C38" s="10" t="s">
        <v>20</v>
      </c>
      <c r="D38" s="11" t="s">
        <v>18</v>
      </c>
      <c r="E38" s="15" t="s">
        <v>20</v>
      </c>
      <c r="F38" s="12" t="s">
        <v>53</v>
      </c>
    </row>
    <row r="39" spans="1:6" ht="15.5" x14ac:dyDescent="0.35">
      <c r="A39" s="14">
        <v>1313762456</v>
      </c>
      <c r="B39" s="9" t="str">
        <f>VLOOKUP(A39,'[1]SM RSM TSM'!$H:$I,2,0)</f>
        <v>Md. Khalilur Rahman</v>
      </c>
      <c r="C39" s="10" t="s">
        <v>20</v>
      </c>
      <c r="D39" s="11" t="s">
        <v>18</v>
      </c>
      <c r="E39" s="15" t="s">
        <v>20</v>
      </c>
      <c r="F39" s="12" t="s">
        <v>54</v>
      </c>
    </row>
    <row r="40" spans="1:6" ht="15.5" x14ac:dyDescent="0.35">
      <c r="A40" s="14">
        <v>1329668962</v>
      </c>
      <c r="B40" s="9" t="str">
        <f>VLOOKUP(A40,'[1]SM RSM TSM'!$H:$I,2,0)</f>
        <v>Md. Nahidul Islam Bhuyain</v>
      </c>
      <c r="C40" s="10" t="s">
        <v>20</v>
      </c>
      <c r="D40" s="11" t="s">
        <v>18</v>
      </c>
      <c r="E40" s="15" t="s">
        <v>20</v>
      </c>
      <c r="F40" s="12" t="s">
        <v>56</v>
      </c>
    </row>
    <row r="41" spans="1:6" s="5" customFormat="1" ht="15.5" x14ac:dyDescent="0.35">
      <c r="A41" s="14">
        <v>1322845173</v>
      </c>
      <c r="B41" s="9" t="str">
        <f>VLOOKUP(A41,'[1]SM RSM TSM'!$H:$I,2,0)</f>
        <v>Md Feroz</v>
      </c>
      <c r="C41" s="10" t="s">
        <v>20</v>
      </c>
      <c r="D41" s="11" t="s">
        <v>18</v>
      </c>
      <c r="E41" s="15" t="s">
        <v>20</v>
      </c>
      <c r="F41" s="12" t="s">
        <v>57</v>
      </c>
    </row>
    <row r="42" spans="1:6" ht="15.5" x14ac:dyDescent="0.35">
      <c r="A42" s="14">
        <v>1701216088</v>
      </c>
      <c r="B42" s="9" t="str">
        <f>VLOOKUP(A42,'[1]SM RSM TSM'!$H:$I,2,0)</f>
        <v>Sadhin Islam</v>
      </c>
      <c r="C42" s="10" t="s">
        <v>20</v>
      </c>
      <c r="D42" s="11" t="s">
        <v>18</v>
      </c>
      <c r="E42" s="15" t="s">
        <v>20</v>
      </c>
      <c r="F42" s="12" t="s">
        <v>59</v>
      </c>
    </row>
    <row r="43" spans="1:6" ht="13.75" customHeight="1" x14ac:dyDescent="0.35">
      <c r="A43" s="14">
        <v>1322845175</v>
      </c>
      <c r="B43" s="9" t="str">
        <f>VLOOKUP(A43,'[1]SM RSM TSM'!$H:$I,2,0)</f>
        <v>Badhon Kumar Saha Akash</v>
      </c>
      <c r="C43" s="10" t="s">
        <v>20</v>
      </c>
      <c r="D43" s="11" t="s">
        <v>18</v>
      </c>
      <c r="E43" s="15" t="s">
        <v>20</v>
      </c>
      <c r="F43" s="12" t="s">
        <v>60</v>
      </c>
    </row>
    <row r="44" spans="1:6" ht="15.5" x14ac:dyDescent="0.35">
      <c r="A44" s="14">
        <v>1322845165</v>
      </c>
      <c r="B44" s="9" t="str">
        <f>VLOOKUP(A44,'[1]SM RSM TSM'!$H:$I,2,0)</f>
        <v>Hasan Fakir</v>
      </c>
      <c r="C44" s="10" t="s">
        <v>20</v>
      </c>
      <c r="D44" s="11" t="s">
        <v>18</v>
      </c>
      <c r="E44" s="15" t="s">
        <v>20</v>
      </c>
      <c r="F44" s="12" t="s">
        <v>61</v>
      </c>
    </row>
    <row r="45" spans="1:6" s="5" customFormat="1" ht="15.5" x14ac:dyDescent="0.35">
      <c r="A45" s="14">
        <v>1700702247</v>
      </c>
      <c r="B45" s="9" t="str">
        <f>VLOOKUP(A45,'[1]SM RSM TSM'!$H:$I,2,0)</f>
        <v>Md. Yeasin Ali</v>
      </c>
      <c r="C45" s="10" t="s">
        <v>20</v>
      </c>
      <c r="D45" s="11" t="s">
        <v>18</v>
      </c>
      <c r="E45" s="15" t="s">
        <v>20</v>
      </c>
      <c r="F45" s="12" t="s">
        <v>63</v>
      </c>
    </row>
    <row r="46" spans="1:6" ht="15.5" x14ac:dyDescent="0.35">
      <c r="A46" s="14">
        <v>1322845172</v>
      </c>
      <c r="B46" s="9" t="str">
        <f>VLOOKUP(A46,'[1]SM RSM TSM'!$H:$I,2,0)</f>
        <v>Md. Abdul Kuddus</v>
      </c>
      <c r="C46" s="10" t="s">
        <v>20</v>
      </c>
      <c r="D46" s="11" t="s">
        <v>18</v>
      </c>
      <c r="E46" s="15" t="s">
        <v>20</v>
      </c>
      <c r="F46" s="12" t="s">
        <v>64</v>
      </c>
    </row>
    <row r="47" spans="1:6" ht="15.5" x14ac:dyDescent="0.35">
      <c r="A47" s="14">
        <v>1324732688</v>
      </c>
      <c r="B47" s="9" t="str">
        <f>VLOOKUP(A47,'[1]SM RSM TSM'!$H:$I,2,0)</f>
        <v>Ibrahim Khalil</v>
      </c>
      <c r="C47" s="10" t="s">
        <v>20</v>
      </c>
      <c r="D47" s="11" t="s">
        <v>18</v>
      </c>
      <c r="E47" s="15" t="s">
        <v>20</v>
      </c>
      <c r="F47" s="12" t="s">
        <v>65</v>
      </c>
    </row>
    <row r="48" spans="1:6" ht="15.5" x14ac:dyDescent="0.35">
      <c r="A48" s="14">
        <v>1322845166</v>
      </c>
      <c r="B48" s="9" t="str">
        <f>VLOOKUP(A48,'[1]SM RSM TSM'!$H:$I,2,0)</f>
        <v>Md. Mahmudul Hasan Chowdhury</v>
      </c>
      <c r="C48" s="10" t="s">
        <v>20</v>
      </c>
      <c r="D48" s="11" t="s">
        <v>18</v>
      </c>
      <c r="E48" s="15" t="s">
        <v>20</v>
      </c>
      <c r="F48" s="12" t="s">
        <v>67</v>
      </c>
    </row>
    <row r="49" spans="1:6" ht="15.5" x14ac:dyDescent="0.35">
      <c r="A49" s="16">
        <v>1322845164</v>
      </c>
      <c r="B49" s="9" t="str">
        <f>VLOOKUP(A49,'[1]SM RSM TSM'!$H:$I,2,0)</f>
        <v>Md. Abdun Nur</v>
      </c>
      <c r="C49" s="10" t="s">
        <v>20</v>
      </c>
      <c r="D49" s="11" t="s">
        <v>18</v>
      </c>
      <c r="E49" s="15" t="s">
        <v>20</v>
      </c>
      <c r="F49" s="12" t="s">
        <v>68</v>
      </c>
    </row>
    <row r="50" spans="1:6" ht="15.5" x14ac:dyDescent="0.35">
      <c r="A50" s="14">
        <v>1701216134</v>
      </c>
      <c r="B50" s="9" t="str">
        <f>VLOOKUP(A50,'[1]SM RSM TSM'!$H:$I,2,0)</f>
        <v>Md. Yeasin</v>
      </c>
      <c r="C50" s="10" t="s">
        <v>20</v>
      </c>
      <c r="D50" s="11" t="s">
        <v>18</v>
      </c>
      <c r="E50" s="15" t="s">
        <v>20</v>
      </c>
      <c r="F50" s="32" t="s">
        <v>69</v>
      </c>
    </row>
    <row r="51" spans="1:6" s="5" customFormat="1" ht="15.5" x14ac:dyDescent="0.35">
      <c r="A51" s="14">
        <v>1701216039</v>
      </c>
      <c r="B51" s="9" t="str">
        <f>VLOOKUP(A51,'[1]SM RSM TSM'!$H:$I,2,0)</f>
        <v>Shubha Shaha</v>
      </c>
      <c r="C51" s="10" t="s">
        <v>20</v>
      </c>
      <c r="D51" s="11" t="s">
        <v>18</v>
      </c>
      <c r="E51" s="15" t="s">
        <v>20</v>
      </c>
      <c r="F51" s="12" t="s">
        <v>71</v>
      </c>
    </row>
    <row r="52" spans="1:6" ht="16" thickBot="1" x14ac:dyDescent="0.4">
      <c r="A52" s="33">
        <v>1335197835</v>
      </c>
      <c r="B52" s="9" t="str">
        <f>VLOOKUP(A52,'[1]SM RSM TSM'!$H:$I,2,0)</f>
        <v>Md. Saifullah</v>
      </c>
      <c r="C52" s="30" t="s">
        <v>20</v>
      </c>
      <c r="D52" s="35" t="s">
        <v>18</v>
      </c>
      <c r="E52" s="31" t="s">
        <v>20</v>
      </c>
      <c r="F52" t="s">
        <v>72</v>
      </c>
    </row>
    <row r="53" spans="1:6" ht="16" thickBot="1" x14ac:dyDescent="0.4">
      <c r="A53" s="33">
        <v>1324732687</v>
      </c>
      <c r="B53" s="9" t="str">
        <f>VLOOKUP(A53,'[1]SM RSM TSM'!$H:$I,2,0)</f>
        <v>Md. Masud Rana</v>
      </c>
      <c r="C53" s="30" t="s">
        <v>20</v>
      </c>
      <c r="D53" s="35" t="s">
        <v>18</v>
      </c>
      <c r="E53" s="31" t="s">
        <v>20</v>
      </c>
      <c r="F53" t="s">
        <v>73</v>
      </c>
    </row>
    <row r="54" spans="1:6" ht="16" thickBot="1" x14ac:dyDescent="0.4">
      <c r="A54" s="33">
        <v>1704124000</v>
      </c>
      <c r="B54" s="9" t="str">
        <f>VLOOKUP(A54,'[1]SM RSM TSM'!$H:$I,2,0)</f>
        <v>Md.Nuruzzaman</v>
      </c>
      <c r="C54" s="30" t="s">
        <v>20</v>
      </c>
      <c r="D54" s="35" t="s">
        <v>18</v>
      </c>
      <c r="E54" s="31" t="s">
        <v>20</v>
      </c>
      <c r="F54" t="s">
        <v>74</v>
      </c>
    </row>
    <row r="55" spans="1:6" ht="16" thickBot="1" x14ac:dyDescent="0.4">
      <c r="A55" s="34">
        <v>1313762582</v>
      </c>
      <c r="B55" s="9" t="str">
        <f>VLOOKUP(A55,'[1]SM RSM TSM'!$H:$I,2,0)</f>
        <v>Abu Musa</v>
      </c>
      <c r="C55" s="30" t="s">
        <v>20</v>
      </c>
      <c r="D55" s="35" t="s">
        <v>18</v>
      </c>
      <c r="E55" s="31" t="s">
        <v>20</v>
      </c>
      <c r="F55" t="s">
        <v>75</v>
      </c>
    </row>
    <row r="56" spans="1:6" ht="15.5" x14ac:dyDescent="0.35">
      <c r="A56" s="35">
        <v>1701216092</v>
      </c>
      <c r="B56" t="s">
        <v>132</v>
      </c>
      <c r="C56" s="30" t="s">
        <v>20</v>
      </c>
      <c r="D56" s="35" t="s">
        <v>18</v>
      </c>
      <c r="E56" s="31" t="s">
        <v>20</v>
      </c>
      <c r="F56" t="s">
        <v>131</v>
      </c>
    </row>
  </sheetData>
  <autoFilter ref="A1:F51" xr:uid="{A49265FB-BF05-44DC-88B8-6034386CF04A}">
    <sortState xmlns:xlrd2="http://schemas.microsoft.com/office/spreadsheetml/2017/richdata2" ref="A2:F55">
      <sortCondition ref="D1:D51"/>
    </sortState>
  </autoFilter>
  <conditionalFormatting sqref="A6">
    <cfRule type="duplicateValues" dxfId="60" priority="34"/>
    <cfRule type="duplicateValues" dxfId="59" priority="35"/>
    <cfRule type="duplicateValues" dxfId="58" priority="36"/>
    <cfRule type="duplicateValues" dxfId="57" priority="37"/>
  </conditionalFormatting>
  <conditionalFormatting sqref="A8">
    <cfRule type="duplicateValues" dxfId="56" priority="45"/>
    <cfRule type="duplicateValues" dxfId="55" priority="46"/>
    <cfRule type="duplicateValues" dxfId="54" priority="47"/>
  </conditionalFormatting>
  <conditionalFormatting sqref="A9">
    <cfRule type="duplicateValues" dxfId="53" priority="81"/>
    <cfRule type="duplicateValues" dxfId="52" priority="82"/>
    <cfRule type="duplicateValues" dxfId="51" priority="83"/>
  </conditionalFormatting>
  <conditionalFormatting sqref="A13">
    <cfRule type="duplicateValues" dxfId="50" priority="42"/>
    <cfRule type="duplicateValues" dxfId="49" priority="43"/>
    <cfRule type="duplicateValues" dxfId="48" priority="44"/>
  </conditionalFormatting>
  <conditionalFormatting sqref="A14">
    <cfRule type="duplicateValues" dxfId="47" priority="78"/>
    <cfRule type="duplicateValues" dxfId="46" priority="79"/>
    <cfRule type="duplicateValues" dxfId="45" priority="80"/>
  </conditionalFormatting>
  <conditionalFormatting sqref="A16">
    <cfRule type="duplicateValues" dxfId="44" priority="84"/>
    <cfRule type="duplicateValues" dxfId="43" priority="85"/>
    <cfRule type="duplicateValues" dxfId="42" priority="86"/>
    <cfRule type="duplicateValues" dxfId="41" priority="87"/>
  </conditionalFormatting>
  <conditionalFormatting sqref="A24">
    <cfRule type="duplicateValues" dxfId="40" priority="69"/>
    <cfRule type="duplicateValues" dxfId="39" priority="70"/>
    <cfRule type="duplicateValues" dxfId="38" priority="71"/>
  </conditionalFormatting>
  <conditionalFormatting sqref="A26">
    <cfRule type="duplicateValues" dxfId="37" priority="88"/>
  </conditionalFormatting>
  <conditionalFormatting sqref="A30">
    <cfRule type="duplicateValues" dxfId="36" priority="66"/>
    <cfRule type="duplicateValues" dxfId="35" priority="67"/>
    <cfRule type="duplicateValues" dxfId="34" priority="68"/>
  </conditionalFormatting>
  <conditionalFormatting sqref="A33">
    <cfRule type="duplicateValues" dxfId="33" priority="63"/>
    <cfRule type="duplicateValues" dxfId="32" priority="64"/>
    <cfRule type="duplicateValues" dxfId="31" priority="65"/>
  </conditionalFormatting>
  <conditionalFormatting sqref="A37">
    <cfRule type="duplicateValues" dxfId="30" priority="57"/>
    <cfRule type="duplicateValues" dxfId="29" priority="58"/>
    <cfRule type="duplicateValues" dxfId="28" priority="59"/>
  </conditionalFormatting>
  <conditionalFormatting sqref="A41">
    <cfRule type="duplicateValues" dxfId="27" priority="54"/>
    <cfRule type="duplicateValues" dxfId="26" priority="55"/>
    <cfRule type="duplicateValues" dxfId="25" priority="56"/>
  </conditionalFormatting>
  <conditionalFormatting sqref="A45">
    <cfRule type="duplicateValues" dxfId="24" priority="51"/>
    <cfRule type="duplicateValues" dxfId="23" priority="52"/>
    <cfRule type="duplicateValues" dxfId="22" priority="53"/>
  </conditionalFormatting>
  <conditionalFormatting sqref="A46:A50 A38:A40 A31:A32 A10:A12 A25:A29 A34:A36 A7 A17:A23 A42:A44 A1:B1 A15 A2:A5 B2:B55">
    <cfRule type="duplicateValues" dxfId="21" priority="95"/>
    <cfRule type="duplicateValues" dxfId="20" priority="96"/>
    <cfRule type="duplicateValues" dxfId="19" priority="97"/>
  </conditionalFormatting>
  <conditionalFormatting sqref="A51">
    <cfRule type="duplicateValues" dxfId="18" priority="92"/>
    <cfRule type="duplicateValues" dxfId="17" priority="93"/>
    <cfRule type="duplicateValues" dxfId="16" priority="94"/>
  </conditionalFormatting>
  <conditionalFormatting sqref="A52">
    <cfRule type="duplicateValues" dxfId="15" priority="16"/>
    <cfRule type="duplicateValues" dxfId="14" priority="17"/>
    <cfRule type="duplicateValues" dxfId="13" priority="18"/>
  </conditionalFormatting>
  <conditionalFormatting sqref="A52:A55">
    <cfRule type="duplicateValues" dxfId="12" priority="15"/>
  </conditionalFormatting>
  <conditionalFormatting sqref="A53">
    <cfRule type="duplicateValues" dxfId="11" priority="12"/>
    <cfRule type="duplicateValues" dxfId="10" priority="13"/>
    <cfRule type="duplicateValues" dxfId="9" priority="14"/>
  </conditionalFormatting>
  <conditionalFormatting sqref="A54">
    <cfRule type="duplicateValues" dxfId="8" priority="9"/>
    <cfRule type="duplicateValues" dxfId="7" priority="10"/>
    <cfRule type="duplicateValues" dxfId="6" priority="11"/>
  </conditionalFormatting>
  <conditionalFormatting sqref="A55">
    <cfRule type="duplicateValues" dxfId="5" priority="6"/>
    <cfRule type="duplicateValues" dxfId="4" priority="7"/>
    <cfRule type="duplicateValues" dxfId="3" priority="8"/>
  </conditionalFormatting>
  <conditionalFormatting sqref="A56:B1048576 A7:A15 A1:B1 A17:A51 A2:A5 B2:B55">
    <cfRule type="duplicateValues" dxfId="2" priority="41"/>
  </conditionalFormatting>
  <conditionalFormatting sqref="D9">
    <cfRule type="duplicateValues" dxfId="1" priority="19"/>
  </conditionalFormatting>
  <conditionalFormatting sqref="D51 D45 D41 D37 D33 D30 D24 D14">
    <cfRule type="duplicateValues" dxfId="0" priority="20"/>
  </conditionalFormatting>
  <hyperlinks>
    <hyperlink ref="F50" r:id="rId1" xr:uid="{51165574-B269-419E-8A41-086A645437C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19081-DFF8-43B5-BB6C-05AB653AF81B}">
  <dimension ref="A1:O5"/>
  <sheetViews>
    <sheetView topLeftCell="C1" workbookViewId="0">
      <selection activeCell="E10" sqref="E10"/>
    </sheetView>
  </sheetViews>
  <sheetFormatPr defaultRowHeight="14.5" x14ac:dyDescent="0.35"/>
  <cols>
    <col min="1" max="1" width="14.6328125" customWidth="1"/>
    <col min="2" max="2" width="13.6328125" customWidth="1"/>
    <col min="3" max="3" width="11.36328125" customWidth="1"/>
    <col min="4" max="4" width="12.90625" customWidth="1"/>
    <col min="5" max="5" width="11.81640625" customWidth="1"/>
    <col min="6" max="6" width="13.453125" customWidth="1"/>
    <col min="7" max="8" width="11.6328125" customWidth="1"/>
    <col min="9" max="14" width="10" customWidth="1"/>
    <col min="15" max="15" width="33.36328125" customWidth="1"/>
  </cols>
  <sheetData>
    <row r="1" spans="1:15" x14ac:dyDescent="0.35">
      <c r="A1" t="s">
        <v>23</v>
      </c>
      <c r="B1" t="s">
        <v>0</v>
      </c>
      <c r="C1" t="s">
        <v>16</v>
      </c>
      <c r="D1" t="s">
        <v>17</v>
      </c>
      <c r="E1" t="s">
        <v>1</v>
      </c>
      <c r="F1" t="s">
        <v>2</v>
      </c>
      <c r="G1" t="s">
        <v>138</v>
      </c>
      <c r="H1" t="s">
        <v>139</v>
      </c>
      <c r="I1" t="s">
        <v>140</v>
      </c>
      <c r="J1" t="s">
        <v>141</v>
      </c>
      <c r="K1" t="s">
        <v>143</v>
      </c>
      <c r="L1" t="s">
        <v>144</v>
      </c>
      <c r="M1" t="s">
        <v>156</v>
      </c>
      <c r="N1" t="s">
        <v>157</v>
      </c>
      <c r="O1" t="s">
        <v>145</v>
      </c>
    </row>
    <row r="2" spans="1:15" x14ac:dyDescent="0.35">
      <c r="A2" t="s">
        <v>111</v>
      </c>
      <c r="B2">
        <v>1324732687</v>
      </c>
      <c r="C2" t="s">
        <v>18</v>
      </c>
      <c r="D2" t="s">
        <v>20</v>
      </c>
      <c r="E2" s="29">
        <v>46204</v>
      </c>
      <c r="F2" t="s">
        <v>3</v>
      </c>
      <c r="G2" s="28">
        <v>0.61736111111111114</v>
      </c>
      <c r="H2" s="28">
        <v>0.99930555555555556</v>
      </c>
      <c r="I2">
        <v>9</v>
      </c>
      <c r="J2" t="s">
        <v>146</v>
      </c>
      <c r="K2" t="s">
        <v>147</v>
      </c>
      <c r="L2" t="s">
        <v>148</v>
      </c>
      <c r="M2" t="s">
        <v>158</v>
      </c>
      <c r="N2" t="s">
        <v>159</v>
      </c>
      <c r="O2" t="s">
        <v>149</v>
      </c>
    </row>
    <row r="3" spans="1:15" x14ac:dyDescent="0.35">
      <c r="A3" t="s">
        <v>125</v>
      </c>
      <c r="B3">
        <v>1704123809</v>
      </c>
      <c r="C3" t="s">
        <v>18</v>
      </c>
      <c r="D3" t="s">
        <v>21</v>
      </c>
      <c r="E3" s="29">
        <v>46205</v>
      </c>
      <c r="F3" t="s">
        <v>4</v>
      </c>
      <c r="G3" s="28">
        <v>0.76527777777777772</v>
      </c>
      <c r="H3" s="28">
        <v>0.99444444444444446</v>
      </c>
      <c r="I3">
        <v>6</v>
      </c>
      <c r="J3" t="s">
        <v>146</v>
      </c>
      <c r="K3" t="s">
        <v>147</v>
      </c>
      <c r="L3" t="s">
        <v>150</v>
      </c>
      <c r="M3" t="s">
        <v>160</v>
      </c>
      <c r="N3" t="s">
        <v>161</v>
      </c>
      <c r="O3" t="s">
        <v>151</v>
      </c>
    </row>
    <row r="4" spans="1:15" x14ac:dyDescent="0.35">
      <c r="A4" t="s">
        <v>106</v>
      </c>
      <c r="B4">
        <v>1324725648</v>
      </c>
      <c r="C4" t="s">
        <v>18</v>
      </c>
      <c r="D4" t="s">
        <v>21</v>
      </c>
      <c r="E4" s="29">
        <v>46208</v>
      </c>
      <c r="F4" t="s">
        <v>6</v>
      </c>
      <c r="G4" s="28">
        <v>0.7680555555555556</v>
      </c>
      <c r="H4" s="28">
        <v>0.99027777777777781</v>
      </c>
      <c r="I4">
        <v>3</v>
      </c>
      <c r="J4" t="s">
        <v>146</v>
      </c>
      <c r="K4" t="s">
        <v>147</v>
      </c>
      <c r="L4" t="s">
        <v>152</v>
      </c>
      <c r="M4" t="s">
        <v>162</v>
      </c>
      <c r="N4" t="s">
        <v>163</v>
      </c>
      <c r="O4" t="s">
        <v>153</v>
      </c>
    </row>
    <row r="5" spans="1:15" x14ac:dyDescent="0.35">
      <c r="A5" t="s">
        <v>116</v>
      </c>
      <c r="B5">
        <v>1700702245</v>
      </c>
      <c r="C5" t="s">
        <v>18</v>
      </c>
      <c r="D5" t="s">
        <v>21</v>
      </c>
      <c r="E5" s="29">
        <v>46207</v>
      </c>
      <c r="F5" t="s">
        <v>5</v>
      </c>
      <c r="G5" s="28">
        <v>0.76666666666666672</v>
      </c>
      <c r="H5" s="28">
        <v>0.92638888888888893</v>
      </c>
      <c r="I5">
        <v>4</v>
      </c>
      <c r="J5" t="s">
        <v>146</v>
      </c>
      <c r="K5" t="s">
        <v>147</v>
      </c>
      <c r="L5" t="s">
        <v>154</v>
      </c>
      <c r="M5" t="s">
        <v>164</v>
      </c>
      <c r="N5" t="s">
        <v>165</v>
      </c>
      <c r="O5" t="s">
        <v>155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2423-E73B-41DC-ADFA-DC7D7D192AAD}">
  <dimension ref="A1:P4831"/>
  <sheetViews>
    <sheetView workbookViewId="0"/>
  </sheetViews>
  <sheetFormatPr defaultRowHeight="14.5" x14ac:dyDescent="0.35"/>
  <cols>
    <col min="1" max="1" width="23.36328125" customWidth="1"/>
    <col min="2" max="2" width="16.81640625" bestFit="1" customWidth="1"/>
    <col min="3" max="3" width="8.90625" customWidth="1"/>
    <col min="4" max="4" width="8.36328125" bestFit="1" customWidth="1"/>
    <col min="5" max="5" width="8.453125" style="27" bestFit="1" customWidth="1"/>
    <col min="6" max="6" width="10.6328125" bestFit="1" customWidth="1"/>
    <col min="7" max="7" width="11.7265625" style="28" bestFit="1" customWidth="1"/>
    <col min="8" max="8" width="11.26953125" style="28" bestFit="1" customWidth="1"/>
    <col min="9" max="9" width="18.6328125" bestFit="1" customWidth="1"/>
    <col min="10" max="10" width="10.81640625" bestFit="1" customWidth="1"/>
    <col min="11" max="11" width="9.26953125" bestFit="1" customWidth="1"/>
    <col min="12" max="12" width="36.7265625" bestFit="1" customWidth="1"/>
    <col min="13" max="13" width="79" bestFit="1" customWidth="1"/>
    <col min="14" max="14" width="9.36328125" bestFit="1" customWidth="1"/>
    <col min="15" max="15" width="10.36328125" bestFit="1" customWidth="1"/>
    <col min="16" max="16" width="27.81640625" bestFit="1" customWidth="1"/>
  </cols>
  <sheetData>
    <row r="1" spans="1:16" x14ac:dyDescent="0.35">
      <c r="A1" t="s">
        <v>23</v>
      </c>
      <c r="B1" t="s">
        <v>0</v>
      </c>
      <c r="C1" t="s">
        <v>16</v>
      </c>
      <c r="D1" t="s">
        <v>17</v>
      </c>
      <c r="E1" t="s">
        <v>1</v>
      </c>
      <c r="F1" t="s">
        <v>2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156</v>
      </c>
      <c r="O1" t="s">
        <v>157</v>
      </c>
      <c r="P1" t="s">
        <v>145</v>
      </c>
    </row>
    <row r="2" spans="1:16" x14ac:dyDescent="0.35">
      <c r="A2" t="s">
        <v>93</v>
      </c>
      <c r="B2">
        <v>1322845164</v>
      </c>
      <c r="C2" t="s">
        <v>18</v>
      </c>
      <c r="D2" t="s">
        <v>20</v>
      </c>
      <c r="E2" s="29">
        <v>46204</v>
      </c>
      <c r="F2" t="s">
        <v>3</v>
      </c>
      <c r="G2" s="28">
        <v>0.37986111111111109</v>
      </c>
      <c r="H2" s="28">
        <v>0.40069444444444446</v>
      </c>
      <c r="I2">
        <v>1</v>
      </c>
      <c r="J2" t="s">
        <v>146</v>
      </c>
      <c r="K2">
        <v>2</v>
      </c>
      <c r="L2" t="s">
        <v>147</v>
      </c>
      <c r="M2" t="s">
        <v>166</v>
      </c>
      <c r="N2" t="s">
        <v>167</v>
      </c>
      <c r="O2" t="s">
        <v>168</v>
      </c>
      <c r="P2" t="s">
        <v>169</v>
      </c>
    </row>
    <row r="3" spans="1:16" x14ac:dyDescent="0.35">
      <c r="A3" t="s">
        <v>93</v>
      </c>
      <c r="B3">
        <v>1322845164</v>
      </c>
      <c r="C3" t="s">
        <v>18</v>
      </c>
      <c r="D3" t="s">
        <v>20</v>
      </c>
      <c r="E3" s="29">
        <v>46204</v>
      </c>
      <c r="F3" t="s">
        <v>3</v>
      </c>
      <c r="G3" s="28">
        <v>0.40763888888888888</v>
      </c>
      <c r="H3" s="28">
        <v>0.41458333333333336</v>
      </c>
      <c r="I3">
        <v>0</v>
      </c>
      <c r="J3" t="s">
        <v>146</v>
      </c>
      <c r="K3">
        <v>1</v>
      </c>
      <c r="L3" t="s">
        <v>147</v>
      </c>
      <c r="M3" t="s">
        <v>170</v>
      </c>
      <c r="N3" t="s">
        <v>171</v>
      </c>
      <c r="O3" t="s">
        <v>172</v>
      </c>
      <c r="P3" t="s">
        <v>173</v>
      </c>
    </row>
    <row r="4" spans="1:16" x14ac:dyDescent="0.35">
      <c r="A4" t="s">
        <v>93</v>
      </c>
      <c r="B4">
        <v>1322845164</v>
      </c>
      <c r="C4" t="s">
        <v>18</v>
      </c>
      <c r="D4" t="s">
        <v>20</v>
      </c>
      <c r="E4" s="29">
        <v>46204</v>
      </c>
      <c r="F4" t="s">
        <v>3</v>
      </c>
      <c r="G4" s="28">
        <v>0.42152777777777778</v>
      </c>
      <c r="H4" s="28">
        <v>0.42152777777777778</v>
      </c>
      <c r="I4">
        <v>0</v>
      </c>
      <c r="J4" t="s">
        <v>174</v>
      </c>
      <c r="K4">
        <v>0</v>
      </c>
      <c r="L4" t="s">
        <v>175</v>
      </c>
      <c r="M4" t="s">
        <v>166</v>
      </c>
      <c r="N4" t="s">
        <v>167</v>
      </c>
      <c r="O4" t="s">
        <v>168</v>
      </c>
      <c r="P4" t="s">
        <v>169</v>
      </c>
    </row>
    <row r="5" spans="1:16" x14ac:dyDescent="0.35">
      <c r="A5" t="s">
        <v>93</v>
      </c>
      <c r="B5">
        <v>1322845164</v>
      </c>
      <c r="C5" t="s">
        <v>18</v>
      </c>
      <c r="D5" t="s">
        <v>20</v>
      </c>
      <c r="E5" s="29">
        <v>46204</v>
      </c>
      <c r="F5" t="s">
        <v>3</v>
      </c>
      <c r="G5" s="28">
        <v>0.4284722222222222</v>
      </c>
      <c r="H5" s="28">
        <v>0.4284722222222222</v>
      </c>
      <c r="I5">
        <v>0</v>
      </c>
      <c r="J5" t="s">
        <v>174</v>
      </c>
      <c r="K5">
        <v>0</v>
      </c>
      <c r="L5" t="s">
        <v>175</v>
      </c>
      <c r="M5" t="s">
        <v>170</v>
      </c>
      <c r="N5" t="s">
        <v>171</v>
      </c>
      <c r="O5" t="s">
        <v>172</v>
      </c>
      <c r="P5" t="s">
        <v>173</v>
      </c>
    </row>
    <row r="6" spans="1:16" x14ac:dyDescent="0.35">
      <c r="A6" t="s">
        <v>93</v>
      </c>
      <c r="B6">
        <v>1322845164</v>
      </c>
      <c r="C6" t="s">
        <v>18</v>
      </c>
      <c r="D6" t="s">
        <v>20</v>
      </c>
      <c r="E6" s="29">
        <v>46204</v>
      </c>
      <c r="F6" t="s">
        <v>3</v>
      </c>
      <c r="G6" s="28">
        <v>0.43541666666666667</v>
      </c>
      <c r="H6" s="28">
        <v>0.50486111111111109</v>
      </c>
      <c r="I6">
        <v>2</v>
      </c>
      <c r="J6" t="s">
        <v>146</v>
      </c>
      <c r="K6">
        <v>5</v>
      </c>
      <c r="L6" t="s">
        <v>147</v>
      </c>
      <c r="M6" t="s">
        <v>166</v>
      </c>
      <c r="N6" t="s">
        <v>167</v>
      </c>
      <c r="O6" t="s">
        <v>168</v>
      </c>
      <c r="P6" t="s">
        <v>169</v>
      </c>
    </row>
    <row r="7" spans="1:16" x14ac:dyDescent="0.35">
      <c r="A7" t="s">
        <v>93</v>
      </c>
      <c r="B7">
        <v>1322845164</v>
      </c>
      <c r="C7" t="s">
        <v>18</v>
      </c>
      <c r="D7" t="s">
        <v>20</v>
      </c>
      <c r="E7" s="29">
        <v>46204</v>
      </c>
      <c r="F7" t="s">
        <v>3</v>
      </c>
      <c r="G7" s="28">
        <v>0.51180555555555551</v>
      </c>
      <c r="H7" s="28">
        <v>0.51875000000000004</v>
      </c>
      <c r="I7">
        <v>0</v>
      </c>
      <c r="J7" t="s">
        <v>146</v>
      </c>
      <c r="K7">
        <v>1</v>
      </c>
      <c r="L7" t="s">
        <v>147</v>
      </c>
      <c r="M7" t="s">
        <v>170</v>
      </c>
      <c r="N7" t="s">
        <v>171</v>
      </c>
      <c r="O7" t="s">
        <v>172</v>
      </c>
      <c r="P7" t="s">
        <v>173</v>
      </c>
    </row>
    <row r="8" spans="1:16" x14ac:dyDescent="0.35">
      <c r="A8" t="s">
        <v>93</v>
      </c>
      <c r="B8">
        <v>1322845164</v>
      </c>
      <c r="C8" t="s">
        <v>18</v>
      </c>
      <c r="D8" t="s">
        <v>20</v>
      </c>
      <c r="E8" s="29">
        <v>46204</v>
      </c>
      <c r="F8" t="s">
        <v>3</v>
      </c>
      <c r="G8" s="28">
        <v>0.52569444444444446</v>
      </c>
      <c r="H8" s="28">
        <v>0.57430555555555551</v>
      </c>
      <c r="I8">
        <v>1</v>
      </c>
      <c r="J8" t="s">
        <v>146</v>
      </c>
      <c r="K8">
        <v>4</v>
      </c>
      <c r="L8" t="s">
        <v>147</v>
      </c>
      <c r="M8" t="s">
        <v>166</v>
      </c>
      <c r="N8" t="s">
        <v>167</v>
      </c>
      <c r="O8" t="s">
        <v>168</v>
      </c>
      <c r="P8" t="s">
        <v>169</v>
      </c>
    </row>
    <row r="9" spans="1:16" x14ac:dyDescent="0.35">
      <c r="A9" t="s">
        <v>93</v>
      </c>
      <c r="B9">
        <v>1322845164</v>
      </c>
      <c r="C9" t="s">
        <v>18</v>
      </c>
      <c r="D9" t="s">
        <v>20</v>
      </c>
      <c r="E9" s="29">
        <v>46204</v>
      </c>
      <c r="F9" t="s">
        <v>3</v>
      </c>
      <c r="G9" s="28">
        <v>0.58125000000000004</v>
      </c>
      <c r="H9" s="28">
        <v>0.58125000000000004</v>
      </c>
      <c r="I9">
        <v>0</v>
      </c>
      <c r="J9" t="s">
        <v>174</v>
      </c>
      <c r="K9">
        <v>0</v>
      </c>
      <c r="L9" t="s">
        <v>176</v>
      </c>
      <c r="M9" t="s">
        <v>170</v>
      </c>
      <c r="N9" t="s">
        <v>171</v>
      </c>
      <c r="O9" t="s">
        <v>172</v>
      </c>
      <c r="P9" t="s">
        <v>173</v>
      </c>
    </row>
    <row r="10" spans="1:16" x14ac:dyDescent="0.35">
      <c r="A10" t="s">
        <v>93</v>
      </c>
      <c r="B10">
        <v>1322845164</v>
      </c>
      <c r="C10" t="s">
        <v>18</v>
      </c>
      <c r="D10" t="s">
        <v>20</v>
      </c>
      <c r="E10" s="29">
        <v>46204</v>
      </c>
      <c r="F10" t="s">
        <v>3</v>
      </c>
      <c r="G10" s="28">
        <v>0.58819444444444446</v>
      </c>
      <c r="H10" s="28">
        <v>0.58819444444444446</v>
      </c>
      <c r="I10">
        <v>0</v>
      </c>
      <c r="J10" t="s">
        <v>174</v>
      </c>
      <c r="K10">
        <v>0</v>
      </c>
      <c r="L10" t="s">
        <v>177</v>
      </c>
      <c r="M10" t="s">
        <v>178</v>
      </c>
      <c r="N10" t="s">
        <v>179</v>
      </c>
      <c r="O10" t="s">
        <v>180</v>
      </c>
      <c r="P10" t="s">
        <v>181</v>
      </c>
    </row>
    <row r="11" spans="1:16" x14ac:dyDescent="0.35">
      <c r="A11" t="s">
        <v>93</v>
      </c>
      <c r="B11">
        <v>1322845164</v>
      </c>
      <c r="C11" t="s">
        <v>18</v>
      </c>
      <c r="D11" t="s">
        <v>20</v>
      </c>
      <c r="E11" s="29">
        <v>46204</v>
      </c>
      <c r="F11" t="s">
        <v>3</v>
      </c>
      <c r="G11" s="28">
        <v>0.59513888888888888</v>
      </c>
      <c r="H11" s="28">
        <v>0.61597222222222225</v>
      </c>
      <c r="I11">
        <v>1</v>
      </c>
      <c r="J11" t="s">
        <v>146</v>
      </c>
      <c r="K11">
        <v>2</v>
      </c>
      <c r="L11" t="s">
        <v>147</v>
      </c>
      <c r="M11" t="s">
        <v>182</v>
      </c>
      <c r="N11" t="s">
        <v>183</v>
      </c>
      <c r="O11" t="s">
        <v>184</v>
      </c>
      <c r="P11" t="s">
        <v>185</v>
      </c>
    </row>
    <row r="12" spans="1:16" x14ac:dyDescent="0.35">
      <c r="A12" t="s">
        <v>93</v>
      </c>
      <c r="B12">
        <v>1322845164</v>
      </c>
      <c r="C12" t="s">
        <v>18</v>
      </c>
      <c r="D12" t="s">
        <v>20</v>
      </c>
      <c r="E12" s="29">
        <v>46204</v>
      </c>
      <c r="F12" t="s">
        <v>3</v>
      </c>
      <c r="G12" s="28">
        <v>0.62291666666666667</v>
      </c>
      <c r="H12" s="28">
        <v>0.62291666666666667</v>
      </c>
      <c r="I12">
        <v>0</v>
      </c>
      <c r="J12" t="s">
        <v>174</v>
      </c>
      <c r="K12">
        <v>0</v>
      </c>
      <c r="L12" t="s">
        <v>186</v>
      </c>
      <c r="M12" t="s">
        <v>187</v>
      </c>
      <c r="N12" t="s">
        <v>188</v>
      </c>
      <c r="O12" t="s">
        <v>189</v>
      </c>
      <c r="P12" t="s">
        <v>190</v>
      </c>
    </row>
    <row r="13" spans="1:16" x14ac:dyDescent="0.35">
      <c r="A13" t="s">
        <v>93</v>
      </c>
      <c r="B13">
        <v>1322845164</v>
      </c>
      <c r="C13" t="s">
        <v>18</v>
      </c>
      <c r="D13" t="s">
        <v>20</v>
      </c>
      <c r="E13" s="29">
        <v>46204</v>
      </c>
      <c r="F13" t="s">
        <v>3</v>
      </c>
      <c r="G13" s="28">
        <v>0.62986111111111109</v>
      </c>
      <c r="H13" s="28">
        <v>0.6645833333333333</v>
      </c>
      <c r="I13">
        <v>1</v>
      </c>
      <c r="J13" t="s">
        <v>146</v>
      </c>
      <c r="K13">
        <v>2</v>
      </c>
      <c r="L13" t="s">
        <v>147</v>
      </c>
      <c r="M13" t="s">
        <v>191</v>
      </c>
      <c r="N13" t="s">
        <v>192</v>
      </c>
      <c r="O13" t="s">
        <v>193</v>
      </c>
      <c r="P13" t="s">
        <v>194</v>
      </c>
    </row>
    <row r="14" spans="1:16" x14ac:dyDescent="0.35">
      <c r="A14" t="s">
        <v>93</v>
      </c>
      <c r="B14">
        <v>1322845164</v>
      </c>
      <c r="C14" t="s">
        <v>18</v>
      </c>
      <c r="D14" t="s">
        <v>20</v>
      </c>
      <c r="E14" s="29">
        <v>46204</v>
      </c>
      <c r="F14" t="s">
        <v>3</v>
      </c>
      <c r="G14" s="28">
        <v>0.67152777777777772</v>
      </c>
      <c r="H14" s="28">
        <v>0.7270833333333333</v>
      </c>
      <c r="I14">
        <v>1</v>
      </c>
      <c r="J14" t="s">
        <v>146</v>
      </c>
      <c r="K14">
        <v>4</v>
      </c>
      <c r="L14" t="s">
        <v>147</v>
      </c>
      <c r="M14" t="s">
        <v>195</v>
      </c>
      <c r="N14" t="s">
        <v>196</v>
      </c>
      <c r="O14" t="s">
        <v>197</v>
      </c>
      <c r="P14" t="s">
        <v>198</v>
      </c>
    </row>
    <row r="15" spans="1:16" x14ac:dyDescent="0.35">
      <c r="A15" t="s">
        <v>93</v>
      </c>
      <c r="B15">
        <v>1322845164</v>
      </c>
      <c r="C15" t="s">
        <v>18</v>
      </c>
      <c r="D15" t="s">
        <v>20</v>
      </c>
      <c r="E15" s="29">
        <v>46204</v>
      </c>
      <c r="F15" t="s">
        <v>3</v>
      </c>
      <c r="G15" s="28">
        <v>0.73402777777777772</v>
      </c>
      <c r="H15" s="28">
        <v>0.83125000000000004</v>
      </c>
      <c r="I15">
        <v>2</v>
      </c>
      <c r="J15" t="s">
        <v>146</v>
      </c>
      <c r="K15">
        <v>7</v>
      </c>
      <c r="L15" t="s">
        <v>147</v>
      </c>
      <c r="M15" t="s">
        <v>199</v>
      </c>
      <c r="N15" t="s">
        <v>200</v>
      </c>
      <c r="O15" t="s">
        <v>201</v>
      </c>
      <c r="P15" t="s">
        <v>202</v>
      </c>
    </row>
    <row r="16" spans="1:16" x14ac:dyDescent="0.35">
      <c r="A16" t="s">
        <v>93</v>
      </c>
      <c r="B16">
        <v>1322845164</v>
      </c>
      <c r="C16" t="s">
        <v>18</v>
      </c>
      <c r="D16" t="s">
        <v>20</v>
      </c>
      <c r="E16" s="29">
        <v>46205</v>
      </c>
      <c r="F16" t="s">
        <v>4</v>
      </c>
      <c r="G16" s="28">
        <v>0.37986111111111109</v>
      </c>
      <c r="H16" s="28">
        <v>0.38680555555555557</v>
      </c>
      <c r="I16">
        <v>0</v>
      </c>
      <c r="J16" t="s">
        <v>146</v>
      </c>
      <c r="K16">
        <v>1</v>
      </c>
      <c r="L16" t="s">
        <v>147</v>
      </c>
      <c r="M16" t="s">
        <v>203</v>
      </c>
      <c r="N16" t="s">
        <v>204</v>
      </c>
      <c r="O16" t="s">
        <v>205</v>
      </c>
      <c r="P16" t="s">
        <v>206</v>
      </c>
    </row>
    <row r="17" spans="1:16" x14ac:dyDescent="0.35">
      <c r="A17" t="s">
        <v>93</v>
      </c>
      <c r="B17">
        <v>1322845164</v>
      </c>
      <c r="C17" t="s">
        <v>18</v>
      </c>
      <c r="D17" t="s">
        <v>20</v>
      </c>
      <c r="E17" s="29">
        <v>46205</v>
      </c>
      <c r="F17" t="s">
        <v>4</v>
      </c>
      <c r="G17" s="28">
        <v>0.39374999999999999</v>
      </c>
      <c r="H17" s="28">
        <v>0.39374999999999999</v>
      </c>
      <c r="I17">
        <v>0</v>
      </c>
      <c r="J17" t="s">
        <v>174</v>
      </c>
      <c r="K17">
        <v>0</v>
      </c>
      <c r="L17" t="s">
        <v>207</v>
      </c>
      <c r="M17" t="s">
        <v>208</v>
      </c>
      <c r="N17" t="s">
        <v>209</v>
      </c>
      <c r="O17" t="s">
        <v>210</v>
      </c>
      <c r="P17" t="s">
        <v>211</v>
      </c>
    </row>
    <row r="18" spans="1:16" x14ac:dyDescent="0.35">
      <c r="A18" t="s">
        <v>93</v>
      </c>
      <c r="B18">
        <v>1322845164</v>
      </c>
      <c r="C18" t="s">
        <v>18</v>
      </c>
      <c r="D18" t="s">
        <v>20</v>
      </c>
      <c r="E18" s="29">
        <v>46205</v>
      </c>
      <c r="F18" t="s">
        <v>4</v>
      </c>
      <c r="G18" s="28">
        <v>0.40069444444444446</v>
      </c>
      <c r="H18" s="28">
        <v>0.40069444444444446</v>
      </c>
      <c r="I18">
        <v>0</v>
      </c>
      <c r="J18" t="s">
        <v>174</v>
      </c>
      <c r="K18">
        <v>0</v>
      </c>
      <c r="L18" t="s">
        <v>212</v>
      </c>
      <c r="M18" t="s">
        <v>170</v>
      </c>
      <c r="N18" t="s">
        <v>171</v>
      </c>
      <c r="O18" t="s">
        <v>172</v>
      </c>
      <c r="P18" t="s">
        <v>173</v>
      </c>
    </row>
    <row r="19" spans="1:16" x14ac:dyDescent="0.35">
      <c r="A19" t="s">
        <v>93</v>
      </c>
      <c r="B19">
        <v>1322845164</v>
      </c>
      <c r="C19" t="s">
        <v>18</v>
      </c>
      <c r="D19" t="s">
        <v>20</v>
      </c>
      <c r="E19" s="29">
        <v>46205</v>
      </c>
      <c r="F19" t="s">
        <v>4</v>
      </c>
      <c r="G19" s="28">
        <v>0.40763888888888888</v>
      </c>
      <c r="H19" s="28">
        <v>0.40763888888888888</v>
      </c>
      <c r="I19">
        <v>0</v>
      </c>
      <c r="J19" t="s">
        <v>174</v>
      </c>
      <c r="K19">
        <v>0</v>
      </c>
      <c r="L19" t="s">
        <v>213</v>
      </c>
      <c r="M19" t="s">
        <v>214</v>
      </c>
      <c r="N19" t="s">
        <v>215</v>
      </c>
      <c r="O19" t="s">
        <v>216</v>
      </c>
      <c r="P19" t="s">
        <v>217</v>
      </c>
    </row>
    <row r="20" spans="1:16" x14ac:dyDescent="0.35">
      <c r="A20" t="s">
        <v>93</v>
      </c>
      <c r="B20">
        <v>1322845164</v>
      </c>
      <c r="C20" t="s">
        <v>18</v>
      </c>
      <c r="D20" t="s">
        <v>20</v>
      </c>
      <c r="E20" s="29">
        <v>46205</v>
      </c>
      <c r="F20" t="s">
        <v>4</v>
      </c>
      <c r="G20" s="28">
        <v>0.41458333333333336</v>
      </c>
      <c r="H20" s="28">
        <v>0.42152777777777778</v>
      </c>
      <c r="I20">
        <v>0</v>
      </c>
      <c r="J20" t="s">
        <v>146</v>
      </c>
      <c r="K20">
        <v>0</v>
      </c>
      <c r="L20" t="s">
        <v>147</v>
      </c>
      <c r="M20" t="s">
        <v>218</v>
      </c>
      <c r="N20" t="s">
        <v>219</v>
      </c>
      <c r="O20" t="s">
        <v>220</v>
      </c>
      <c r="P20" t="s">
        <v>221</v>
      </c>
    </row>
    <row r="21" spans="1:16" x14ac:dyDescent="0.35">
      <c r="A21" t="s">
        <v>93</v>
      </c>
      <c r="B21">
        <v>1322845164</v>
      </c>
      <c r="C21" t="s">
        <v>18</v>
      </c>
      <c r="D21" t="s">
        <v>20</v>
      </c>
      <c r="E21" s="29">
        <v>46205</v>
      </c>
      <c r="F21" t="s">
        <v>4</v>
      </c>
      <c r="G21" s="28">
        <v>0.4284722222222222</v>
      </c>
      <c r="H21" s="28">
        <v>0.4284722222222222</v>
      </c>
      <c r="I21">
        <v>0</v>
      </c>
      <c r="J21" t="s">
        <v>174</v>
      </c>
      <c r="K21">
        <v>0</v>
      </c>
      <c r="L21" t="s">
        <v>222</v>
      </c>
      <c r="M21" t="s">
        <v>223</v>
      </c>
      <c r="N21" t="s">
        <v>224</v>
      </c>
      <c r="O21" t="s">
        <v>225</v>
      </c>
      <c r="P21" t="s">
        <v>226</v>
      </c>
    </row>
    <row r="22" spans="1:16" x14ac:dyDescent="0.35">
      <c r="A22" t="s">
        <v>93</v>
      </c>
      <c r="B22">
        <v>1322845164</v>
      </c>
      <c r="C22" t="s">
        <v>18</v>
      </c>
      <c r="D22" t="s">
        <v>20</v>
      </c>
      <c r="E22" s="29">
        <v>46205</v>
      </c>
      <c r="F22" t="s">
        <v>4</v>
      </c>
      <c r="G22" s="28">
        <v>0.43541666666666667</v>
      </c>
      <c r="H22" s="28">
        <v>0.43541666666666667</v>
      </c>
      <c r="I22">
        <v>0</v>
      </c>
      <c r="J22" t="s">
        <v>174</v>
      </c>
      <c r="K22">
        <v>0</v>
      </c>
      <c r="L22" t="s">
        <v>222</v>
      </c>
      <c r="M22" t="s">
        <v>227</v>
      </c>
      <c r="N22" t="s">
        <v>228</v>
      </c>
      <c r="O22" t="s">
        <v>229</v>
      </c>
      <c r="P22" t="s">
        <v>230</v>
      </c>
    </row>
    <row r="23" spans="1:16" x14ac:dyDescent="0.35">
      <c r="A23" t="s">
        <v>93</v>
      </c>
      <c r="B23">
        <v>1322845164</v>
      </c>
      <c r="C23" t="s">
        <v>18</v>
      </c>
      <c r="D23" t="s">
        <v>20</v>
      </c>
      <c r="E23" s="29">
        <v>46205</v>
      </c>
      <c r="F23" t="s">
        <v>4</v>
      </c>
      <c r="G23" s="28">
        <v>0.44236111111111109</v>
      </c>
      <c r="H23" s="28">
        <v>0.44236111111111109</v>
      </c>
      <c r="I23">
        <v>0</v>
      </c>
      <c r="J23" t="s">
        <v>174</v>
      </c>
      <c r="K23">
        <v>0</v>
      </c>
      <c r="L23" t="s">
        <v>222</v>
      </c>
      <c r="M23" t="s">
        <v>223</v>
      </c>
      <c r="N23" t="s">
        <v>224</v>
      </c>
      <c r="O23" t="s">
        <v>225</v>
      </c>
      <c r="P23" t="s">
        <v>226</v>
      </c>
    </row>
    <row r="24" spans="1:16" x14ac:dyDescent="0.35">
      <c r="A24" t="s">
        <v>93</v>
      </c>
      <c r="B24">
        <v>1322845164</v>
      </c>
      <c r="C24" t="s">
        <v>18</v>
      </c>
      <c r="D24" t="s">
        <v>20</v>
      </c>
      <c r="E24" s="29">
        <v>46205</v>
      </c>
      <c r="F24" t="s">
        <v>4</v>
      </c>
      <c r="G24" s="28">
        <v>0.45624999999999999</v>
      </c>
      <c r="H24" s="28">
        <v>0.45624999999999999</v>
      </c>
      <c r="I24">
        <v>0</v>
      </c>
      <c r="J24" t="s">
        <v>174</v>
      </c>
      <c r="K24">
        <v>0</v>
      </c>
      <c r="L24" t="s">
        <v>222</v>
      </c>
      <c r="M24" t="s">
        <v>227</v>
      </c>
      <c r="N24" t="s">
        <v>228</v>
      </c>
      <c r="O24" t="s">
        <v>229</v>
      </c>
      <c r="P24" t="s">
        <v>230</v>
      </c>
    </row>
    <row r="25" spans="1:16" x14ac:dyDescent="0.35">
      <c r="A25" t="s">
        <v>93</v>
      </c>
      <c r="B25">
        <v>1322845164</v>
      </c>
      <c r="C25" t="s">
        <v>18</v>
      </c>
      <c r="D25" t="s">
        <v>20</v>
      </c>
      <c r="E25" s="29">
        <v>46205</v>
      </c>
      <c r="F25" t="s">
        <v>4</v>
      </c>
      <c r="G25" s="28">
        <v>0.46319444444444446</v>
      </c>
      <c r="H25" s="28">
        <v>0.46319444444444446</v>
      </c>
      <c r="I25">
        <v>0</v>
      </c>
      <c r="J25" t="s">
        <v>174</v>
      </c>
      <c r="K25">
        <v>0</v>
      </c>
      <c r="L25" t="s">
        <v>222</v>
      </c>
      <c r="M25" t="s">
        <v>223</v>
      </c>
      <c r="N25" t="s">
        <v>224</v>
      </c>
      <c r="O25" t="s">
        <v>225</v>
      </c>
      <c r="P25" t="s">
        <v>226</v>
      </c>
    </row>
    <row r="26" spans="1:16" x14ac:dyDescent="0.35">
      <c r="A26" t="s">
        <v>93</v>
      </c>
      <c r="B26">
        <v>1322845164</v>
      </c>
      <c r="C26" t="s">
        <v>18</v>
      </c>
      <c r="D26" t="s">
        <v>20</v>
      </c>
      <c r="E26" s="29">
        <v>46205</v>
      </c>
      <c r="F26" t="s">
        <v>4</v>
      </c>
      <c r="G26" s="28">
        <v>0.47013888888888888</v>
      </c>
      <c r="H26" s="28">
        <v>0.47013888888888888</v>
      </c>
      <c r="I26">
        <v>0</v>
      </c>
      <c r="J26" t="s">
        <v>174</v>
      </c>
      <c r="K26">
        <v>0</v>
      </c>
      <c r="L26" t="s">
        <v>222</v>
      </c>
      <c r="M26" t="s">
        <v>227</v>
      </c>
      <c r="N26" t="s">
        <v>228</v>
      </c>
      <c r="O26" t="s">
        <v>229</v>
      </c>
      <c r="P26" t="s">
        <v>230</v>
      </c>
    </row>
    <row r="27" spans="1:16" x14ac:dyDescent="0.35">
      <c r="A27" t="s">
        <v>93</v>
      </c>
      <c r="B27">
        <v>1322845164</v>
      </c>
      <c r="C27" t="s">
        <v>18</v>
      </c>
      <c r="D27" t="s">
        <v>20</v>
      </c>
      <c r="E27" s="29">
        <v>46205</v>
      </c>
      <c r="F27" t="s">
        <v>4</v>
      </c>
      <c r="G27" s="28">
        <v>0.47708333333333336</v>
      </c>
      <c r="H27" s="28">
        <v>0.47708333333333336</v>
      </c>
      <c r="I27">
        <v>0</v>
      </c>
      <c r="J27" t="s">
        <v>174</v>
      </c>
      <c r="K27">
        <v>0</v>
      </c>
      <c r="L27" t="s">
        <v>231</v>
      </c>
      <c r="M27" t="s">
        <v>223</v>
      </c>
      <c r="N27" t="s">
        <v>224</v>
      </c>
      <c r="O27" t="s">
        <v>225</v>
      </c>
      <c r="P27" t="s">
        <v>226</v>
      </c>
    </row>
    <row r="28" spans="1:16" x14ac:dyDescent="0.35">
      <c r="A28" t="s">
        <v>93</v>
      </c>
      <c r="B28">
        <v>1322845164</v>
      </c>
      <c r="C28" t="s">
        <v>18</v>
      </c>
      <c r="D28" t="s">
        <v>20</v>
      </c>
      <c r="E28" s="29">
        <v>46205</v>
      </c>
      <c r="F28" t="s">
        <v>4</v>
      </c>
      <c r="G28" s="28">
        <v>0.48402777777777778</v>
      </c>
      <c r="H28" s="28">
        <v>0.48402777777777778</v>
      </c>
      <c r="I28">
        <v>0</v>
      </c>
      <c r="J28" t="s">
        <v>174</v>
      </c>
      <c r="K28">
        <v>0</v>
      </c>
      <c r="L28" t="s">
        <v>232</v>
      </c>
      <c r="M28" t="s">
        <v>233</v>
      </c>
      <c r="N28" t="s">
        <v>234</v>
      </c>
      <c r="O28" t="s">
        <v>235</v>
      </c>
      <c r="P28" t="s">
        <v>236</v>
      </c>
    </row>
    <row r="29" spans="1:16" x14ac:dyDescent="0.35">
      <c r="A29" t="s">
        <v>93</v>
      </c>
      <c r="B29">
        <v>1322845164</v>
      </c>
      <c r="C29" t="s">
        <v>18</v>
      </c>
      <c r="D29" t="s">
        <v>20</v>
      </c>
      <c r="E29" s="29">
        <v>46205</v>
      </c>
      <c r="F29" t="s">
        <v>4</v>
      </c>
      <c r="G29" s="28">
        <v>0.4909722222222222</v>
      </c>
      <c r="H29" s="28">
        <v>0.52569444444444446</v>
      </c>
      <c r="I29">
        <v>1</v>
      </c>
      <c r="J29" t="s">
        <v>146</v>
      </c>
      <c r="K29">
        <v>2</v>
      </c>
      <c r="L29" t="s">
        <v>147</v>
      </c>
      <c r="M29" t="s">
        <v>218</v>
      </c>
      <c r="N29" t="s">
        <v>219</v>
      </c>
      <c r="O29" t="s">
        <v>220</v>
      </c>
      <c r="P29" t="s">
        <v>221</v>
      </c>
    </row>
    <row r="30" spans="1:16" x14ac:dyDescent="0.35">
      <c r="A30" t="s">
        <v>93</v>
      </c>
      <c r="B30">
        <v>1322845164</v>
      </c>
      <c r="C30" t="s">
        <v>18</v>
      </c>
      <c r="D30" t="s">
        <v>20</v>
      </c>
      <c r="E30" s="29">
        <v>46205</v>
      </c>
      <c r="F30" t="s">
        <v>4</v>
      </c>
      <c r="G30" s="28">
        <v>0.53263888888888888</v>
      </c>
      <c r="H30" s="28">
        <v>0.56736111111111109</v>
      </c>
      <c r="I30">
        <v>1</v>
      </c>
      <c r="J30" t="s">
        <v>146</v>
      </c>
      <c r="K30">
        <v>2</v>
      </c>
      <c r="L30" t="s">
        <v>147</v>
      </c>
      <c r="M30" t="s">
        <v>237</v>
      </c>
      <c r="N30" t="s">
        <v>238</v>
      </c>
      <c r="O30" t="s">
        <v>239</v>
      </c>
      <c r="P30" t="s">
        <v>240</v>
      </c>
    </row>
    <row r="31" spans="1:16" x14ac:dyDescent="0.35">
      <c r="A31" t="s">
        <v>93</v>
      </c>
      <c r="B31">
        <v>1322845164</v>
      </c>
      <c r="C31" t="s">
        <v>18</v>
      </c>
      <c r="D31" t="s">
        <v>20</v>
      </c>
      <c r="E31" s="29">
        <v>46205</v>
      </c>
      <c r="F31" t="s">
        <v>4</v>
      </c>
      <c r="G31" s="28">
        <v>0.57430555555555551</v>
      </c>
      <c r="H31" s="28">
        <v>0.58125000000000004</v>
      </c>
      <c r="I31">
        <v>0</v>
      </c>
      <c r="J31" t="s">
        <v>146</v>
      </c>
      <c r="K31">
        <v>1</v>
      </c>
      <c r="L31" t="s">
        <v>147</v>
      </c>
      <c r="M31" t="s">
        <v>241</v>
      </c>
      <c r="N31" t="s">
        <v>242</v>
      </c>
      <c r="O31" t="s">
        <v>243</v>
      </c>
      <c r="P31" t="s">
        <v>244</v>
      </c>
    </row>
    <row r="32" spans="1:16" x14ac:dyDescent="0.35">
      <c r="A32" t="s">
        <v>93</v>
      </c>
      <c r="B32">
        <v>1322845164</v>
      </c>
      <c r="C32" t="s">
        <v>18</v>
      </c>
      <c r="D32" t="s">
        <v>20</v>
      </c>
      <c r="E32" s="29">
        <v>46205</v>
      </c>
      <c r="F32" t="s">
        <v>4</v>
      </c>
      <c r="G32" s="28">
        <v>0.58819444444444446</v>
      </c>
      <c r="H32" s="28">
        <v>0.58819444444444446</v>
      </c>
      <c r="I32">
        <v>0</v>
      </c>
      <c r="J32" t="s">
        <v>174</v>
      </c>
      <c r="K32">
        <v>0</v>
      </c>
      <c r="L32" t="s">
        <v>245</v>
      </c>
      <c r="M32" t="s">
        <v>214</v>
      </c>
      <c r="N32" t="s">
        <v>215</v>
      </c>
      <c r="O32" t="s">
        <v>216</v>
      </c>
      <c r="P32" t="s">
        <v>217</v>
      </c>
    </row>
    <row r="33" spans="1:16" x14ac:dyDescent="0.35">
      <c r="A33" t="s">
        <v>93</v>
      </c>
      <c r="B33">
        <v>1322845164</v>
      </c>
      <c r="C33" t="s">
        <v>18</v>
      </c>
      <c r="D33" t="s">
        <v>20</v>
      </c>
      <c r="E33" s="29">
        <v>46205</v>
      </c>
      <c r="F33" t="s">
        <v>4</v>
      </c>
      <c r="G33" s="28">
        <v>0.59513888888888888</v>
      </c>
      <c r="H33" s="28">
        <v>0.59513888888888888</v>
      </c>
      <c r="I33">
        <v>0</v>
      </c>
      <c r="J33" t="s">
        <v>174</v>
      </c>
      <c r="K33">
        <v>0</v>
      </c>
      <c r="L33" t="s">
        <v>246</v>
      </c>
      <c r="M33" t="s">
        <v>187</v>
      </c>
      <c r="N33" t="s">
        <v>188</v>
      </c>
      <c r="O33" t="s">
        <v>189</v>
      </c>
      <c r="P33" t="s">
        <v>190</v>
      </c>
    </row>
    <row r="34" spans="1:16" x14ac:dyDescent="0.35">
      <c r="A34" t="s">
        <v>93</v>
      </c>
      <c r="B34">
        <v>1322845164</v>
      </c>
      <c r="C34" t="s">
        <v>18</v>
      </c>
      <c r="D34" t="s">
        <v>20</v>
      </c>
      <c r="E34" s="29">
        <v>46205</v>
      </c>
      <c r="F34" t="s">
        <v>4</v>
      </c>
      <c r="G34" s="28">
        <v>0.6020833333333333</v>
      </c>
      <c r="H34" s="28">
        <v>0.6020833333333333</v>
      </c>
      <c r="I34">
        <v>0</v>
      </c>
      <c r="J34" t="s">
        <v>174</v>
      </c>
      <c r="K34">
        <v>0</v>
      </c>
      <c r="L34" t="s">
        <v>247</v>
      </c>
      <c r="M34" t="s">
        <v>248</v>
      </c>
      <c r="N34" t="s">
        <v>249</v>
      </c>
      <c r="O34" t="s">
        <v>250</v>
      </c>
      <c r="P34" t="s">
        <v>251</v>
      </c>
    </row>
    <row r="35" spans="1:16" x14ac:dyDescent="0.35">
      <c r="A35" t="s">
        <v>93</v>
      </c>
      <c r="B35">
        <v>1322845164</v>
      </c>
      <c r="C35" t="s">
        <v>18</v>
      </c>
      <c r="D35" t="s">
        <v>20</v>
      </c>
      <c r="E35" s="29">
        <v>46205</v>
      </c>
      <c r="F35" t="s">
        <v>4</v>
      </c>
      <c r="G35" s="28">
        <v>0.60902777777777772</v>
      </c>
      <c r="H35" s="28">
        <v>0.60902777777777772</v>
      </c>
      <c r="I35">
        <v>0</v>
      </c>
      <c r="J35" t="s">
        <v>174</v>
      </c>
      <c r="K35">
        <v>0</v>
      </c>
      <c r="L35" t="s">
        <v>252</v>
      </c>
      <c r="M35" t="s">
        <v>253</v>
      </c>
      <c r="N35" t="s">
        <v>254</v>
      </c>
      <c r="O35" t="s">
        <v>255</v>
      </c>
      <c r="P35" t="s">
        <v>256</v>
      </c>
    </row>
    <row r="36" spans="1:16" x14ac:dyDescent="0.35">
      <c r="A36" t="s">
        <v>93</v>
      </c>
      <c r="B36">
        <v>1322845164</v>
      </c>
      <c r="C36" t="s">
        <v>18</v>
      </c>
      <c r="D36" t="s">
        <v>20</v>
      </c>
      <c r="E36" s="29">
        <v>46205</v>
      </c>
      <c r="F36" t="s">
        <v>4</v>
      </c>
      <c r="G36" s="28">
        <v>0.61597222222222225</v>
      </c>
      <c r="H36" s="28">
        <v>0.61597222222222225</v>
      </c>
      <c r="I36">
        <v>0</v>
      </c>
      <c r="J36" t="s">
        <v>174</v>
      </c>
      <c r="K36">
        <v>0</v>
      </c>
      <c r="L36" t="s">
        <v>257</v>
      </c>
      <c r="M36" t="s">
        <v>258</v>
      </c>
      <c r="N36" t="s">
        <v>259</v>
      </c>
      <c r="O36" t="s">
        <v>260</v>
      </c>
      <c r="P36" t="s">
        <v>261</v>
      </c>
    </row>
    <row r="37" spans="1:16" x14ac:dyDescent="0.35">
      <c r="A37" t="s">
        <v>93</v>
      </c>
      <c r="B37">
        <v>1322845164</v>
      </c>
      <c r="C37" t="s">
        <v>18</v>
      </c>
      <c r="D37" t="s">
        <v>20</v>
      </c>
      <c r="E37" s="29">
        <v>46205</v>
      </c>
      <c r="F37" t="s">
        <v>4</v>
      </c>
      <c r="G37" s="28">
        <v>0.62291666666666667</v>
      </c>
      <c r="H37" s="28">
        <v>0.62291666666666667</v>
      </c>
      <c r="I37">
        <v>0</v>
      </c>
      <c r="J37" t="s">
        <v>174</v>
      </c>
      <c r="K37">
        <v>0</v>
      </c>
      <c r="L37" t="s">
        <v>262</v>
      </c>
      <c r="M37" t="s">
        <v>263</v>
      </c>
      <c r="N37" t="s">
        <v>264</v>
      </c>
      <c r="O37" t="s">
        <v>265</v>
      </c>
      <c r="P37" t="s">
        <v>266</v>
      </c>
    </row>
    <row r="38" spans="1:16" x14ac:dyDescent="0.35">
      <c r="A38" t="s">
        <v>93</v>
      </c>
      <c r="B38">
        <v>1322845164</v>
      </c>
      <c r="C38" t="s">
        <v>18</v>
      </c>
      <c r="D38" t="s">
        <v>20</v>
      </c>
      <c r="E38" s="29">
        <v>46205</v>
      </c>
      <c r="F38" t="s">
        <v>4</v>
      </c>
      <c r="G38" s="28">
        <v>0.62986111111111109</v>
      </c>
      <c r="H38" s="28">
        <v>0.62986111111111109</v>
      </c>
      <c r="I38">
        <v>0</v>
      </c>
      <c r="J38" t="s">
        <v>174</v>
      </c>
      <c r="K38">
        <v>0</v>
      </c>
      <c r="L38" t="s">
        <v>267</v>
      </c>
      <c r="M38" t="s">
        <v>268</v>
      </c>
      <c r="N38" t="s">
        <v>269</v>
      </c>
      <c r="O38" t="s">
        <v>270</v>
      </c>
      <c r="P38" t="s">
        <v>271</v>
      </c>
    </row>
    <row r="39" spans="1:16" x14ac:dyDescent="0.35">
      <c r="A39" t="s">
        <v>93</v>
      </c>
      <c r="B39">
        <v>1322845164</v>
      </c>
      <c r="C39" t="s">
        <v>18</v>
      </c>
      <c r="D39" t="s">
        <v>20</v>
      </c>
      <c r="E39" s="29">
        <v>46205</v>
      </c>
      <c r="F39" t="s">
        <v>4</v>
      </c>
      <c r="G39" s="28">
        <v>0.63680555555555551</v>
      </c>
      <c r="H39" s="28">
        <v>0.63680555555555551</v>
      </c>
      <c r="I39">
        <v>0</v>
      </c>
      <c r="J39" t="s">
        <v>174</v>
      </c>
      <c r="K39">
        <v>0</v>
      </c>
      <c r="L39" t="s">
        <v>272</v>
      </c>
      <c r="M39" t="s">
        <v>258</v>
      </c>
      <c r="N39" t="s">
        <v>259</v>
      </c>
      <c r="O39" t="s">
        <v>260</v>
      </c>
      <c r="P39" t="s">
        <v>261</v>
      </c>
    </row>
    <row r="40" spans="1:16" x14ac:dyDescent="0.35">
      <c r="A40" t="s">
        <v>93</v>
      </c>
      <c r="B40">
        <v>1322845164</v>
      </c>
      <c r="C40" t="s">
        <v>18</v>
      </c>
      <c r="D40" t="s">
        <v>20</v>
      </c>
      <c r="E40" s="29">
        <v>46205</v>
      </c>
      <c r="F40" t="s">
        <v>4</v>
      </c>
      <c r="G40" s="28">
        <v>0.64375000000000004</v>
      </c>
      <c r="H40" s="28">
        <v>0.64375000000000004</v>
      </c>
      <c r="I40">
        <v>0</v>
      </c>
      <c r="J40" t="s">
        <v>174</v>
      </c>
      <c r="K40">
        <v>0</v>
      </c>
      <c r="L40" t="s">
        <v>273</v>
      </c>
      <c r="M40" t="s">
        <v>274</v>
      </c>
      <c r="N40" t="s">
        <v>275</v>
      </c>
      <c r="O40" t="s">
        <v>276</v>
      </c>
      <c r="P40" t="s">
        <v>277</v>
      </c>
    </row>
    <row r="41" spans="1:16" x14ac:dyDescent="0.35">
      <c r="A41" t="s">
        <v>93</v>
      </c>
      <c r="B41">
        <v>1322845164</v>
      </c>
      <c r="C41" t="s">
        <v>18</v>
      </c>
      <c r="D41" t="s">
        <v>20</v>
      </c>
      <c r="E41" s="29">
        <v>46205</v>
      </c>
      <c r="F41" t="s">
        <v>4</v>
      </c>
      <c r="G41" s="28">
        <v>0.65069444444444446</v>
      </c>
      <c r="H41" s="28">
        <v>0.65069444444444446</v>
      </c>
      <c r="I41">
        <v>0</v>
      </c>
      <c r="J41" t="s">
        <v>174</v>
      </c>
      <c r="K41">
        <v>0</v>
      </c>
      <c r="L41" t="s">
        <v>278</v>
      </c>
      <c r="M41" t="s">
        <v>279</v>
      </c>
      <c r="N41" t="s">
        <v>280</v>
      </c>
      <c r="O41" t="s">
        <v>281</v>
      </c>
      <c r="P41" t="s">
        <v>282</v>
      </c>
    </row>
    <row r="42" spans="1:16" x14ac:dyDescent="0.35">
      <c r="A42" t="s">
        <v>93</v>
      </c>
      <c r="B42">
        <v>1322845164</v>
      </c>
      <c r="C42" t="s">
        <v>18</v>
      </c>
      <c r="D42" t="s">
        <v>20</v>
      </c>
      <c r="E42" s="29">
        <v>46205</v>
      </c>
      <c r="F42" t="s">
        <v>4</v>
      </c>
      <c r="G42" s="28">
        <v>0.65763888888888888</v>
      </c>
      <c r="H42" s="28">
        <v>0.65763888888888888</v>
      </c>
      <c r="I42">
        <v>0</v>
      </c>
      <c r="J42" t="s">
        <v>174</v>
      </c>
      <c r="K42">
        <v>0</v>
      </c>
      <c r="L42" t="s">
        <v>175</v>
      </c>
      <c r="M42" t="s">
        <v>283</v>
      </c>
      <c r="N42" t="s">
        <v>284</v>
      </c>
      <c r="O42" t="s">
        <v>285</v>
      </c>
      <c r="P42" t="s">
        <v>286</v>
      </c>
    </row>
    <row r="43" spans="1:16" x14ac:dyDescent="0.35">
      <c r="A43" t="s">
        <v>93</v>
      </c>
      <c r="B43">
        <v>1322845164</v>
      </c>
      <c r="C43" t="s">
        <v>18</v>
      </c>
      <c r="D43" t="s">
        <v>20</v>
      </c>
      <c r="E43" s="29">
        <v>46205</v>
      </c>
      <c r="F43" t="s">
        <v>4</v>
      </c>
      <c r="G43" s="28">
        <v>0.6645833333333333</v>
      </c>
      <c r="H43" s="28">
        <v>0.76180555555555551</v>
      </c>
      <c r="I43">
        <v>2</v>
      </c>
      <c r="J43" t="s">
        <v>146</v>
      </c>
      <c r="K43">
        <v>7</v>
      </c>
      <c r="L43" t="s">
        <v>147</v>
      </c>
      <c r="M43" t="s">
        <v>218</v>
      </c>
      <c r="N43" t="s">
        <v>219</v>
      </c>
      <c r="O43" t="s">
        <v>220</v>
      </c>
      <c r="P43" t="s">
        <v>221</v>
      </c>
    </row>
    <row r="44" spans="1:16" x14ac:dyDescent="0.35">
      <c r="A44" t="s">
        <v>93</v>
      </c>
      <c r="B44">
        <v>1322845164</v>
      </c>
      <c r="C44" t="s">
        <v>18</v>
      </c>
      <c r="D44" t="s">
        <v>20</v>
      </c>
      <c r="E44" s="29">
        <v>46205</v>
      </c>
      <c r="F44" t="s">
        <v>4</v>
      </c>
      <c r="G44" s="28">
        <v>0.76875000000000004</v>
      </c>
      <c r="H44" s="28">
        <v>0.76875000000000004</v>
      </c>
      <c r="I44">
        <v>0</v>
      </c>
      <c r="J44" t="s">
        <v>174</v>
      </c>
      <c r="K44">
        <v>0</v>
      </c>
      <c r="L44" t="s">
        <v>287</v>
      </c>
      <c r="M44" t="s">
        <v>283</v>
      </c>
      <c r="N44" t="s">
        <v>284</v>
      </c>
      <c r="O44" t="s">
        <v>285</v>
      </c>
      <c r="P44" t="s">
        <v>286</v>
      </c>
    </row>
    <row r="45" spans="1:16" x14ac:dyDescent="0.35">
      <c r="A45" t="s">
        <v>93</v>
      </c>
      <c r="B45">
        <v>1322845164</v>
      </c>
      <c r="C45" t="s">
        <v>18</v>
      </c>
      <c r="D45" t="s">
        <v>20</v>
      </c>
      <c r="E45" s="29">
        <v>46205</v>
      </c>
      <c r="F45" t="s">
        <v>4</v>
      </c>
      <c r="G45" s="28">
        <v>0.77569444444444446</v>
      </c>
      <c r="H45" s="28">
        <v>0.77569444444444446</v>
      </c>
      <c r="I45">
        <v>0</v>
      </c>
      <c r="J45" t="s">
        <v>174</v>
      </c>
      <c r="K45">
        <v>0</v>
      </c>
      <c r="L45" t="s">
        <v>288</v>
      </c>
      <c r="M45" t="s">
        <v>289</v>
      </c>
      <c r="N45" t="s">
        <v>290</v>
      </c>
      <c r="O45" t="s">
        <v>291</v>
      </c>
      <c r="P45" t="s">
        <v>292</v>
      </c>
    </row>
    <row r="46" spans="1:16" x14ac:dyDescent="0.35">
      <c r="A46" t="s">
        <v>93</v>
      </c>
      <c r="B46">
        <v>1322845164</v>
      </c>
      <c r="C46" t="s">
        <v>18</v>
      </c>
      <c r="D46" t="s">
        <v>20</v>
      </c>
      <c r="E46" s="29">
        <v>46205</v>
      </c>
      <c r="F46" t="s">
        <v>4</v>
      </c>
      <c r="G46" s="28">
        <v>0.78263888888888888</v>
      </c>
      <c r="H46" s="28">
        <v>0.78263888888888888</v>
      </c>
      <c r="I46">
        <v>0</v>
      </c>
      <c r="J46" t="s">
        <v>174</v>
      </c>
      <c r="K46">
        <v>0</v>
      </c>
      <c r="L46" t="s">
        <v>293</v>
      </c>
      <c r="M46" t="s">
        <v>294</v>
      </c>
      <c r="N46" t="s">
        <v>295</v>
      </c>
      <c r="O46" t="s">
        <v>296</v>
      </c>
      <c r="P46" t="s">
        <v>297</v>
      </c>
    </row>
    <row r="47" spans="1:16" x14ac:dyDescent="0.35">
      <c r="A47" t="s">
        <v>93</v>
      </c>
      <c r="B47">
        <v>1322845164</v>
      </c>
      <c r="C47" t="s">
        <v>18</v>
      </c>
      <c r="D47" t="s">
        <v>20</v>
      </c>
      <c r="E47" s="29">
        <v>46205</v>
      </c>
      <c r="F47" t="s">
        <v>4</v>
      </c>
      <c r="G47" s="28">
        <v>0.7895833333333333</v>
      </c>
      <c r="H47" s="28">
        <v>0.79652777777777772</v>
      </c>
      <c r="I47">
        <v>0</v>
      </c>
      <c r="J47" t="s">
        <v>146</v>
      </c>
      <c r="K47">
        <v>0</v>
      </c>
      <c r="L47" t="s">
        <v>147</v>
      </c>
      <c r="M47" t="s">
        <v>298</v>
      </c>
      <c r="N47" t="s">
        <v>299</v>
      </c>
      <c r="O47" t="s">
        <v>300</v>
      </c>
      <c r="P47" t="s">
        <v>301</v>
      </c>
    </row>
    <row r="48" spans="1:16" x14ac:dyDescent="0.35">
      <c r="A48" t="s">
        <v>93</v>
      </c>
      <c r="B48">
        <v>1322845164</v>
      </c>
      <c r="C48" t="s">
        <v>18</v>
      </c>
      <c r="D48" t="s">
        <v>20</v>
      </c>
      <c r="E48" s="29">
        <v>46207</v>
      </c>
      <c r="F48" t="s">
        <v>5</v>
      </c>
      <c r="G48" s="28">
        <v>0.37986111111111109</v>
      </c>
      <c r="H48" s="28">
        <v>0.38680555555555557</v>
      </c>
      <c r="I48">
        <v>0</v>
      </c>
      <c r="J48" t="s">
        <v>146</v>
      </c>
      <c r="K48">
        <v>1</v>
      </c>
      <c r="L48" t="s">
        <v>147</v>
      </c>
      <c r="M48" t="s">
        <v>166</v>
      </c>
      <c r="N48" t="s">
        <v>167</v>
      </c>
      <c r="O48" t="s">
        <v>168</v>
      </c>
      <c r="P48" t="s">
        <v>169</v>
      </c>
    </row>
    <row r="49" spans="1:16" x14ac:dyDescent="0.35">
      <c r="A49" t="s">
        <v>93</v>
      </c>
      <c r="B49">
        <v>1322845164</v>
      </c>
      <c r="C49" t="s">
        <v>18</v>
      </c>
      <c r="D49" t="s">
        <v>20</v>
      </c>
      <c r="E49" s="29">
        <v>46207</v>
      </c>
      <c r="F49" t="s">
        <v>5</v>
      </c>
      <c r="G49" s="28">
        <v>0.39374999999999999</v>
      </c>
      <c r="H49" s="28">
        <v>0.39374999999999999</v>
      </c>
      <c r="I49">
        <v>0</v>
      </c>
      <c r="J49" t="s">
        <v>174</v>
      </c>
      <c r="K49">
        <v>0</v>
      </c>
      <c r="L49" t="s">
        <v>287</v>
      </c>
      <c r="M49" t="s">
        <v>302</v>
      </c>
      <c r="N49" t="s">
        <v>303</v>
      </c>
      <c r="O49" t="s">
        <v>304</v>
      </c>
      <c r="P49" t="s">
        <v>305</v>
      </c>
    </row>
    <row r="50" spans="1:16" x14ac:dyDescent="0.35">
      <c r="A50" t="s">
        <v>93</v>
      </c>
      <c r="B50">
        <v>1322845164</v>
      </c>
      <c r="C50" t="s">
        <v>18</v>
      </c>
      <c r="D50" t="s">
        <v>20</v>
      </c>
      <c r="E50" s="29">
        <v>46207</v>
      </c>
      <c r="F50" t="s">
        <v>5</v>
      </c>
      <c r="G50" s="28">
        <v>0.40069444444444446</v>
      </c>
      <c r="H50" s="28">
        <v>0.4284722222222222</v>
      </c>
      <c r="I50">
        <v>1</v>
      </c>
      <c r="J50" t="s">
        <v>146</v>
      </c>
      <c r="K50">
        <v>2</v>
      </c>
      <c r="L50" t="s">
        <v>147</v>
      </c>
      <c r="M50" t="s">
        <v>306</v>
      </c>
      <c r="N50" t="s">
        <v>307</v>
      </c>
      <c r="O50" t="s">
        <v>308</v>
      </c>
      <c r="P50" t="s">
        <v>309</v>
      </c>
    </row>
    <row r="51" spans="1:16" x14ac:dyDescent="0.35">
      <c r="A51" t="s">
        <v>93</v>
      </c>
      <c r="B51">
        <v>1322845164</v>
      </c>
      <c r="C51" t="s">
        <v>18</v>
      </c>
      <c r="D51" t="s">
        <v>20</v>
      </c>
      <c r="E51" s="29">
        <v>46207</v>
      </c>
      <c r="F51" t="s">
        <v>5</v>
      </c>
      <c r="G51" s="28">
        <v>0.43541666666666667</v>
      </c>
      <c r="H51" s="28">
        <v>0.44930555555555557</v>
      </c>
      <c r="I51">
        <v>0</v>
      </c>
      <c r="J51" t="s">
        <v>146</v>
      </c>
      <c r="K51">
        <v>1</v>
      </c>
      <c r="L51" t="s">
        <v>147</v>
      </c>
      <c r="M51" t="s">
        <v>310</v>
      </c>
      <c r="N51" t="s">
        <v>311</v>
      </c>
      <c r="O51" t="s">
        <v>312</v>
      </c>
      <c r="P51" t="s">
        <v>313</v>
      </c>
    </row>
    <row r="52" spans="1:16" x14ac:dyDescent="0.35">
      <c r="A52" t="s">
        <v>93</v>
      </c>
      <c r="B52">
        <v>1322845164</v>
      </c>
      <c r="C52" t="s">
        <v>18</v>
      </c>
      <c r="D52" t="s">
        <v>20</v>
      </c>
      <c r="E52" s="29">
        <v>46207</v>
      </c>
      <c r="F52" t="s">
        <v>5</v>
      </c>
      <c r="G52" s="28">
        <v>0.46319444444444446</v>
      </c>
      <c r="H52" s="28">
        <v>0.46319444444444446</v>
      </c>
      <c r="I52">
        <v>0</v>
      </c>
      <c r="J52" t="s">
        <v>174</v>
      </c>
      <c r="K52">
        <v>0</v>
      </c>
      <c r="L52" t="s">
        <v>257</v>
      </c>
      <c r="M52" t="s">
        <v>237</v>
      </c>
      <c r="N52" t="s">
        <v>238</v>
      </c>
      <c r="O52" t="s">
        <v>239</v>
      </c>
      <c r="P52" t="s">
        <v>240</v>
      </c>
    </row>
    <row r="53" spans="1:16" x14ac:dyDescent="0.35">
      <c r="A53" t="s">
        <v>93</v>
      </c>
      <c r="B53">
        <v>1322845164</v>
      </c>
      <c r="C53" t="s">
        <v>18</v>
      </c>
      <c r="D53" t="s">
        <v>20</v>
      </c>
      <c r="E53" s="29">
        <v>46207</v>
      </c>
      <c r="F53" t="s">
        <v>5</v>
      </c>
      <c r="G53" s="28">
        <v>0.47013888888888888</v>
      </c>
      <c r="H53" s="28">
        <v>0.47013888888888888</v>
      </c>
      <c r="I53">
        <v>0</v>
      </c>
      <c r="J53" t="s">
        <v>174</v>
      </c>
      <c r="K53">
        <v>0</v>
      </c>
      <c r="L53" t="s">
        <v>257</v>
      </c>
      <c r="M53" t="s">
        <v>314</v>
      </c>
      <c r="N53" t="s">
        <v>315</v>
      </c>
      <c r="O53" t="s">
        <v>316</v>
      </c>
      <c r="P53" t="s">
        <v>317</v>
      </c>
    </row>
    <row r="54" spans="1:16" x14ac:dyDescent="0.35">
      <c r="A54" t="s">
        <v>93</v>
      </c>
      <c r="B54">
        <v>1322845164</v>
      </c>
      <c r="C54" t="s">
        <v>18</v>
      </c>
      <c r="D54" t="s">
        <v>20</v>
      </c>
      <c r="E54" s="29">
        <v>46207</v>
      </c>
      <c r="F54" t="s">
        <v>5</v>
      </c>
      <c r="G54" s="28">
        <v>0.47708333333333336</v>
      </c>
      <c r="H54" s="28">
        <v>0.47708333333333336</v>
      </c>
      <c r="I54">
        <v>0</v>
      </c>
      <c r="J54" t="s">
        <v>174</v>
      </c>
      <c r="K54">
        <v>0</v>
      </c>
      <c r="L54" t="s">
        <v>257</v>
      </c>
      <c r="M54" t="s">
        <v>237</v>
      </c>
      <c r="N54" t="s">
        <v>238</v>
      </c>
      <c r="O54" t="s">
        <v>239</v>
      </c>
      <c r="P54" t="s">
        <v>240</v>
      </c>
    </row>
    <row r="55" spans="1:16" x14ac:dyDescent="0.35">
      <c r="A55" t="s">
        <v>93</v>
      </c>
      <c r="B55">
        <v>1322845164</v>
      </c>
      <c r="C55" t="s">
        <v>18</v>
      </c>
      <c r="D55" t="s">
        <v>20</v>
      </c>
      <c r="E55" s="29">
        <v>46207</v>
      </c>
      <c r="F55" t="s">
        <v>5</v>
      </c>
      <c r="G55" s="28">
        <v>0.48402777777777778</v>
      </c>
      <c r="H55" s="28">
        <v>0.48402777777777778</v>
      </c>
      <c r="I55">
        <v>0</v>
      </c>
      <c r="J55" t="s">
        <v>174</v>
      </c>
      <c r="K55">
        <v>0</v>
      </c>
      <c r="L55" t="s">
        <v>257</v>
      </c>
      <c r="M55" t="s">
        <v>314</v>
      </c>
      <c r="N55" t="s">
        <v>315</v>
      </c>
      <c r="O55" t="s">
        <v>316</v>
      </c>
      <c r="P55" t="s">
        <v>317</v>
      </c>
    </row>
    <row r="56" spans="1:16" x14ac:dyDescent="0.35">
      <c r="A56" t="s">
        <v>93</v>
      </c>
      <c r="B56">
        <v>1322845164</v>
      </c>
      <c r="C56" t="s">
        <v>18</v>
      </c>
      <c r="D56" t="s">
        <v>20</v>
      </c>
      <c r="E56" s="29">
        <v>46207</v>
      </c>
      <c r="F56" t="s">
        <v>5</v>
      </c>
      <c r="G56" s="28">
        <v>0.4909722222222222</v>
      </c>
      <c r="H56" s="28">
        <v>0.52569444444444446</v>
      </c>
      <c r="I56">
        <v>1</v>
      </c>
      <c r="J56" t="s">
        <v>146</v>
      </c>
      <c r="K56">
        <v>2</v>
      </c>
      <c r="L56" t="s">
        <v>147</v>
      </c>
      <c r="M56" t="s">
        <v>237</v>
      </c>
      <c r="N56" t="s">
        <v>238</v>
      </c>
      <c r="O56" t="s">
        <v>239</v>
      </c>
      <c r="P56" t="s">
        <v>240</v>
      </c>
    </row>
    <row r="57" spans="1:16" x14ac:dyDescent="0.35">
      <c r="A57" t="s">
        <v>93</v>
      </c>
      <c r="B57">
        <v>1322845164</v>
      </c>
      <c r="C57" t="s">
        <v>18</v>
      </c>
      <c r="D57" t="s">
        <v>20</v>
      </c>
      <c r="E57" s="29">
        <v>46207</v>
      </c>
      <c r="F57" t="s">
        <v>5</v>
      </c>
      <c r="G57" s="28">
        <v>0.53263888888888888</v>
      </c>
      <c r="H57" s="28">
        <v>0.53263888888888888</v>
      </c>
      <c r="I57">
        <v>0</v>
      </c>
      <c r="J57" t="s">
        <v>174</v>
      </c>
      <c r="K57">
        <v>0</v>
      </c>
      <c r="L57" t="s">
        <v>257</v>
      </c>
      <c r="M57" t="s">
        <v>314</v>
      </c>
      <c r="N57" t="s">
        <v>315</v>
      </c>
      <c r="O57" t="s">
        <v>316</v>
      </c>
      <c r="P57" t="s">
        <v>317</v>
      </c>
    </row>
    <row r="58" spans="1:16" x14ac:dyDescent="0.35">
      <c r="A58" t="s">
        <v>93</v>
      </c>
      <c r="B58">
        <v>1322845164</v>
      </c>
      <c r="C58" t="s">
        <v>18</v>
      </c>
      <c r="D58" t="s">
        <v>20</v>
      </c>
      <c r="E58" s="29">
        <v>46207</v>
      </c>
      <c r="F58" t="s">
        <v>5</v>
      </c>
      <c r="G58" s="28">
        <v>0.54027777777777775</v>
      </c>
      <c r="H58" s="28">
        <v>0.57430555555555551</v>
      </c>
      <c r="I58">
        <v>1</v>
      </c>
      <c r="J58" t="s">
        <v>146</v>
      </c>
      <c r="K58">
        <v>2</v>
      </c>
      <c r="L58" t="s">
        <v>147</v>
      </c>
      <c r="M58" t="s">
        <v>237</v>
      </c>
      <c r="N58" t="s">
        <v>238</v>
      </c>
      <c r="O58" t="s">
        <v>239</v>
      </c>
      <c r="P58" t="s">
        <v>240</v>
      </c>
    </row>
    <row r="59" spans="1:16" x14ac:dyDescent="0.35">
      <c r="A59" t="s">
        <v>93</v>
      </c>
      <c r="B59">
        <v>1322845164</v>
      </c>
      <c r="C59" t="s">
        <v>18</v>
      </c>
      <c r="D59" t="s">
        <v>20</v>
      </c>
      <c r="E59" s="29">
        <v>46207</v>
      </c>
      <c r="F59" t="s">
        <v>5</v>
      </c>
      <c r="G59" s="28">
        <v>0.58125000000000004</v>
      </c>
      <c r="H59" s="28">
        <v>0.59305555555555556</v>
      </c>
      <c r="I59">
        <v>0</v>
      </c>
      <c r="J59" t="s">
        <v>146</v>
      </c>
      <c r="K59">
        <v>1</v>
      </c>
      <c r="L59" t="s">
        <v>147</v>
      </c>
      <c r="M59" t="s">
        <v>241</v>
      </c>
      <c r="N59" t="s">
        <v>242</v>
      </c>
      <c r="O59" t="s">
        <v>243</v>
      </c>
      <c r="P59" t="s">
        <v>244</v>
      </c>
    </row>
    <row r="60" spans="1:16" x14ac:dyDescent="0.35">
      <c r="A60" t="s">
        <v>93</v>
      </c>
      <c r="B60">
        <v>1322845164</v>
      </c>
      <c r="C60" t="s">
        <v>18</v>
      </c>
      <c r="D60" t="s">
        <v>20</v>
      </c>
      <c r="E60" s="29">
        <v>46207</v>
      </c>
      <c r="F60" t="s">
        <v>5</v>
      </c>
      <c r="G60" s="28">
        <v>0.6020833333333333</v>
      </c>
      <c r="H60" s="28">
        <v>0.61597222222222225</v>
      </c>
      <c r="I60">
        <v>0</v>
      </c>
      <c r="J60" t="s">
        <v>146</v>
      </c>
      <c r="K60">
        <v>1</v>
      </c>
      <c r="L60" t="s">
        <v>147</v>
      </c>
      <c r="M60" t="s">
        <v>218</v>
      </c>
      <c r="N60" t="s">
        <v>219</v>
      </c>
      <c r="O60" t="s">
        <v>220</v>
      </c>
      <c r="P60" t="s">
        <v>221</v>
      </c>
    </row>
    <row r="61" spans="1:16" x14ac:dyDescent="0.35">
      <c r="A61" t="s">
        <v>93</v>
      </c>
      <c r="B61">
        <v>1322845164</v>
      </c>
      <c r="C61" t="s">
        <v>18</v>
      </c>
      <c r="D61" t="s">
        <v>20</v>
      </c>
      <c r="E61" s="29">
        <v>46207</v>
      </c>
      <c r="F61" t="s">
        <v>5</v>
      </c>
      <c r="G61" s="28">
        <v>0.62291666666666667</v>
      </c>
      <c r="H61" s="28">
        <v>0.62291666666666667</v>
      </c>
      <c r="I61">
        <v>0</v>
      </c>
      <c r="J61" t="s">
        <v>174</v>
      </c>
      <c r="K61">
        <v>0</v>
      </c>
      <c r="L61" t="s">
        <v>318</v>
      </c>
      <c r="M61" t="s">
        <v>319</v>
      </c>
      <c r="N61" t="s">
        <v>320</v>
      </c>
      <c r="O61" t="s">
        <v>321</v>
      </c>
      <c r="P61" t="s">
        <v>322</v>
      </c>
    </row>
    <row r="62" spans="1:16" x14ac:dyDescent="0.35">
      <c r="A62" t="s">
        <v>93</v>
      </c>
      <c r="B62">
        <v>1322845164</v>
      </c>
      <c r="C62" t="s">
        <v>18</v>
      </c>
      <c r="D62" t="s">
        <v>20</v>
      </c>
      <c r="E62" s="29">
        <v>46207</v>
      </c>
      <c r="F62" t="s">
        <v>5</v>
      </c>
      <c r="G62" s="28">
        <v>0.62986111111111109</v>
      </c>
      <c r="H62" s="28">
        <v>0.62986111111111109</v>
      </c>
      <c r="I62">
        <v>0</v>
      </c>
      <c r="J62" t="s">
        <v>174</v>
      </c>
      <c r="K62">
        <v>0</v>
      </c>
      <c r="L62" t="s">
        <v>323</v>
      </c>
      <c r="M62" t="s">
        <v>324</v>
      </c>
      <c r="N62" t="s">
        <v>325</v>
      </c>
      <c r="O62" t="s">
        <v>326</v>
      </c>
      <c r="P62" t="s">
        <v>327</v>
      </c>
    </row>
    <row r="63" spans="1:16" x14ac:dyDescent="0.35">
      <c r="A63" t="s">
        <v>93</v>
      </c>
      <c r="B63">
        <v>1322845164</v>
      </c>
      <c r="C63" t="s">
        <v>18</v>
      </c>
      <c r="D63" t="s">
        <v>20</v>
      </c>
      <c r="E63" s="29">
        <v>46207</v>
      </c>
      <c r="F63" t="s">
        <v>5</v>
      </c>
      <c r="G63" s="28">
        <v>0.63680555555555551</v>
      </c>
      <c r="H63" s="28">
        <v>0.63680555555555551</v>
      </c>
      <c r="I63">
        <v>0</v>
      </c>
      <c r="J63" t="s">
        <v>174</v>
      </c>
      <c r="K63">
        <v>0</v>
      </c>
      <c r="L63" t="s">
        <v>323</v>
      </c>
      <c r="M63" t="s">
        <v>328</v>
      </c>
      <c r="N63" t="s">
        <v>329</v>
      </c>
      <c r="O63" t="s">
        <v>330</v>
      </c>
      <c r="P63" t="s">
        <v>331</v>
      </c>
    </row>
    <row r="64" spans="1:16" x14ac:dyDescent="0.35">
      <c r="A64" t="s">
        <v>93</v>
      </c>
      <c r="B64">
        <v>1322845164</v>
      </c>
      <c r="C64" t="s">
        <v>18</v>
      </c>
      <c r="D64" t="s">
        <v>20</v>
      </c>
      <c r="E64" s="29">
        <v>46207</v>
      </c>
      <c r="F64" t="s">
        <v>5</v>
      </c>
      <c r="G64" s="28">
        <v>0.64375000000000004</v>
      </c>
      <c r="H64" s="28">
        <v>0.71319444444444446</v>
      </c>
      <c r="I64">
        <v>2</v>
      </c>
      <c r="J64" t="s">
        <v>146</v>
      </c>
      <c r="K64">
        <v>5</v>
      </c>
      <c r="L64" t="s">
        <v>147</v>
      </c>
      <c r="M64" t="s">
        <v>324</v>
      </c>
      <c r="N64" t="s">
        <v>325</v>
      </c>
      <c r="O64" t="s">
        <v>326</v>
      </c>
      <c r="P64" t="s">
        <v>327</v>
      </c>
    </row>
    <row r="65" spans="1:16" x14ac:dyDescent="0.35">
      <c r="A65" t="s">
        <v>93</v>
      </c>
      <c r="B65">
        <v>1322845164</v>
      </c>
      <c r="C65" t="s">
        <v>18</v>
      </c>
      <c r="D65" t="s">
        <v>20</v>
      </c>
      <c r="E65" s="29">
        <v>46207</v>
      </c>
      <c r="F65" t="s">
        <v>5</v>
      </c>
      <c r="G65" s="28">
        <v>0.72013888888888888</v>
      </c>
      <c r="H65" s="28">
        <v>0.72013888888888888</v>
      </c>
      <c r="I65">
        <v>0</v>
      </c>
      <c r="J65" t="s">
        <v>174</v>
      </c>
      <c r="K65">
        <v>0</v>
      </c>
      <c r="L65" t="s">
        <v>332</v>
      </c>
      <c r="M65" t="s">
        <v>328</v>
      </c>
      <c r="N65" t="s">
        <v>329</v>
      </c>
      <c r="O65" t="s">
        <v>330</v>
      </c>
      <c r="P65" t="s">
        <v>331</v>
      </c>
    </row>
    <row r="66" spans="1:16" x14ac:dyDescent="0.35">
      <c r="A66" t="s">
        <v>93</v>
      </c>
      <c r="B66">
        <v>1322845164</v>
      </c>
      <c r="C66" t="s">
        <v>18</v>
      </c>
      <c r="D66" t="s">
        <v>20</v>
      </c>
      <c r="E66" s="29">
        <v>46207</v>
      </c>
      <c r="F66" t="s">
        <v>5</v>
      </c>
      <c r="G66" s="28">
        <v>0.7270833333333333</v>
      </c>
      <c r="H66" s="28">
        <v>0.7270833333333333</v>
      </c>
      <c r="I66">
        <v>0</v>
      </c>
      <c r="J66" t="s">
        <v>174</v>
      </c>
      <c r="K66">
        <v>0</v>
      </c>
      <c r="L66" t="s">
        <v>333</v>
      </c>
      <c r="M66" t="s">
        <v>263</v>
      </c>
      <c r="N66" t="s">
        <v>264</v>
      </c>
      <c r="O66" t="s">
        <v>265</v>
      </c>
      <c r="P66" t="s">
        <v>266</v>
      </c>
    </row>
    <row r="67" spans="1:16" x14ac:dyDescent="0.35">
      <c r="A67" t="s">
        <v>93</v>
      </c>
      <c r="B67">
        <v>1322845164</v>
      </c>
      <c r="C67" t="s">
        <v>18</v>
      </c>
      <c r="D67" t="s">
        <v>20</v>
      </c>
      <c r="E67" s="29">
        <v>46207</v>
      </c>
      <c r="F67" t="s">
        <v>5</v>
      </c>
      <c r="G67" s="28">
        <v>0.73402777777777772</v>
      </c>
      <c r="H67" s="28">
        <v>0.76180555555555551</v>
      </c>
      <c r="I67">
        <v>1</v>
      </c>
      <c r="J67" t="s">
        <v>146</v>
      </c>
      <c r="K67">
        <v>2</v>
      </c>
      <c r="L67" t="s">
        <v>147</v>
      </c>
      <c r="M67" t="s">
        <v>324</v>
      </c>
      <c r="N67" t="s">
        <v>325</v>
      </c>
      <c r="O67" t="s">
        <v>326</v>
      </c>
      <c r="P67" t="s">
        <v>327</v>
      </c>
    </row>
    <row r="68" spans="1:16" x14ac:dyDescent="0.35">
      <c r="A68" t="s">
        <v>93</v>
      </c>
      <c r="B68">
        <v>1322845164</v>
      </c>
      <c r="C68" t="s">
        <v>18</v>
      </c>
      <c r="D68" t="s">
        <v>20</v>
      </c>
      <c r="E68" s="29">
        <v>46207</v>
      </c>
      <c r="F68" t="s">
        <v>5</v>
      </c>
      <c r="G68" s="28">
        <v>0.76875000000000004</v>
      </c>
      <c r="H68" s="28">
        <v>0.76875000000000004</v>
      </c>
      <c r="I68">
        <v>0</v>
      </c>
      <c r="J68" t="s">
        <v>174</v>
      </c>
      <c r="K68">
        <v>0</v>
      </c>
      <c r="L68" t="s">
        <v>334</v>
      </c>
      <c r="M68" t="s">
        <v>335</v>
      </c>
      <c r="N68" t="s">
        <v>336</v>
      </c>
      <c r="O68" t="s">
        <v>337</v>
      </c>
      <c r="P68" t="s">
        <v>338</v>
      </c>
    </row>
    <row r="69" spans="1:16" x14ac:dyDescent="0.35">
      <c r="A69" t="s">
        <v>93</v>
      </c>
      <c r="B69">
        <v>1322845164</v>
      </c>
      <c r="C69" t="s">
        <v>18</v>
      </c>
      <c r="D69" t="s">
        <v>20</v>
      </c>
      <c r="E69" s="29">
        <v>46207</v>
      </c>
      <c r="F69" t="s">
        <v>5</v>
      </c>
      <c r="G69" s="28">
        <v>0.77569444444444446</v>
      </c>
      <c r="H69" s="28">
        <v>0.77569444444444446</v>
      </c>
      <c r="I69">
        <v>0</v>
      </c>
      <c r="J69" t="s">
        <v>174</v>
      </c>
      <c r="K69">
        <v>0</v>
      </c>
      <c r="L69" t="s">
        <v>339</v>
      </c>
      <c r="M69" t="s">
        <v>187</v>
      </c>
      <c r="N69" t="s">
        <v>188</v>
      </c>
      <c r="O69" t="s">
        <v>189</v>
      </c>
      <c r="P69" t="s">
        <v>190</v>
      </c>
    </row>
    <row r="70" spans="1:16" x14ac:dyDescent="0.35">
      <c r="A70" t="s">
        <v>93</v>
      </c>
      <c r="B70">
        <v>1322845164</v>
      </c>
      <c r="C70" t="s">
        <v>18</v>
      </c>
      <c r="D70" t="s">
        <v>20</v>
      </c>
      <c r="E70" s="29">
        <v>46207</v>
      </c>
      <c r="F70" t="s">
        <v>5</v>
      </c>
      <c r="G70" s="28">
        <v>0.78263888888888888</v>
      </c>
      <c r="H70" s="28">
        <v>0.78263888888888888</v>
      </c>
      <c r="I70">
        <v>0</v>
      </c>
      <c r="J70" t="s">
        <v>174</v>
      </c>
      <c r="K70">
        <v>0</v>
      </c>
      <c r="L70" t="s">
        <v>340</v>
      </c>
      <c r="M70" t="s">
        <v>341</v>
      </c>
      <c r="N70" t="s">
        <v>342</v>
      </c>
      <c r="O70" t="s">
        <v>343</v>
      </c>
      <c r="P70" t="s">
        <v>344</v>
      </c>
    </row>
    <row r="71" spans="1:16" x14ac:dyDescent="0.35">
      <c r="A71" t="s">
        <v>93</v>
      </c>
      <c r="B71">
        <v>1322845164</v>
      </c>
      <c r="C71" t="s">
        <v>18</v>
      </c>
      <c r="D71" t="s">
        <v>20</v>
      </c>
      <c r="E71" s="29">
        <v>46207</v>
      </c>
      <c r="F71" t="s">
        <v>5</v>
      </c>
      <c r="G71" s="28">
        <v>0.7895833333333333</v>
      </c>
      <c r="H71" s="28">
        <v>0.79652777777777772</v>
      </c>
      <c r="I71">
        <v>0</v>
      </c>
      <c r="J71" t="s">
        <v>146</v>
      </c>
      <c r="K71">
        <v>0</v>
      </c>
      <c r="L71" t="s">
        <v>147</v>
      </c>
      <c r="M71" t="s">
        <v>345</v>
      </c>
      <c r="N71" t="s">
        <v>346</v>
      </c>
      <c r="O71" t="s">
        <v>347</v>
      </c>
      <c r="P71" t="s">
        <v>348</v>
      </c>
    </row>
    <row r="72" spans="1:16" x14ac:dyDescent="0.35">
      <c r="A72" t="s">
        <v>93</v>
      </c>
      <c r="B72">
        <v>1322845164</v>
      </c>
      <c r="C72" t="s">
        <v>18</v>
      </c>
      <c r="D72" t="s">
        <v>20</v>
      </c>
      <c r="E72" s="29">
        <v>46208</v>
      </c>
      <c r="F72" t="s">
        <v>6</v>
      </c>
      <c r="G72" s="28">
        <v>0.37986111111111109</v>
      </c>
      <c r="H72" s="28">
        <v>0.37986111111111109</v>
      </c>
      <c r="I72">
        <v>0</v>
      </c>
      <c r="J72" t="s">
        <v>174</v>
      </c>
      <c r="K72">
        <v>0</v>
      </c>
      <c r="L72" t="s">
        <v>349</v>
      </c>
      <c r="M72" t="s">
        <v>350</v>
      </c>
      <c r="N72" t="s">
        <v>351</v>
      </c>
      <c r="O72" t="s">
        <v>352</v>
      </c>
      <c r="P72" t="s">
        <v>353</v>
      </c>
    </row>
    <row r="73" spans="1:16" x14ac:dyDescent="0.35">
      <c r="A73" t="s">
        <v>93</v>
      </c>
      <c r="B73">
        <v>1322845164</v>
      </c>
      <c r="C73" t="s">
        <v>18</v>
      </c>
      <c r="D73" t="s">
        <v>20</v>
      </c>
      <c r="E73" s="29">
        <v>46208</v>
      </c>
      <c r="F73" t="s">
        <v>6</v>
      </c>
      <c r="G73" s="28">
        <v>0.38680555555555557</v>
      </c>
      <c r="H73" s="28">
        <v>0.38680555555555557</v>
      </c>
      <c r="I73">
        <v>0</v>
      </c>
      <c r="J73" t="s">
        <v>174</v>
      </c>
      <c r="K73">
        <v>0</v>
      </c>
      <c r="L73" t="s">
        <v>349</v>
      </c>
      <c r="M73" t="s">
        <v>354</v>
      </c>
      <c r="N73" t="s">
        <v>355</v>
      </c>
      <c r="O73" t="s">
        <v>356</v>
      </c>
      <c r="P73" t="s">
        <v>357</v>
      </c>
    </row>
    <row r="74" spans="1:16" x14ac:dyDescent="0.35">
      <c r="A74" t="s">
        <v>93</v>
      </c>
      <c r="B74">
        <v>1322845164</v>
      </c>
      <c r="C74" t="s">
        <v>18</v>
      </c>
      <c r="D74" t="s">
        <v>20</v>
      </c>
      <c r="E74" s="29">
        <v>46208</v>
      </c>
      <c r="F74" t="s">
        <v>6</v>
      </c>
      <c r="G74" s="28">
        <v>0.39374999999999999</v>
      </c>
      <c r="H74" s="28">
        <v>0.39374999999999999</v>
      </c>
      <c r="I74">
        <v>0</v>
      </c>
      <c r="J74" t="s">
        <v>174</v>
      </c>
      <c r="K74">
        <v>0</v>
      </c>
      <c r="L74" t="s">
        <v>358</v>
      </c>
      <c r="M74" t="s">
        <v>350</v>
      </c>
      <c r="N74" t="s">
        <v>351</v>
      </c>
      <c r="O74" t="s">
        <v>352</v>
      </c>
      <c r="P74" t="s">
        <v>353</v>
      </c>
    </row>
    <row r="75" spans="1:16" x14ac:dyDescent="0.35">
      <c r="A75" t="s">
        <v>93</v>
      </c>
      <c r="B75">
        <v>1322845164</v>
      </c>
      <c r="C75" t="s">
        <v>18</v>
      </c>
      <c r="D75" t="s">
        <v>20</v>
      </c>
      <c r="E75" s="29">
        <v>46208</v>
      </c>
      <c r="F75" t="s">
        <v>6</v>
      </c>
      <c r="G75" s="28">
        <v>0.40069444444444446</v>
      </c>
      <c r="H75" s="28">
        <v>0.40069444444444446</v>
      </c>
      <c r="I75">
        <v>0</v>
      </c>
      <c r="J75" t="s">
        <v>174</v>
      </c>
      <c r="K75">
        <v>0</v>
      </c>
      <c r="L75" t="s">
        <v>359</v>
      </c>
      <c r="M75" t="s">
        <v>360</v>
      </c>
      <c r="N75" t="s">
        <v>361</v>
      </c>
      <c r="O75" t="s">
        <v>362</v>
      </c>
      <c r="P75" t="s">
        <v>363</v>
      </c>
    </row>
    <row r="76" spans="1:16" x14ac:dyDescent="0.35">
      <c r="A76" t="s">
        <v>93</v>
      </c>
      <c r="B76">
        <v>1322845164</v>
      </c>
      <c r="C76" t="s">
        <v>18</v>
      </c>
      <c r="D76" t="s">
        <v>20</v>
      </c>
      <c r="E76" s="29">
        <v>46208</v>
      </c>
      <c r="F76" t="s">
        <v>6</v>
      </c>
      <c r="G76" s="28">
        <v>0.40763888888888888</v>
      </c>
      <c r="H76" s="28">
        <v>0.41458333333333336</v>
      </c>
      <c r="I76">
        <v>0</v>
      </c>
      <c r="J76" t="s">
        <v>146</v>
      </c>
      <c r="K76">
        <v>1</v>
      </c>
      <c r="L76" t="s">
        <v>147</v>
      </c>
      <c r="M76" t="s">
        <v>170</v>
      </c>
      <c r="N76" t="s">
        <v>171</v>
      </c>
      <c r="O76" t="s">
        <v>172</v>
      </c>
      <c r="P76" t="s">
        <v>173</v>
      </c>
    </row>
    <row r="77" spans="1:16" x14ac:dyDescent="0.35">
      <c r="A77" t="s">
        <v>93</v>
      </c>
      <c r="B77">
        <v>1322845164</v>
      </c>
      <c r="C77" t="s">
        <v>18</v>
      </c>
      <c r="D77" t="s">
        <v>20</v>
      </c>
      <c r="E77" s="29">
        <v>46208</v>
      </c>
      <c r="F77" t="s">
        <v>6</v>
      </c>
      <c r="G77" s="28">
        <v>0.42152777777777778</v>
      </c>
      <c r="H77" s="28">
        <v>0.44236111111111109</v>
      </c>
      <c r="I77">
        <v>0</v>
      </c>
      <c r="J77" t="s">
        <v>146</v>
      </c>
      <c r="K77">
        <v>2</v>
      </c>
      <c r="L77" t="s">
        <v>147</v>
      </c>
      <c r="M77" t="s">
        <v>166</v>
      </c>
      <c r="N77" t="s">
        <v>167</v>
      </c>
      <c r="O77" t="s">
        <v>168</v>
      </c>
      <c r="P77" t="s">
        <v>169</v>
      </c>
    </row>
    <row r="78" spans="1:16" x14ac:dyDescent="0.35">
      <c r="A78" t="s">
        <v>93</v>
      </c>
      <c r="B78">
        <v>1322845164</v>
      </c>
      <c r="C78" t="s">
        <v>18</v>
      </c>
      <c r="D78" t="s">
        <v>20</v>
      </c>
      <c r="E78" s="29">
        <v>46208</v>
      </c>
      <c r="F78" t="s">
        <v>6</v>
      </c>
      <c r="G78" s="28">
        <v>0.44930555555555557</v>
      </c>
      <c r="H78" s="28">
        <v>0.47708333333333336</v>
      </c>
      <c r="I78">
        <v>1</v>
      </c>
      <c r="J78" t="s">
        <v>146</v>
      </c>
      <c r="K78">
        <v>2</v>
      </c>
      <c r="L78" t="s">
        <v>147</v>
      </c>
      <c r="M78" t="s">
        <v>170</v>
      </c>
      <c r="N78" t="s">
        <v>171</v>
      </c>
      <c r="O78" t="s">
        <v>172</v>
      </c>
      <c r="P78" t="s">
        <v>173</v>
      </c>
    </row>
    <row r="79" spans="1:16" x14ac:dyDescent="0.35">
      <c r="A79" t="s">
        <v>93</v>
      </c>
      <c r="B79">
        <v>1322845164</v>
      </c>
      <c r="C79" t="s">
        <v>18</v>
      </c>
      <c r="D79" t="s">
        <v>20</v>
      </c>
      <c r="E79" s="29">
        <v>46208</v>
      </c>
      <c r="F79" t="s">
        <v>6</v>
      </c>
      <c r="G79" s="28">
        <v>0.48402777777777778</v>
      </c>
      <c r="H79" s="28">
        <v>0.50486111111111109</v>
      </c>
      <c r="I79">
        <v>0</v>
      </c>
      <c r="J79" t="s">
        <v>146</v>
      </c>
      <c r="K79">
        <v>2</v>
      </c>
      <c r="L79" t="s">
        <v>147</v>
      </c>
      <c r="M79" t="s">
        <v>166</v>
      </c>
      <c r="N79" t="s">
        <v>167</v>
      </c>
      <c r="O79" t="s">
        <v>168</v>
      </c>
      <c r="P79" t="s">
        <v>169</v>
      </c>
    </row>
    <row r="80" spans="1:16" x14ac:dyDescent="0.35">
      <c r="A80" t="s">
        <v>93</v>
      </c>
      <c r="B80">
        <v>1322845164</v>
      </c>
      <c r="C80" t="s">
        <v>18</v>
      </c>
      <c r="D80" t="s">
        <v>20</v>
      </c>
      <c r="E80" s="29">
        <v>46208</v>
      </c>
      <c r="F80" t="s">
        <v>6</v>
      </c>
      <c r="G80" s="28">
        <v>0.51180555555555551</v>
      </c>
      <c r="H80" s="28">
        <v>0.51180555555555551</v>
      </c>
      <c r="I80">
        <v>0</v>
      </c>
      <c r="J80" t="s">
        <v>174</v>
      </c>
      <c r="K80">
        <v>0</v>
      </c>
      <c r="L80" t="s">
        <v>359</v>
      </c>
      <c r="M80" t="s">
        <v>170</v>
      </c>
      <c r="N80" t="s">
        <v>171</v>
      </c>
      <c r="O80" t="s">
        <v>172</v>
      </c>
      <c r="P80" t="s">
        <v>173</v>
      </c>
    </row>
    <row r="81" spans="1:16" x14ac:dyDescent="0.35">
      <c r="A81" t="s">
        <v>93</v>
      </c>
      <c r="B81">
        <v>1322845164</v>
      </c>
      <c r="C81" t="s">
        <v>18</v>
      </c>
      <c r="D81" t="s">
        <v>20</v>
      </c>
      <c r="E81" s="29">
        <v>46208</v>
      </c>
      <c r="F81" t="s">
        <v>6</v>
      </c>
      <c r="G81" s="28">
        <v>0.51875000000000004</v>
      </c>
      <c r="H81" s="28">
        <v>0.51875000000000004</v>
      </c>
      <c r="I81">
        <v>0</v>
      </c>
      <c r="J81" t="s">
        <v>174</v>
      </c>
      <c r="K81">
        <v>0</v>
      </c>
      <c r="L81" t="s">
        <v>222</v>
      </c>
      <c r="M81" t="s">
        <v>360</v>
      </c>
      <c r="N81" t="s">
        <v>361</v>
      </c>
      <c r="O81" t="s">
        <v>362</v>
      </c>
      <c r="P81" t="s">
        <v>363</v>
      </c>
    </row>
    <row r="82" spans="1:16" x14ac:dyDescent="0.35">
      <c r="A82" t="s">
        <v>93</v>
      </c>
      <c r="B82">
        <v>1322845164</v>
      </c>
      <c r="C82" t="s">
        <v>18</v>
      </c>
      <c r="D82" t="s">
        <v>20</v>
      </c>
      <c r="E82" s="29">
        <v>46208</v>
      </c>
      <c r="F82" t="s">
        <v>6</v>
      </c>
      <c r="G82" s="28">
        <v>0.52569444444444446</v>
      </c>
      <c r="H82" s="28">
        <v>0.53263888888888888</v>
      </c>
      <c r="I82">
        <v>0</v>
      </c>
      <c r="J82" t="s">
        <v>146</v>
      </c>
      <c r="K82">
        <v>0</v>
      </c>
      <c r="L82" t="s">
        <v>147</v>
      </c>
      <c r="M82" t="s">
        <v>166</v>
      </c>
      <c r="N82" t="s">
        <v>167</v>
      </c>
      <c r="O82" t="s">
        <v>168</v>
      </c>
      <c r="P82" t="s">
        <v>169</v>
      </c>
    </row>
    <row r="83" spans="1:16" x14ac:dyDescent="0.35">
      <c r="A83" t="s">
        <v>93</v>
      </c>
      <c r="B83">
        <v>1322845164</v>
      </c>
      <c r="C83" t="s">
        <v>18</v>
      </c>
      <c r="D83" t="s">
        <v>20</v>
      </c>
      <c r="E83" s="29">
        <v>46208</v>
      </c>
      <c r="F83" t="s">
        <v>6</v>
      </c>
      <c r="G83" s="28">
        <v>0.5395833333333333</v>
      </c>
      <c r="H83" s="28">
        <v>0.54652777777777772</v>
      </c>
      <c r="I83">
        <v>0</v>
      </c>
      <c r="J83" t="s">
        <v>146</v>
      </c>
      <c r="K83">
        <v>0</v>
      </c>
      <c r="L83" t="s">
        <v>147</v>
      </c>
      <c r="M83" t="s">
        <v>170</v>
      </c>
      <c r="N83" t="s">
        <v>171</v>
      </c>
      <c r="O83" t="s">
        <v>172</v>
      </c>
      <c r="P83" t="s">
        <v>173</v>
      </c>
    </row>
    <row r="84" spans="1:16" x14ac:dyDescent="0.35">
      <c r="A84" t="s">
        <v>93</v>
      </c>
      <c r="B84">
        <v>1322845164</v>
      </c>
      <c r="C84" t="s">
        <v>18</v>
      </c>
      <c r="D84" t="s">
        <v>20</v>
      </c>
      <c r="E84" s="29">
        <v>46208</v>
      </c>
      <c r="F84" t="s">
        <v>6</v>
      </c>
      <c r="G84" s="28">
        <v>0.55347222222222225</v>
      </c>
      <c r="H84" s="28">
        <v>0.59513888888888888</v>
      </c>
      <c r="I84">
        <v>1</v>
      </c>
      <c r="J84" t="s">
        <v>146</v>
      </c>
      <c r="K84">
        <v>3</v>
      </c>
      <c r="L84" t="s">
        <v>147</v>
      </c>
      <c r="M84" t="s">
        <v>166</v>
      </c>
      <c r="N84" t="s">
        <v>167</v>
      </c>
      <c r="O84" t="s">
        <v>168</v>
      </c>
      <c r="P84" t="s">
        <v>169</v>
      </c>
    </row>
    <row r="85" spans="1:16" x14ac:dyDescent="0.35">
      <c r="A85" t="s">
        <v>93</v>
      </c>
      <c r="B85">
        <v>1322845164</v>
      </c>
      <c r="C85" t="s">
        <v>18</v>
      </c>
      <c r="D85" t="s">
        <v>20</v>
      </c>
      <c r="E85" s="29">
        <v>46208</v>
      </c>
      <c r="F85" t="s">
        <v>6</v>
      </c>
      <c r="G85" s="28">
        <v>0.6020833333333333</v>
      </c>
      <c r="H85" s="28">
        <v>0.62291666666666667</v>
      </c>
      <c r="I85">
        <v>1</v>
      </c>
      <c r="J85" t="s">
        <v>146</v>
      </c>
      <c r="K85">
        <v>2</v>
      </c>
      <c r="L85" t="s">
        <v>147</v>
      </c>
      <c r="M85" t="s">
        <v>170</v>
      </c>
      <c r="N85" t="s">
        <v>171</v>
      </c>
      <c r="O85" t="s">
        <v>172</v>
      </c>
      <c r="P85" t="s">
        <v>173</v>
      </c>
    </row>
    <row r="86" spans="1:16" x14ac:dyDescent="0.35">
      <c r="A86" t="s">
        <v>93</v>
      </c>
      <c r="B86">
        <v>1322845164</v>
      </c>
      <c r="C86" t="s">
        <v>18</v>
      </c>
      <c r="D86" t="s">
        <v>20</v>
      </c>
      <c r="E86" s="29">
        <v>46208</v>
      </c>
      <c r="F86" t="s">
        <v>6</v>
      </c>
      <c r="G86" s="28">
        <v>0.62986111111111109</v>
      </c>
      <c r="H86" s="28">
        <v>0.62986111111111109</v>
      </c>
      <c r="I86">
        <v>0</v>
      </c>
      <c r="J86" t="s">
        <v>174</v>
      </c>
      <c r="K86">
        <v>0</v>
      </c>
      <c r="L86" t="s">
        <v>332</v>
      </c>
      <c r="M86" t="s">
        <v>364</v>
      </c>
      <c r="N86" t="s">
        <v>365</v>
      </c>
      <c r="O86" t="s">
        <v>366</v>
      </c>
      <c r="P86" t="s">
        <v>367</v>
      </c>
    </row>
    <row r="87" spans="1:16" x14ac:dyDescent="0.35">
      <c r="A87" t="s">
        <v>93</v>
      </c>
      <c r="B87">
        <v>1322845164</v>
      </c>
      <c r="C87" t="s">
        <v>18</v>
      </c>
      <c r="D87" t="s">
        <v>20</v>
      </c>
      <c r="E87" s="29">
        <v>46208</v>
      </c>
      <c r="F87" t="s">
        <v>6</v>
      </c>
      <c r="G87" s="28">
        <v>0.63680555555555551</v>
      </c>
      <c r="H87" s="28">
        <v>0.63680555555555551</v>
      </c>
      <c r="I87">
        <v>0</v>
      </c>
      <c r="J87" t="s">
        <v>174</v>
      </c>
      <c r="K87">
        <v>0</v>
      </c>
      <c r="L87" t="s">
        <v>368</v>
      </c>
      <c r="M87" t="s">
        <v>182</v>
      </c>
      <c r="N87" t="s">
        <v>183</v>
      </c>
      <c r="O87" t="s">
        <v>184</v>
      </c>
      <c r="P87" t="s">
        <v>185</v>
      </c>
    </row>
    <row r="88" spans="1:16" x14ac:dyDescent="0.35">
      <c r="A88" t="s">
        <v>93</v>
      </c>
      <c r="B88">
        <v>1322845164</v>
      </c>
      <c r="C88" t="s">
        <v>18</v>
      </c>
      <c r="D88" t="s">
        <v>20</v>
      </c>
      <c r="E88" s="29">
        <v>46208</v>
      </c>
      <c r="F88" t="s">
        <v>6</v>
      </c>
      <c r="G88" s="28">
        <v>0.64375000000000004</v>
      </c>
      <c r="H88" s="28">
        <v>0.69930555555555551</v>
      </c>
      <c r="I88">
        <v>1</v>
      </c>
      <c r="J88" t="s">
        <v>146</v>
      </c>
      <c r="K88">
        <v>4</v>
      </c>
      <c r="L88" t="s">
        <v>147</v>
      </c>
      <c r="M88" t="s">
        <v>218</v>
      </c>
      <c r="N88" t="s">
        <v>219</v>
      </c>
      <c r="O88" t="s">
        <v>220</v>
      </c>
      <c r="P88" t="s">
        <v>221</v>
      </c>
    </row>
    <row r="89" spans="1:16" x14ac:dyDescent="0.35">
      <c r="A89" t="s">
        <v>93</v>
      </c>
      <c r="B89">
        <v>1322845164</v>
      </c>
      <c r="C89" t="s">
        <v>18</v>
      </c>
      <c r="D89" t="s">
        <v>20</v>
      </c>
      <c r="E89" s="29">
        <v>46208</v>
      </c>
      <c r="F89" t="s">
        <v>6</v>
      </c>
      <c r="G89" s="28">
        <v>0.70625000000000004</v>
      </c>
      <c r="H89" s="28">
        <v>0.71319444444444446</v>
      </c>
      <c r="I89">
        <v>0</v>
      </c>
      <c r="J89" t="s">
        <v>146</v>
      </c>
      <c r="K89">
        <v>0</v>
      </c>
      <c r="L89" t="s">
        <v>147</v>
      </c>
      <c r="M89" t="s">
        <v>241</v>
      </c>
      <c r="N89" t="s">
        <v>242</v>
      </c>
      <c r="O89" t="s">
        <v>243</v>
      </c>
      <c r="P89" t="s">
        <v>244</v>
      </c>
    </row>
    <row r="90" spans="1:16" x14ac:dyDescent="0.35">
      <c r="A90" t="s">
        <v>93</v>
      </c>
      <c r="B90">
        <v>1322845164</v>
      </c>
      <c r="C90" t="s">
        <v>18</v>
      </c>
      <c r="D90" t="s">
        <v>20</v>
      </c>
      <c r="E90" s="29">
        <v>46208</v>
      </c>
      <c r="F90" t="s">
        <v>6</v>
      </c>
      <c r="G90" s="28">
        <v>0.72013888888888888</v>
      </c>
      <c r="H90" s="28">
        <v>0.78263888888888888</v>
      </c>
      <c r="I90">
        <v>2</v>
      </c>
      <c r="J90" t="s">
        <v>146</v>
      </c>
      <c r="K90">
        <v>4</v>
      </c>
      <c r="L90" t="s">
        <v>147</v>
      </c>
      <c r="M90" t="s">
        <v>218</v>
      </c>
      <c r="N90" t="s">
        <v>219</v>
      </c>
      <c r="O90" t="s">
        <v>220</v>
      </c>
      <c r="P90" t="s">
        <v>221</v>
      </c>
    </row>
    <row r="91" spans="1:16" x14ac:dyDescent="0.35">
      <c r="A91" t="s">
        <v>93</v>
      </c>
      <c r="B91">
        <v>1322845164</v>
      </c>
      <c r="C91" t="s">
        <v>18</v>
      </c>
      <c r="D91" t="s">
        <v>20</v>
      </c>
      <c r="E91" s="29">
        <v>46208</v>
      </c>
      <c r="F91" t="s">
        <v>6</v>
      </c>
      <c r="G91" s="28">
        <v>0.7895833333333333</v>
      </c>
      <c r="H91" s="28">
        <v>0.80347222222222225</v>
      </c>
      <c r="I91">
        <v>0</v>
      </c>
      <c r="J91" t="s">
        <v>146</v>
      </c>
      <c r="K91">
        <v>1</v>
      </c>
      <c r="L91" t="s">
        <v>147</v>
      </c>
      <c r="M91" t="s">
        <v>241</v>
      </c>
      <c r="N91" t="s">
        <v>242</v>
      </c>
      <c r="O91" t="s">
        <v>243</v>
      </c>
      <c r="P91" t="s">
        <v>244</v>
      </c>
    </row>
    <row r="92" spans="1:16" x14ac:dyDescent="0.35">
      <c r="A92" t="s">
        <v>82</v>
      </c>
      <c r="B92">
        <v>1322845167</v>
      </c>
      <c r="C92" t="s">
        <v>19</v>
      </c>
      <c r="D92" t="s">
        <v>20</v>
      </c>
      <c r="E92" s="29">
        <v>46204</v>
      </c>
      <c r="F92" t="s">
        <v>3</v>
      </c>
      <c r="G92" s="28">
        <v>0.41944444444444445</v>
      </c>
      <c r="H92" s="28">
        <v>0.41944444444444445</v>
      </c>
      <c r="I92">
        <v>0</v>
      </c>
      <c r="J92" t="s">
        <v>174</v>
      </c>
      <c r="K92">
        <v>0</v>
      </c>
      <c r="L92" t="s">
        <v>369</v>
      </c>
      <c r="M92" t="s">
        <v>370</v>
      </c>
      <c r="N92" t="s">
        <v>371</v>
      </c>
      <c r="O92" t="s">
        <v>372</v>
      </c>
      <c r="P92" t="s">
        <v>373</v>
      </c>
    </row>
    <row r="93" spans="1:16" x14ac:dyDescent="0.35">
      <c r="A93" t="s">
        <v>82</v>
      </c>
      <c r="B93">
        <v>1322845167</v>
      </c>
      <c r="C93" t="s">
        <v>19</v>
      </c>
      <c r="D93" t="s">
        <v>20</v>
      </c>
      <c r="E93" s="29">
        <v>46204</v>
      </c>
      <c r="F93" t="s">
        <v>3</v>
      </c>
      <c r="G93" s="28">
        <v>0.42638888888888887</v>
      </c>
      <c r="H93" s="28">
        <v>0.42638888888888887</v>
      </c>
      <c r="I93">
        <v>0</v>
      </c>
      <c r="J93" t="s">
        <v>174</v>
      </c>
      <c r="K93">
        <v>0</v>
      </c>
      <c r="L93" t="s">
        <v>374</v>
      </c>
      <c r="M93" t="s">
        <v>375</v>
      </c>
      <c r="N93" t="s">
        <v>376</v>
      </c>
      <c r="O93" t="s">
        <v>377</v>
      </c>
      <c r="P93" t="s">
        <v>378</v>
      </c>
    </row>
    <row r="94" spans="1:16" x14ac:dyDescent="0.35">
      <c r="A94" t="s">
        <v>82</v>
      </c>
      <c r="B94">
        <v>1322845167</v>
      </c>
      <c r="C94" t="s">
        <v>19</v>
      </c>
      <c r="D94" t="s">
        <v>20</v>
      </c>
      <c r="E94" s="29">
        <v>46204</v>
      </c>
      <c r="F94" t="s">
        <v>3</v>
      </c>
      <c r="G94" s="28">
        <v>0.43333333333333335</v>
      </c>
      <c r="H94" s="28">
        <v>0.43333333333333335</v>
      </c>
      <c r="I94">
        <v>0</v>
      </c>
      <c r="J94" t="s">
        <v>174</v>
      </c>
      <c r="K94">
        <v>0</v>
      </c>
      <c r="L94" t="s">
        <v>379</v>
      </c>
      <c r="M94" t="s">
        <v>380</v>
      </c>
      <c r="N94" t="s">
        <v>381</v>
      </c>
      <c r="O94" t="s">
        <v>382</v>
      </c>
      <c r="P94" t="s">
        <v>383</v>
      </c>
    </row>
    <row r="95" spans="1:16" x14ac:dyDescent="0.35">
      <c r="A95" t="s">
        <v>82</v>
      </c>
      <c r="B95">
        <v>1322845167</v>
      </c>
      <c r="C95" t="s">
        <v>19</v>
      </c>
      <c r="D95" t="s">
        <v>20</v>
      </c>
      <c r="E95" s="29">
        <v>46204</v>
      </c>
      <c r="F95" t="s">
        <v>3</v>
      </c>
      <c r="G95" s="28">
        <v>0.44027777777777777</v>
      </c>
      <c r="H95" s="28">
        <v>0.44027777777777777</v>
      </c>
      <c r="I95">
        <v>0</v>
      </c>
      <c r="J95" t="s">
        <v>174</v>
      </c>
      <c r="K95">
        <v>0</v>
      </c>
      <c r="L95" t="s">
        <v>384</v>
      </c>
      <c r="M95" t="s">
        <v>385</v>
      </c>
      <c r="N95" t="s">
        <v>386</v>
      </c>
      <c r="O95" t="s">
        <v>387</v>
      </c>
      <c r="P95" t="s">
        <v>388</v>
      </c>
    </row>
    <row r="96" spans="1:16" x14ac:dyDescent="0.35">
      <c r="A96" t="s">
        <v>82</v>
      </c>
      <c r="B96">
        <v>1322845167</v>
      </c>
      <c r="C96" t="s">
        <v>19</v>
      </c>
      <c r="D96" t="s">
        <v>20</v>
      </c>
      <c r="E96" s="29">
        <v>46204</v>
      </c>
      <c r="F96" t="s">
        <v>3</v>
      </c>
      <c r="G96" s="28">
        <v>0.44722222222222224</v>
      </c>
      <c r="H96" s="28">
        <v>0.44722222222222224</v>
      </c>
      <c r="I96">
        <v>0</v>
      </c>
      <c r="J96" t="s">
        <v>174</v>
      </c>
      <c r="K96">
        <v>0</v>
      </c>
      <c r="L96" t="s">
        <v>389</v>
      </c>
      <c r="M96" t="s">
        <v>390</v>
      </c>
      <c r="N96" t="s">
        <v>391</v>
      </c>
      <c r="O96" t="s">
        <v>392</v>
      </c>
      <c r="P96" t="s">
        <v>393</v>
      </c>
    </row>
    <row r="97" spans="1:16" x14ac:dyDescent="0.35">
      <c r="A97" t="s">
        <v>82</v>
      </c>
      <c r="B97">
        <v>1322845167</v>
      </c>
      <c r="C97" t="s">
        <v>19</v>
      </c>
      <c r="D97" t="s">
        <v>20</v>
      </c>
      <c r="E97" s="29">
        <v>46204</v>
      </c>
      <c r="F97" t="s">
        <v>3</v>
      </c>
      <c r="G97" s="28">
        <v>0.45416666666666666</v>
      </c>
      <c r="H97" s="28">
        <v>0.45416666666666666</v>
      </c>
      <c r="I97">
        <v>0</v>
      </c>
      <c r="J97" t="s">
        <v>174</v>
      </c>
      <c r="K97">
        <v>0</v>
      </c>
      <c r="L97" t="s">
        <v>394</v>
      </c>
      <c r="M97" t="s">
        <v>395</v>
      </c>
      <c r="N97" t="s">
        <v>396</v>
      </c>
      <c r="O97" t="s">
        <v>397</v>
      </c>
      <c r="P97" t="s">
        <v>398</v>
      </c>
    </row>
    <row r="98" spans="1:16" x14ac:dyDescent="0.35">
      <c r="A98" t="s">
        <v>82</v>
      </c>
      <c r="B98">
        <v>1322845167</v>
      </c>
      <c r="C98" t="s">
        <v>19</v>
      </c>
      <c r="D98" t="s">
        <v>20</v>
      </c>
      <c r="E98" s="29">
        <v>46204</v>
      </c>
      <c r="F98" t="s">
        <v>3</v>
      </c>
      <c r="G98" s="28">
        <v>0.46111111111111114</v>
      </c>
      <c r="H98" s="28">
        <v>0.46111111111111114</v>
      </c>
      <c r="I98">
        <v>0</v>
      </c>
      <c r="J98" t="s">
        <v>174</v>
      </c>
      <c r="K98">
        <v>0</v>
      </c>
      <c r="L98" t="s">
        <v>399</v>
      </c>
      <c r="M98" t="s">
        <v>400</v>
      </c>
      <c r="N98" t="s">
        <v>401</v>
      </c>
      <c r="O98" t="s">
        <v>402</v>
      </c>
      <c r="P98" t="s">
        <v>403</v>
      </c>
    </row>
    <row r="99" spans="1:16" x14ac:dyDescent="0.35">
      <c r="A99" t="s">
        <v>82</v>
      </c>
      <c r="B99">
        <v>1322845167</v>
      </c>
      <c r="C99" t="s">
        <v>19</v>
      </c>
      <c r="D99" t="s">
        <v>20</v>
      </c>
      <c r="E99" s="29">
        <v>46204</v>
      </c>
      <c r="F99" t="s">
        <v>3</v>
      </c>
      <c r="G99" s="28">
        <v>0.46805555555555556</v>
      </c>
      <c r="H99" s="28">
        <v>0.46805555555555556</v>
      </c>
      <c r="I99">
        <v>0</v>
      </c>
      <c r="J99" t="s">
        <v>174</v>
      </c>
      <c r="K99">
        <v>0</v>
      </c>
      <c r="L99" t="s">
        <v>404</v>
      </c>
      <c r="M99" t="s">
        <v>405</v>
      </c>
      <c r="N99" t="s">
        <v>406</v>
      </c>
      <c r="O99" t="s">
        <v>407</v>
      </c>
      <c r="P99" t="s">
        <v>408</v>
      </c>
    </row>
    <row r="100" spans="1:16" x14ac:dyDescent="0.35">
      <c r="A100" t="s">
        <v>82</v>
      </c>
      <c r="B100">
        <v>1322845167</v>
      </c>
      <c r="C100" t="s">
        <v>19</v>
      </c>
      <c r="D100" t="s">
        <v>20</v>
      </c>
      <c r="E100" s="29">
        <v>46204</v>
      </c>
      <c r="F100" t="s">
        <v>3</v>
      </c>
      <c r="G100" s="28">
        <v>0.47499999999999998</v>
      </c>
      <c r="H100" s="28">
        <v>0.47499999999999998</v>
      </c>
      <c r="I100">
        <v>0</v>
      </c>
      <c r="J100" t="s">
        <v>174</v>
      </c>
      <c r="K100">
        <v>0</v>
      </c>
      <c r="L100" t="s">
        <v>409</v>
      </c>
      <c r="M100" t="s">
        <v>410</v>
      </c>
      <c r="N100" t="s">
        <v>411</v>
      </c>
      <c r="O100" t="s">
        <v>412</v>
      </c>
      <c r="P100" t="s">
        <v>413</v>
      </c>
    </row>
    <row r="101" spans="1:16" x14ac:dyDescent="0.35">
      <c r="A101" t="s">
        <v>82</v>
      </c>
      <c r="B101">
        <v>1322845167</v>
      </c>
      <c r="C101" t="s">
        <v>19</v>
      </c>
      <c r="D101" t="s">
        <v>20</v>
      </c>
      <c r="E101" s="29">
        <v>46204</v>
      </c>
      <c r="F101" t="s">
        <v>3</v>
      </c>
      <c r="G101" s="28">
        <v>0.48125000000000001</v>
      </c>
      <c r="H101" s="28">
        <v>0.6069444444444444</v>
      </c>
      <c r="I101">
        <v>3</v>
      </c>
      <c r="J101" t="s">
        <v>146</v>
      </c>
      <c r="K101">
        <v>9</v>
      </c>
      <c r="L101" t="s">
        <v>147</v>
      </c>
      <c r="M101" t="s">
        <v>414</v>
      </c>
      <c r="N101" t="s">
        <v>415</v>
      </c>
      <c r="O101" t="s">
        <v>416</v>
      </c>
      <c r="P101" t="s">
        <v>417</v>
      </c>
    </row>
    <row r="102" spans="1:16" x14ac:dyDescent="0.35">
      <c r="A102" t="s">
        <v>82</v>
      </c>
      <c r="B102">
        <v>1322845167</v>
      </c>
      <c r="C102" t="s">
        <v>19</v>
      </c>
      <c r="D102" t="s">
        <v>20</v>
      </c>
      <c r="E102" s="29">
        <v>46204</v>
      </c>
      <c r="F102" t="s">
        <v>3</v>
      </c>
      <c r="G102" s="28">
        <v>0.61388888888888893</v>
      </c>
      <c r="H102" s="28">
        <v>0.61388888888888893</v>
      </c>
      <c r="I102">
        <v>0</v>
      </c>
      <c r="J102" t="s">
        <v>174</v>
      </c>
      <c r="K102">
        <v>0</v>
      </c>
      <c r="L102" t="s">
        <v>418</v>
      </c>
      <c r="M102" t="s">
        <v>419</v>
      </c>
      <c r="N102" t="s">
        <v>420</v>
      </c>
      <c r="O102" t="s">
        <v>421</v>
      </c>
      <c r="P102" t="s">
        <v>422</v>
      </c>
    </row>
    <row r="103" spans="1:16" x14ac:dyDescent="0.35">
      <c r="A103" t="s">
        <v>82</v>
      </c>
      <c r="B103">
        <v>1322845167</v>
      </c>
      <c r="C103" t="s">
        <v>19</v>
      </c>
      <c r="D103" t="s">
        <v>20</v>
      </c>
      <c r="E103" s="29">
        <v>46204</v>
      </c>
      <c r="F103" t="s">
        <v>3</v>
      </c>
      <c r="G103" s="28">
        <v>0.62083333333333335</v>
      </c>
      <c r="H103" s="28">
        <v>0.64861111111111114</v>
      </c>
      <c r="I103">
        <v>1</v>
      </c>
      <c r="J103" t="s">
        <v>146</v>
      </c>
      <c r="K103">
        <v>2</v>
      </c>
      <c r="L103" t="s">
        <v>147</v>
      </c>
      <c r="M103" t="s">
        <v>414</v>
      </c>
      <c r="N103" t="s">
        <v>415</v>
      </c>
      <c r="O103" t="s">
        <v>416</v>
      </c>
      <c r="P103" t="s">
        <v>417</v>
      </c>
    </row>
    <row r="104" spans="1:16" x14ac:dyDescent="0.35">
      <c r="A104" t="s">
        <v>82</v>
      </c>
      <c r="B104">
        <v>1322845167</v>
      </c>
      <c r="C104" t="s">
        <v>19</v>
      </c>
      <c r="D104" t="s">
        <v>20</v>
      </c>
      <c r="E104" s="29">
        <v>46204</v>
      </c>
      <c r="F104" t="s">
        <v>3</v>
      </c>
      <c r="G104" s="28">
        <v>0.65555555555555556</v>
      </c>
      <c r="H104" s="28">
        <v>0.65555555555555556</v>
      </c>
      <c r="I104">
        <v>0</v>
      </c>
      <c r="J104" t="s">
        <v>174</v>
      </c>
      <c r="K104">
        <v>0</v>
      </c>
      <c r="L104" t="s">
        <v>423</v>
      </c>
      <c r="M104" t="s">
        <v>424</v>
      </c>
      <c r="N104" t="s">
        <v>425</v>
      </c>
      <c r="O104" t="s">
        <v>426</v>
      </c>
      <c r="P104" t="s">
        <v>427</v>
      </c>
    </row>
    <row r="105" spans="1:16" x14ac:dyDescent="0.35">
      <c r="A105" t="s">
        <v>82</v>
      </c>
      <c r="B105">
        <v>1322845167</v>
      </c>
      <c r="C105" t="s">
        <v>19</v>
      </c>
      <c r="D105" t="s">
        <v>20</v>
      </c>
      <c r="E105" s="29">
        <v>46204</v>
      </c>
      <c r="F105" t="s">
        <v>3</v>
      </c>
      <c r="G105" s="28">
        <v>0.66249999999999998</v>
      </c>
      <c r="H105" s="28">
        <v>0.7944444444444444</v>
      </c>
      <c r="I105">
        <v>3</v>
      </c>
      <c r="J105" t="s">
        <v>146</v>
      </c>
      <c r="K105">
        <v>10</v>
      </c>
      <c r="L105" t="s">
        <v>147</v>
      </c>
      <c r="M105" t="s">
        <v>414</v>
      </c>
      <c r="N105" t="s">
        <v>415</v>
      </c>
      <c r="O105" t="s">
        <v>416</v>
      </c>
      <c r="P105" t="s">
        <v>417</v>
      </c>
    </row>
    <row r="106" spans="1:16" x14ac:dyDescent="0.35">
      <c r="A106" t="s">
        <v>82</v>
      </c>
      <c r="B106">
        <v>1322845167</v>
      </c>
      <c r="C106" t="s">
        <v>19</v>
      </c>
      <c r="D106" t="s">
        <v>20</v>
      </c>
      <c r="E106" s="29">
        <v>46205</v>
      </c>
      <c r="F106" t="s">
        <v>4</v>
      </c>
      <c r="G106" s="28">
        <v>0.44722222222222224</v>
      </c>
      <c r="H106" s="28">
        <v>0.46111111111111114</v>
      </c>
      <c r="I106">
        <v>0</v>
      </c>
      <c r="J106" t="s">
        <v>146</v>
      </c>
      <c r="K106">
        <v>1</v>
      </c>
      <c r="L106" t="s">
        <v>147</v>
      </c>
      <c r="M106" t="s">
        <v>428</v>
      </c>
      <c r="N106" t="s">
        <v>429</v>
      </c>
      <c r="O106" t="s">
        <v>430</v>
      </c>
      <c r="P106" t="s">
        <v>431</v>
      </c>
    </row>
    <row r="107" spans="1:16" x14ac:dyDescent="0.35">
      <c r="A107" t="s">
        <v>82</v>
      </c>
      <c r="B107">
        <v>1322845167</v>
      </c>
      <c r="C107" t="s">
        <v>19</v>
      </c>
      <c r="D107" t="s">
        <v>20</v>
      </c>
      <c r="E107" s="29">
        <v>46205</v>
      </c>
      <c r="F107" t="s">
        <v>4</v>
      </c>
      <c r="G107" s="28">
        <v>0.46805555555555556</v>
      </c>
      <c r="H107" s="28">
        <v>0.46805555555555556</v>
      </c>
      <c r="I107">
        <v>0</v>
      </c>
      <c r="J107" t="s">
        <v>174</v>
      </c>
      <c r="K107">
        <v>0</v>
      </c>
      <c r="L107" t="s">
        <v>432</v>
      </c>
      <c r="M107" t="s">
        <v>433</v>
      </c>
      <c r="N107" t="s">
        <v>434</v>
      </c>
      <c r="O107" t="s">
        <v>435</v>
      </c>
      <c r="P107" t="s">
        <v>436</v>
      </c>
    </row>
    <row r="108" spans="1:16" x14ac:dyDescent="0.35">
      <c r="A108" t="s">
        <v>82</v>
      </c>
      <c r="B108">
        <v>1322845167</v>
      </c>
      <c r="C108" t="s">
        <v>19</v>
      </c>
      <c r="D108" t="s">
        <v>20</v>
      </c>
      <c r="E108" s="29">
        <v>46205</v>
      </c>
      <c r="F108" t="s">
        <v>4</v>
      </c>
      <c r="G108" s="28">
        <v>0.47499999999999998</v>
      </c>
      <c r="H108" s="28">
        <v>0.47499999999999998</v>
      </c>
      <c r="I108">
        <v>0</v>
      </c>
      <c r="J108" t="s">
        <v>174</v>
      </c>
      <c r="K108">
        <v>0</v>
      </c>
      <c r="L108" t="s">
        <v>437</v>
      </c>
      <c r="M108" t="s">
        <v>438</v>
      </c>
      <c r="N108" t="s">
        <v>439</v>
      </c>
      <c r="O108" t="s">
        <v>440</v>
      </c>
      <c r="P108" t="s">
        <v>441</v>
      </c>
    </row>
    <row r="109" spans="1:16" x14ac:dyDescent="0.35">
      <c r="A109" t="s">
        <v>82</v>
      </c>
      <c r="B109">
        <v>1322845167</v>
      </c>
      <c r="C109" t="s">
        <v>19</v>
      </c>
      <c r="D109" t="s">
        <v>20</v>
      </c>
      <c r="E109" s="29">
        <v>46205</v>
      </c>
      <c r="F109" t="s">
        <v>4</v>
      </c>
      <c r="G109" s="28">
        <v>0.48194444444444445</v>
      </c>
      <c r="H109" s="28">
        <v>0.48194444444444445</v>
      </c>
      <c r="I109">
        <v>0</v>
      </c>
      <c r="J109" t="s">
        <v>174</v>
      </c>
      <c r="K109">
        <v>0</v>
      </c>
      <c r="L109" t="s">
        <v>442</v>
      </c>
      <c r="M109" t="s">
        <v>443</v>
      </c>
      <c r="N109" t="s">
        <v>444</v>
      </c>
      <c r="O109" t="s">
        <v>445</v>
      </c>
      <c r="P109" t="s">
        <v>446</v>
      </c>
    </row>
    <row r="110" spans="1:16" x14ac:dyDescent="0.35">
      <c r="A110" t="s">
        <v>82</v>
      </c>
      <c r="B110">
        <v>1322845167</v>
      </c>
      <c r="C110" t="s">
        <v>19</v>
      </c>
      <c r="D110" t="s">
        <v>20</v>
      </c>
      <c r="E110" s="29">
        <v>46205</v>
      </c>
      <c r="F110" t="s">
        <v>4</v>
      </c>
      <c r="G110" s="28">
        <v>0.48888888888888887</v>
      </c>
      <c r="H110" s="28">
        <v>0.48888888888888887</v>
      </c>
      <c r="I110">
        <v>0</v>
      </c>
      <c r="J110" t="s">
        <v>174</v>
      </c>
      <c r="K110">
        <v>0</v>
      </c>
      <c r="L110" t="s">
        <v>447</v>
      </c>
      <c r="M110" t="s">
        <v>448</v>
      </c>
      <c r="N110" t="s">
        <v>449</v>
      </c>
      <c r="O110" t="s">
        <v>450</v>
      </c>
      <c r="P110" t="s">
        <v>451</v>
      </c>
    </row>
    <row r="111" spans="1:16" x14ac:dyDescent="0.35">
      <c r="A111" t="s">
        <v>82</v>
      </c>
      <c r="B111">
        <v>1322845167</v>
      </c>
      <c r="C111" t="s">
        <v>19</v>
      </c>
      <c r="D111" t="s">
        <v>20</v>
      </c>
      <c r="E111" s="29">
        <v>46205</v>
      </c>
      <c r="F111" t="s">
        <v>4</v>
      </c>
      <c r="G111" s="28">
        <v>0.49583333333333335</v>
      </c>
      <c r="H111" s="28">
        <v>0.49583333333333335</v>
      </c>
      <c r="I111">
        <v>0</v>
      </c>
      <c r="J111" t="s">
        <v>174</v>
      </c>
      <c r="K111">
        <v>0</v>
      </c>
      <c r="L111" t="s">
        <v>452</v>
      </c>
      <c r="M111" t="s">
        <v>453</v>
      </c>
      <c r="N111" t="s">
        <v>454</v>
      </c>
      <c r="O111" t="s">
        <v>455</v>
      </c>
      <c r="P111" t="s">
        <v>456</v>
      </c>
    </row>
    <row r="112" spans="1:16" x14ac:dyDescent="0.35">
      <c r="A112" t="s">
        <v>82</v>
      </c>
      <c r="B112">
        <v>1322845167</v>
      </c>
      <c r="C112" t="s">
        <v>19</v>
      </c>
      <c r="D112" t="s">
        <v>20</v>
      </c>
      <c r="E112" s="29">
        <v>46205</v>
      </c>
      <c r="F112" t="s">
        <v>4</v>
      </c>
      <c r="G112" s="28">
        <v>0.50277777777777777</v>
      </c>
      <c r="H112" s="28">
        <v>0.5444444444444444</v>
      </c>
      <c r="I112">
        <v>1</v>
      </c>
      <c r="J112" t="s">
        <v>146</v>
      </c>
      <c r="K112">
        <v>3</v>
      </c>
      <c r="L112" t="s">
        <v>147</v>
      </c>
      <c r="M112" t="s">
        <v>457</v>
      </c>
      <c r="N112" t="s">
        <v>458</v>
      </c>
      <c r="O112" t="s">
        <v>459</v>
      </c>
      <c r="P112" t="s">
        <v>460</v>
      </c>
    </row>
    <row r="113" spans="1:16" x14ac:dyDescent="0.35">
      <c r="A113" t="s">
        <v>82</v>
      </c>
      <c r="B113">
        <v>1322845167</v>
      </c>
      <c r="C113" t="s">
        <v>19</v>
      </c>
      <c r="D113" t="s">
        <v>20</v>
      </c>
      <c r="E113" s="29">
        <v>46205</v>
      </c>
      <c r="F113" t="s">
        <v>4</v>
      </c>
      <c r="G113" s="28">
        <v>0.55138888888888893</v>
      </c>
      <c r="H113" s="28">
        <v>0.55138888888888893</v>
      </c>
      <c r="I113">
        <v>0</v>
      </c>
      <c r="J113" t="s">
        <v>174</v>
      </c>
      <c r="K113">
        <v>0</v>
      </c>
      <c r="L113" t="s">
        <v>461</v>
      </c>
      <c r="M113" t="s">
        <v>462</v>
      </c>
      <c r="N113" t="s">
        <v>463</v>
      </c>
      <c r="O113" t="s">
        <v>464</v>
      </c>
      <c r="P113" t="s">
        <v>465</v>
      </c>
    </row>
    <row r="114" spans="1:16" x14ac:dyDescent="0.35">
      <c r="A114" t="s">
        <v>82</v>
      </c>
      <c r="B114">
        <v>1322845167</v>
      </c>
      <c r="C114" t="s">
        <v>19</v>
      </c>
      <c r="D114" t="s">
        <v>20</v>
      </c>
      <c r="E114" s="29">
        <v>46205</v>
      </c>
      <c r="F114" t="s">
        <v>4</v>
      </c>
      <c r="G114" s="28">
        <v>0.55833333333333335</v>
      </c>
      <c r="H114" s="28">
        <v>0.55833333333333335</v>
      </c>
      <c r="I114">
        <v>0</v>
      </c>
      <c r="J114" t="s">
        <v>174</v>
      </c>
      <c r="K114">
        <v>0</v>
      </c>
      <c r="L114" t="s">
        <v>466</v>
      </c>
      <c r="M114" t="s">
        <v>467</v>
      </c>
      <c r="N114" t="s">
        <v>468</v>
      </c>
      <c r="O114" t="s">
        <v>469</v>
      </c>
      <c r="P114" t="s">
        <v>470</v>
      </c>
    </row>
    <row r="115" spans="1:16" x14ac:dyDescent="0.35">
      <c r="A115" t="s">
        <v>82</v>
      </c>
      <c r="B115">
        <v>1322845167</v>
      </c>
      <c r="C115" t="s">
        <v>19</v>
      </c>
      <c r="D115" t="s">
        <v>20</v>
      </c>
      <c r="E115" s="29">
        <v>46205</v>
      </c>
      <c r="F115" t="s">
        <v>4</v>
      </c>
      <c r="G115" s="28">
        <v>0.56527777777777777</v>
      </c>
      <c r="H115" s="28">
        <v>0.56527777777777777</v>
      </c>
      <c r="I115">
        <v>0</v>
      </c>
      <c r="J115" t="s">
        <v>174</v>
      </c>
      <c r="K115">
        <v>0</v>
      </c>
      <c r="L115" t="s">
        <v>471</v>
      </c>
      <c r="M115" t="s">
        <v>472</v>
      </c>
      <c r="N115" t="s">
        <v>473</v>
      </c>
      <c r="O115" t="s">
        <v>474</v>
      </c>
      <c r="P115" t="s">
        <v>475</v>
      </c>
    </row>
    <row r="116" spans="1:16" x14ac:dyDescent="0.35">
      <c r="A116" t="s">
        <v>82</v>
      </c>
      <c r="B116">
        <v>1322845167</v>
      </c>
      <c r="C116" t="s">
        <v>19</v>
      </c>
      <c r="D116" t="s">
        <v>20</v>
      </c>
      <c r="E116" s="29">
        <v>46205</v>
      </c>
      <c r="F116" t="s">
        <v>4</v>
      </c>
      <c r="G116" s="28">
        <v>0.57222222222222219</v>
      </c>
      <c r="H116" s="28">
        <v>0.5854166666666667</v>
      </c>
      <c r="I116">
        <v>0</v>
      </c>
      <c r="J116" t="s">
        <v>146</v>
      </c>
      <c r="K116">
        <v>1</v>
      </c>
      <c r="L116" t="s">
        <v>147</v>
      </c>
      <c r="M116" t="s">
        <v>414</v>
      </c>
      <c r="N116" t="s">
        <v>415</v>
      </c>
      <c r="O116" t="s">
        <v>416</v>
      </c>
      <c r="P116" t="s">
        <v>417</v>
      </c>
    </row>
    <row r="117" spans="1:16" x14ac:dyDescent="0.35">
      <c r="A117" t="s">
        <v>82</v>
      </c>
      <c r="B117">
        <v>1322845167</v>
      </c>
      <c r="C117" t="s">
        <v>19</v>
      </c>
      <c r="D117" t="s">
        <v>20</v>
      </c>
      <c r="E117" s="29">
        <v>46205</v>
      </c>
      <c r="F117" t="s">
        <v>4</v>
      </c>
      <c r="G117" s="28">
        <v>0.59305555555555556</v>
      </c>
      <c r="H117" s="28">
        <v>0.59305555555555556</v>
      </c>
      <c r="I117">
        <v>0</v>
      </c>
      <c r="J117" t="s">
        <v>174</v>
      </c>
      <c r="K117">
        <v>0</v>
      </c>
      <c r="L117" t="s">
        <v>262</v>
      </c>
      <c r="M117" t="s">
        <v>476</v>
      </c>
      <c r="N117" t="s">
        <v>477</v>
      </c>
      <c r="O117" t="s">
        <v>478</v>
      </c>
      <c r="P117" t="s">
        <v>479</v>
      </c>
    </row>
    <row r="118" spans="1:16" x14ac:dyDescent="0.35">
      <c r="A118" t="s">
        <v>82</v>
      </c>
      <c r="B118">
        <v>1322845167</v>
      </c>
      <c r="C118" t="s">
        <v>19</v>
      </c>
      <c r="D118" t="s">
        <v>20</v>
      </c>
      <c r="E118" s="29">
        <v>46205</v>
      </c>
      <c r="F118" t="s">
        <v>4</v>
      </c>
      <c r="G118" s="28">
        <v>0.6</v>
      </c>
      <c r="H118" s="28">
        <v>0.66249999999999998</v>
      </c>
      <c r="I118">
        <v>2</v>
      </c>
      <c r="J118" t="s">
        <v>146</v>
      </c>
      <c r="K118">
        <v>4</v>
      </c>
      <c r="L118" t="s">
        <v>147</v>
      </c>
      <c r="M118" t="s">
        <v>414</v>
      </c>
      <c r="N118" t="s">
        <v>415</v>
      </c>
      <c r="O118" t="s">
        <v>416</v>
      </c>
      <c r="P118" t="s">
        <v>417</v>
      </c>
    </row>
    <row r="119" spans="1:16" x14ac:dyDescent="0.35">
      <c r="A119" t="s">
        <v>82</v>
      </c>
      <c r="B119">
        <v>1322845167</v>
      </c>
      <c r="C119" t="s">
        <v>19</v>
      </c>
      <c r="D119" t="s">
        <v>20</v>
      </c>
      <c r="E119" s="29">
        <v>46205</v>
      </c>
      <c r="F119" t="s">
        <v>4</v>
      </c>
      <c r="G119" s="28">
        <v>0.6694444444444444</v>
      </c>
      <c r="H119" s="28">
        <v>0.6694444444444444</v>
      </c>
      <c r="I119">
        <v>0</v>
      </c>
      <c r="J119" t="s">
        <v>174</v>
      </c>
      <c r="K119">
        <v>0</v>
      </c>
      <c r="L119" t="s">
        <v>480</v>
      </c>
      <c r="M119" t="s">
        <v>481</v>
      </c>
      <c r="N119" t="s">
        <v>482</v>
      </c>
      <c r="O119" t="s">
        <v>483</v>
      </c>
      <c r="P119" t="s">
        <v>484</v>
      </c>
    </row>
    <row r="120" spans="1:16" x14ac:dyDescent="0.35">
      <c r="A120" t="s">
        <v>82</v>
      </c>
      <c r="B120">
        <v>1322845167</v>
      </c>
      <c r="C120" t="s">
        <v>19</v>
      </c>
      <c r="D120" t="s">
        <v>20</v>
      </c>
      <c r="E120" s="29">
        <v>46205</v>
      </c>
      <c r="F120" t="s">
        <v>4</v>
      </c>
      <c r="G120" s="28">
        <v>0.67638888888888893</v>
      </c>
      <c r="H120" s="28">
        <v>0.67638888888888893</v>
      </c>
      <c r="I120">
        <v>0</v>
      </c>
      <c r="J120" t="s">
        <v>174</v>
      </c>
      <c r="K120">
        <v>0</v>
      </c>
      <c r="L120" t="s">
        <v>485</v>
      </c>
      <c r="M120" t="s">
        <v>486</v>
      </c>
      <c r="N120" t="s">
        <v>487</v>
      </c>
      <c r="O120" t="s">
        <v>488</v>
      </c>
      <c r="P120" t="s">
        <v>489</v>
      </c>
    </row>
    <row r="121" spans="1:16" x14ac:dyDescent="0.35">
      <c r="A121" t="s">
        <v>82</v>
      </c>
      <c r="B121">
        <v>1322845167</v>
      </c>
      <c r="C121" t="s">
        <v>19</v>
      </c>
      <c r="D121" t="s">
        <v>20</v>
      </c>
      <c r="E121" s="29">
        <v>46205</v>
      </c>
      <c r="F121" t="s">
        <v>4</v>
      </c>
      <c r="G121" s="28">
        <v>0.68333333333333335</v>
      </c>
      <c r="H121" s="28">
        <v>0.68333333333333335</v>
      </c>
      <c r="I121">
        <v>0</v>
      </c>
      <c r="J121" t="s">
        <v>174</v>
      </c>
      <c r="K121">
        <v>0</v>
      </c>
      <c r="L121" t="s">
        <v>490</v>
      </c>
      <c r="M121" t="s">
        <v>491</v>
      </c>
      <c r="N121" t="s">
        <v>492</v>
      </c>
      <c r="O121" t="s">
        <v>493</v>
      </c>
      <c r="P121" t="s">
        <v>494</v>
      </c>
    </row>
    <row r="122" spans="1:16" x14ac:dyDescent="0.35">
      <c r="A122" t="s">
        <v>82</v>
      </c>
      <c r="B122">
        <v>1322845167</v>
      </c>
      <c r="C122" t="s">
        <v>19</v>
      </c>
      <c r="D122" t="s">
        <v>20</v>
      </c>
      <c r="E122" s="29">
        <v>46205</v>
      </c>
      <c r="F122" t="s">
        <v>4</v>
      </c>
      <c r="G122" s="28">
        <v>0.69027777777777777</v>
      </c>
      <c r="H122" s="28">
        <v>0.69027777777777777</v>
      </c>
      <c r="I122">
        <v>0</v>
      </c>
      <c r="J122" t="s">
        <v>174</v>
      </c>
      <c r="K122">
        <v>0</v>
      </c>
      <c r="L122" t="s">
        <v>495</v>
      </c>
      <c r="M122" t="s">
        <v>496</v>
      </c>
      <c r="N122" t="s">
        <v>497</v>
      </c>
      <c r="O122" t="s">
        <v>498</v>
      </c>
      <c r="P122" t="s">
        <v>499</v>
      </c>
    </row>
    <row r="123" spans="1:16" x14ac:dyDescent="0.35">
      <c r="A123" t="s">
        <v>82</v>
      </c>
      <c r="B123">
        <v>1322845167</v>
      </c>
      <c r="C123" t="s">
        <v>19</v>
      </c>
      <c r="D123" t="s">
        <v>20</v>
      </c>
      <c r="E123" s="29">
        <v>46205</v>
      </c>
      <c r="F123" t="s">
        <v>4</v>
      </c>
      <c r="G123" s="28">
        <v>0.69722222222222219</v>
      </c>
      <c r="H123" s="28">
        <v>0.70416666666666672</v>
      </c>
      <c r="I123">
        <v>0</v>
      </c>
      <c r="J123" t="s">
        <v>146</v>
      </c>
      <c r="K123">
        <v>1</v>
      </c>
      <c r="L123" t="s">
        <v>147</v>
      </c>
      <c r="M123" t="s">
        <v>500</v>
      </c>
      <c r="N123" t="s">
        <v>501</v>
      </c>
      <c r="O123" t="s">
        <v>502</v>
      </c>
      <c r="P123" t="s">
        <v>503</v>
      </c>
    </row>
    <row r="124" spans="1:16" x14ac:dyDescent="0.35">
      <c r="A124" t="s">
        <v>82</v>
      </c>
      <c r="B124">
        <v>1322845167</v>
      </c>
      <c r="C124" t="s">
        <v>19</v>
      </c>
      <c r="D124" t="s">
        <v>20</v>
      </c>
      <c r="E124" s="29">
        <v>46205</v>
      </c>
      <c r="F124" t="s">
        <v>4</v>
      </c>
      <c r="G124" s="28">
        <v>0.71111111111111114</v>
      </c>
      <c r="H124" s="28">
        <v>0.71111111111111114</v>
      </c>
      <c r="I124">
        <v>0</v>
      </c>
      <c r="J124" t="s">
        <v>174</v>
      </c>
      <c r="K124">
        <v>0</v>
      </c>
      <c r="L124" t="s">
        <v>504</v>
      </c>
      <c r="M124" t="s">
        <v>505</v>
      </c>
      <c r="N124" t="s">
        <v>506</v>
      </c>
      <c r="O124" t="s">
        <v>507</v>
      </c>
      <c r="P124" t="s">
        <v>508</v>
      </c>
    </row>
    <row r="125" spans="1:16" x14ac:dyDescent="0.35">
      <c r="A125" t="s">
        <v>82</v>
      </c>
      <c r="B125">
        <v>1322845167</v>
      </c>
      <c r="C125" t="s">
        <v>19</v>
      </c>
      <c r="D125" t="s">
        <v>20</v>
      </c>
      <c r="E125" s="29">
        <v>46205</v>
      </c>
      <c r="F125" t="s">
        <v>4</v>
      </c>
      <c r="G125" s="28">
        <v>0.71805555555555556</v>
      </c>
      <c r="H125" s="28">
        <v>0.71805555555555556</v>
      </c>
      <c r="I125">
        <v>0</v>
      </c>
      <c r="J125" t="s">
        <v>174</v>
      </c>
      <c r="K125">
        <v>0</v>
      </c>
      <c r="L125" t="s">
        <v>509</v>
      </c>
      <c r="M125" t="s">
        <v>510</v>
      </c>
      <c r="N125" t="s">
        <v>511</v>
      </c>
      <c r="O125" t="s">
        <v>512</v>
      </c>
      <c r="P125" t="s">
        <v>513</v>
      </c>
    </row>
    <row r="126" spans="1:16" x14ac:dyDescent="0.35">
      <c r="A126" t="s">
        <v>82</v>
      </c>
      <c r="B126">
        <v>1322845167</v>
      </c>
      <c r="C126" t="s">
        <v>19</v>
      </c>
      <c r="D126" t="s">
        <v>20</v>
      </c>
      <c r="E126" s="29">
        <v>46205</v>
      </c>
      <c r="F126" t="s">
        <v>4</v>
      </c>
      <c r="G126" s="28">
        <v>0.72499999999999998</v>
      </c>
      <c r="H126" s="28">
        <v>0.72499999999999998</v>
      </c>
      <c r="I126">
        <v>0</v>
      </c>
      <c r="J126" t="s">
        <v>174</v>
      </c>
      <c r="K126">
        <v>0</v>
      </c>
      <c r="L126" t="s">
        <v>514</v>
      </c>
      <c r="M126" t="s">
        <v>515</v>
      </c>
      <c r="N126" t="s">
        <v>516</v>
      </c>
      <c r="O126" t="s">
        <v>517</v>
      </c>
      <c r="P126" t="s">
        <v>518</v>
      </c>
    </row>
    <row r="127" spans="1:16" x14ac:dyDescent="0.35">
      <c r="A127" t="s">
        <v>82</v>
      </c>
      <c r="B127">
        <v>1322845167</v>
      </c>
      <c r="C127" t="s">
        <v>19</v>
      </c>
      <c r="D127" t="s">
        <v>20</v>
      </c>
      <c r="E127" s="29">
        <v>46205</v>
      </c>
      <c r="F127" t="s">
        <v>4</v>
      </c>
      <c r="G127" s="28">
        <v>0.7319444444444444</v>
      </c>
      <c r="H127" s="28">
        <v>0.7319444444444444</v>
      </c>
      <c r="I127">
        <v>0</v>
      </c>
      <c r="J127" t="s">
        <v>174</v>
      </c>
      <c r="K127">
        <v>0</v>
      </c>
      <c r="L127" t="s">
        <v>519</v>
      </c>
      <c r="M127" t="s">
        <v>520</v>
      </c>
      <c r="N127" t="s">
        <v>521</v>
      </c>
      <c r="O127" t="s">
        <v>522</v>
      </c>
      <c r="P127" t="s">
        <v>523</v>
      </c>
    </row>
    <row r="128" spans="1:16" x14ac:dyDescent="0.35">
      <c r="A128" t="s">
        <v>82</v>
      </c>
      <c r="B128">
        <v>1322845167</v>
      </c>
      <c r="C128" t="s">
        <v>19</v>
      </c>
      <c r="D128" t="s">
        <v>20</v>
      </c>
      <c r="E128" s="29">
        <v>46205</v>
      </c>
      <c r="F128" t="s">
        <v>4</v>
      </c>
      <c r="G128" s="28">
        <v>0.73888888888888893</v>
      </c>
      <c r="H128" s="28">
        <v>0.74583333333333335</v>
      </c>
      <c r="I128">
        <v>0</v>
      </c>
      <c r="J128" t="s">
        <v>146</v>
      </c>
      <c r="K128">
        <v>0</v>
      </c>
      <c r="L128" t="s">
        <v>147</v>
      </c>
      <c r="M128" t="s">
        <v>524</v>
      </c>
      <c r="N128" t="s">
        <v>525</v>
      </c>
      <c r="O128" t="s">
        <v>526</v>
      </c>
      <c r="P128" t="s">
        <v>527</v>
      </c>
    </row>
    <row r="129" spans="1:16" x14ac:dyDescent="0.35">
      <c r="A129" t="s">
        <v>82</v>
      </c>
      <c r="B129">
        <v>1322845167</v>
      </c>
      <c r="C129" t="s">
        <v>19</v>
      </c>
      <c r="D129" t="s">
        <v>20</v>
      </c>
      <c r="E129" s="29">
        <v>46205</v>
      </c>
      <c r="F129" t="s">
        <v>4</v>
      </c>
      <c r="G129" s="28">
        <v>0.75277777777777777</v>
      </c>
      <c r="H129" s="28">
        <v>0.75277777777777777</v>
      </c>
      <c r="I129">
        <v>0</v>
      </c>
      <c r="J129" t="s">
        <v>174</v>
      </c>
      <c r="K129">
        <v>0</v>
      </c>
      <c r="L129" t="s">
        <v>528</v>
      </c>
      <c r="M129" t="s">
        <v>529</v>
      </c>
      <c r="N129" t="s">
        <v>530</v>
      </c>
      <c r="O129" t="s">
        <v>531</v>
      </c>
      <c r="P129" t="s">
        <v>532</v>
      </c>
    </row>
    <row r="130" spans="1:16" x14ac:dyDescent="0.35">
      <c r="A130" t="s">
        <v>82</v>
      </c>
      <c r="B130">
        <v>1322845167</v>
      </c>
      <c r="C130" t="s">
        <v>19</v>
      </c>
      <c r="D130" t="s">
        <v>20</v>
      </c>
      <c r="E130" s="29">
        <v>46205</v>
      </c>
      <c r="F130" t="s">
        <v>4</v>
      </c>
      <c r="G130" s="28">
        <v>0.75972222222222219</v>
      </c>
      <c r="H130" s="28">
        <v>0.75972222222222219</v>
      </c>
      <c r="I130">
        <v>0</v>
      </c>
      <c r="J130" t="s">
        <v>174</v>
      </c>
      <c r="K130">
        <v>0</v>
      </c>
      <c r="L130" t="s">
        <v>533</v>
      </c>
      <c r="M130" t="s">
        <v>534</v>
      </c>
      <c r="N130" t="s">
        <v>535</v>
      </c>
      <c r="O130" t="s">
        <v>536</v>
      </c>
      <c r="P130" t="s">
        <v>537</v>
      </c>
    </row>
    <row r="131" spans="1:16" x14ac:dyDescent="0.35">
      <c r="A131" t="s">
        <v>82</v>
      </c>
      <c r="B131">
        <v>1322845167</v>
      </c>
      <c r="C131" t="s">
        <v>19</v>
      </c>
      <c r="D131" t="s">
        <v>20</v>
      </c>
      <c r="E131" s="29">
        <v>46205</v>
      </c>
      <c r="F131" t="s">
        <v>4</v>
      </c>
      <c r="G131" s="28">
        <v>0.76666666666666672</v>
      </c>
      <c r="H131" s="28">
        <v>0.76666666666666672</v>
      </c>
      <c r="I131">
        <v>0</v>
      </c>
      <c r="J131" t="s">
        <v>174</v>
      </c>
      <c r="K131">
        <v>0</v>
      </c>
      <c r="L131" t="s">
        <v>538</v>
      </c>
      <c r="M131" t="s">
        <v>539</v>
      </c>
      <c r="N131" t="s">
        <v>540</v>
      </c>
      <c r="O131" t="s">
        <v>541</v>
      </c>
      <c r="P131" t="s">
        <v>542</v>
      </c>
    </row>
    <row r="132" spans="1:16" x14ac:dyDescent="0.35">
      <c r="A132" t="s">
        <v>82</v>
      </c>
      <c r="B132">
        <v>1322845167</v>
      </c>
      <c r="C132" t="s">
        <v>19</v>
      </c>
      <c r="D132" t="s">
        <v>20</v>
      </c>
      <c r="E132" s="29">
        <v>46205</v>
      </c>
      <c r="F132" t="s">
        <v>4</v>
      </c>
      <c r="G132" s="28">
        <v>0.77361111111111114</v>
      </c>
      <c r="H132" s="28">
        <v>0.77361111111111114</v>
      </c>
      <c r="I132">
        <v>0</v>
      </c>
      <c r="J132" t="s">
        <v>174</v>
      </c>
      <c r="K132">
        <v>0</v>
      </c>
      <c r="L132" t="s">
        <v>543</v>
      </c>
      <c r="M132" t="s">
        <v>544</v>
      </c>
      <c r="N132" t="s">
        <v>545</v>
      </c>
      <c r="O132" t="s">
        <v>546</v>
      </c>
      <c r="P132" t="s">
        <v>547</v>
      </c>
    </row>
    <row r="133" spans="1:16" x14ac:dyDescent="0.35">
      <c r="A133" t="s">
        <v>82</v>
      </c>
      <c r="B133">
        <v>1322845167</v>
      </c>
      <c r="C133" t="s">
        <v>19</v>
      </c>
      <c r="D133" t="s">
        <v>20</v>
      </c>
      <c r="E133" s="29">
        <v>46205</v>
      </c>
      <c r="F133" t="s">
        <v>4</v>
      </c>
      <c r="G133" s="28">
        <v>0.78055555555555556</v>
      </c>
      <c r="H133" s="28">
        <v>0.78055555555555556</v>
      </c>
      <c r="I133">
        <v>0</v>
      </c>
      <c r="J133" t="s">
        <v>174</v>
      </c>
      <c r="K133">
        <v>0</v>
      </c>
      <c r="L133" t="s">
        <v>548</v>
      </c>
      <c r="M133" t="s">
        <v>549</v>
      </c>
      <c r="N133" t="s">
        <v>550</v>
      </c>
      <c r="O133" t="s">
        <v>551</v>
      </c>
      <c r="P133" t="s">
        <v>552</v>
      </c>
    </row>
    <row r="134" spans="1:16" x14ac:dyDescent="0.35">
      <c r="A134" t="s">
        <v>82</v>
      </c>
      <c r="B134">
        <v>1322845167</v>
      </c>
      <c r="C134" t="s">
        <v>19</v>
      </c>
      <c r="D134" t="s">
        <v>20</v>
      </c>
      <c r="E134" s="29">
        <v>46205</v>
      </c>
      <c r="F134" t="s">
        <v>4</v>
      </c>
      <c r="G134" s="28">
        <v>0.78749999999999998</v>
      </c>
      <c r="H134" s="28">
        <v>0.78749999999999998</v>
      </c>
      <c r="I134">
        <v>0</v>
      </c>
      <c r="J134" t="s">
        <v>174</v>
      </c>
      <c r="K134">
        <v>0</v>
      </c>
      <c r="L134" t="s">
        <v>553</v>
      </c>
      <c r="M134" t="s">
        <v>554</v>
      </c>
      <c r="N134" t="s">
        <v>555</v>
      </c>
      <c r="O134" t="s">
        <v>556</v>
      </c>
      <c r="P134" t="s">
        <v>557</v>
      </c>
    </row>
    <row r="135" spans="1:16" x14ac:dyDescent="0.35">
      <c r="A135" t="s">
        <v>82</v>
      </c>
      <c r="B135">
        <v>1322845167</v>
      </c>
      <c r="C135" t="s">
        <v>19</v>
      </c>
      <c r="D135" t="s">
        <v>20</v>
      </c>
      <c r="E135" s="29">
        <v>46207</v>
      </c>
      <c r="F135" t="s">
        <v>5</v>
      </c>
      <c r="G135" s="28">
        <v>0.37777777777777777</v>
      </c>
      <c r="H135" s="28">
        <v>0.37777777777777777</v>
      </c>
      <c r="I135">
        <v>0</v>
      </c>
      <c r="J135" t="s">
        <v>174</v>
      </c>
      <c r="K135">
        <v>0</v>
      </c>
      <c r="L135" t="s">
        <v>558</v>
      </c>
      <c r="M135" t="s">
        <v>559</v>
      </c>
      <c r="N135" t="s">
        <v>560</v>
      </c>
      <c r="O135" t="s">
        <v>561</v>
      </c>
      <c r="P135" t="s">
        <v>562</v>
      </c>
    </row>
    <row r="136" spans="1:16" x14ac:dyDescent="0.35">
      <c r="A136" t="s">
        <v>82</v>
      </c>
      <c r="B136">
        <v>1322845167</v>
      </c>
      <c r="C136" t="s">
        <v>19</v>
      </c>
      <c r="D136" t="s">
        <v>20</v>
      </c>
      <c r="E136" s="29">
        <v>46207</v>
      </c>
      <c r="F136" t="s">
        <v>5</v>
      </c>
      <c r="G136" s="28">
        <v>0.38472222222222224</v>
      </c>
      <c r="H136" s="28">
        <v>0.38472222222222224</v>
      </c>
      <c r="I136">
        <v>0</v>
      </c>
      <c r="J136" t="s">
        <v>174</v>
      </c>
      <c r="K136">
        <v>0</v>
      </c>
      <c r="L136" t="s">
        <v>563</v>
      </c>
      <c r="M136" t="s">
        <v>520</v>
      </c>
      <c r="N136" t="s">
        <v>521</v>
      </c>
      <c r="O136" t="s">
        <v>522</v>
      </c>
      <c r="P136" t="s">
        <v>523</v>
      </c>
    </row>
    <row r="137" spans="1:16" x14ac:dyDescent="0.35">
      <c r="A137" t="s">
        <v>82</v>
      </c>
      <c r="B137">
        <v>1322845167</v>
      </c>
      <c r="C137" t="s">
        <v>19</v>
      </c>
      <c r="D137" t="s">
        <v>20</v>
      </c>
      <c r="E137" s="29">
        <v>46207</v>
      </c>
      <c r="F137" t="s">
        <v>5</v>
      </c>
      <c r="G137" s="28">
        <v>0.39166666666666666</v>
      </c>
      <c r="H137" s="28">
        <v>0.39166666666666666</v>
      </c>
      <c r="I137">
        <v>0</v>
      </c>
      <c r="J137" t="s">
        <v>174</v>
      </c>
      <c r="K137">
        <v>0</v>
      </c>
      <c r="L137" t="s">
        <v>564</v>
      </c>
      <c r="M137" t="s">
        <v>565</v>
      </c>
      <c r="N137" t="s">
        <v>566</v>
      </c>
      <c r="O137" t="s">
        <v>567</v>
      </c>
      <c r="P137" t="s">
        <v>568</v>
      </c>
    </row>
    <row r="138" spans="1:16" x14ac:dyDescent="0.35">
      <c r="A138" t="s">
        <v>82</v>
      </c>
      <c r="B138">
        <v>1322845167</v>
      </c>
      <c r="C138" t="s">
        <v>19</v>
      </c>
      <c r="D138" t="s">
        <v>20</v>
      </c>
      <c r="E138" s="29">
        <v>46207</v>
      </c>
      <c r="F138" t="s">
        <v>5</v>
      </c>
      <c r="G138" s="28">
        <v>0.39861111111111114</v>
      </c>
      <c r="H138" s="28">
        <v>0.39861111111111114</v>
      </c>
      <c r="I138">
        <v>0</v>
      </c>
      <c r="J138" t="s">
        <v>174</v>
      </c>
      <c r="K138">
        <v>0</v>
      </c>
      <c r="L138" t="s">
        <v>569</v>
      </c>
      <c r="M138" t="s">
        <v>570</v>
      </c>
      <c r="N138" t="s">
        <v>571</v>
      </c>
      <c r="O138" t="s">
        <v>572</v>
      </c>
      <c r="P138" t="s">
        <v>573</v>
      </c>
    </row>
    <row r="139" spans="1:16" x14ac:dyDescent="0.35">
      <c r="A139" t="s">
        <v>82</v>
      </c>
      <c r="B139">
        <v>1322845167</v>
      </c>
      <c r="C139" t="s">
        <v>19</v>
      </c>
      <c r="D139" t="s">
        <v>20</v>
      </c>
      <c r="E139" s="29">
        <v>46207</v>
      </c>
      <c r="F139" t="s">
        <v>5</v>
      </c>
      <c r="G139" s="28">
        <v>0.40555555555555556</v>
      </c>
      <c r="H139" s="28">
        <v>0.40555555555555556</v>
      </c>
      <c r="I139">
        <v>0</v>
      </c>
      <c r="J139" t="s">
        <v>174</v>
      </c>
      <c r="K139">
        <v>0</v>
      </c>
      <c r="L139" t="s">
        <v>574</v>
      </c>
      <c r="M139" t="s">
        <v>575</v>
      </c>
      <c r="N139" t="s">
        <v>576</v>
      </c>
      <c r="O139" t="s">
        <v>577</v>
      </c>
      <c r="P139" t="s">
        <v>578</v>
      </c>
    </row>
    <row r="140" spans="1:16" x14ac:dyDescent="0.35">
      <c r="A140" t="s">
        <v>82</v>
      </c>
      <c r="B140">
        <v>1322845167</v>
      </c>
      <c r="C140" t="s">
        <v>19</v>
      </c>
      <c r="D140" t="s">
        <v>20</v>
      </c>
      <c r="E140" s="29">
        <v>46207</v>
      </c>
      <c r="F140" t="s">
        <v>5</v>
      </c>
      <c r="G140" s="28">
        <v>0.41249999999999998</v>
      </c>
      <c r="H140" s="28">
        <v>0.41249999999999998</v>
      </c>
      <c r="I140">
        <v>0</v>
      </c>
      <c r="J140" t="s">
        <v>174</v>
      </c>
      <c r="K140">
        <v>0</v>
      </c>
      <c r="L140" t="s">
        <v>579</v>
      </c>
      <c r="M140" t="s">
        <v>580</v>
      </c>
      <c r="N140" t="s">
        <v>581</v>
      </c>
      <c r="O140" t="s">
        <v>582</v>
      </c>
      <c r="P140" t="s">
        <v>583</v>
      </c>
    </row>
    <row r="141" spans="1:16" x14ac:dyDescent="0.35">
      <c r="A141" t="s">
        <v>82</v>
      </c>
      <c r="B141">
        <v>1322845167</v>
      </c>
      <c r="C141" t="s">
        <v>19</v>
      </c>
      <c r="D141" t="s">
        <v>20</v>
      </c>
      <c r="E141" s="29">
        <v>46207</v>
      </c>
      <c r="F141" t="s">
        <v>5</v>
      </c>
      <c r="G141" s="28">
        <v>0.41944444444444445</v>
      </c>
      <c r="H141" s="28">
        <v>0.44027777777777777</v>
      </c>
      <c r="I141">
        <v>0</v>
      </c>
      <c r="J141" t="s">
        <v>146</v>
      </c>
      <c r="K141">
        <v>2</v>
      </c>
      <c r="L141" t="s">
        <v>147</v>
      </c>
      <c r="M141" t="s">
        <v>375</v>
      </c>
      <c r="N141" t="s">
        <v>376</v>
      </c>
      <c r="O141" t="s">
        <v>377</v>
      </c>
      <c r="P141" t="s">
        <v>378</v>
      </c>
    </row>
    <row r="142" spans="1:16" x14ac:dyDescent="0.35">
      <c r="A142" t="s">
        <v>82</v>
      </c>
      <c r="B142">
        <v>1322845167</v>
      </c>
      <c r="C142" t="s">
        <v>19</v>
      </c>
      <c r="D142" t="s">
        <v>20</v>
      </c>
      <c r="E142" s="29">
        <v>46207</v>
      </c>
      <c r="F142" t="s">
        <v>5</v>
      </c>
      <c r="G142" s="28">
        <v>0.44791666666666669</v>
      </c>
      <c r="H142" s="28">
        <v>0.44791666666666669</v>
      </c>
      <c r="I142">
        <v>0</v>
      </c>
      <c r="J142" t="s">
        <v>174</v>
      </c>
      <c r="K142">
        <v>0</v>
      </c>
      <c r="L142" t="s">
        <v>584</v>
      </c>
      <c r="M142" t="s">
        <v>585</v>
      </c>
      <c r="N142" t="s">
        <v>581</v>
      </c>
      <c r="O142" t="s">
        <v>582</v>
      </c>
      <c r="P142" t="s">
        <v>583</v>
      </c>
    </row>
    <row r="143" spans="1:16" x14ac:dyDescent="0.35">
      <c r="A143" t="s">
        <v>82</v>
      </c>
      <c r="B143">
        <v>1322845167</v>
      </c>
      <c r="C143" t="s">
        <v>19</v>
      </c>
      <c r="D143" t="s">
        <v>20</v>
      </c>
      <c r="E143" s="29">
        <v>46207</v>
      </c>
      <c r="F143" t="s">
        <v>5</v>
      </c>
      <c r="G143" s="28">
        <v>0.45416666666666666</v>
      </c>
      <c r="H143" s="28">
        <v>0.45416666666666666</v>
      </c>
      <c r="I143">
        <v>0</v>
      </c>
      <c r="J143" t="s">
        <v>174</v>
      </c>
      <c r="K143">
        <v>0</v>
      </c>
      <c r="L143" t="s">
        <v>586</v>
      </c>
      <c r="M143" t="s">
        <v>587</v>
      </c>
      <c r="N143" t="s">
        <v>588</v>
      </c>
      <c r="O143" t="s">
        <v>372</v>
      </c>
      <c r="P143" t="s">
        <v>589</v>
      </c>
    </row>
    <row r="144" spans="1:16" x14ac:dyDescent="0.35">
      <c r="A144" t="s">
        <v>82</v>
      </c>
      <c r="B144">
        <v>1322845167</v>
      </c>
      <c r="C144" t="s">
        <v>19</v>
      </c>
      <c r="D144" t="s">
        <v>20</v>
      </c>
      <c r="E144" s="29">
        <v>46207</v>
      </c>
      <c r="F144" t="s">
        <v>5</v>
      </c>
      <c r="G144" s="28">
        <v>0.46111111111111114</v>
      </c>
      <c r="H144" s="28">
        <v>0.46111111111111114</v>
      </c>
      <c r="I144">
        <v>0</v>
      </c>
      <c r="J144" t="s">
        <v>174</v>
      </c>
      <c r="K144">
        <v>0</v>
      </c>
      <c r="L144" t="s">
        <v>590</v>
      </c>
      <c r="M144" t="s">
        <v>591</v>
      </c>
      <c r="N144" t="s">
        <v>592</v>
      </c>
      <c r="O144" t="s">
        <v>593</v>
      </c>
      <c r="P144" t="s">
        <v>594</v>
      </c>
    </row>
    <row r="145" spans="1:16" x14ac:dyDescent="0.35">
      <c r="A145" t="s">
        <v>82</v>
      </c>
      <c r="B145">
        <v>1322845167</v>
      </c>
      <c r="C145" t="s">
        <v>19</v>
      </c>
      <c r="D145" t="s">
        <v>20</v>
      </c>
      <c r="E145" s="29">
        <v>46207</v>
      </c>
      <c r="F145" t="s">
        <v>5</v>
      </c>
      <c r="G145" s="28">
        <v>0.46805555555555556</v>
      </c>
      <c r="H145" s="28">
        <v>0.46805555555555556</v>
      </c>
      <c r="I145">
        <v>0</v>
      </c>
      <c r="J145" t="s">
        <v>174</v>
      </c>
      <c r="K145">
        <v>0</v>
      </c>
      <c r="L145" t="s">
        <v>595</v>
      </c>
      <c r="M145" t="s">
        <v>596</v>
      </c>
      <c r="N145" t="s">
        <v>597</v>
      </c>
      <c r="O145" t="s">
        <v>598</v>
      </c>
      <c r="P145" t="s">
        <v>599</v>
      </c>
    </row>
    <row r="146" spans="1:16" x14ac:dyDescent="0.35">
      <c r="A146" t="s">
        <v>82</v>
      </c>
      <c r="B146">
        <v>1322845167</v>
      </c>
      <c r="C146" t="s">
        <v>19</v>
      </c>
      <c r="D146" t="s">
        <v>20</v>
      </c>
      <c r="E146" s="29">
        <v>46207</v>
      </c>
      <c r="F146" t="s">
        <v>5</v>
      </c>
      <c r="G146" s="28">
        <v>0.47499999999999998</v>
      </c>
      <c r="H146" s="28">
        <v>0.47499999999999998</v>
      </c>
      <c r="I146">
        <v>0</v>
      </c>
      <c r="J146" t="s">
        <v>174</v>
      </c>
      <c r="K146">
        <v>0</v>
      </c>
      <c r="L146" t="s">
        <v>600</v>
      </c>
      <c r="M146" t="s">
        <v>601</v>
      </c>
      <c r="N146" t="s">
        <v>602</v>
      </c>
      <c r="O146" t="s">
        <v>603</v>
      </c>
      <c r="P146" t="s">
        <v>604</v>
      </c>
    </row>
    <row r="147" spans="1:16" x14ac:dyDescent="0.35">
      <c r="A147" t="s">
        <v>82</v>
      </c>
      <c r="B147">
        <v>1322845167</v>
      </c>
      <c r="C147" t="s">
        <v>19</v>
      </c>
      <c r="D147" t="s">
        <v>20</v>
      </c>
      <c r="E147" s="29">
        <v>46207</v>
      </c>
      <c r="F147" t="s">
        <v>5</v>
      </c>
      <c r="G147" s="28">
        <v>0.48194444444444445</v>
      </c>
      <c r="H147" s="28">
        <v>0.55833333333333335</v>
      </c>
      <c r="I147">
        <v>2</v>
      </c>
      <c r="J147" t="s">
        <v>146</v>
      </c>
      <c r="K147">
        <v>6</v>
      </c>
      <c r="L147" t="s">
        <v>147</v>
      </c>
      <c r="M147" t="s">
        <v>605</v>
      </c>
      <c r="N147" t="s">
        <v>606</v>
      </c>
      <c r="O147" t="s">
        <v>607</v>
      </c>
      <c r="P147" t="s">
        <v>608</v>
      </c>
    </row>
    <row r="148" spans="1:16" x14ac:dyDescent="0.35">
      <c r="A148" t="s">
        <v>82</v>
      </c>
      <c r="B148">
        <v>1322845167</v>
      </c>
      <c r="C148" t="s">
        <v>19</v>
      </c>
      <c r="D148" t="s">
        <v>20</v>
      </c>
      <c r="E148" s="29">
        <v>46207</v>
      </c>
      <c r="F148" t="s">
        <v>5</v>
      </c>
      <c r="G148" s="28">
        <v>0.56527777777777777</v>
      </c>
      <c r="H148" s="28">
        <v>0.56527777777777777</v>
      </c>
      <c r="I148">
        <v>0</v>
      </c>
      <c r="J148" t="s">
        <v>174</v>
      </c>
      <c r="K148">
        <v>0</v>
      </c>
      <c r="L148" t="s">
        <v>609</v>
      </c>
      <c r="M148" t="s">
        <v>610</v>
      </c>
      <c r="N148" t="s">
        <v>611</v>
      </c>
      <c r="O148" t="s">
        <v>612</v>
      </c>
      <c r="P148" t="s">
        <v>613</v>
      </c>
    </row>
    <row r="149" spans="1:16" x14ac:dyDescent="0.35">
      <c r="A149" t="s">
        <v>82</v>
      </c>
      <c r="B149">
        <v>1322845167</v>
      </c>
      <c r="C149" t="s">
        <v>19</v>
      </c>
      <c r="D149" t="s">
        <v>20</v>
      </c>
      <c r="E149" s="29">
        <v>46207</v>
      </c>
      <c r="F149" t="s">
        <v>5</v>
      </c>
      <c r="G149" s="28">
        <v>0.57222222222222219</v>
      </c>
      <c r="H149" s="28">
        <v>0.59305555555555556</v>
      </c>
      <c r="I149">
        <v>1</v>
      </c>
      <c r="J149" t="s">
        <v>146</v>
      </c>
      <c r="K149">
        <v>2</v>
      </c>
      <c r="L149" t="s">
        <v>147</v>
      </c>
      <c r="M149" t="s">
        <v>605</v>
      </c>
      <c r="N149" t="s">
        <v>606</v>
      </c>
      <c r="O149" t="s">
        <v>607</v>
      </c>
      <c r="P149" t="s">
        <v>608</v>
      </c>
    </row>
    <row r="150" spans="1:16" x14ac:dyDescent="0.35">
      <c r="A150" t="s">
        <v>82</v>
      </c>
      <c r="B150">
        <v>1322845167</v>
      </c>
      <c r="C150" t="s">
        <v>19</v>
      </c>
      <c r="D150" t="s">
        <v>20</v>
      </c>
      <c r="E150" s="29">
        <v>46207</v>
      </c>
      <c r="F150" t="s">
        <v>5</v>
      </c>
      <c r="G150" s="28">
        <v>0.6</v>
      </c>
      <c r="H150" s="28">
        <v>0.6</v>
      </c>
      <c r="I150">
        <v>0</v>
      </c>
      <c r="J150" t="s">
        <v>174</v>
      </c>
      <c r="K150">
        <v>0</v>
      </c>
      <c r="L150" t="s">
        <v>614</v>
      </c>
      <c r="M150" t="s">
        <v>615</v>
      </c>
      <c r="N150" t="s">
        <v>616</v>
      </c>
      <c r="O150" t="s">
        <v>617</v>
      </c>
      <c r="P150" t="s">
        <v>618</v>
      </c>
    </row>
    <row r="151" spans="1:16" x14ac:dyDescent="0.35">
      <c r="A151" t="s">
        <v>82</v>
      </c>
      <c r="B151">
        <v>1322845167</v>
      </c>
      <c r="C151" t="s">
        <v>19</v>
      </c>
      <c r="D151" t="s">
        <v>20</v>
      </c>
      <c r="E151" s="29">
        <v>46207</v>
      </c>
      <c r="F151" t="s">
        <v>5</v>
      </c>
      <c r="G151" s="28">
        <v>0.6069444444444444</v>
      </c>
      <c r="H151" s="28">
        <v>0.6069444444444444</v>
      </c>
      <c r="I151">
        <v>0</v>
      </c>
      <c r="J151" t="s">
        <v>174</v>
      </c>
      <c r="K151">
        <v>0</v>
      </c>
      <c r="L151" t="s">
        <v>619</v>
      </c>
      <c r="M151" t="s">
        <v>620</v>
      </c>
      <c r="N151" t="s">
        <v>621</v>
      </c>
      <c r="O151" t="s">
        <v>622</v>
      </c>
      <c r="P151" t="s">
        <v>623</v>
      </c>
    </row>
    <row r="152" spans="1:16" x14ac:dyDescent="0.35">
      <c r="A152" t="s">
        <v>82</v>
      </c>
      <c r="B152">
        <v>1322845167</v>
      </c>
      <c r="C152" t="s">
        <v>19</v>
      </c>
      <c r="D152" t="s">
        <v>20</v>
      </c>
      <c r="E152" s="29">
        <v>46207</v>
      </c>
      <c r="F152" t="s">
        <v>5</v>
      </c>
      <c r="G152" s="28">
        <v>0.61388888888888893</v>
      </c>
      <c r="H152" s="28">
        <v>0.69722222222222219</v>
      </c>
      <c r="I152">
        <v>2</v>
      </c>
      <c r="J152" t="s">
        <v>146</v>
      </c>
      <c r="K152">
        <v>6</v>
      </c>
      <c r="L152" t="s">
        <v>147</v>
      </c>
      <c r="M152" t="s">
        <v>605</v>
      </c>
      <c r="N152" t="s">
        <v>606</v>
      </c>
      <c r="O152" t="s">
        <v>607</v>
      </c>
      <c r="P152" t="s">
        <v>608</v>
      </c>
    </row>
    <row r="153" spans="1:16" x14ac:dyDescent="0.35">
      <c r="A153" t="s">
        <v>82</v>
      </c>
      <c r="B153">
        <v>1322845167</v>
      </c>
      <c r="C153" t="s">
        <v>19</v>
      </c>
      <c r="D153" t="s">
        <v>20</v>
      </c>
      <c r="E153" s="29">
        <v>46207</v>
      </c>
      <c r="F153" t="s">
        <v>5</v>
      </c>
      <c r="G153" s="28">
        <v>0.70416666666666672</v>
      </c>
      <c r="H153" s="28">
        <v>0.70416666666666672</v>
      </c>
      <c r="I153">
        <v>0</v>
      </c>
      <c r="J153" t="s">
        <v>174</v>
      </c>
      <c r="K153">
        <v>0</v>
      </c>
      <c r="L153" t="s">
        <v>624</v>
      </c>
      <c r="M153" t="s">
        <v>625</v>
      </c>
      <c r="N153" t="s">
        <v>626</v>
      </c>
      <c r="O153" t="s">
        <v>627</v>
      </c>
      <c r="P153" t="s">
        <v>628</v>
      </c>
    </row>
    <row r="154" spans="1:16" x14ac:dyDescent="0.35">
      <c r="A154" t="s">
        <v>82</v>
      </c>
      <c r="B154">
        <v>1322845167</v>
      </c>
      <c r="C154" t="s">
        <v>19</v>
      </c>
      <c r="D154" t="s">
        <v>20</v>
      </c>
      <c r="E154" s="29">
        <v>46207</v>
      </c>
      <c r="F154" t="s">
        <v>5</v>
      </c>
      <c r="G154" s="28">
        <v>0.71111111111111114</v>
      </c>
      <c r="H154" s="28">
        <v>0.71111111111111114</v>
      </c>
      <c r="I154">
        <v>0</v>
      </c>
      <c r="J154" t="s">
        <v>174</v>
      </c>
      <c r="K154">
        <v>0</v>
      </c>
      <c r="L154" t="s">
        <v>629</v>
      </c>
      <c r="M154" t="s">
        <v>630</v>
      </c>
      <c r="N154" t="s">
        <v>631</v>
      </c>
      <c r="O154" t="s">
        <v>632</v>
      </c>
      <c r="P154" t="s">
        <v>633</v>
      </c>
    </row>
    <row r="155" spans="1:16" x14ac:dyDescent="0.35">
      <c r="A155" t="s">
        <v>82</v>
      </c>
      <c r="B155">
        <v>1322845167</v>
      </c>
      <c r="C155" t="s">
        <v>19</v>
      </c>
      <c r="D155" t="s">
        <v>20</v>
      </c>
      <c r="E155" s="29">
        <v>46207</v>
      </c>
      <c r="F155" t="s">
        <v>5</v>
      </c>
      <c r="G155" s="28">
        <v>0.71805555555555556</v>
      </c>
      <c r="H155" s="28">
        <v>0.72499999999999998</v>
      </c>
      <c r="I155">
        <v>0</v>
      </c>
      <c r="J155" t="s">
        <v>146</v>
      </c>
      <c r="K155">
        <v>0</v>
      </c>
      <c r="L155" t="s">
        <v>147</v>
      </c>
      <c r="M155" t="s">
        <v>634</v>
      </c>
      <c r="N155" t="s">
        <v>635</v>
      </c>
      <c r="O155" t="s">
        <v>636</v>
      </c>
      <c r="P155" t="s">
        <v>637</v>
      </c>
    </row>
    <row r="156" spans="1:16" x14ac:dyDescent="0.35">
      <c r="A156" t="s">
        <v>82</v>
      </c>
      <c r="B156">
        <v>1322845167</v>
      </c>
      <c r="C156" t="s">
        <v>19</v>
      </c>
      <c r="D156" t="s">
        <v>20</v>
      </c>
      <c r="E156" s="29">
        <v>46207</v>
      </c>
      <c r="F156" t="s">
        <v>5</v>
      </c>
      <c r="G156" s="28">
        <v>0.7319444444444444</v>
      </c>
      <c r="H156" s="28">
        <v>0.7319444444444444</v>
      </c>
      <c r="I156">
        <v>0</v>
      </c>
      <c r="J156" t="s">
        <v>174</v>
      </c>
      <c r="K156">
        <v>0</v>
      </c>
      <c r="L156" t="s">
        <v>638</v>
      </c>
      <c r="M156" t="s">
        <v>639</v>
      </c>
      <c r="N156" t="s">
        <v>640</v>
      </c>
      <c r="O156" t="s">
        <v>641</v>
      </c>
      <c r="P156" t="s">
        <v>642</v>
      </c>
    </row>
    <row r="157" spans="1:16" x14ac:dyDescent="0.35">
      <c r="A157" t="s">
        <v>82</v>
      </c>
      <c r="B157">
        <v>1322845167</v>
      </c>
      <c r="C157" t="s">
        <v>19</v>
      </c>
      <c r="D157" t="s">
        <v>20</v>
      </c>
      <c r="E157" s="29">
        <v>46207</v>
      </c>
      <c r="F157" t="s">
        <v>5</v>
      </c>
      <c r="G157" s="28">
        <v>0.73888888888888893</v>
      </c>
      <c r="H157" s="28">
        <v>0.73888888888888893</v>
      </c>
      <c r="I157">
        <v>0</v>
      </c>
      <c r="J157" t="s">
        <v>174</v>
      </c>
      <c r="K157">
        <v>0</v>
      </c>
      <c r="L157" t="s">
        <v>643</v>
      </c>
      <c r="M157" t="s">
        <v>644</v>
      </c>
      <c r="N157" t="s">
        <v>645</v>
      </c>
      <c r="O157" t="s">
        <v>646</v>
      </c>
      <c r="P157" t="s">
        <v>647</v>
      </c>
    </row>
    <row r="158" spans="1:16" x14ac:dyDescent="0.35">
      <c r="A158" t="s">
        <v>82</v>
      </c>
      <c r="B158">
        <v>1322845167</v>
      </c>
      <c r="C158" t="s">
        <v>19</v>
      </c>
      <c r="D158" t="s">
        <v>20</v>
      </c>
      <c r="E158" s="29">
        <v>46207</v>
      </c>
      <c r="F158" t="s">
        <v>5</v>
      </c>
      <c r="G158" s="28">
        <v>0.74583333333333335</v>
      </c>
      <c r="H158" s="28">
        <v>0.74583333333333335</v>
      </c>
      <c r="I158">
        <v>0</v>
      </c>
      <c r="J158" t="s">
        <v>174</v>
      </c>
      <c r="K158">
        <v>0</v>
      </c>
      <c r="L158" t="s">
        <v>648</v>
      </c>
      <c r="M158" t="s">
        <v>649</v>
      </c>
      <c r="N158" t="s">
        <v>650</v>
      </c>
      <c r="O158" t="s">
        <v>651</v>
      </c>
      <c r="P158" t="s">
        <v>652</v>
      </c>
    </row>
    <row r="159" spans="1:16" x14ac:dyDescent="0.35">
      <c r="A159" t="s">
        <v>82</v>
      </c>
      <c r="B159">
        <v>1322845167</v>
      </c>
      <c r="C159" t="s">
        <v>19</v>
      </c>
      <c r="D159" t="s">
        <v>20</v>
      </c>
      <c r="E159" s="29">
        <v>46207</v>
      </c>
      <c r="F159" t="s">
        <v>5</v>
      </c>
      <c r="G159" s="28">
        <v>0.75277777777777777</v>
      </c>
      <c r="H159" s="28">
        <v>0.75972222222222219</v>
      </c>
      <c r="I159">
        <v>0</v>
      </c>
      <c r="J159" t="s">
        <v>146</v>
      </c>
      <c r="K159">
        <v>0</v>
      </c>
      <c r="L159" t="s">
        <v>147</v>
      </c>
      <c r="M159" t="s">
        <v>380</v>
      </c>
      <c r="N159" t="s">
        <v>381</v>
      </c>
      <c r="O159" t="s">
        <v>382</v>
      </c>
      <c r="P159" t="s">
        <v>383</v>
      </c>
    </row>
    <row r="160" spans="1:16" x14ac:dyDescent="0.35">
      <c r="A160" t="s">
        <v>82</v>
      </c>
      <c r="B160">
        <v>1322845167</v>
      </c>
      <c r="C160" t="s">
        <v>19</v>
      </c>
      <c r="D160" t="s">
        <v>20</v>
      </c>
      <c r="E160" s="29">
        <v>46207</v>
      </c>
      <c r="F160" t="s">
        <v>5</v>
      </c>
      <c r="G160" s="28">
        <v>0.76666666666666672</v>
      </c>
      <c r="H160" s="28">
        <v>0.77361111111111114</v>
      </c>
      <c r="I160">
        <v>0</v>
      </c>
      <c r="J160" t="s">
        <v>146</v>
      </c>
      <c r="K160">
        <v>0</v>
      </c>
      <c r="L160" t="s">
        <v>147</v>
      </c>
      <c r="M160" t="s">
        <v>580</v>
      </c>
      <c r="N160" t="s">
        <v>581</v>
      </c>
      <c r="O160" t="s">
        <v>582</v>
      </c>
      <c r="P160" t="s">
        <v>583</v>
      </c>
    </row>
    <row r="161" spans="1:16" x14ac:dyDescent="0.35">
      <c r="A161" t="s">
        <v>82</v>
      </c>
      <c r="B161">
        <v>1322845167</v>
      </c>
      <c r="C161" t="s">
        <v>19</v>
      </c>
      <c r="D161" t="s">
        <v>20</v>
      </c>
      <c r="E161" s="29">
        <v>46207</v>
      </c>
      <c r="F161" t="s">
        <v>5</v>
      </c>
      <c r="G161" s="28">
        <v>0.78055555555555556</v>
      </c>
      <c r="H161" s="28">
        <v>0.78055555555555556</v>
      </c>
      <c r="I161">
        <v>0</v>
      </c>
      <c r="J161" t="s">
        <v>174</v>
      </c>
      <c r="K161">
        <v>0</v>
      </c>
      <c r="L161" t="s">
        <v>369</v>
      </c>
      <c r="M161" t="s">
        <v>653</v>
      </c>
      <c r="N161" t="s">
        <v>654</v>
      </c>
      <c r="O161" t="s">
        <v>655</v>
      </c>
      <c r="P161" t="s">
        <v>656</v>
      </c>
    </row>
    <row r="162" spans="1:16" x14ac:dyDescent="0.35">
      <c r="A162" t="s">
        <v>82</v>
      </c>
      <c r="B162">
        <v>1322845167</v>
      </c>
      <c r="C162" t="s">
        <v>19</v>
      </c>
      <c r="D162" t="s">
        <v>20</v>
      </c>
      <c r="E162" s="29">
        <v>46207</v>
      </c>
      <c r="F162" t="s">
        <v>5</v>
      </c>
      <c r="G162" s="28">
        <v>0.78749999999999998</v>
      </c>
      <c r="H162" s="28">
        <v>0.99583333333333335</v>
      </c>
      <c r="I162">
        <v>5</v>
      </c>
      <c r="J162" t="s">
        <v>146</v>
      </c>
      <c r="K162">
        <v>15</v>
      </c>
      <c r="L162" t="s">
        <v>147</v>
      </c>
      <c r="M162" t="s">
        <v>375</v>
      </c>
      <c r="N162" t="s">
        <v>376</v>
      </c>
      <c r="O162" t="s">
        <v>377</v>
      </c>
      <c r="P162" t="s">
        <v>378</v>
      </c>
    </row>
    <row r="163" spans="1:16" x14ac:dyDescent="0.35">
      <c r="A163" t="s">
        <v>82</v>
      </c>
      <c r="B163">
        <v>1322845167</v>
      </c>
      <c r="C163" t="s">
        <v>19</v>
      </c>
      <c r="D163" t="s">
        <v>20</v>
      </c>
      <c r="E163" s="29">
        <v>46208</v>
      </c>
      <c r="F163" t="s">
        <v>6</v>
      </c>
      <c r="G163" s="28">
        <v>0.39861111111111114</v>
      </c>
      <c r="H163" s="28">
        <v>0.39861111111111114</v>
      </c>
      <c r="I163">
        <v>0</v>
      </c>
      <c r="J163" t="s">
        <v>174</v>
      </c>
      <c r="K163">
        <v>0</v>
      </c>
      <c r="L163" t="s">
        <v>657</v>
      </c>
      <c r="M163" t="s">
        <v>410</v>
      </c>
      <c r="N163" t="s">
        <v>411</v>
      </c>
      <c r="O163" t="s">
        <v>412</v>
      </c>
      <c r="P163" t="s">
        <v>413</v>
      </c>
    </row>
    <row r="164" spans="1:16" x14ac:dyDescent="0.35">
      <c r="A164" t="s">
        <v>82</v>
      </c>
      <c r="B164">
        <v>1322845167</v>
      </c>
      <c r="C164" t="s">
        <v>19</v>
      </c>
      <c r="D164" t="s">
        <v>20</v>
      </c>
      <c r="E164" s="29">
        <v>46208</v>
      </c>
      <c r="F164" t="s">
        <v>6</v>
      </c>
      <c r="G164" s="28">
        <v>0.40555555555555556</v>
      </c>
      <c r="H164" s="28">
        <v>0.40555555555555556</v>
      </c>
      <c r="I164">
        <v>0</v>
      </c>
      <c r="J164" t="s">
        <v>174</v>
      </c>
      <c r="K164">
        <v>0</v>
      </c>
      <c r="L164" t="s">
        <v>658</v>
      </c>
      <c r="M164" t="s">
        <v>659</v>
      </c>
      <c r="N164" t="s">
        <v>660</v>
      </c>
      <c r="O164" t="s">
        <v>661</v>
      </c>
      <c r="P164" t="s">
        <v>662</v>
      </c>
    </row>
    <row r="165" spans="1:16" x14ac:dyDescent="0.35">
      <c r="A165" t="s">
        <v>82</v>
      </c>
      <c r="B165">
        <v>1322845167</v>
      </c>
      <c r="C165" t="s">
        <v>19</v>
      </c>
      <c r="D165" t="s">
        <v>20</v>
      </c>
      <c r="E165" s="29">
        <v>46208</v>
      </c>
      <c r="F165" t="s">
        <v>6</v>
      </c>
      <c r="G165" s="28">
        <v>0.41319444444444442</v>
      </c>
      <c r="H165" s="28">
        <v>0.41319444444444442</v>
      </c>
      <c r="I165">
        <v>0</v>
      </c>
      <c r="J165" t="s">
        <v>174</v>
      </c>
      <c r="K165">
        <v>0</v>
      </c>
      <c r="L165" t="s">
        <v>663</v>
      </c>
      <c r="M165" t="s">
        <v>472</v>
      </c>
      <c r="N165" t="s">
        <v>473</v>
      </c>
      <c r="O165" t="s">
        <v>474</v>
      </c>
      <c r="P165" t="s">
        <v>475</v>
      </c>
    </row>
    <row r="166" spans="1:16" x14ac:dyDescent="0.35">
      <c r="A166" t="s">
        <v>82</v>
      </c>
      <c r="B166">
        <v>1322845167</v>
      </c>
      <c r="C166" t="s">
        <v>19</v>
      </c>
      <c r="D166" t="s">
        <v>20</v>
      </c>
      <c r="E166" s="29">
        <v>46208</v>
      </c>
      <c r="F166" t="s">
        <v>6</v>
      </c>
      <c r="G166" s="28">
        <v>0.41944444444444445</v>
      </c>
      <c r="H166" s="28">
        <v>0.41944444444444445</v>
      </c>
      <c r="I166">
        <v>0</v>
      </c>
      <c r="J166" t="s">
        <v>174</v>
      </c>
      <c r="K166">
        <v>0</v>
      </c>
      <c r="L166" t="s">
        <v>657</v>
      </c>
      <c r="M166" t="s">
        <v>664</v>
      </c>
      <c r="N166" t="s">
        <v>665</v>
      </c>
      <c r="O166" t="s">
        <v>666</v>
      </c>
      <c r="P166" t="s">
        <v>667</v>
      </c>
    </row>
    <row r="167" spans="1:16" x14ac:dyDescent="0.35">
      <c r="A167" t="s">
        <v>82</v>
      </c>
      <c r="B167">
        <v>1322845167</v>
      </c>
      <c r="C167" t="s">
        <v>19</v>
      </c>
      <c r="D167" t="s">
        <v>20</v>
      </c>
      <c r="E167" s="29">
        <v>46208</v>
      </c>
      <c r="F167" t="s">
        <v>6</v>
      </c>
      <c r="G167" s="28">
        <v>0.42638888888888887</v>
      </c>
      <c r="H167" s="28">
        <v>0.42638888888888887</v>
      </c>
      <c r="I167">
        <v>0</v>
      </c>
      <c r="J167" t="s">
        <v>174</v>
      </c>
      <c r="K167">
        <v>0</v>
      </c>
      <c r="L167" t="s">
        <v>668</v>
      </c>
      <c r="M167" t="s">
        <v>443</v>
      </c>
      <c r="N167" t="s">
        <v>444</v>
      </c>
      <c r="O167" t="s">
        <v>445</v>
      </c>
      <c r="P167" t="s">
        <v>446</v>
      </c>
    </row>
    <row r="168" spans="1:16" x14ac:dyDescent="0.35">
      <c r="A168" t="s">
        <v>82</v>
      </c>
      <c r="B168">
        <v>1322845167</v>
      </c>
      <c r="C168" t="s">
        <v>19</v>
      </c>
      <c r="D168" t="s">
        <v>20</v>
      </c>
      <c r="E168" s="29">
        <v>46208</v>
      </c>
      <c r="F168" t="s">
        <v>6</v>
      </c>
      <c r="G168" s="28">
        <v>0.43333333333333335</v>
      </c>
      <c r="H168" s="28">
        <v>0.5444444444444444</v>
      </c>
      <c r="I168">
        <v>3</v>
      </c>
      <c r="J168" t="s">
        <v>146</v>
      </c>
      <c r="K168">
        <v>8</v>
      </c>
      <c r="L168" t="s">
        <v>147</v>
      </c>
      <c r="M168" t="s">
        <v>669</v>
      </c>
      <c r="N168" t="s">
        <v>670</v>
      </c>
      <c r="O168" t="s">
        <v>671</v>
      </c>
      <c r="P168" t="s">
        <v>672</v>
      </c>
    </row>
    <row r="169" spans="1:16" x14ac:dyDescent="0.35">
      <c r="A169" t="s">
        <v>82</v>
      </c>
      <c r="B169">
        <v>1322845167</v>
      </c>
      <c r="C169" t="s">
        <v>19</v>
      </c>
      <c r="D169" t="s">
        <v>20</v>
      </c>
      <c r="E169" s="29">
        <v>46208</v>
      </c>
      <c r="F169" t="s">
        <v>6</v>
      </c>
      <c r="G169" s="28">
        <v>0.55138888888888893</v>
      </c>
      <c r="H169" s="28">
        <v>0.55138888888888893</v>
      </c>
      <c r="I169">
        <v>0</v>
      </c>
      <c r="J169" t="s">
        <v>174</v>
      </c>
      <c r="K169">
        <v>0</v>
      </c>
      <c r="L169" t="s">
        <v>673</v>
      </c>
      <c r="M169" t="s">
        <v>453</v>
      </c>
      <c r="N169" t="s">
        <v>454</v>
      </c>
      <c r="O169" t="s">
        <v>455</v>
      </c>
      <c r="P169" t="s">
        <v>456</v>
      </c>
    </row>
    <row r="170" spans="1:16" x14ac:dyDescent="0.35">
      <c r="A170" t="s">
        <v>82</v>
      </c>
      <c r="B170">
        <v>1322845167</v>
      </c>
      <c r="C170" t="s">
        <v>19</v>
      </c>
      <c r="D170" t="s">
        <v>20</v>
      </c>
      <c r="E170" s="29">
        <v>46208</v>
      </c>
      <c r="F170" t="s">
        <v>6</v>
      </c>
      <c r="G170" s="28">
        <v>0.55833333333333335</v>
      </c>
      <c r="H170" s="28">
        <v>0.55833333333333335</v>
      </c>
      <c r="I170">
        <v>0</v>
      </c>
      <c r="J170" t="s">
        <v>174</v>
      </c>
      <c r="K170">
        <v>0</v>
      </c>
      <c r="L170" t="s">
        <v>674</v>
      </c>
      <c r="M170" t="s">
        <v>443</v>
      </c>
      <c r="N170" t="s">
        <v>444</v>
      </c>
      <c r="O170" t="s">
        <v>445</v>
      </c>
      <c r="P170" t="s">
        <v>446</v>
      </c>
    </row>
    <row r="171" spans="1:16" x14ac:dyDescent="0.35">
      <c r="A171" t="s">
        <v>82</v>
      </c>
      <c r="B171">
        <v>1322845167</v>
      </c>
      <c r="C171" t="s">
        <v>19</v>
      </c>
      <c r="D171" t="s">
        <v>20</v>
      </c>
      <c r="E171" s="29">
        <v>46208</v>
      </c>
      <c r="F171" t="s">
        <v>6</v>
      </c>
      <c r="G171" s="28">
        <v>0.56527777777777777</v>
      </c>
      <c r="H171" s="28">
        <v>0.56527777777777777</v>
      </c>
      <c r="I171">
        <v>0</v>
      </c>
      <c r="J171" t="s">
        <v>174</v>
      </c>
      <c r="K171">
        <v>0</v>
      </c>
      <c r="L171" t="s">
        <v>245</v>
      </c>
      <c r="M171" t="s">
        <v>675</v>
      </c>
      <c r="N171" t="s">
        <v>676</v>
      </c>
      <c r="O171" t="s">
        <v>677</v>
      </c>
      <c r="P171" t="s">
        <v>678</v>
      </c>
    </row>
    <row r="172" spans="1:16" x14ac:dyDescent="0.35">
      <c r="A172" t="s">
        <v>82</v>
      </c>
      <c r="B172">
        <v>1322845167</v>
      </c>
      <c r="C172" t="s">
        <v>19</v>
      </c>
      <c r="D172" t="s">
        <v>20</v>
      </c>
      <c r="E172" s="29">
        <v>46208</v>
      </c>
      <c r="F172" t="s">
        <v>6</v>
      </c>
      <c r="G172" s="28">
        <v>0.57222222222222219</v>
      </c>
      <c r="H172" s="28">
        <v>0.6</v>
      </c>
      <c r="I172">
        <v>1</v>
      </c>
      <c r="J172" t="s">
        <v>146</v>
      </c>
      <c r="K172">
        <v>2</v>
      </c>
      <c r="L172" t="s">
        <v>147</v>
      </c>
      <c r="M172" t="s">
        <v>414</v>
      </c>
      <c r="N172" t="s">
        <v>415</v>
      </c>
      <c r="O172" t="s">
        <v>416</v>
      </c>
      <c r="P172" t="s">
        <v>417</v>
      </c>
    </row>
    <row r="173" spans="1:16" x14ac:dyDescent="0.35">
      <c r="A173" t="s">
        <v>82</v>
      </c>
      <c r="B173">
        <v>1322845167</v>
      </c>
      <c r="C173" t="s">
        <v>19</v>
      </c>
      <c r="D173" t="s">
        <v>20</v>
      </c>
      <c r="E173" s="29">
        <v>46208</v>
      </c>
      <c r="F173" t="s">
        <v>6</v>
      </c>
      <c r="G173" s="28">
        <v>0.6069444444444444</v>
      </c>
      <c r="H173" s="28">
        <v>0.6069444444444444</v>
      </c>
      <c r="I173">
        <v>0</v>
      </c>
      <c r="J173" t="s">
        <v>174</v>
      </c>
      <c r="K173">
        <v>0</v>
      </c>
      <c r="L173" t="s">
        <v>679</v>
      </c>
      <c r="M173" t="s">
        <v>419</v>
      </c>
      <c r="N173" t="s">
        <v>420</v>
      </c>
      <c r="O173" t="s">
        <v>421</v>
      </c>
      <c r="P173" t="s">
        <v>422</v>
      </c>
    </row>
    <row r="174" spans="1:16" x14ac:dyDescent="0.35">
      <c r="A174" t="s">
        <v>82</v>
      </c>
      <c r="B174">
        <v>1322845167</v>
      </c>
      <c r="C174" t="s">
        <v>19</v>
      </c>
      <c r="D174" t="s">
        <v>20</v>
      </c>
      <c r="E174" s="29">
        <v>46208</v>
      </c>
      <c r="F174" t="s">
        <v>6</v>
      </c>
      <c r="G174" s="28">
        <v>0.61388888888888893</v>
      </c>
      <c r="H174" s="28">
        <v>0.61388888888888893</v>
      </c>
      <c r="I174">
        <v>0</v>
      </c>
      <c r="J174" t="s">
        <v>174</v>
      </c>
      <c r="K174">
        <v>0</v>
      </c>
      <c r="L174" t="s">
        <v>409</v>
      </c>
      <c r="M174" t="s">
        <v>410</v>
      </c>
      <c r="N174" t="s">
        <v>411</v>
      </c>
      <c r="O174" t="s">
        <v>412</v>
      </c>
      <c r="P174" t="s">
        <v>413</v>
      </c>
    </row>
    <row r="175" spans="1:16" x14ac:dyDescent="0.35">
      <c r="A175" t="s">
        <v>82</v>
      </c>
      <c r="B175">
        <v>1322845167</v>
      </c>
      <c r="C175" t="s">
        <v>19</v>
      </c>
      <c r="D175" t="s">
        <v>20</v>
      </c>
      <c r="E175" s="29">
        <v>46208</v>
      </c>
      <c r="F175" t="s">
        <v>6</v>
      </c>
      <c r="G175" s="28">
        <v>0.62083333333333335</v>
      </c>
      <c r="H175" s="28">
        <v>0.75277777777777777</v>
      </c>
      <c r="I175">
        <v>3</v>
      </c>
      <c r="J175" t="s">
        <v>146</v>
      </c>
      <c r="K175">
        <v>10</v>
      </c>
      <c r="L175" t="s">
        <v>147</v>
      </c>
      <c r="M175" t="s">
        <v>414</v>
      </c>
      <c r="N175" t="s">
        <v>415</v>
      </c>
      <c r="O175" t="s">
        <v>416</v>
      </c>
      <c r="P175" t="s">
        <v>417</v>
      </c>
    </row>
    <row r="176" spans="1:16" x14ac:dyDescent="0.35">
      <c r="A176" t="s">
        <v>82</v>
      </c>
      <c r="B176">
        <v>1322845167</v>
      </c>
      <c r="C176" t="s">
        <v>19</v>
      </c>
      <c r="D176" t="s">
        <v>20</v>
      </c>
      <c r="E176" s="29">
        <v>46208</v>
      </c>
      <c r="F176" t="s">
        <v>6</v>
      </c>
      <c r="G176" s="28">
        <v>0.75902777777777775</v>
      </c>
      <c r="H176" s="28">
        <v>0.76666666666666672</v>
      </c>
      <c r="I176">
        <v>0</v>
      </c>
      <c r="J176" t="s">
        <v>146</v>
      </c>
      <c r="K176">
        <v>1</v>
      </c>
      <c r="L176" t="s">
        <v>147</v>
      </c>
      <c r="M176" t="s">
        <v>410</v>
      </c>
      <c r="N176" t="s">
        <v>411</v>
      </c>
      <c r="O176" t="s">
        <v>412</v>
      </c>
      <c r="P176" t="s">
        <v>413</v>
      </c>
    </row>
    <row r="177" spans="1:16" x14ac:dyDescent="0.35">
      <c r="A177" t="s">
        <v>82</v>
      </c>
      <c r="B177">
        <v>1322845167</v>
      </c>
      <c r="C177" t="s">
        <v>19</v>
      </c>
      <c r="D177" t="s">
        <v>20</v>
      </c>
      <c r="E177" s="29">
        <v>46208</v>
      </c>
      <c r="F177" t="s">
        <v>6</v>
      </c>
      <c r="G177" s="28">
        <v>0.77430555555555558</v>
      </c>
      <c r="H177" s="28">
        <v>0.77430555555555558</v>
      </c>
      <c r="I177">
        <v>0</v>
      </c>
      <c r="J177" t="s">
        <v>174</v>
      </c>
      <c r="K177">
        <v>0</v>
      </c>
      <c r="L177" t="s">
        <v>680</v>
      </c>
      <c r="M177" t="s">
        <v>681</v>
      </c>
      <c r="N177" t="s">
        <v>682</v>
      </c>
      <c r="O177" t="s">
        <v>683</v>
      </c>
      <c r="P177" t="s">
        <v>684</v>
      </c>
    </row>
    <row r="178" spans="1:16" x14ac:dyDescent="0.35">
      <c r="A178" t="s">
        <v>82</v>
      </c>
      <c r="B178">
        <v>1322845167</v>
      </c>
      <c r="C178" t="s">
        <v>19</v>
      </c>
      <c r="D178" t="s">
        <v>20</v>
      </c>
      <c r="E178" s="29">
        <v>46208</v>
      </c>
      <c r="F178" t="s">
        <v>6</v>
      </c>
      <c r="G178" s="28">
        <v>0.78055555555555556</v>
      </c>
      <c r="H178" s="28">
        <v>0.78055555555555556</v>
      </c>
      <c r="I178">
        <v>0</v>
      </c>
      <c r="J178" t="s">
        <v>174</v>
      </c>
      <c r="K178">
        <v>0</v>
      </c>
      <c r="L178" t="s">
        <v>685</v>
      </c>
      <c r="M178" t="s">
        <v>686</v>
      </c>
      <c r="N178" t="s">
        <v>687</v>
      </c>
      <c r="O178" t="s">
        <v>688</v>
      </c>
      <c r="P178" t="s">
        <v>689</v>
      </c>
    </row>
    <row r="179" spans="1:16" x14ac:dyDescent="0.35">
      <c r="A179" t="s">
        <v>82</v>
      </c>
      <c r="B179">
        <v>1322845167</v>
      </c>
      <c r="C179" t="s">
        <v>19</v>
      </c>
      <c r="D179" t="s">
        <v>20</v>
      </c>
      <c r="E179" s="29">
        <v>46208</v>
      </c>
      <c r="F179" t="s">
        <v>6</v>
      </c>
      <c r="G179" s="28">
        <v>0.78749999999999998</v>
      </c>
      <c r="H179" s="28">
        <v>0.78749999999999998</v>
      </c>
      <c r="I179">
        <v>0</v>
      </c>
      <c r="J179" t="s">
        <v>174</v>
      </c>
      <c r="K179">
        <v>0</v>
      </c>
      <c r="L179" t="s">
        <v>690</v>
      </c>
      <c r="M179" t="s">
        <v>691</v>
      </c>
      <c r="N179" t="s">
        <v>692</v>
      </c>
      <c r="O179" t="s">
        <v>693</v>
      </c>
      <c r="P179" t="s">
        <v>694</v>
      </c>
    </row>
    <row r="180" spans="1:16" x14ac:dyDescent="0.35">
      <c r="A180" t="s">
        <v>109</v>
      </c>
      <c r="B180">
        <v>1324725712</v>
      </c>
      <c r="C180" t="s">
        <v>18</v>
      </c>
      <c r="D180" t="s">
        <v>20</v>
      </c>
      <c r="E180" s="29">
        <v>46204</v>
      </c>
      <c r="F180" t="s">
        <v>3</v>
      </c>
      <c r="G180" s="28">
        <v>0.4513888888888889</v>
      </c>
      <c r="H180" s="28">
        <v>0.4513888888888889</v>
      </c>
      <c r="I180">
        <v>0</v>
      </c>
      <c r="J180" t="s">
        <v>174</v>
      </c>
      <c r="K180">
        <v>0</v>
      </c>
      <c r="L180" t="s">
        <v>695</v>
      </c>
      <c r="M180" t="s">
        <v>696</v>
      </c>
      <c r="N180" t="s">
        <v>697</v>
      </c>
      <c r="O180" t="s">
        <v>698</v>
      </c>
      <c r="P180" t="s">
        <v>699</v>
      </c>
    </row>
    <row r="181" spans="1:16" x14ac:dyDescent="0.35">
      <c r="A181" t="s">
        <v>109</v>
      </c>
      <c r="B181">
        <v>1324725712</v>
      </c>
      <c r="C181" t="s">
        <v>18</v>
      </c>
      <c r="D181" t="s">
        <v>20</v>
      </c>
      <c r="E181" s="29">
        <v>46204</v>
      </c>
      <c r="F181" t="s">
        <v>3</v>
      </c>
      <c r="G181" s="28">
        <v>0.45833333333333331</v>
      </c>
      <c r="H181" s="28">
        <v>0.45833333333333331</v>
      </c>
      <c r="I181">
        <v>0</v>
      </c>
      <c r="J181" t="s">
        <v>174</v>
      </c>
      <c r="K181">
        <v>0</v>
      </c>
      <c r="L181" t="s">
        <v>700</v>
      </c>
      <c r="M181" t="s">
        <v>701</v>
      </c>
      <c r="N181" t="s">
        <v>702</v>
      </c>
      <c r="O181" t="s">
        <v>703</v>
      </c>
      <c r="P181" t="s">
        <v>704</v>
      </c>
    </row>
    <row r="182" spans="1:16" x14ac:dyDescent="0.35">
      <c r="A182" t="s">
        <v>109</v>
      </c>
      <c r="B182">
        <v>1324725712</v>
      </c>
      <c r="C182" t="s">
        <v>18</v>
      </c>
      <c r="D182" t="s">
        <v>20</v>
      </c>
      <c r="E182" s="29">
        <v>46204</v>
      </c>
      <c r="F182" t="s">
        <v>3</v>
      </c>
      <c r="G182" s="28">
        <v>0.46527777777777779</v>
      </c>
      <c r="H182" s="28">
        <v>0.46527777777777779</v>
      </c>
      <c r="I182">
        <v>0</v>
      </c>
      <c r="J182" t="s">
        <v>174</v>
      </c>
      <c r="K182">
        <v>0</v>
      </c>
      <c r="L182" t="s">
        <v>705</v>
      </c>
      <c r="M182" t="s">
        <v>706</v>
      </c>
      <c r="N182" t="s">
        <v>707</v>
      </c>
      <c r="O182" t="s">
        <v>708</v>
      </c>
      <c r="P182" t="s">
        <v>709</v>
      </c>
    </row>
    <row r="183" spans="1:16" x14ac:dyDescent="0.35">
      <c r="A183" t="s">
        <v>109</v>
      </c>
      <c r="B183">
        <v>1324725712</v>
      </c>
      <c r="C183" t="s">
        <v>18</v>
      </c>
      <c r="D183" t="s">
        <v>20</v>
      </c>
      <c r="E183" s="29">
        <v>46204</v>
      </c>
      <c r="F183" t="s">
        <v>3</v>
      </c>
      <c r="G183" s="28">
        <v>0.47222222222222221</v>
      </c>
      <c r="H183" s="28">
        <v>0.47222222222222221</v>
      </c>
      <c r="I183">
        <v>0</v>
      </c>
      <c r="J183" t="s">
        <v>174</v>
      </c>
      <c r="K183">
        <v>0</v>
      </c>
      <c r="L183" t="s">
        <v>710</v>
      </c>
      <c r="M183" t="s">
        <v>711</v>
      </c>
      <c r="N183" t="s">
        <v>712</v>
      </c>
      <c r="O183" t="s">
        <v>713</v>
      </c>
      <c r="P183" t="s">
        <v>714</v>
      </c>
    </row>
    <row r="184" spans="1:16" x14ac:dyDescent="0.35">
      <c r="A184" t="s">
        <v>109</v>
      </c>
      <c r="B184">
        <v>1324725712</v>
      </c>
      <c r="C184" t="s">
        <v>18</v>
      </c>
      <c r="D184" t="s">
        <v>20</v>
      </c>
      <c r="E184" s="29">
        <v>46204</v>
      </c>
      <c r="F184" t="s">
        <v>3</v>
      </c>
      <c r="G184" s="28">
        <v>0.47916666666666669</v>
      </c>
      <c r="H184" s="28">
        <v>0.47916666666666669</v>
      </c>
      <c r="I184">
        <v>0</v>
      </c>
      <c r="J184" t="s">
        <v>174</v>
      </c>
      <c r="K184">
        <v>0</v>
      </c>
      <c r="L184" t="s">
        <v>715</v>
      </c>
      <c r="M184" t="s">
        <v>716</v>
      </c>
      <c r="N184" t="s">
        <v>717</v>
      </c>
      <c r="O184" t="s">
        <v>718</v>
      </c>
      <c r="P184" t="s">
        <v>719</v>
      </c>
    </row>
    <row r="185" spans="1:16" x14ac:dyDescent="0.35">
      <c r="A185" t="s">
        <v>109</v>
      </c>
      <c r="B185">
        <v>1324725712</v>
      </c>
      <c r="C185" t="s">
        <v>18</v>
      </c>
      <c r="D185" t="s">
        <v>20</v>
      </c>
      <c r="E185" s="29">
        <v>46204</v>
      </c>
      <c r="F185" t="s">
        <v>3</v>
      </c>
      <c r="G185" s="28">
        <v>0.4861111111111111</v>
      </c>
      <c r="H185" s="28">
        <v>0.52777777777777779</v>
      </c>
      <c r="I185">
        <v>1</v>
      </c>
      <c r="J185" t="s">
        <v>146</v>
      </c>
      <c r="K185">
        <v>3</v>
      </c>
      <c r="L185" t="s">
        <v>147</v>
      </c>
      <c r="M185" t="s">
        <v>720</v>
      </c>
      <c r="N185" t="s">
        <v>721</v>
      </c>
      <c r="O185" t="s">
        <v>722</v>
      </c>
      <c r="P185" t="s">
        <v>723</v>
      </c>
    </row>
    <row r="186" spans="1:16" x14ac:dyDescent="0.35">
      <c r="A186" t="s">
        <v>109</v>
      </c>
      <c r="B186">
        <v>1324725712</v>
      </c>
      <c r="C186" t="s">
        <v>18</v>
      </c>
      <c r="D186" t="s">
        <v>20</v>
      </c>
      <c r="E186" s="29">
        <v>46204</v>
      </c>
      <c r="F186" t="s">
        <v>3</v>
      </c>
      <c r="G186" s="28">
        <v>0.53472222222222221</v>
      </c>
      <c r="H186" s="28">
        <v>0.53472222222222221</v>
      </c>
      <c r="I186">
        <v>0</v>
      </c>
      <c r="J186" t="s">
        <v>174</v>
      </c>
      <c r="K186">
        <v>0</v>
      </c>
      <c r="L186" t="s">
        <v>724</v>
      </c>
      <c r="M186" t="s">
        <v>711</v>
      </c>
      <c r="N186" t="s">
        <v>712</v>
      </c>
      <c r="O186" t="s">
        <v>713</v>
      </c>
      <c r="P186" t="s">
        <v>714</v>
      </c>
    </row>
    <row r="187" spans="1:16" x14ac:dyDescent="0.35">
      <c r="A187" t="s">
        <v>109</v>
      </c>
      <c r="B187">
        <v>1324725712</v>
      </c>
      <c r="C187" t="s">
        <v>18</v>
      </c>
      <c r="D187" t="s">
        <v>20</v>
      </c>
      <c r="E187" s="29">
        <v>46204</v>
      </c>
      <c r="F187" t="s">
        <v>3</v>
      </c>
      <c r="G187" s="28">
        <v>0.54861111111111116</v>
      </c>
      <c r="H187" s="28">
        <v>0.54861111111111116</v>
      </c>
      <c r="I187">
        <v>0</v>
      </c>
      <c r="J187" t="s">
        <v>174</v>
      </c>
      <c r="K187">
        <v>0</v>
      </c>
      <c r="L187" t="s">
        <v>287</v>
      </c>
      <c r="M187" t="s">
        <v>725</v>
      </c>
      <c r="N187" t="s">
        <v>726</v>
      </c>
      <c r="O187" t="s">
        <v>727</v>
      </c>
      <c r="P187" t="s">
        <v>728</v>
      </c>
    </row>
    <row r="188" spans="1:16" x14ac:dyDescent="0.35">
      <c r="A188" t="s">
        <v>109</v>
      </c>
      <c r="B188">
        <v>1324725712</v>
      </c>
      <c r="C188" t="s">
        <v>18</v>
      </c>
      <c r="D188" t="s">
        <v>20</v>
      </c>
      <c r="E188" s="29">
        <v>46204</v>
      </c>
      <c r="F188" t="s">
        <v>3</v>
      </c>
      <c r="G188" s="28">
        <v>0.55555555555555558</v>
      </c>
      <c r="H188" s="28">
        <v>0.55555555555555558</v>
      </c>
      <c r="I188">
        <v>0</v>
      </c>
      <c r="J188" t="s">
        <v>174</v>
      </c>
      <c r="K188">
        <v>0</v>
      </c>
      <c r="L188" t="s">
        <v>729</v>
      </c>
      <c r="M188" t="s">
        <v>730</v>
      </c>
      <c r="N188" t="s">
        <v>731</v>
      </c>
      <c r="O188" t="s">
        <v>732</v>
      </c>
      <c r="P188" t="s">
        <v>733</v>
      </c>
    </row>
    <row r="189" spans="1:16" x14ac:dyDescent="0.35">
      <c r="A189" t="s">
        <v>109</v>
      </c>
      <c r="B189">
        <v>1324725712</v>
      </c>
      <c r="C189" t="s">
        <v>18</v>
      </c>
      <c r="D189" t="s">
        <v>20</v>
      </c>
      <c r="E189" s="29">
        <v>46204</v>
      </c>
      <c r="F189" t="s">
        <v>3</v>
      </c>
      <c r="G189" s="28">
        <v>0.5625</v>
      </c>
      <c r="H189" s="28">
        <v>0.57638888888888884</v>
      </c>
      <c r="I189">
        <v>0</v>
      </c>
      <c r="J189" t="s">
        <v>146</v>
      </c>
      <c r="K189">
        <v>1</v>
      </c>
      <c r="L189" t="s">
        <v>147</v>
      </c>
      <c r="M189" t="s">
        <v>734</v>
      </c>
      <c r="N189" t="s">
        <v>735</v>
      </c>
      <c r="O189" t="s">
        <v>736</v>
      </c>
      <c r="P189" t="s">
        <v>737</v>
      </c>
    </row>
    <row r="190" spans="1:16" x14ac:dyDescent="0.35">
      <c r="A190" t="s">
        <v>109</v>
      </c>
      <c r="B190">
        <v>1324725712</v>
      </c>
      <c r="C190" t="s">
        <v>18</v>
      </c>
      <c r="D190" t="s">
        <v>20</v>
      </c>
      <c r="E190" s="29">
        <v>46204</v>
      </c>
      <c r="F190" t="s">
        <v>3</v>
      </c>
      <c r="G190" s="28">
        <v>0.58333333333333337</v>
      </c>
      <c r="H190" s="28">
        <v>0.58333333333333337</v>
      </c>
      <c r="I190">
        <v>0</v>
      </c>
      <c r="J190" t="s">
        <v>174</v>
      </c>
      <c r="K190">
        <v>0</v>
      </c>
      <c r="L190" t="s">
        <v>738</v>
      </c>
      <c r="M190" t="s">
        <v>739</v>
      </c>
      <c r="N190" t="s">
        <v>740</v>
      </c>
      <c r="O190" t="s">
        <v>741</v>
      </c>
      <c r="P190" t="s">
        <v>742</v>
      </c>
    </row>
    <row r="191" spans="1:16" x14ac:dyDescent="0.35">
      <c r="A191" t="s">
        <v>109</v>
      </c>
      <c r="B191">
        <v>1324725712</v>
      </c>
      <c r="C191" t="s">
        <v>18</v>
      </c>
      <c r="D191" t="s">
        <v>20</v>
      </c>
      <c r="E191" s="29">
        <v>46204</v>
      </c>
      <c r="F191" t="s">
        <v>3</v>
      </c>
      <c r="G191" s="28">
        <v>0.59027777777777779</v>
      </c>
      <c r="H191" s="28">
        <v>0.59027777777777779</v>
      </c>
      <c r="I191">
        <v>0</v>
      </c>
      <c r="J191" t="s">
        <v>174</v>
      </c>
      <c r="K191">
        <v>0</v>
      </c>
      <c r="L191" t="s">
        <v>743</v>
      </c>
      <c r="M191" t="s">
        <v>744</v>
      </c>
      <c r="N191" t="s">
        <v>745</v>
      </c>
      <c r="O191" t="s">
        <v>746</v>
      </c>
      <c r="P191" t="s">
        <v>747</v>
      </c>
    </row>
    <row r="192" spans="1:16" x14ac:dyDescent="0.35">
      <c r="A192" t="s">
        <v>109</v>
      </c>
      <c r="B192">
        <v>1324725712</v>
      </c>
      <c r="C192" t="s">
        <v>18</v>
      </c>
      <c r="D192" t="s">
        <v>20</v>
      </c>
      <c r="E192" s="29">
        <v>46204</v>
      </c>
      <c r="F192" t="s">
        <v>3</v>
      </c>
      <c r="G192" s="28">
        <v>0.59722222222222221</v>
      </c>
      <c r="H192" s="28">
        <v>0.59722222222222221</v>
      </c>
      <c r="I192">
        <v>0</v>
      </c>
      <c r="J192" t="s">
        <v>174</v>
      </c>
      <c r="K192">
        <v>0</v>
      </c>
      <c r="L192" t="s">
        <v>748</v>
      </c>
      <c r="M192" t="s">
        <v>749</v>
      </c>
      <c r="N192" t="s">
        <v>750</v>
      </c>
      <c r="O192" t="s">
        <v>751</v>
      </c>
      <c r="P192" t="s">
        <v>752</v>
      </c>
    </row>
    <row r="193" spans="1:16" x14ac:dyDescent="0.35">
      <c r="A193" t="s">
        <v>109</v>
      </c>
      <c r="B193">
        <v>1324725712</v>
      </c>
      <c r="C193" t="s">
        <v>18</v>
      </c>
      <c r="D193" t="s">
        <v>20</v>
      </c>
      <c r="E193" s="29">
        <v>46204</v>
      </c>
      <c r="F193" t="s">
        <v>3</v>
      </c>
      <c r="G193" s="28">
        <v>0.60416666666666663</v>
      </c>
      <c r="H193" s="28">
        <v>0.60416666666666663</v>
      </c>
      <c r="I193">
        <v>0</v>
      </c>
      <c r="J193" t="s">
        <v>174</v>
      </c>
      <c r="K193">
        <v>0</v>
      </c>
      <c r="L193" t="s">
        <v>753</v>
      </c>
      <c r="M193" t="s">
        <v>739</v>
      </c>
      <c r="N193" t="s">
        <v>740</v>
      </c>
      <c r="O193" t="s">
        <v>741</v>
      </c>
      <c r="P193" t="s">
        <v>742</v>
      </c>
    </row>
    <row r="194" spans="1:16" x14ac:dyDescent="0.35">
      <c r="A194" t="s">
        <v>109</v>
      </c>
      <c r="B194">
        <v>1324725712</v>
      </c>
      <c r="C194" t="s">
        <v>18</v>
      </c>
      <c r="D194" t="s">
        <v>20</v>
      </c>
      <c r="E194" s="29">
        <v>46204</v>
      </c>
      <c r="F194" t="s">
        <v>3</v>
      </c>
      <c r="G194" s="28">
        <v>0.61111111111111116</v>
      </c>
      <c r="H194" s="28">
        <v>0.99305555555555558</v>
      </c>
      <c r="I194">
        <v>9</v>
      </c>
      <c r="J194" t="s">
        <v>146</v>
      </c>
      <c r="K194">
        <v>28</v>
      </c>
      <c r="L194" t="s">
        <v>147</v>
      </c>
      <c r="M194" t="s">
        <v>754</v>
      </c>
      <c r="N194" t="s">
        <v>755</v>
      </c>
      <c r="O194" t="s">
        <v>756</v>
      </c>
      <c r="P194" t="s">
        <v>757</v>
      </c>
    </row>
    <row r="195" spans="1:16" x14ac:dyDescent="0.35">
      <c r="A195" t="s">
        <v>109</v>
      </c>
      <c r="B195">
        <v>1324725712</v>
      </c>
      <c r="C195" t="s">
        <v>18</v>
      </c>
      <c r="D195" t="s">
        <v>20</v>
      </c>
      <c r="E195" s="29">
        <v>46205</v>
      </c>
      <c r="F195" t="s">
        <v>4</v>
      </c>
      <c r="G195" s="28">
        <v>0.4236111111111111</v>
      </c>
      <c r="H195" s="28">
        <v>0.52777777777777779</v>
      </c>
      <c r="I195">
        <v>2</v>
      </c>
      <c r="J195" t="s">
        <v>146</v>
      </c>
      <c r="K195">
        <v>8</v>
      </c>
      <c r="L195" t="s">
        <v>147</v>
      </c>
      <c r="M195" t="s">
        <v>758</v>
      </c>
      <c r="N195" t="s">
        <v>759</v>
      </c>
      <c r="O195" t="s">
        <v>760</v>
      </c>
      <c r="P195" t="s">
        <v>761</v>
      </c>
    </row>
    <row r="196" spans="1:16" x14ac:dyDescent="0.35">
      <c r="A196" t="s">
        <v>109</v>
      </c>
      <c r="B196">
        <v>1324725712</v>
      </c>
      <c r="C196" t="s">
        <v>18</v>
      </c>
      <c r="D196" t="s">
        <v>20</v>
      </c>
      <c r="E196" s="29">
        <v>46205</v>
      </c>
      <c r="F196" t="s">
        <v>4</v>
      </c>
      <c r="G196" s="28">
        <v>0.53472222222222221</v>
      </c>
      <c r="H196" s="28">
        <v>0.53472222222222221</v>
      </c>
      <c r="I196">
        <v>0</v>
      </c>
      <c r="J196" t="s">
        <v>174</v>
      </c>
      <c r="K196">
        <v>0</v>
      </c>
      <c r="L196" t="s">
        <v>480</v>
      </c>
      <c r="M196" t="s">
        <v>762</v>
      </c>
      <c r="N196" t="s">
        <v>763</v>
      </c>
      <c r="O196" t="s">
        <v>764</v>
      </c>
      <c r="P196" t="s">
        <v>765</v>
      </c>
    </row>
    <row r="197" spans="1:16" x14ac:dyDescent="0.35">
      <c r="A197" t="s">
        <v>109</v>
      </c>
      <c r="B197">
        <v>1324725712</v>
      </c>
      <c r="C197" t="s">
        <v>18</v>
      </c>
      <c r="D197" t="s">
        <v>20</v>
      </c>
      <c r="E197" s="29">
        <v>46205</v>
      </c>
      <c r="F197" t="s">
        <v>4</v>
      </c>
      <c r="G197" s="28">
        <v>0.54166666666666663</v>
      </c>
      <c r="H197" s="28">
        <v>0.55555555555555558</v>
      </c>
      <c r="I197">
        <v>0</v>
      </c>
      <c r="J197" t="s">
        <v>146</v>
      </c>
      <c r="K197">
        <v>1</v>
      </c>
      <c r="L197" t="s">
        <v>147</v>
      </c>
      <c r="M197" t="s">
        <v>766</v>
      </c>
      <c r="N197" t="s">
        <v>767</v>
      </c>
      <c r="O197" t="s">
        <v>768</v>
      </c>
      <c r="P197" t="s">
        <v>769</v>
      </c>
    </row>
    <row r="198" spans="1:16" x14ac:dyDescent="0.35">
      <c r="A198" t="s">
        <v>109</v>
      </c>
      <c r="B198">
        <v>1324725712</v>
      </c>
      <c r="C198" t="s">
        <v>18</v>
      </c>
      <c r="D198" t="s">
        <v>20</v>
      </c>
      <c r="E198" s="29">
        <v>46205</v>
      </c>
      <c r="F198" t="s">
        <v>4</v>
      </c>
      <c r="G198" s="28">
        <v>0.5625</v>
      </c>
      <c r="H198" s="28">
        <v>0.5625</v>
      </c>
      <c r="I198">
        <v>0</v>
      </c>
      <c r="J198" t="s">
        <v>174</v>
      </c>
      <c r="K198">
        <v>0</v>
      </c>
      <c r="L198" t="s">
        <v>614</v>
      </c>
      <c r="M198" t="s">
        <v>734</v>
      </c>
      <c r="N198" t="s">
        <v>735</v>
      </c>
      <c r="O198" t="s">
        <v>736</v>
      </c>
      <c r="P198" t="s">
        <v>737</v>
      </c>
    </row>
    <row r="199" spans="1:16" x14ac:dyDescent="0.35">
      <c r="A199" t="s">
        <v>109</v>
      </c>
      <c r="B199">
        <v>1324725712</v>
      </c>
      <c r="C199" t="s">
        <v>18</v>
      </c>
      <c r="D199" t="s">
        <v>20</v>
      </c>
      <c r="E199" s="29">
        <v>46205</v>
      </c>
      <c r="F199" t="s">
        <v>4</v>
      </c>
      <c r="G199" s="28">
        <v>0.56944444444444442</v>
      </c>
      <c r="H199" s="28">
        <v>0.56944444444444442</v>
      </c>
      <c r="I199">
        <v>0</v>
      </c>
      <c r="J199" t="s">
        <v>174</v>
      </c>
      <c r="K199">
        <v>0</v>
      </c>
      <c r="L199" t="s">
        <v>614</v>
      </c>
      <c r="M199" t="s">
        <v>770</v>
      </c>
      <c r="N199" t="s">
        <v>771</v>
      </c>
      <c r="O199" t="s">
        <v>772</v>
      </c>
      <c r="P199" t="s">
        <v>773</v>
      </c>
    </row>
    <row r="200" spans="1:16" x14ac:dyDescent="0.35">
      <c r="A200" t="s">
        <v>109</v>
      </c>
      <c r="B200">
        <v>1324725712</v>
      </c>
      <c r="C200" t="s">
        <v>18</v>
      </c>
      <c r="D200" t="s">
        <v>20</v>
      </c>
      <c r="E200" s="29">
        <v>46205</v>
      </c>
      <c r="F200" t="s">
        <v>4</v>
      </c>
      <c r="G200" s="28">
        <v>0.57638888888888884</v>
      </c>
      <c r="H200" s="28">
        <v>0.59027777777777779</v>
      </c>
      <c r="I200">
        <v>0</v>
      </c>
      <c r="J200" t="s">
        <v>146</v>
      </c>
      <c r="K200">
        <v>1</v>
      </c>
      <c r="L200" t="s">
        <v>147</v>
      </c>
      <c r="M200" t="s">
        <v>734</v>
      </c>
      <c r="N200" t="s">
        <v>735</v>
      </c>
      <c r="O200" t="s">
        <v>736</v>
      </c>
      <c r="P200" t="s">
        <v>737</v>
      </c>
    </row>
    <row r="201" spans="1:16" x14ac:dyDescent="0.35">
      <c r="A201" t="s">
        <v>109</v>
      </c>
      <c r="B201">
        <v>1324725712</v>
      </c>
      <c r="C201" t="s">
        <v>18</v>
      </c>
      <c r="D201" t="s">
        <v>20</v>
      </c>
      <c r="E201" s="29">
        <v>46205</v>
      </c>
      <c r="F201" t="s">
        <v>4</v>
      </c>
      <c r="G201" s="28">
        <v>0.59722222222222221</v>
      </c>
      <c r="H201" s="28">
        <v>0.59722222222222221</v>
      </c>
      <c r="I201">
        <v>0</v>
      </c>
      <c r="J201" t="s">
        <v>174</v>
      </c>
      <c r="K201">
        <v>0</v>
      </c>
      <c r="L201" t="s">
        <v>267</v>
      </c>
      <c r="M201" t="s">
        <v>770</v>
      </c>
      <c r="N201" t="s">
        <v>771</v>
      </c>
      <c r="O201" t="s">
        <v>772</v>
      </c>
      <c r="P201" t="s">
        <v>773</v>
      </c>
    </row>
    <row r="202" spans="1:16" x14ac:dyDescent="0.35">
      <c r="A202" t="s">
        <v>109</v>
      </c>
      <c r="B202">
        <v>1324725712</v>
      </c>
      <c r="C202" t="s">
        <v>18</v>
      </c>
      <c r="D202" t="s">
        <v>20</v>
      </c>
      <c r="E202" s="29">
        <v>46205</v>
      </c>
      <c r="F202" t="s">
        <v>4</v>
      </c>
      <c r="G202" s="28">
        <v>0.60416666666666663</v>
      </c>
      <c r="H202" s="28">
        <v>0.60416666666666663</v>
      </c>
      <c r="I202">
        <v>0</v>
      </c>
      <c r="J202" t="s">
        <v>174</v>
      </c>
      <c r="K202">
        <v>0</v>
      </c>
      <c r="L202" t="s">
        <v>246</v>
      </c>
      <c r="M202" t="s">
        <v>730</v>
      </c>
      <c r="N202" t="s">
        <v>731</v>
      </c>
      <c r="O202" t="s">
        <v>732</v>
      </c>
      <c r="P202" t="s">
        <v>733</v>
      </c>
    </row>
    <row r="203" spans="1:16" x14ac:dyDescent="0.35">
      <c r="A203" t="s">
        <v>109</v>
      </c>
      <c r="B203">
        <v>1324725712</v>
      </c>
      <c r="C203" t="s">
        <v>18</v>
      </c>
      <c r="D203" t="s">
        <v>20</v>
      </c>
      <c r="E203" s="29">
        <v>46205</v>
      </c>
      <c r="F203" t="s">
        <v>4</v>
      </c>
      <c r="G203" s="28">
        <v>0.61111111111111116</v>
      </c>
      <c r="H203" s="28">
        <v>0.625</v>
      </c>
      <c r="I203">
        <v>0</v>
      </c>
      <c r="J203" t="s">
        <v>146</v>
      </c>
      <c r="K203">
        <v>1</v>
      </c>
      <c r="L203" t="s">
        <v>147</v>
      </c>
      <c r="M203" t="s">
        <v>774</v>
      </c>
      <c r="N203" t="s">
        <v>755</v>
      </c>
      <c r="O203" t="s">
        <v>756</v>
      </c>
      <c r="P203" t="s">
        <v>757</v>
      </c>
    </row>
    <row r="204" spans="1:16" x14ac:dyDescent="0.35">
      <c r="A204" t="s">
        <v>109</v>
      </c>
      <c r="B204">
        <v>1324725712</v>
      </c>
      <c r="C204" t="s">
        <v>18</v>
      </c>
      <c r="D204" t="s">
        <v>20</v>
      </c>
      <c r="E204" s="29">
        <v>46205</v>
      </c>
      <c r="F204" t="s">
        <v>4</v>
      </c>
      <c r="G204" s="28">
        <v>0.63194444444444442</v>
      </c>
      <c r="H204" s="28">
        <v>0.63194444444444442</v>
      </c>
      <c r="I204">
        <v>0</v>
      </c>
      <c r="J204" t="s">
        <v>174</v>
      </c>
      <c r="K204">
        <v>0</v>
      </c>
      <c r="L204" t="s">
        <v>775</v>
      </c>
      <c r="M204" t="s">
        <v>776</v>
      </c>
      <c r="N204" t="s">
        <v>777</v>
      </c>
      <c r="O204" t="s">
        <v>778</v>
      </c>
      <c r="P204" t="s">
        <v>779</v>
      </c>
    </row>
    <row r="205" spans="1:16" x14ac:dyDescent="0.35">
      <c r="A205" t="s">
        <v>109</v>
      </c>
      <c r="B205">
        <v>1324725712</v>
      </c>
      <c r="C205" t="s">
        <v>18</v>
      </c>
      <c r="D205" t="s">
        <v>20</v>
      </c>
      <c r="E205" s="29">
        <v>46205</v>
      </c>
      <c r="F205" t="s">
        <v>4</v>
      </c>
      <c r="G205" s="28">
        <v>0.63888888888888884</v>
      </c>
      <c r="H205" s="28">
        <v>0.63888888888888884</v>
      </c>
      <c r="I205">
        <v>0</v>
      </c>
      <c r="J205" t="s">
        <v>174</v>
      </c>
      <c r="K205">
        <v>0</v>
      </c>
      <c r="L205" t="s">
        <v>509</v>
      </c>
      <c r="M205" t="s">
        <v>780</v>
      </c>
      <c r="N205" t="s">
        <v>781</v>
      </c>
      <c r="O205" t="s">
        <v>782</v>
      </c>
      <c r="P205" t="s">
        <v>783</v>
      </c>
    </row>
    <row r="206" spans="1:16" x14ac:dyDescent="0.35">
      <c r="A206" t="s">
        <v>109</v>
      </c>
      <c r="B206">
        <v>1324725712</v>
      </c>
      <c r="C206" t="s">
        <v>18</v>
      </c>
      <c r="D206" t="s">
        <v>20</v>
      </c>
      <c r="E206" s="29">
        <v>46205</v>
      </c>
      <c r="F206" t="s">
        <v>4</v>
      </c>
      <c r="G206" s="28">
        <v>0.64583333333333337</v>
      </c>
      <c r="H206" s="28">
        <v>0.65972222222222221</v>
      </c>
      <c r="I206">
        <v>0</v>
      </c>
      <c r="J206" t="s">
        <v>146</v>
      </c>
      <c r="K206">
        <v>1</v>
      </c>
      <c r="L206" t="s">
        <v>147</v>
      </c>
      <c r="M206" t="s">
        <v>784</v>
      </c>
      <c r="N206" t="s">
        <v>785</v>
      </c>
      <c r="O206" t="s">
        <v>786</v>
      </c>
      <c r="P206" t="s">
        <v>787</v>
      </c>
    </row>
    <row r="207" spans="1:16" x14ac:dyDescent="0.35">
      <c r="A207" t="s">
        <v>109</v>
      </c>
      <c r="B207">
        <v>1324725712</v>
      </c>
      <c r="C207" t="s">
        <v>18</v>
      </c>
      <c r="D207" t="s">
        <v>20</v>
      </c>
      <c r="E207" s="29">
        <v>46205</v>
      </c>
      <c r="F207" t="s">
        <v>4</v>
      </c>
      <c r="G207" s="28">
        <v>0.66666666666666663</v>
      </c>
      <c r="H207" s="28">
        <v>0.66666666666666663</v>
      </c>
      <c r="I207">
        <v>0</v>
      </c>
      <c r="J207" t="s">
        <v>174</v>
      </c>
      <c r="K207">
        <v>0</v>
      </c>
      <c r="L207" t="s">
        <v>788</v>
      </c>
      <c r="M207" t="s">
        <v>789</v>
      </c>
      <c r="N207" t="s">
        <v>790</v>
      </c>
      <c r="O207" t="s">
        <v>791</v>
      </c>
      <c r="P207" t="s">
        <v>792</v>
      </c>
    </row>
    <row r="208" spans="1:16" x14ac:dyDescent="0.35">
      <c r="A208" t="s">
        <v>109</v>
      </c>
      <c r="B208">
        <v>1324725712</v>
      </c>
      <c r="C208" t="s">
        <v>18</v>
      </c>
      <c r="D208" t="s">
        <v>20</v>
      </c>
      <c r="E208" s="29">
        <v>46205</v>
      </c>
      <c r="F208" t="s">
        <v>4</v>
      </c>
      <c r="G208" s="28">
        <v>0.67361111111111116</v>
      </c>
      <c r="H208" s="28">
        <v>0.67361111111111116</v>
      </c>
      <c r="I208">
        <v>0</v>
      </c>
      <c r="J208" t="s">
        <v>174</v>
      </c>
      <c r="K208">
        <v>0</v>
      </c>
      <c r="L208" t="s">
        <v>793</v>
      </c>
      <c r="M208" t="s">
        <v>794</v>
      </c>
      <c r="N208" t="s">
        <v>795</v>
      </c>
      <c r="O208" t="s">
        <v>796</v>
      </c>
      <c r="P208" t="s">
        <v>742</v>
      </c>
    </row>
    <row r="209" spans="1:16" x14ac:dyDescent="0.35">
      <c r="A209" t="s">
        <v>109</v>
      </c>
      <c r="B209">
        <v>1324725712</v>
      </c>
      <c r="C209" t="s">
        <v>18</v>
      </c>
      <c r="D209" t="s">
        <v>20</v>
      </c>
      <c r="E209" s="29">
        <v>46205</v>
      </c>
      <c r="F209" t="s">
        <v>4</v>
      </c>
      <c r="G209" s="28">
        <v>0.68055555555555558</v>
      </c>
      <c r="H209" s="28">
        <v>0.72916666666666663</v>
      </c>
      <c r="I209">
        <v>1</v>
      </c>
      <c r="J209" t="s">
        <v>146</v>
      </c>
      <c r="K209">
        <v>4</v>
      </c>
      <c r="L209" t="s">
        <v>147</v>
      </c>
      <c r="M209" t="s">
        <v>797</v>
      </c>
      <c r="N209" t="s">
        <v>798</v>
      </c>
      <c r="O209" t="s">
        <v>799</v>
      </c>
      <c r="P209" t="s">
        <v>800</v>
      </c>
    </row>
    <row r="210" spans="1:16" x14ac:dyDescent="0.35">
      <c r="A210" t="s">
        <v>109</v>
      </c>
      <c r="B210">
        <v>1324725712</v>
      </c>
      <c r="C210" t="s">
        <v>18</v>
      </c>
      <c r="D210" t="s">
        <v>20</v>
      </c>
      <c r="E210" s="29">
        <v>46205</v>
      </c>
      <c r="F210" t="s">
        <v>4</v>
      </c>
      <c r="G210" s="28">
        <v>0.73611111111111116</v>
      </c>
      <c r="H210" s="28">
        <v>0.74305555555555558</v>
      </c>
      <c r="I210">
        <v>0</v>
      </c>
      <c r="J210" t="s">
        <v>146</v>
      </c>
      <c r="K210">
        <v>0</v>
      </c>
      <c r="L210" t="s">
        <v>147</v>
      </c>
      <c r="M210" t="s">
        <v>801</v>
      </c>
      <c r="N210" t="s">
        <v>802</v>
      </c>
      <c r="O210" t="s">
        <v>803</v>
      </c>
      <c r="P210" t="s">
        <v>804</v>
      </c>
    </row>
    <row r="211" spans="1:16" x14ac:dyDescent="0.35">
      <c r="A211" t="s">
        <v>109</v>
      </c>
      <c r="B211">
        <v>1324725712</v>
      </c>
      <c r="C211" t="s">
        <v>18</v>
      </c>
      <c r="D211" t="s">
        <v>20</v>
      </c>
      <c r="E211" s="29">
        <v>46205</v>
      </c>
      <c r="F211" t="s">
        <v>4</v>
      </c>
      <c r="G211" s="28">
        <v>0.75</v>
      </c>
      <c r="H211" s="28">
        <v>0.75</v>
      </c>
      <c r="I211">
        <v>0</v>
      </c>
      <c r="J211" t="s">
        <v>174</v>
      </c>
      <c r="K211">
        <v>0</v>
      </c>
      <c r="L211" t="s">
        <v>805</v>
      </c>
      <c r="M211" t="s">
        <v>806</v>
      </c>
      <c r="N211" t="s">
        <v>807</v>
      </c>
      <c r="O211" t="s">
        <v>808</v>
      </c>
      <c r="P211" t="s">
        <v>809</v>
      </c>
    </row>
    <row r="212" spans="1:16" x14ac:dyDescent="0.35">
      <c r="A212" t="s">
        <v>109</v>
      </c>
      <c r="B212">
        <v>1324725712</v>
      </c>
      <c r="C212" t="s">
        <v>18</v>
      </c>
      <c r="D212" t="s">
        <v>20</v>
      </c>
      <c r="E212" s="29">
        <v>46205</v>
      </c>
      <c r="F212" t="s">
        <v>4</v>
      </c>
      <c r="G212" s="28">
        <v>0.75694444444444442</v>
      </c>
      <c r="H212" s="28">
        <v>0.75694444444444442</v>
      </c>
      <c r="I212">
        <v>0</v>
      </c>
      <c r="J212" t="s">
        <v>174</v>
      </c>
      <c r="K212">
        <v>0</v>
      </c>
      <c r="L212" t="s">
        <v>810</v>
      </c>
      <c r="M212" t="s">
        <v>811</v>
      </c>
      <c r="N212" t="s">
        <v>812</v>
      </c>
      <c r="O212" t="s">
        <v>813</v>
      </c>
      <c r="P212" t="s">
        <v>814</v>
      </c>
    </row>
    <row r="213" spans="1:16" x14ac:dyDescent="0.35">
      <c r="A213" t="s">
        <v>109</v>
      </c>
      <c r="B213">
        <v>1324725712</v>
      </c>
      <c r="C213" t="s">
        <v>18</v>
      </c>
      <c r="D213" t="s">
        <v>20</v>
      </c>
      <c r="E213" s="29">
        <v>46205</v>
      </c>
      <c r="F213" t="s">
        <v>4</v>
      </c>
      <c r="G213" s="28">
        <v>0.76388888888888884</v>
      </c>
      <c r="H213" s="28">
        <v>0.76388888888888884</v>
      </c>
      <c r="I213">
        <v>0</v>
      </c>
      <c r="J213" t="s">
        <v>174</v>
      </c>
      <c r="K213">
        <v>0</v>
      </c>
      <c r="L213" t="s">
        <v>815</v>
      </c>
      <c r="M213" t="s">
        <v>816</v>
      </c>
      <c r="N213" t="s">
        <v>817</v>
      </c>
      <c r="O213" t="s">
        <v>818</v>
      </c>
      <c r="P213" t="s">
        <v>819</v>
      </c>
    </row>
    <row r="214" spans="1:16" x14ac:dyDescent="0.35">
      <c r="A214" t="s">
        <v>109</v>
      </c>
      <c r="B214">
        <v>1324725712</v>
      </c>
      <c r="C214" t="s">
        <v>18</v>
      </c>
      <c r="D214" t="s">
        <v>20</v>
      </c>
      <c r="E214" s="29">
        <v>46205</v>
      </c>
      <c r="F214" t="s">
        <v>4</v>
      </c>
      <c r="G214" s="28">
        <v>0.77083333333333337</v>
      </c>
      <c r="H214" s="28">
        <v>0.77083333333333337</v>
      </c>
      <c r="I214">
        <v>0</v>
      </c>
      <c r="J214" t="s">
        <v>174</v>
      </c>
      <c r="K214">
        <v>0</v>
      </c>
      <c r="L214" t="s">
        <v>820</v>
      </c>
      <c r="M214" t="s">
        <v>821</v>
      </c>
      <c r="N214" t="s">
        <v>822</v>
      </c>
      <c r="O214" t="s">
        <v>823</v>
      </c>
      <c r="P214" t="s">
        <v>824</v>
      </c>
    </row>
    <row r="215" spans="1:16" x14ac:dyDescent="0.35">
      <c r="A215" t="s">
        <v>109</v>
      </c>
      <c r="B215">
        <v>1324725712</v>
      </c>
      <c r="C215" t="s">
        <v>18</v>
      </c>
      <c r="D215" t="s">
        <v>20</v>
      </c>
      <c r="E215" s="29">
        <v>46205</v>
      </c>
      <c r="F215" t="s">
        <v>4</v>
      </c>
      <c r="G215" s="28">
        <v>0.77777777777777779</v>
      </c>
      <c r="H215" s="28">
        <v>0.77777777777777779</v>
      </c>
      <c r="I215">
        <v>0</v>
      </c>
      <c r="J215" t="s">
        <v>174</v>
      </c>
      <c r="K215">
        <v>0</v>
      </c>
      <c r="L215" t="s">
        <v>825</v>
      </c>
      <c r="M215" t="s">
        <v>826</v>
      </c>
      <c r="N215" t="s">
        <v>827</v>
      </c>
      <c r="O215" t="s">
        <v>828</v>
      </c>
      <c r="P215" t="s">
        <v>829</v>
      </c>
    </row>
    <row r="216" spans="1:16" x14ac:dyDescent="0.35">
      <c r="A216" t="s">
        <v>109</v>
      </c>
      <c r="B216">
        <v>1324725712</v>
      </c>
      <c r="C216" t="s">
        <v>18</v>
      </c>
      <c r="D216" t="s">
        <v>20</v>
      </c>
      <c r="E216" s="29">
        <v>46205</v>
      </c>
      <c r="F216" t="s">
        <v>4</v>
      </c>
      <c r="G216" s="28">
        <v>0.78472222222222221</v>
      </c>
      <c r="H216" s="28">
        <v>0.78472222222222221</v>
      </c>
      <c r="I216">
        <v>0</v>
      </c>
      <c r="J216" t="s">
        <v>174</v>
      </c>
      <c r="K216">
        <v>0</v>
      </c>
      <c r="L216" t="s">
        <v>830</v>
      </c>
      <c r="M216" t="s">
        <v>831</v>
      </c>
      <c r="N216" t="s">
        <v>832</v>
      </c>
      <c r="O216" t="s">
        <v>833</v>
      </c>
      <c r="P216" t="s">
        <v>834</v>
      </c>
    </row>
    <row r="217" spans="1:16" x14ac:dyDescent="0.35">
      <c r="A217" t="s">
        <v>109</v>
      </c>
      <c r="B217">
        <v>1324725712</v>
      </c>
      <c r="C217" t="s">
        <v>18</v>
      </c>
      <c r="D217" t="s">
        <v>20</v>
      </c>
      <c r="E217" s="29">
        <v>46207</v>
      </c>
      <c r="F217" t="s">
        <v>5</v>
      </c>
      <c r="G217" s="28">
        <v>0.38194444444444442</v>
      </c>
      <c r="H217" s="28">
        <v>0.38194444444444442</v>
      </c>
      <c r="I217">
        <v>0</v>
      </c>
      <c r="J217" t="s">
        <v>174</v>
      </c>
      <c r="K217">
        <v>0</v>
      </c>
      <c r="L217" t="s">
        <v>509</v>
      </c>
      <c r="M217" t="s">
        <v>835</v>
      </c>
      <c r="N217" t="s">
        <v>836</v>
      </c>
      <c r="O217" t="s">
        <v>837</v>
      </c>
      <c r="P217" t="s">
        <v>838</v>
      </c>
    </row>
    <row r="218" spans="1:16" x14ac:dyDescent="0.35">
      <c r="A218" t="s">
        <v>109</v>
      </c>
      <c r="B218">
        <v>1324725712</v>
      </c>
      <c r="C218" t="s">
        <v>18</v>
      </c>
      <c r="D218" t="s">
        <v>20</v>
      </c>
      <c r="E218" s="29">
        <v>46207</v>
      </c>
      <c r="F218" t="s">
        <v>5</v>
      </c>
      <c r="G218" s="28">
        <v>0.3888888888888889</v>
      </c>
      <c r="H218" s="28">
        <v>0.39583333333333331</v>
      </c>
      <c r="I218">
        <v>0</v>
      </c>
      <c r="J218" t="s">
        <v>146</v>
      </c>
      <c r="K218">
        <v>0</v>
      </c>
      <c r="L218" t="s">
        <v>147</v>
      </c>
      <c r="M218" t="s">
        <v>839</v>
      </c>
      <c r="N218" t="s">
        <v>840</v>
      </c>
      <c r="O218" t="s">
        <v>841</v>
      </c>
      <c r="P218" t="s">
        <v>842</v>
      </c>
    </row>
    <row r="219" spans="1:16" x14ac:dyDescent="0.35">
      <c r="A219" t="s">
        <v>109</v>
      </c>
      <c r="B219">
        <v>1324725712</v>
      </c>
      <c r="C219" t="s">
        <v>18</v>
      </c>
      <c r="D219" t="s">
        <v>20</v>
      </c>
      <c r="E219" s="29">
        <v>46207</v>
      </c>
      <c r="F219" t="s">
        <v>5</v>
      </c>
      <c r="G219" s="28">
        <v>0.40277777777777779</v>
      </c>
      <c r="H219" s="28">
        <v>0.40277777777777779</v>
      </c>
      <c r="I219">
        <v>0</v>
      </c>
      <c r="J219" t="s">
        <v>174</v>
      </c>
      <c r="K219">
        <v>0</v>
      </c>
      <c r="L219" t="s">
        <v>509</v>
      </c>
      <c r="M219" t="s">
        <v>835</v>
      </c>
      <c r="N219" t="s">
        <v>836</v>
      </c>
      <c r="O219" t="s">
        <v>837</v>
      </c>
      <c r="P219" t="s">
        <v>838</v>
      </c>
    </row>
    <row r="220" spans="1:16" x14ac:dyDescent="0.35">
      <c r="A220" t="s">
        <v>109</v>
      </c>
      <c r="B220">
        <v>1324725712</v>
      </c>
      <c r="C220" t="s">
        <v>18</v>
      </c>
      <c r="D220" t="s">
        <v>20</v>
      </c>
      <c r="E220" s="29">
        <v>46207</v>
      </c>
      <c r="F220" t="s">
        <v>5</v>
      </c>
      <c r="G220" s="28">
        <v>0.40972222222222221</v>
      </c>
      <c r="H220" s="28">
        <v>0.40972222222222221</v>
      </c>
      <c r="I220">
        <v>0</v>
      </c>
      <c r="J220" t="s">
        <v>174</v>
      </c>
      <c r="K220">
        <v>0</v>
      </c>
      <c r="L220" t="s">
        <v>509</v>
      </c>
      <c r="M220" t="s">
        <v>839</v>
      </c>
      <c r="N220" t="s">
        <v>840</v>
      </c>
      <c r="O220" t="s">
        <v>841</v>
      </c>
      <c r="P220" t="s">
        <v>842</v>
      </c>
    </row>
    <row r="221" spans="1:16" x14ac:dyDescent="0.35">
      <c r="A221" t="s">
        <v>109</v>
      </c>
      <c r="B221">
        <v>1324725712</v>
      </c>
      <c r="C221" t="s">
        <v>18</v>
      </c>
      <c r="D221" t="s">
        <v>20</v>
      </c>
      <c r="E221" s="29">
        <v>46207</v>
      </c>
      <c r="F221" t="s">
        <v>5</v>
      </c>
      <c r="G221" s="28">
        <v>0.41666666666666669</v>
      </c>
      <c r="H221" s="28">
        <v>0.4375</v>
      </c>
      <c r="I221">
        <v>0</v>
      </c>
      <c r="J221" t="s">
        <v>146</v>
      </c>
      <c r="K221">
        <v>2</v>
      </c>
      <c r="L221" t="s">
        <v>147</v>
      </c>
      <c r="M221" t="s">
        <v>835</v>
      </c>
      <c r="N221" t="s">
        <v>836</v>
      </c>
      <c r="O221" t="s">
        <v>837</v>
      </c>
      <c r="P221" t="s">
        <v>838</v>
      </c>
    </row>
    <row r="222" spans="1:16" x14ac:dyDescent="0.35">
      <c r="A222" t="s">
        <v>109</v>
      </c>
      <c r="B222">
        <v>1324725712</v>
      </c>
      <c r="C222" t="s">
        <v>18</v>
      </c>
      <c r="D222" t="s">
        <v>20</v>
      </c>
      <c r="E222" s="29">
        <v>46207</v>
      </c>
      <c r="F222" t="s">
        <v>5</v>
      </c>
      <c r="G222" s="28">
        <v>0.44444444444444442</v>
      </c>
      <c r="H222" s="28">
        <v>0.44444444444444442</v>
      </c>
      <c r="I222">
        <v>0</v>
      </c>
      <c r="J222" t="s">
        <v>174</v>
      </c>
      <c r="K222">
        <v>0</v>
      </c>
      <c r="L222" t="s">
        <v>843</v>
      </c>
      <c r="M222" t="s">
        <v>844</v>
      </c>
      <c r="N222" t="s">
        <v>845</v>
      </c>
      <c r="O222" t="s">
        <v>846</v>
      </c>
      <c r="P222" t="s">
        <v>847</v>
      </c>
    </row>
    <row r="223" spans="1:16" x14ac:dyDescent="0.35">
      <c r="A223" t="s">
        <v>109</v>
      </c>
      <c r="B223">
        <v>1324725712</v>
      </c>
      <c r="C223" t="s">
        <v>18</v>
      </c>
      <c r="D223" t="s">
        <v>20</v>
      </c>
      <c r="E223" s="29">
        <v>46207</v>
      </c>
      <c r="F223" t="s">
        <v>5</v>
      </c>
      <c r="G223" s="28">
        <v>0.4513888888888889</v>
      </c>
      <c r="H223" s="28">
        <v>0.45833333333333331</v>
      </c>
      <c r="I223">
        <v>0</v>
      </c>
      <c r="J223" t="s">
        <v>146</v>
      </c>
      <c r="K223">
        <v>0</v>
      </c>
      <c r="L223" t="s">
        <v>147</v>
      </c>
      <c r="M223" t="s">
        <v>835</v>
      </c>
      <c r="N223" t="s">
        <v>836</v>
      </c>
      <c r="O223" t="s">
        <v>837</v>
      </c>
      <c r="P223" t="s">
        <v>838</v>
      </c>
    </row>
    <row r="224" spans="1:16" x14ac:dyDescent="0.35">
      <c r="A224" t="s">
        <v>109</v>
      </c>
      <c r="B224">
        <v>1324725712</v>
      </c>
      <c r="C224" t="s">
        <v>18</v>
      </c>
      <c r="D224" t="s">
        <v>20</v>
      </c>
      <c r="E224" s="29">
        <v>46207</v>
      </c>
      <c r="F224" t="s">
        <v>5</v>
      </c>
      <c r="G224" s="28">
        <v>0.46527777777777779</v>
      </c>
      <c r="H224" s="28">
        <v>0.46527777777777779</v>
      </c>
      <c r="I224">
        <v>0</v>
      </c>
      <c r="J224" t="s">
        <v>174</v>
      </c>
      <c r="K224">
        <v>0</v>
      </c>
      <c r="L224" t="s">
        <v>848</v>
      </c>
      <c r="M224" t="s">
        <v>849</v>
      </c>
      <c r="N224" t="s">
        <v>850</v>
      </c>
      <c r="O224" t="s">
        <v>851</v>
      </c>
      <c r="P224" t="s">
        <v>852</v>
      </c>
    </row>
    <row r="225" spans="1:16" x14ac:dyDescent="0.35">
      <c r="A225" t="s">
        <v>109</v>
      </c>
      <c r="B225">
        <v>1324725712</v>
      </c>
      <c r="C225" t="s">
        <v>18</v>
      </c>
      <c r="D225" t="s">
        <v>20</v>
      </c>
      <c r="E225" s="29">
        <v>46207</v>
      </c>
      <c r="F225" t="s">
        <v>5</v>
      </c>
      <c r="G225" s="28">
        <v>0.47222222222222221</v>
      </c>
      <c r="H225" s="28">
        <v>0.47222222222222221</v>
      </c>
      <c r="I225">
        <v>0</v>
      </c>
      <c r="J225" t="s">
        <v>174</v>
      </c>
      <c r="K225">
        <v>0</v>
      </c>
      <c r="L225" t="s">
        <v>853</v>
      </c>
      <c r="M225" t="s">
        <v>854</v>
      </c>
      <c r="N225" t="s">
        <v>855</v>
      </c>
      <c r="O225" t="s">
        <v>856</v>
      </c>
      <c r="P225" t="s">
        <v>857</v>
      </c>
    </row>
    <row r="226" spans="1:16" x14ac:dyDescent="0.35">
      <c r="A226" t="s">
        <v>109</v>
      </c>
      <c r="B226">
        <v>1324725712</v>
      </c>
      <c r="C226" t="s">
        <v>18</v>
      </c>
      <c r="D226" t="s">
        <v>20</v>
      </c>
      <c r="E226" s="29">
        <v>46207</v>
      </c>
      <c r="F226" t="s">
        <v>5</v>
      </c>
      <c r="G226" s="28">
        <v>0.47916666666666669</v>
      </c>
      <c r="H226" s="28">
        <v>0.47916666666666669</v>
      </c>
      <c r="I226">
        <v>0</v>
      </c>
      <c r="J226" t="s">
        <v>174</v>
      </c>
      <c r="K226">
        <v>0</v>
      </c>
      <c r="L226" t="s">
        <v>858</v>
      </c>
      <c r="M226" t="s">
        <v>859</v>
      </c>
      <c r="N226" t="s">
        <v>860</v>
      </c>
      <c r="O226" t="s">
        <v>861</v>
      </c>
      <c r="P226" t="s">
        <v>862</v>
      </c>
    </row>
    <row r="227" spans="1:16" x14ac:dyDescent="0.35">
      <c r="A227" t="s">
        <v>109</v>
      </c>
      <c r="B227">
        <v>1324725712</v>
      </c>
      <c r="C227" t="s">
        <v>18</v>
      </c>
      <c r="D227" t="s">
        <v>20</v>
      </c>
      <c r="E227" s="29">
        <v>46207</v>
      </c>
      <c r="F227" t="s">
        <v>5</v>
      </c>
      <c r="G227" s="28">
        <v>0.49305555555555558</v>
      </c>
      <c r="H227" s="28">
        <v>0.49305555555555558</v>
      </c>
      <c r="I227">
        <v>0</v>
      </c>
      <c r="J227" t="s">
        <v>174</v>
      </c>
      <c r="K227">
        <v>0</v>
      </c>
      <c r="L227" t="s">
        <v>863</v>
      </c>
      <c r="M227" t="s">
        <v>864</v>
      </c>
      <c r="N227" t="s">
        <v>865</v>
      </c>
      <c r="O227" t="s">
        <v>866</v>
      </c>
      <c r="P227" t="s">
        <v>867</v>
      </c>
    </row>
    <row r="228" spans="1:16" x14ac:dyDescent="0.35">
      <c r="A228" t="s">
        <v>109</v>
      </c>
      <c r="B228">
        <v>1324725712</v>
      </c>
      <c r="C228" t="s">
        <v>18</v>
      </c>
      <c r="D228" t="s">
        <v>20</v>
      </c>
      <c r="E228" s="29">
        <v>46207</v>
      </c>
      <c r="F228" t="s">
        <v>5</v>
      </c>
      <c r="G228" s="28">
        <v>0.5</v>
      </c>
      <c r="H228" s="28">
        <v>0.5</v>
      </c>
      <c r="I228">
        <v>0</v>
      </c>
      <c r="J228" t="s">
        <v>174</v>
      </c>
      <c r="K228">
        <v>0</v>
      </c>
      <c r="L228" t="s">
        <v>868</v>
      </c>
      <c r="M228" t="s">
        <v>869</v>
      </c>
      <c r="N228" t="s">
        <v>870</v>
      </c>
      <c r="O228" t="s">
        <v>871</v>
      </c>
      <c r="P228" t="s">
        <v>872</v>
      </c>
    </row>
    <row r="229" spans="1:16" x14ac:dyDescent="0.35">
      <c r="A229" t="s">
        <v>109</v>
      </c>
      <c r="B229">
        <v>1324725712</v>
      </c>
      <c r="C229" t="s">
        <v>18</v>
      </c>
      <c r="D229" t="s">
        <v>20</v>
      </c>
      <c r="E229" s="29">
        <v>46207</v>
      </c>
      <c r="F229" t="s">
        <v>5</v>
      </c>
      <c r="G229" s="28">
        <v>0.50694444444444442</v>
      </c>
      <c r="H229" s="28">
        <v>0.50694444444444442</v>
      </c>
      <c r="I229">
        <v>0</v>
      </c>
      <c r="J229" t="s">
        <v>174</v>
      </c>
      <c r="K229">
        <v>0</v>
      </c>
      <c r="L229" t="s">
        <v>873</v>
      </c>
      <c r="M229" t="s">
        <v>874</v>
      </c>
      <c r="N229" t="s">
        <v>875</v>
      </c>
      <c r="O229" t="s">
        <v>876</v>
      </c>
      <c r="P229" t="s">
        <v>877</v>
      </c>
    </row>
    <row r="230" spans="1:16" x14ac:dyDescent="0.35">
      <c r="A230" t="s">
        <v>109</v>
      </c>
      <c r="B230">
        <v>1324725712</v>
      </c>
      <c r="C230" t="s">
        <v>18</v>
      </c>
      <c r="D230" t="s">
        <v>20</v>
      </c>
      <c r="E230" s="29">
        <v>46207</v>
      </c>
      <c r="F230" t="s">
        <v>5</v>
      </c>
      <c r="G230" s="28">
        <v>0.51388888888888884</v>
      </c>
      <c r="H230" s="28">
        <v>0.51388888888888884</v>
      </c>
      <c r="I230">
        <v>0</v>
      </c>
      <c r="J230" t="s">
        <v>174</v>
      </c>
      <c r="K230">
        <v>0</v>
      </c>
      <c r="L230" t="s">
        <v>878</v>
      </c>
      <c r="M230" t="s">
        <v>879</v>
      </c>
      <c r="N230" t="s">
        <v>880</v>
      </c>
      <c r="O230" t="s">
        <v>881</v>
      </c>
      <c r="P230" t="s">
        <v>882</v>
      </c>
    </row>
    <row r="231" spans="1:16" x14ac:dyDescent="0.35">
      <c r="A231" t="s">
        <v>109</v>
      </c>
      <c r="B231">
        <v>1324725712</v>
      </c>
      <c r="C231" t="s">
        <v>18</v>
      </c>
      <c r="D231" t="s">
        <v>20</v>
      </c>
      <c r="E231" s="29">
        <v>46207</v>
      </c>
      <c r="F231" t="s">
        <v>5</v>
      </c>
      <c r="G231" s="28">
        <v>0.52777777777777779</v>
      </c>
      <c r="H231" s="28">
        <v>0.52777777777777779</v>
      </c>
      <c r="I231">
        <v>0</v>
      </c>
      <c r="J231" t="s">
        <v>174</v>
      </c>
      <c r="K231">
        <v>0</v>
      </c>
      <c r="L231" t="s">
        <v>883</v>
      </c>
      <c r="M231" t="s">
        <v>884</v>
      </c>
      <c r="N231" t="s">
        <v>885</v>
      </c>
      <c r="O231" t="s">
        <v>886</v>
      </c>
      <c r="P231" t="s">
        <v>887</v>
      </c>
    </row>
    <row r="232" spans="1:16" x14ac:dyDescent="0.35">
      <c r="A232" t="s">
        <v>109</v>
      </c>
      <c r="B232">
        <v>1324725712</v>
      </c>
      <c r="C232" t="s">
        <v>18</v>
      </c>
      <c r="D232" t="s">
        <v>20</v>
      </c>
      <c r="E232" s="29">
        <v>46207</v>
      </c>
      <c r="F232" t="s">
        <v>5</v>
      </c>
      <c r="G232" s="28">
        <v>0.53472222222222221</v>
      </c>
      <c r="H232" s="28">
        <v>0.53472222222222221</v>
      </c>
      <c r="I232">
        <v>0</v>
      </c>
      <c r="J232" t="s">
        <v>174</v>
      </c>
      <c r="K232">
        <v>0</v>
      </c>
      <c r="L232" t="s">
        <v>888</v>
      </c>
      <c r="M232" t="s">
        <v>889</v>
      </c>
      <c r="N232" t="s">
        <v>890</v>
      </c>
      <c r="O232" t="s">
        <v>891</v>
      </c>
      <c r="P232" t="s">
        <v>892</v>
      </c>
    </row>
    <row r="233" spans="1:16" x14ac:dyDescent="0.35">
      <c r="A233" t="s">
        <v>109</v>
      </c>
      <c r="B233">
        <v>1324725712</v>
      </c>
      <c r="C233" t="s">
        <v>18</v>
      </c>
      <c r="D233" t="s">
        <v>20</v>
      </c>
      <c r="E233" s="29">
        <v>46207</v>
      </c>
      <c r="F233" t="s">
        <v>5</v>
      </c>
      <c r="G233" s="28">
        <v>0.54166666666666663</v>
      </c>
      <c r="H233" s="28">
        <v>0.54166666666666663</v>
      </c>
      <c r="I233">
        <v>0</v>
      </c>
      <c r="J233" t="s">
        <v>174</v>
      </c>
      <c r="K233">
        <v>0</v>
      </c>
      <c r="L233" t="s">
        <v>893</v>
      </c>
      <c r="M233" t="s">
        <v>894</v>
      </c>
      <c r="N233" t="s">
        <v>895</v>
      </c>
      <c r="O233" t="s">
        <v>896</v>
      </c>
      <c r="P233" t="s">
        <v>897</v>
      </c>
    </row>
    <row r="234" spans="1:16" x14ac:dyDescent="0.35">
      <c r="A234" t="s">
        <v>109</v>
      </c>
      <c r="B234">
        <v>1324725712</v>
      </c>
      <c r="C234" t="s">
        <v>18</v>
      </c>
      <c r="D234" t="s">
        <v>20</v>
      </c>
      <c r="E234" s="29">
        <v>46207</v>
      </c>
      <c r="F234" t="s">
        <v>5</v>
      </c>
      <c r="G234" s="28">
        <v>0.54861111111111116</v>
      </c>
      <c r="H234" s="28">
        <v>0.54861111111111116</v>
      </c>
      <c r="I234">
        <v>0</v>
      </c>
      <c r="J234" t="s">
        <v>174</v>
      </c>
      <c r="K234">
        <v>0</v>
      </c>
      <c r="L234" t="s">
        <v>898</v>
      </c>
      <c r="M234" t="s">
        <v>899</v>
      </c>
      <c r="N234" t="s">
        <v>900</v>
      </c>
      <c r="O234" t="s">
        <v>901</v>
      </c>
      <c r="P234" t="s">
        <v>902</v>
      </c>
    </row>
    <row r="235" spans="1:16" x14ac:dyDescent="0.35">
      <c r="A235" t="s">
        <v>109</v>
      </c>
      <c r="B235">
        <v>1324725712</v>
      </c>
      <c r="C235" t="s">
        <v>18</v>
      </c>
      <c r="D235" t="s">
        <v>20</v>
      </c>
      <c r="E235" s="29">
        <v>46207</v>
      </c>
      <c r="F235" t="s">
        <v>5</v>
      </c>
      <c r="G235" s="28">
        <v>0.55555555555555558</v>
      </c>
      <c r="H235" s="28">
        <v>0.55555555555555558</v>
      </c>
      <c r="I235">
        <v>0</v>
      </c>
      <c r="J235" t="s">
        <v>174</v>
      </c>
      <c r="K235">
        <v>0</v>
      </c>
      <c r="L235" t="s">
        <v>903</v>
      </c>
      <c r="M235" t="s">
        <v>904</v>
      </c>
      <c r="N235" t="s">
        <v>905</v>
      </c>
      <c r="O235" t="s">
        <v>906</v>
      </c>
      <c r="P235" t="s">
        <v>907</v>
      </c>
    </row>
    <row r="236" spans="1:16" x14ac:dyDescent="0.35">
      <c r="A236" t="s">
        <v>109</v>
      </c>
      <c r="B236">
        <v>1324725712</v>
      </c>
      <c r="C236" t="s">
        <v>18</v>
      </c>
      <c r="D236" t="s">
        <v>20</v>
      </c>
      <c r="E236" s="29">
        <v>46207</v>
      </c>
      <c r="F236" t="s">
        <v>5</v>
      </c>
      <c r="G236" s="28">
        <v>0.5625</v>
      </c>
      <c r="H236" s="28">
        <v>0.57638888888888884</v>
      </c>
      <c r="I236">
        <v>0</v>
      </c>
      <c r="J236" t="s">
        <v>146</v>
      </c>
      <c r="K236">
        <v>1</v>
      </c>
      <c r="L236" t="s">
        <v>147</v>
      </c>
      <c r="M236" t="s">
        <v>908</v>
      </c>
      <c r="N236" t="s">
        <v>909</v>
      </c>
      <c r="O236" t="s">
        <v>910</v>
      </c>
      <c r="P236" t="s">
        <v>911</v>
      </c>
    </row>
    <row r="237" spans="1:16" x14ac:dyDescent="0.35">
      <c r="A237" t="s">
        <v>109</v>
      </c>
      <c r="B237">
        <v>1324725712</v>
      </c>
      <c r="C237" t="s">
        <v>18</v>
      </c>
      <c r="D237" t="s">
        <v>20</v>
      </c>
      <c r="E237" s="29">
        <v>46207</v>
      </c>
      <c r="F237" t="s">
        <v>5</v>
      </c>
      <c r="G237" s="28">
        <v>0.58333333333333337</v>
      </c>
      <c r="H237" s="28">
        <v>0.58333333333333337</v>
      </c>
      <c r="I237">
        <v>0</v>
      </c>
      <c r="J237" t="s">
        <v>174</v>
      </c>
      <c r="K237">
        <v>0</v>
      </c>
      <c r="L237" t="s">
        <v>912</v>
      </c>
      <c r="M237" t="s">
        <v>913</v>
      </c>
      <c r="N237" t="s">
        <v>914</v>
      </c>
      <c r="O237" t="s">
        <v>915</v>
      </c>
      <c r="P237" t="s">
        <v>916</v>
      </c>
    </row>
    <row r="238" spans="1:16" x14ac:dyDescent="0.35">
      <c r="A238" t="s">
        <v>109</v>
      </c>
      <c r="B238">
        <v>1324725712</v>
      </c>
      <c r="C238" t="s">
        <v>18</v>
      </c>
      <c r="D238" t="s">
        <v>20</v>
      </c>
      <c r="E238" s="29">
        <v>46207</v>
      </c>
      <c r="F238" t="s">
        <v>5</v>
      </c>
      <c r="G238" s="28">
        <v>0.59027777777777779</v>
      </c>
      <c r="H238" s="28">
        <v>0.59027777777777779</v>
      </c>
      <c r="I238">
        <v>0</v>
      </c>
      <c r="J238" t="s">
        <v>174</v>
      </c>
      <c r="K238">
        <v>0</v>
      </c>
      <c r="L238" t="s">
        <v>873</v>
      </c>
      <c r="M238" t="s">
        <v>917</v>
      </c>
      <c r="N238" t="s">
        <v>918</v>
      </c>
      <c r="O238" t="s">
        <v>919</v>
      </c>
      <c r="P238" t="s">
        <v>920</v>
      </c>
    </row>
    <row r="239" spans="1:16" x14ac:dyDescent="0.35">
      <c r="A239" t="s">
        <v>109</v>
      </c>
      <c r="B239">
        <v>1324725712</v>
      </c>
      <c r="C239" t="s">
        <v>18</v>
      </c>
      <c r="D239" t="s">
        <v>20</v>
      </c>
      <c r="E239" s="29">
        <v>46207</v>
      </c>
      <c r="F239" t="s">
        <v>5</v>
      </c>
      <c r="G239" s="28">
        <v>0.59722222222222221</v>
      </c>
      <c r="H239" s="28">
        <v>0.59722222222222221</v>
      </c>
      <c r="I239">
        <v>0</v>
      </c>
      <c r="J239" t="s">
        <v>174</v>
      </c>
      <c r="K239">
        <v>0</v>
      </c>
      <c r="L239" t="s">
        <v>921</v>
      </c>
      <c r="M239" t="s">
        <v>922</v>
      </c>
      <c r="N239" t="s">
        <v>923</v>
      </c>
      <c r="O239" t="s">
        <v>924</v>
      </c>
      <c r="P239" t="s">
        <v>925</v>
      </c>
    </row>
    <row r="240" spans="1:16" x14ac:dyDescent="0.35">
      <c r="A240" t="s">
        <v>109</v>
      </c>
      <c r="B240">
        <v>1324725712</v>
      </c>
      <c r="C240" t="s">
        <v>18</v>
      </c>
      <c r="D240" t="s">
        <v>20</v>
      </c>
      <c r="E240" s="29">
        <v>46207</v>
      </c>
      <c r="F240" t="s">
        <v>5</v>
      </c>
      <c r="G240" s="28">
        <v>0.60416666666666663</v>
      </c>
      <c r="H240" s="28">
        <v>0.60416666666666663</v>
      </c>
      <c r="I240">
        <v>0</v>
      </c>
      <c r="J240" t="s">
        <v>174</v>
      </c>
      <c r="K240">
        <v>0</v>
      </c>
      <c r="L240" t="s">
        <v>926</v>
      </c>
      <c r="M240" t="s">
        <v>927</v>
      </c>
      <c r="N240" t="s">
        <v>928</v>
      </c>
      <c r="O240" t="s">
        <v>929</v>
      </c>
      <c r="P240" t="s">
        <v>930</v>
      </c>
    </row>
    <row r="241" spans="1:16" x14ac:dyDescent="0.35">
      <c r="A241" t="s">
        <v>109</v>
      </c>
      <c r="B241">
        <v>1324725712</v>
      </c>
      <c r="C241" t="s">
        <v>18</v>
      </c>
      <c r="D241" t="s">
        <v>20</v>
      </c>
      <c r="E241" s="29">
        <v>46207</v>
      </c>
      <c r="F241" t="s">
        <v>5</v>
      </c>
      <c r="G241" s="28">
        <v>0.61111111111111116</v>
      </c>
      <c r="H241" s="28">
        <v>0.61111111111111116</v>
      </c>
      <c r="I241">
        <v>0</v>
      </c>
      <c r="J241" t="s">
        <v>174</v>
      </c>
      <c r="K241">
        <v>0</v>
      </c>
      <c r="L241" t="s">
        <v>931</v>
      </c>
      <c r="M241" t="s">
        <v>932</v>
      </c>
      <c r="N241" t="s">
        <v>933</v>
      </c>
      <c r="O241" t="s">
        <v>934</v>
      </c>
      <c r="P241" t="s">
        <v>935</v>
      </c>
    </row>
    <row r="242" spans="1:16" x14ac:dyDescent="0.35">
      <c r="A242" t="s">
        <v>109</v>
      </c>
      <c r="B242">
        <v>1324725712</v>
      </c>
      <c r="C242" t="s">
        <v>18</v>
      </c>
      <c r="D242" t="s">
        <v>20</v>
      </c>
      <c r="E242" s="29">
        <v>46207</v>
      </c>
      <c r="F242" t="s">
        <v>5</v>
      </c>
      <c r="G242" s="28">
        <v>0.61805555555555558</v>
      </c>
      <c r="H242" s="28">
        <v>0.61805555555555558</v>
      </c>
      <c r="I242">
        <v>0</v>
      </c>
      <c r="J242" t="s">
        <v>174</v>
      </c>
      <c r="K242">
        <v>0</v>
      </c>
      <c r="L242" t="s">
        <v>936</v>
      </c>
      <c r="M242" t="s">
        <v>937</v>
      </c>
      <c r="N242" t="s">
        <v>938</v>
      </c>
      <c r="O242" t="s">
        <v>939</v>
      </c>
      <c r="P242" t="s">
        <v>940</v>
      </c>
    </row>
    <row r="243" spans="1:16" x14ac:dyDescent="0.35">
      <c r="A243" t="s">
        <v>109</v>
      </c>
      <c r="B243">
        <v>1324725712</v>
      </c>
      <c r="C243" t="s">
        <v>18</v>
      </c>
      <c r="D243" t="s">
        <v>20</v>
      </c>
      <c r="E243" s="29">
        <v>46207</v>
      </c>
      <c r="F243" t="s">
        <v>5</v>
      </c>
      <c r="G243" s="28">
        <v>0.625</v>
      </c>
      <c r="H243" s="28">
        <v>0.625</v>
      </c>
      <c r="I243">
        <v>0</v>
      </c>
      <c r="J243" t="s">
        <v>174</v>
      </c>
      <c r="K243">
        <v>0</v>
      </c>
      <c r="L243" t="s">
        <v>941</v>
      </c>
      <c r="M243" t="s">
        <v>942</v>
      </c>
      <c r="N243" t="s">
        <v>943</v>
      </c>
      <c r="O243" t="s">
        <v>944</v>
      </c>
      <c r="P243" t="s">
        <v>945</v>
      </c>
    </row>
    <row r="244" spans="1:16" x14ac:dyDescent="0.35">
      <c r="A244" t="s">
        <v>109</v>
      </c>
      <c r="B244">
        <v>1324725712</v>
      </c>
      <c r="C244" t="s">
        <v>18</v>
      </c>
      <c r="D244" t="s">
        <v>20</v>
      </c>
      <c r="E244" s="29">
        <v>46207</v>
      </c>
      <c r="F244" t="s">
        <v>5</v>
      </c>
      <c r="G244" s="28">
        <v>0.63194444444444442</v>
      </c>
      <c r="H244" s="28">
        <v>0.63194444444444442</v>
      </c>
      <c r="I244">
        <v>0</v>
      </c>
      <c r="J244" t="s">
        <v>174</v>
      </c>
      <c r="K244">
        <v>0</v>
      </c>
      <c r="L244" t="s">
        <v>946</v>
      </c>
      <c r="M244" t="s">
        <v>947</v>
      </c>
      <c r="N244" t="s">
        <v>948</v>
      </c>
      <c r="O244" t="s">
        <v>949</v>
      </c>
      <c r="P244" t="s">
        <v>950</v>
      </c>
    </row>
    <row r="245" spans="1:16" x14ac:dyDescent="0.35">
      <c r="A245" t="s">
        <v>109</v>
      </c>
      <c r="B245">
        <v>1324725712</v>
      </c>
      <c r="C245" t="s">
        <v>18</v>
      </c>
      <c r="D245" t="s">
        <v>20</v>
      </c>
      <c r="E245" s="29">
        <v>46207</v>
      </c>
      <c r="F245" t="s">
        <v>5</v>
      </c>
      <c r="G245" s="28">
        <v>0.63888888888888884</v>
      </c>
      <c r="H245" s="28">
        <v>0.63888888888888884</v>
      </c>
      <c r="I245">
        <v>0</v>
      </c>
      <c r="J245" t="s">
        <v>174</v>
      </c>
      <c r="K245">
        <v>0</v>
      </c>
      <c r="L245" t="s">
        <v>951</v>
      </c>
      <c r="M245" t="s">
        <v>952</v>
      </c>
      <c r="N245" t="s">
        <v>953</v>
      </c>
      <c r="O245" t="s">
        <v>954</v>
      </c>
      <c r="P245" t="s">
        <v>955</v>
      </c>
    </row>
    <row r="246" spans="1:16" x14ac:dyDescent="0.35">
      <c r="A246" t="s">
        <v>109</v>
      </c>
      <c r="B246">
        <v>1324725712</v>
      </c>
      <c r="C246" t="s">
        <v>18</v>
      </c>
      <c r="D246" t="s">
        <v>20</v>
      </c>
      <c r="E246" s="29">
        <v>46207</v>
      </c>
      <c r="F246" t="s">
        <v>5</v>
      </c>
      <c r="G246" s="28">
        <v>0.64583333333333337</v>
      </c>
      <c r="H246" s="28">
        <v>0.64583333333333337</v>
      </c>
      <c r="I246">
        <v>0</v>
      </c>
      <c r="J246" t="s">
        <v>174</v>
      </c>
      <c r="K246">
        <v>0</v>
      </c>
      <c r="L246" t="s">
        <v>956</v>
      </c>
      <c r="M246" t="s">
        <v>957</v>
      </c>
      <c r="N246" t="s">
        <v>958</v>
      </c>
      <c r="O246" t="s">
        <v>959</v>
      </c>
      <c r="P246" t="s">
        <v>960</v>
      </c>
    </row>
    <row r="247" spans="1:16" x14ac:dyDescent="0.35">
      <c r="A247" t="s">
        <v>109</v>
      </c>
      <c r="B247">
        <v>1324725712</v>
      </c>
      <c r="C247" t="s">
        <v>18</v>
      </c>
      <c r="D247" t="s">
        <v>20</v>
      </c>
      <c r="E247" s="29">
        <v>46207</v>
      </c>
      <c r="F247" t="s">
        <v>5</v>
      </c>
      <c r="G247" s="28">
        <v>0.65277777777777779</v>
      </c>
      <c r="H247" s="28">
        <v>0.65277777777777779</v>
      </c>
      <c r="I247">
        <v>0</v>
      </c>
      <c r="J247" t="s">
        <v>174</v>
      </c>
      <c r="K247">
        <v>0</v>
      </c>
      <c r="L247" t="s">
        <v>961</v>
      </c>
      <c r="M247" t="s">
        <v>962</v>
      </c>
      <c r="N247" t="s">
        <v>963</v>
      </c>
      <c r="O247" t="s">
        <v>964</v>
      </c>
      <c r="P247" t="s">
        <v>965</v>
      </c>
    </row>
    <row r="248" spans="1:16" x14ac:dyDescent="0.35">
      <c r="A248" t="s">
        <v>109</v>
      </c>
      <c r="B248">
        <v>1324725712</v>
      </c>
      <c r="C248" t="s">
        <v>18</v>
      </c>
      <c r="D248" t="s">
        <v>20</v>
      </c>
      <c r="E248" s="29">
        <v>46207</v>
      </c>
      <c r="F248" t="s">
        <v>5</v>
      </c>
      <c r="G248" s="28">
        <v>0.65972222222222221</v>
      </c>
      <c r="H248" s="28">
        <v>0.65972222222222221</v>
      </c>
      <c r="I248">
        <v>0</v>
      </c>
      <c r="J248" t="s">
        <v>174</v>
      </c>
      <c r="K248">
        <v>0</v>
      </c>
      <c r="L248" t="s">
        <v>966</v>
      </c>
      <c r="M248" t="s">
        <v>967</v>
      </c>
      <c r="N248" t="s">
        <v>968</v>
      </c>
      <c r="O248" t="s">
        <v>969</v>
      </c>
      <c r="P248" t="s">
        <v>970</v>
      </c>
    </row>
    <row r="249" spans="1:16" x14ac:dyDescent="0.35">
      <c r="A249" t="s">
        <v>109</v>
      </c>
      <c r="B249">
        <v>1324725712</v>
      </c>
      <c r="C249" t="s">
        <v>18</v>
      </c>
      <c r="D249" t="s">
        <v>20</v>
      </c>
      <c r="E249" s="29">
        <v>46207</v>
      </c>
      <c r="F249" t="s">
        <v>5</v>
      </c>
      <c r="G249" s="28">
        <v>0.66666666666666663</v>
      </c>
      <c r="H249" s="28">
        <v>0.66666666666666663</v>
      </c>
      <c r="I249">
        <v>0</v>
      </c>
      <c r="J249" t="s">
        <v>174</v>
      </c>
      <c r="K249">
        <v>0</v>
      </c>
      <c r="L249" t="s">
        <v>971</v>
      </c>
      <c r="M249" t="s">
        <v>972</v>
      </c>
      <c r="N249" t="s">
        <v>973</v>
      </c>
      <c r="O249" t="s">
        <v>974</v>
      </c>
      <c r="P249" t="s">
        <v>975</v>
      </c>
    </row>
    <row r="250" spans="1:16" x14ac:dyDescent="0.35">
      <c r="A250" t="s">
        <v>109</v>
      </c>
      <c r="B250">
        <v>1324725712</v>
      </c>
      <c r="C250" t="s">
        <v>18</v>
      </c>
      <c r="D250" t="s">
        <v>20</v>
      </c>
      <c r="E250" s="29">
        <v>46207</v>
      </c>
      <c r="F250" t="s">
        <v>5</v>
      </c>
      <c r="G250" s="28">
        <v>0.67361111111111116</v>
      </c>
      <c r="H250" s="28">
        <v>0.67361111111111116</v>
      </c>
      <c r="I250">
        <v>0</v>
      </c>
      <c r="J250" t="s">
        <v>174</v>
      </c>
      <c r="K250">
        <v>0</v>
      </c>
      <c r="L250" t="s">
        <v>976</v>
      </c>
      <c r="M250" t="s">
        <v>977</v>
      </c>
      <c r="N250" t="s">
        <v>978</v>
      </c>
      <c r="O250" t="s">
        <v>979</v>
      </c>
      <c r="P250" t="s">
        <v>980</v>
      </c>
    </row>
    <row r="251" spans="1:16" x14ac:dyDescent="0.35">
      <c r="A251" t="s">
        <v>109</v>
      </c>
      <c r="B251">
        <v>1324725712</v>
      </c>
      <c r="C251" t="s">
        <v>18</v>
      </c>
      <c r="D251" t="s">
        <v>20</v>
      </c>
      <c r="E251" s="29">
        <v>46207</v>
      </c>
      <c r="F251" t="s">
        <v>5</v>
      </c>
      <c r="G251" s="28">
        <v>0.68055555555555558</v>
      </c>
      <c r="H251" s="28">
        <v>0.68055555555555558</v>
      </c>
      <c r="I251">
        <v>0</v>
      </c>
      <c r="J251" t="s">
        <v>174</v>
      </c>
      <c r="K251">
        <v>0</v>
      </c>
      <c r="L251" t="s">
        <v>981</v>
      </c>
      <c r="M251" t="s">
        <v>982</v>
      </c>
      <c r="N251" t="s">
        <v>983</v>
      </c>
      <c r="O251" t="s">
        <v>984</v>
      </c>
      <c r="P251" t="s">
        <v>985</v>
      </c>
    </row>
    <row r="252" spans="1:16" x14ac:dyDescent="0.35">
      <c r="A252" t="s">
        <v>109</v>
      </c>
      <c r="B252">
        <v>1324725712</v>
      </c>
      <c r="C252" t="s">
        <v>18</v>
      </c>
      <c r="D252" t="s">
        <v>20</v>
      </c>
      <c r="E252" s="29">
        <v>46207</v>
      </c>
      <c r="F252" t="s">
        <v>5</v>
      </c>
      <c r="G252" s="28">
        <v>0.6875</v>
      </c>
      <c r="H252" s="28">
        <v>0.6875</v>
      </c>
      <c r="I252">
        <v>0</v>
      </c>
      <c r="J252" t="s">
        <v>174</v>
      </c>
      <c r="K252">
        <v>0</v>
      </c>
      <c r="L252" t="s">
        <v>986</v>
      </c>
      <c r="M252" t="s">
        <v>987</v>
      </c>
      <c r="N252" t="s">
        <v>988</v>
      </c>
      <c r="O252" t="s">
        <v>989</v>
      </c>
      <c r="P252" t="s">
        <v>990</v>
      </c>
    </row>
    <row r="253" spans="1:16" x14ac:dyDescent="0.35">
      <c r="A253" t="s">
        <v>109</v>
      </c>
      <c r="B253">
        <v>1324725712</v>
      </c>
      <c r="C253" t="s">
        <v>18</v>
      </c>
      <c r="D253" t="s">
        <v>20</v>
      </c>
      <c r="E253" s="29">
        <v>46207</v>
      </c>
      <c r="F253" t="s">
        <v>5</v>
      </c>
      <c r="G253" s="28">
        <v>0.69444444444444442</v>
      </c>
      <c r="H253" s="28">
        <v>0.69444444444444442</v>
      </c>
      <c r="I253">
        <v>0</v>
      </c>
      <c r="J253" t="s">
        <v>174</v>
      </c>
      <c r="K253">
        <v>0</v>
      </c>
      <c r="L253" t="s">
        <v>991</v>
      </c>
      <c r="M253" t="s">
        <v>992</v>
      </c>
      <c r="N253" t="s">
        <v>993</v>
      </c>
      <c r="O253" t="s">
        <v>994</v>
      </c>
      <c r="P253" t="s">
        <v>995</v>
      </c>
    </row>
    <row r="254" spans="1:16" x14ac:dyDescent="0.35">
      <c r="A254" t="s">
        <v>109</v>
      </c>
      <c r="B254">
        <v>1324725712</v>
      </c>
      <c r="C254" t="s">
        <v>18</v>
      </c>
      <c r="D254" t="s">
        <v>20</v>
      </c>
      <c r="E254" s="29">
        <v>46207</v>
      </c>
      <c r="F254" t="s">
        <v>5</v>
      </c>
      <c r="G254" s="28">
        <v>0.70138888888888884</v>
      </c>
      <c r="H254" s="28">
        <v>0.70138888888888884</v>
      </c>
      <c r="I254">
        <v>0</v>
      </c>
      <c r="J254" t="s">
        <v>174</v>
      </c>
      <c r="K254">
        <v>0</v>
      </c>
      <c r="L254" t="s">
        <v>996</v>
      </c>
      <c r="M254" t="s">
        <v>831</v>
      </c>
      <c r="N254" t="s">
        <v>832</v>
      </c>
      <c r="O254" t="s">
        <v>833</v>
      </c>
      <c r="P254" t="s">
        <v>834</v>
      </c>
    </row>
    <row r="255" spans="1:16" x14ac:dyDescent="0.35">
      <c r="A255" t="s">
        <v>109</v>
      </c>
      <c r="B255">
        <v>1324725712</v>
      </c>
      <c r="C255" t="s">
        <v>18</v>
      </c>
      <c r="D255" t="s">
        <v>20</v>
      </c>
      <c r="E255" s="29">
        <v>46207</v>
      </c>
      <c r="F255" t="s">
        <v>5</v>
      </c>
      <c r="G255" s="28">
        <v>0.70833333333333337</v>
      </c>
      <c r="H255" s="28">
        <v>0.70833333333333337</v>
      </c>
      <c r="I255">
        <v>0</v>
      </c>
      <c r="J255" t="s">
        <v>174</v>
      </c>
      <c r="K255">
        <v>0</v>
      </c>
      <c r="L255" t="s">
        <v>997</v>
      </c>
      <c r="M255" t="s">
        <v>998</v>
      </c>
      <c r="N255" t="s">
        <v>999</v>
      </c>
      <c r="O255" t="s">
        <v>1000</v>
      </c>
      <c r="P255" t="s">
        <v>1001</v>
      </c>
    </row>
    <row r="256" spans="1:16" x14ac:dyDescent="0.35">
      <c r="A256" t="s">
        <v>109</v>
      </c>
      <c r="B256">
        <v>1324725712</v>
      </c>
      <c r="C256" t="s">
        <v>18</v>
      </c>
      <c r="D256" t="s">
        <v>20</v>
      </c>
      <c r="E256" s="29">
        <v>46207</v>
      </c>
      <c r="F256" t="s">
        <v>5</v>
      </c>
      <c r="G256" s="28">
        <v>0.71527777777777779</v>
      </c>
      <c r="H256" s="28">
        <v>0.71527777777777779</v>
      </c>
      <c r="I256">
        <v>0</v>
      </c>
      <c r="J256" t="s">
        <v>174</v>
      </c>
      <c r="K256">
        <v>0</v>
      </c>
      <c r="L256" t="s">
        <v>1002</v>
      </c>
      <c r="M256" t="s">
        <v>1003</v>
      </c>
      <c r="N256" t="s">
        <v>1004</v>
      </c>
      <c r="O256" t="s">
        <v>1005</v>
      </c>
      <c r="P256" t="s">
        <v>1006</v>
      </c>
    </row>
    <row r="257" spans="1:16" x14ac:dyDescent="0.35">
      <c r="A257" t="s">
        <v>109</v>
      </c>
      <c r="B257">
        <v>1324725712</v>
      </c>
      <c r="C257" t="s">
        <v>18</v>
      </c>
      <c r="D257" t="s">
        <v>20</v>
      </c>
      <c r="E257" s="29">
        <v>46207</v>
      </c>
      <c r="F257" t="s">
        <v>5</v>
      </c>
      <c r="G257" s="28">
        <v>0.72222222222222221</v>
      </c>
      <c r="H257" s="28">
        <v>0.72222222222222221</v>
      </c>
      <c r="I257">
        <v>0</v>
      </c>
      <c r="J257" t="s">
        <v>174</v>
      </c>
      <c r="K257">
        <v>0</v>
      </c>
      <c r="L257" t="s">
        <v>1007</v>
      </c>
      <c r="M257" t="s">
        <v>1008</v>
      </c>
      <c r="N257" t="s">
        <v>1009</v>
      </c>
      <c r="O257" t="s">
        <v>1010</v>
      </c>
      <c r="P257" t="s">
        <v>1011</v>
      </c>
    </row>
    <row r="258" spans="1:16" x14ac:dyDescent="0.35">
      <c r="A258" t="s">
        <v>109</v>
      </c>
      <c r="B258">
        <v>1324725712</v>
      </c>
      <c r="C258" t="s">
        <v>18</v>
      </c>
      <c r="D258" t="s">
        <v>20</v>
      </c>
      <c r="E258" s="29">
        <v>46207</v>
      </c>
      <c r="F258" t="s">
        <v>5</v>
      </c>
      <c r="G258" s="28">
        <v>0.72916666666666663</v>
      </c>
      <c r="H258" s="28">
        <v>0.72916666666666663</v>
      </c>
      <c r="I258">
        <v>0</v>
      </c>
      <c r="J258" t="s">
        <v>174</v>
      </c>
      <c r="K258">
        <v>0</v>
      </c>
      <c r="L258" t="s">
        <v>1012</v>
      </c>
      <c r="M258" t="s">
        <v>1013</v>
      </c>
      <c r="N258" t="s">
        <v>1014</v>
      </c>
      <c r="O258" t="s">
        <v>1015</v>
      </c>
      <c r="P258" t="s">
        <v>1016</v>
      </c>
    </row>
    <row r="259" spans="1:16" x14ac:dyDescent="0.35">
      <c r="A259" t="s">
        <v>109</v>
      </c>
      <c r="B259">
        <v>1324725712</v>
      </c>
      <c r="C259" t="s">
        <v>18</v>
      </c>
      <c r="D259" t="s">
        <v>20</v>
      </c>
      <c r="E259" s="29">
        <v>46207</v>
      </c>
      <c r="F259" t="s">
        <v>5</v>
      </c>
      <c r="G259" s="28">
        <v>0.73611111111111116</v>
      </c>
      <c r="H259" s="28">
        <v>0.73611111111111116</v>
      </c>
      <c r="I259">
        <v>0</v>
      </c>
      <c r="J259" t="s">
        <v>174</v>
      </c>
      <c r="K259">
        <v>0</v>
      </c>
      <c r="L259" t="s">
        <v>1017</v>
      </c>
      <c r="M259" t="s">
        <v>1018</v>
      </c>
      <c r="N259" t="s">
        <v>1019</v>
      </c>
      <c r="O259" t="s">
        <v>1020</v>
      </c>
      <c r="P259" t="s">
        <v>1021</v>
      </c>
    </row>
    <row r="260" spans="1:16" x14ac:dyDescent="0.35">
      <c r="A260" t="s">
        <v>109</v>
      </c>
      <c r="B260">
        <v>1324725712</v>
      </c>
      <c r="C260" t="s">
        <v>18</v>
      </c>
      <c r="D260" t="s">
        <v>20</v>
      </c>
      <c r="E260" s="29">
        <v>46207</v>
      </c>
      <c r="F260" t="s">
        <v>5</v>
      </c>
      <c r="G260" s="28">
        <v>0.74305555555555558</v>
      </c>
      <c r="H260" s="28">
        <v>0.74305555555555558</v>
      </c>
      <c r="I260">
        <v>0</v>
      </c>
      <c r="J260" t="s">
        <v>174</v>
      </c>
      <c r="K260">
        <v>0</v>
      </c>
      <c r="L260" t="s">
        <v>1022</v>
      </c>
      <c r="M260" t="s">
        <v>1023</v>
      </c>
      <c r="N260" t="s">
        <v>1024</v>
      </c>
      <c r="O260" t="s">
        <v>1025</v>
      </c>
      <c r="P260" t="s">
        <v>1026</v>
      </c>
    </row>
    <row r="261" spans="1:16" x14ac:dyDescent="0.35">
      <c r="A261" t="s">
        <v>109</v>
      </c>
      <c r="B261">
        <v>1324725712</v>
      </c>
      <c r="C261" t="s">
        <v>18</v>
      </c>
      <c r="D261" t="s">
        <v>20</v>
      </c>
      <c r="E261" s="29">
        <v>46207</v>
      </c>
      <c r="F261" t="s">
        <v>5</v>
      </c>
      <c r="G261" s="28">
        <v>0.75</v>
      </c>
      <c r="H261" s="28">
        <v>0.75</v>
      </c>
      <c r="I261">
        <v>0</v>
      </c>
      <c r="J261" t="s">
        <v>174</v>
      </c>
      <c r="K261">
        <v>0</v>
      </c>
      <c r="L261" t="s">
        <v>1027</v>
      </c>
      <c r="M261" t="s">
        <v>766</v>
      </c>
      <c r="N261" t="s">
        <v>1028</v>
      </c>
      <c r="O261" t="s">
        <v>1029</v>
      </c>
      <c r="P261" t="s">
        <v>1030</v>
      </c>
    </row>
    <row r="262" spans="1:16" x14ac:dyDescent="0.35">
      <c r="A262" t="s">
        <v>109</v>
      </c>
      <c r="B262">
        <v>1324725712</v>
      </c>
      <c r="C262" t="s">
        <v>18</v>
      </c>
      <c r="D262" t="s">
        <v>20</v>
      </c>
      <c r="E262" s="29">
        <v>46207</v>
      </c>
      <c r="F262" t="s">
        <v>5</v>
      </c>
      <c r="G262" s="28">
        <v>0.75694444444444442</v>
      </c>
      <c r="H262" s="28">
        <v>0.75694444444444442</v>
      </c>
      <c r="I262">
        <v>0</v>
      </c>
      <c r="J262" t="s">
        <v>174</v>
      </c>
      <c r="K262">
        <v>0</v>
      </c>
      <c r="L262" t="s">
        <v>1031</v>
      </c>
      <c r="M262" t="s">
        <v>770</v>
      </c>
      <c r="N262" t="s">
        <v>771</v>
      </c>
      <c r="O262" t="s">
        <v>772</v>
      </c>
      <c r="P262" t="s">
        <v>773</v>
      </c>
    </row>
    <row r="263" spans="1:16" x14ac:dyDescent="0.35">
      <c r="A263" t="s">
        <v>109</v>
      </c>
      <c r="B263">
        <v>1324725712</v>
      </c>
      <c r="C263" t="s">
        <v>18</v>
      </c>
      <c r="D263" t="s">
        <v>20</v>
      </c>
      <c r="E263" s="29">
        <v>46207</v>
      </c>
      <c r="F263" t="s">
        <v>5</v>
      </c>
      <c r="G263" s="28">
        <v>0.76388888888888884</v>
      </c>
      <c r="H263" s="28">
        <v>0.76388888888888884</v>
      </c>
      <c r="I263">
        <v>0</v>
      </c>
      <c r="J263" t="s">
        <v>174</v>
      </c>
      <c r="K263">
        <v>0</v>
      </c>
      <c r="L263" t="s">
        <v>1032</v>
      </c>
      <c r="M263" t="s">
        <v>1033</v>
      </c>
      <c r="N263" t="s">
        <v>1034</v>
      </c>
      <c r="O263" t="s">
        <v>1035</v>
      </c>
      <c r="P263" t="s">
        <v>1036</v>
      </c>
    </row>
    <row r="264" spans="1:16" x14ac:dyDescent="0.35">
      <c r="A264" t="s">
        <v>109</v>
      </c>
      <c r="B264">
        <v>1324725712</v>
      </c>
      <c r="C264" t="s">
        <v>18</v>
      </c>
      <c r="D264" t="s">
        <v>20</v>
      </c>
      <c r="E264" s="29">
        <v>46207</v>
      </c>
      <c r="F264" t="s">
        <v>5</v>
      </c>
      <c r="G264" s="28">
        <v>0.77083333333333337</v>
      </c>
      <c r="H264" s="28">
        <v>0.90277777777777779</v>
      </c>
      <c r="I264">
        <v>3</v>
      </c>
      <c r="J264" t="s">
        <v>146</v>
      </c>
      <c r="K264">
        <v>10</v>
      </c>
      <c r="L264" t="s">
        <v>147</v>
      </c>
      <c r="M264" t="s">
        <v>754</v>
      </c>
      <c r="N264" t="s">
        <v>755</v>
      </c>
      <c r="O264" t="s">
        <v>756</v>
      </c>
      <c r="P264" t="s">
        <v>757</v>
      </c>
    </row>
    <row r="265" spans="1:16" x14ac:dyDescent="0.35">
      <c r="A265" t="s">
        <v>109</v>
      </c>
      <c r="B265">
        <v>1324725712</v>
      </c>
      <c r="C265" t="s">
        <v>18</v>
      </c>
      <c r="D265" t="s">
        <v>20</v>
      </c>
      <c r="E265" s="29">
        <v>46208</v>
      </c>
      <c r="F265" t="s">
        <v>6</v>
      </c>
      <c r="G265" s="28">
        <v>0.40972222222222221</v>
      </c>
      <c r="H265" s="28">
        <v>0.40972222222222221</v>
      </c>
      <c r="I265">
        <v>0</v>
      </c>
      <c r="J265" t="s">
        <v>174</v>
      </c>
      <c r="K265">
        <v>0</v>
      </c>
      <c r="L265" t="s">
        <v>1037</v>
      </c>
      <c r="M265" t="s">
        <v>1038</v>
      </c>
      <c r="N265" t="s">
        <v>1039</v>
      </c>
      <c r="O265" t="s">
        <v>1040</v>
      </c>
      <c r="P265" t="s">
        <v>1041</v>
      </c>
    </row>
    <row r="266" spans="1:16" x14ac:dyDescent="0.35">
      <c r="A266" t="s">
        <v>109</v>
      </c>
      <c r="B266">
        <v>1324725712</v>
      </c>
      <c r="C266" t="s">
        <v>18</v>
      </c>
      <c r="D266" t="s">
        <v>20</v>
      </c>
      <c r="E266" s="29">
        <v>46208</v>
      </c>
      <c r="F266" t="s">
        <v>6</v>
      </c>
      <c r="G266" s="28">
        <v>0.41666666666666669</v>
      </c>
      <c r="H266" s="28">
        <v>0.41666666666666669</v>
      </c>
      <c r="I266">
        <v>0</v>
      </c>
      <c r="J266" t="s">
        <v>174</v>
      </c>
      <c r="K266">
        <v>0</v>
      </c>
      <c r="L266" t="s">
        <v>1042</v>
      </c>
      <c r="M266" t="s">
        <v>1043</v>
      </c>
      <c r="N266" t="s">
        <v>1044</v>
      </c>
      <c r="O266" t="s">
        <v>1045</v>
      </c>
      <c r="P266" t="s">
        <v>1046</v>
      </c>
    </row>
    <row r="267" spans="1:16" x14ac:dyDescent="0.35">
      <c r="A267" t="s">
        <v>109</v>
      </c>
      <c r="B267">
        <v>1324725712</v>
      </c>
      <c r="C267" t="s">
        <v>18</v>
      </c>
      <c r="D267" t="s">
        <v>20</v>
      </c>
      <c r="E267" s="29">
        <v>46208</v>
      </c>
      <c r="F267" t="s">
        <v>6</v>
      </c>
      <c r="G267" s="28">
        <v>0.43055555555555558</v>
      </c>
      <c r="H267" s="28">
        <v>0.43055555555555558</v>
      </c>
      <c r="I267">
        <v>0</v>
      </c>
      <c r="J267" t="s">
        <v>174</v>
      </c>
      <c r="K267">
        <v>0</v>
      </c>
      <c r="L267" t="s">
        <v>700</v>
      </c>
      <c r="M267" t="s">
        <v>1047</v>
      </c>
      <c r="N267" t="s">
        <v>1048</v>
      </c>
      <c r="O267" t="s">
        <v>1049</v>
      </c>
      <c r="P267" t="s">
        <v>1050</v>
      </c>
    </row>
    <row r="268" spans="1:16" x14ac:dyDescent="0.35">
      <c r="A268" t="s">
        <v>109</v>
      </c>
      <c r="B268">
        <v>1324725712</v>
      </c>
      <c r="C268" t="s">
        <v>18</v>
      </c>
      <c r="D268" t="s">
        <v>20</v>
      </c>
      <c r="E268" s="29">
        <v>46208</v>
      </c>
      <c r="F268" t="s">
        <v>6</v>
      </c>
      <c r="G268" s="28">
        <v>0.4375</v>
      </c>
      <c r="H268" s="28">
        <v>0.46527777777777779</v>
      </c>
      <c r="I268">
        <v>1</v>
      </c>
      <c r="J268" t="s">
        <v>146</v>
      </c>
      <c r="K268">
        <v>2</v>
      </c>
      <c r="L268" t="s">
        <v>147</v>
      </c>
      <c r="M268" t="s">
        <v>1051</v>
      </c>
      <c r="N268" t="s">
        <v>1052</v>
      </c>
      <c r="O268" t="s">
        <v>1053</v>
      </c>
      <c r="P268" t="s">
        <v>1054</v>
      </c>
    </row>
    <row r="269" spans="1:16" x14ac:dyDescent="0.35">
      <c r="A269" t="s">
        <v>109</v>
      </c>
      <c r="B269">
        <v>1324725712</v>
      </c>
      <c r="C269" t="s">
        <v>18</v>
      </c>
      <c r="D269" t="s">
        <v>20</v>
      </c>
      <c r="E269" s="29">
        <v>46208</v>
      </c>
      <c r="F269" t="s">
        <v>6</v>
      </c>
      <c r="G269" s="28">
        <v>0.47222222222222221</v>
      </c>
      <c r="H269" s="28">
        <v>0.47222222222222221</v>
      </c>
      <c r="I269">
        <v>0</v>
      </c>
      <c r="J269" t="s">
        <v>174</v>
      </c>
      <c r="K269">
        <v>0</v>
      </c>
      <c r="L269" t="s">
        <v>213</v>
      </c>
      <c r="M269" t="s">
        <v>1055</v>
      </c>
      <c r="N269" t="s">
        <v>1056</v>
      </c>
      <c r="O269" t="s">
        <v>1057</v>
      </c>
      <c r="P269" t="s">
        <v>1058</v>
      </c>
    </row>
    <row r="270" spans="1:16" x14ac:dyDescent="0.35">
      <c r="A270" t="s">
        <v>109</v>
      </c>
      <c r="B270">
        <v>1324725712</v>
      </c>
      <c r="C270" t="s">
        <v>18</v>
      </c>
      <c r="D270" t="s">
        <v>20</v>
      </c>
      <c r="E270" s="29">
        <v>46208</v>
      </c>
      <c r="F270" t="s">
        <v>6</v>
      </c>
      <c r="G270" s="28">
        <v>0.47916666666666669</v>
      </c>
      <c r="H270" s="28">
        <v>0.47916666666666669</v>
      </c>
      <c r="I270">
        <v>0</v>
      </c>
      <c r="J270" t="s">
        <v>174</v>
      </c>
      <c r="K270">
        <v>0</v>
      </c>
      <c r="L270" t="s">
        <v>1059</v>
      </c>
      <c r="M270" t="s">
        <v>1051</v>
      </c>
      <c r="N270" t="s">
        <v>1052</v>
      </c>
      <c r="O270" t="s">
        <v>1053</v>
      </c>
      <c r="P270" t="s">
        <v>1054</v>
      </c>
    </row>
    <row r="271" spans="1:16" x14ac:dyDescent="0.35">
      <c r="A271" t="s">
        <v>109</v>
      </c>
      <c r="B271">
        <v>1324725712</v>
      </c>
      <c r="C271" t="s">
        <v>18</v>
      </c>
      <c r="D271" t="s">
        <v>20</v>
      </c>
      <c r="E271" s="29">
        <v>46208</v>
      </c>
      <c r="F271" t="s">
        <v>6</v>
      </c>
      <c r="G271" s="28">
        <v>0.4861111111111111</v>
      </c>
      <c r="H271" s="28">
        <v>0.4861111111111111</v>
      </c>
      <c r="I271">
        <v>0</v>
      </c>
      <c r="J271" t="s">
        <v>174</v>
      </c>
      <c r="K271">
        <v>0</v>
      </c>
      <c r="L271" t="s">
        <v>1060</v>
      </c>
      <c r="M271" t="s">
        <v>1061</v>
      </c>
      <c r="N271" t="s">
        <v>1062</v>
      </c>
      <c r="O271" t="s">
        <v>1063</v>
      </c>
      <c r="P271" t="s">
        <v>1064</v>
      </c>
    </row>
    <row r="272" spans="1:16" x14ac:dyDescent="0.35">
      <c r="A272" t="s">
        <v>109</v>
      </c>
      <c r="B272">
        <v>1324725712</v>
      </c>
      <c r="C272" t="s">
        <v>18</v>
      </c>
      <c r="D272" t="s">
        <v>20</v>
      </c>
      <c r="E272" s="29">
        <v>46208</v>
      </c>
      <c r="F272" t="s">
        <v>6</v>
      </c>
      <c r="G272" s="28">
        <v>0.49305555555555558</v>
      </c>
      <c r="H272" s="28">
        <v>0.49305555555555558</v>
      </c>
      <c r="I272">
        <v>0</v>
      </c>
      <c r="J272" t="s">
        <v>174</v>
      </c>
      <c r="K272">
        <v>0</v>
      </c>
      <c r="L272" t="s">
        <v>267</v>
      </c>
      <c r="M272" t="s">
        <v>1065</v>
      </c>
      <c r="N272" t="s">
        <v>1066</v>
      </c>
      <c r="O272" t="s">
        <v>1067</v>
      </c>
      <c r="P272" t="s">
        <v>1068</v>
      </c>
    </row>
    <row r="273" spans="1:16" x14ac:dyDescent="0.35">
      <c r="A273" t="s">
        <v>109</v>
      </c>
      <c r="B273">
        <v>1324725712</v>
      </c>
      <c r="C273" t="s">
        <v>18</v>
      </c>
      <c r="D273" t="s">
        <v>20</v>
      </c>
      <c r="E273" s="29">
        <v>46208</v>
      </c>
      <c r="F273" t="s">
        <v>6</v>
      </c>
      <c r="G273" s="28">
        <v>0.5</v>
      </c>
      <c r="H273" s="28">
        <v>0.72222222222222221</v>
      </c>
      <c r="I273">
        <v>5</v>
      </c>
      <c r="J273" t="s">
        <v>146</v>
      </c>
      <c r="K273">
        <v>16</v>
      </c>
      <c r="L273" t="s">
        <v>147</v>
      </c>
      <c r="M273" t="s">
        <v>1069</v>
      </c>
      <c r="N273" t="s">
        <v>1070</v>
      </c>
      <c r="O273" t="s">
        <v>1071</v>
      </c>
      <c r="P273" t="s">
        <v>1072</v>
      </c>
    </row>
    <row r="274" spans="1:16" x14ac:dyDescent="0.35">
      <c r="A274" t="s">
        <v>109</v>
      </c>
      <c r="B274">
        <v>1324725712</v>
      </c>
      <c r="C274" t="s">
        <v>18</v>
      </c>
      <c r="D274" t="s">
        <v>20</v>
      </c>
      <c r="E274" s="29">
        <v>46208</v>
      </c>
      <c r="F274" t="s">
        <v>6</v>
      </c>
      <c r="G274" s="28">
        <v>0.72916666666666663</v>
      </c>
      <c r="H274" s="28">
        <v>0.72916666666666663</v>
      </c>
      <c r="I274">
        <v>0</v>
      </c>
      <c r="J274" t="s">
        <v>174</v>
      </c>
      <c r="K274">
        <v>0</v>
      </c>
      <c r="L274" t="s">
        <v>1073</v>
      </c>
      <c r="M274" t="s">
        <v>1074</v>
      </c>
      <c r="N274" t="s">
        <v>1075</v>
      </c>
      <c r="O274" t="s">
        <v>1076</v>
      </c>
      <c r="P274" t="s">
        <v>1077</v>
      </c>
    </row>
    <row r="275" spans="1:16" x14ac:dyDescent="0.35">
      <c r="A275" t="s">
        <v>109</v>
      </c>
      <c r="B275">
        <v>1324725712</v>
      </c>
      <c r="C275" t="s">
        <v>18</v>
      </c>
      <c r="D275" t="s">
        <v>20</v>
      </c>
      <c r="E275" s="29">
        <v>46208</v>
      </c>
      <c r="F275" t="s">
        <v>6</v>
      </c>
      <c r="G275" s="28">
        <v>0.73611111111111116</v>
      </c>
      <c r="H275" s="28">
        <v>0.73611111111111116</v>
      </c>
      <c r="I275">
        <v>0</v>
      </c>
      <c r="J275" t="s">
        <v>174</v>
      </c>
      <c r="K275">
        <v>0</v>
      </c>
      <c r="L275" t="s">
        <v>1078</v>
      </c>
      <c r="M275" t="s">
        <v>1079</v>
      </c>
      <c r="N275" t="s">
        <v>1080</v>
      </c>
      <c r="O275" t="s">
        <v>1081</v>
      </c>
      <c r="P275" t="s">
        <v>1082</v>
      </c>
    </row>
    <row r="276" spans="1:16" x14ac:dyDescent="0.35">
      <c r="A276" t="s">
        <v>109</v>
      </c>
      <c r="B276">
        <v>1324725712</v>
      </c>
      <c r="C276" t="s">
        <v>18</v>
      </c>
      <c r="D276" t="s">
        <v>20</v>
      </c>
      <c r="E276" s="29">
        <v>46208</v>
      </c>
      <c r="F276" t="s">
        <v>6</v>
      </c>
      <c r="G276" s="28">
        <v>0.74305555555555558</v>
      </c>
      <c r="H276" s="28">
        <v>0.74305555555555558</v>
      </c>
      <c r="I276">
        <v>0</v>
      </c>
      <c r="J276" t="s">
        <v>174</v>
      </c>
      <c r="K276">
        <v>0</v>
      </c>
      <c r="L276" t="s">
        <v>1083</v>
      </c>
      <c r="M276" t="s">
        <v>1055</v>
      </c>
      <c r="N276" t="s">
        <v>1056</v>
      </c>
      <c r="O276" t="s">
        <v>1057</v>
      </c>
      <c r="P276" t="s">
        <v>1058</v>
      </c>
    </row>
    <row r="277" spans="1:16" x14ac:dyDescent="0.35">
      <c r="A277" t="s">
        <v>109</v>
      </c>
      <c r="B277">
        <v>1324725712</v>
      </c>
      <c r="C277" t="s">
        <v>18</v>
      </c>
      <c r="D277" t="s">
        <v>20</v>
      </c>
      <c r="E277" s="29">
        <v>46208</v>
      </c>
      <c r="F277" t="s">
        <v>6</v>
      </c>
      <c r="G277" s="28">
        <v>0.75694444444444442</v>
      </c>
      <c r="H277" s="28">
        <v>0.75694444444444442</v>
      </c>
      <c r="I277">
        <v>0</v>
      </c>
      <c r="J277" t="s">
        <v>174</v>
      </c>
      <c r="K277">
        <v>0</v>
      </c>
      <c r="L277" t="s">
        <v>1084</v>
      </c>
      <c r="M277" t="s">
        <v>1085</v>
      </c>
      <c r="N277" t="s">
        <v>1086</v>
      </c>
      <c r="O277" t="s">
        <v>1087</v>
      </c>
      <c r="P277" t="s">
        <v>1088</v>
      </c>
    </row>
    <row r="278" spans="1:16" x14ac:dyDescent="0.35">
      <c r="A278" t="s">
        <v>109</v>
      </c>
      <c r="B278">
        <v>1324725712</v>
      </c>
      <c r="C278" t="s">
        <v>18</v>
      </c>
      <c r="D278" t="s">
        <v>20</v>
      </c>
      <c r="E278" s="29">
        <v>46208</v>
      </c>
      <c r="F278" t="s">
        <v>6</v>
      </c>
      <c r="G278" s="28">
        <v>0.76388888888888884</v>
      </c>
      <c r="H278" s="28">
        <v>0.76388888888888884</v>
      </c>
      <c r="I278">
        <v>0</v>
      </c>
      <c r="J278" t="s">
        <v>174</v>
      </c>
      <c r="K278">
        <v>0</v>
      </c>
      <c r="L278" t="s">
        <v>1089</v>
      </c>
      <c r="M278" t="s">
        <v>1090</v>
      </c>
      <c r="N278" t="s">
        <v>1091</v>
      </c>
      <c r="O278" t="s">
        <v>1092</v>
      </c>
      <c r="P278" t="s">
        <v>1093</v>
      </c>
    </row>
    <row r="279" spans="1:16" x14ac:dyDescent="0.35">
      <c r="A279" t="s">
        <v>109</v>
      </c>
      <c r="B279">
        <v>1324725712</v>
      </c>
      <c r="C279" t="s">
        <v>18</v>
      </c>
      <c r="D279" t="s">
        <v>20</v>
      </c>
      <c r="E279" s="29">
        <v>46208</v>
      </c>
      <c r="F279" t="s">
        <v>6</v>
      </c>
      <c r="G279" s="28">
        <v>0.77083333333333337</v>
      </c>
      <c r="H279" s="28">
        <v>0.84722222222222221</v>
      </c>
      <c r="I279">
        <v>2</v>
      </c>
      <c r="J279" t="s">
        <v>146</v>
      </c>
      <c r="K279">
        <v>6</v>
      </c>
      <c r="L279" t="s">
        <v>147</v>
      </c>
      <c r="M279" t="s">
        <v>739</v>
      </c>
      <c r="N279" t="s">
        <v>740</v>
      </c>
      <c r="O279" t="s">
        <v>741</v>
      </c>
      <c r="P279" t="s">
        <v>742</v>
      </c>
    </row>
    <row r="280" spans="1:16" x14ac:dyDescent="0.35">
      <c r="A280" t="s">
        <v>118</v>
      </c>
      <c r="B280">
        <v>1700702275</v>
      </c>
      <c r="C280" t="s">
        <v>18</v>
      </c>
      <c r="D280" t="s">
        <v>21</v>
      </c>
      <c r="E280" s="29">
        <v>46204</v>
      </c>
      <c r="F280" t="s">
        <v>3</v>
      </c>
      <c r="G280" s="28">
        <v>0.38611111111111113</v>
      </c>
      <c r="H280" s="28">
        <v>0.38611111111111113</v>
      </c>
      <c r="I280">
        <v>0</v>
      </c>
      <c r="J280" t="s">
        <v>174</v>
      </c>
      <c r="K280">
        <v>0</v>
      </c>
      <c r="L280" t="s">
        <v>1094</v>
      </c>
      <c r="M280" t="s">
        <v>1095</v>
      </c>
      <c r="N280" t="s">
        <v>1096</v>
      </c>
      <c r="O280" t="s">
        <v>1097</v>
      </c>
      <c r="P280" t="s">
        <v>1098</v>
      </c>
    </row>
    <row r="281" spans="1:16" x14ac:dyDescent="0.35">
      <c r="A281" t="s">
        <v>118</v>
      </c>
      <c r="B281">
        <v>1700702275</v>
      </c>
      <c r="C281" t="s">
        <v>18</v>
      </c>
      <c r="D281" t="s">
        <v>21</v>
      </c>
      <c r="E281" s="29">
        <v>46204</v>
      </c>
      <c r="F281" t="s">
        <v>3</v>
      </c>
      <c r="G281" s="28">
        <v>0.39305555555555555</v>
      </c>
      <c r="H281" s="28">
        <v>0.42777777777777776</v>
      </c>
      <c r="I281">
        <v>1</v>
      </c>
      <c r="J281" t="s">
        <v>146</v>
      </c>
      <c r="K281">
        <v>2</v>
      </c>
      <c r="L281" t="s">
        <v>147</v>
      </c>
      <c r="M281" t="s">
        <v>1099</v>
      </c>
      <c r="N281" t="s">
        <v>1100</v>
      </c>
      <c r="O281" t="s">
        <v>1101</v>
      </c>
      <c r="P281" t="s">
        <v>1102</v>
      </c>
    </row>
    <row r="282" spans="1:16" x14ac:dyDescent="0.35">
      <c r="A282" t="s">
        <v>118</v>
      </c>
      <c r="B282">
        <v>1700702275</v>
      </c>
      <c r="C282" t="s">
        <v>18</v>
      </c>
      <c r="D282" t="s">
        <v>21</v>
      </c>
      <c r="E282" s="29">
        <v>46204</v>
      </c>
      <c r="F282" t="s">
        <v>3</v>
      </c>
      <c r="G282" s="28">
        <v>0.43472222222222223</v>
      </c>
      <c r="H282" s="28">
        <v>0.44166666666666665</v>
      </c>
      <c r="I282">
        <v>0</v>
      </c>
      <c r="J282" t="s">
        <v>146</v>
      </c>
      <c r="K282">
        <v>0</v>
      </c>
      <c r="L282" t="s">
        <v>147</v>
      </c>
      <c r="M282" t="s">
        <v>1103</v>
      </c>
      <c r="N282" t="s">
        <v>1104</v>
      </c>
      <c r="O282" t="s">
        <v>1105</v>
      </c>
      <c r="P282" t="s">
        <v>1106</v>
      </c>
    </row>
    <row r="283" spans="1:16" x14ac:dyDescent="0.35">
      <c r="A283" t="s">
        <v>118</v>
      </c>
      <c r="B283">
        <v>1700702275</v>
      </c>
      <c r="C283" t="s">
        <v>18</v>
      </c>
      <c r="D283" t="s">
        <v>21</v>
      </c>
      <c r="E283" s="29">
        <v>46204</v>
      </c>
      <c r="F283" t="s">
        <v>3</v>
      </c>
      <c r="G283" s="28">
        <v>0.44861111111111113</v>
      </c>
      <c r="H283" s="28">
        <v>0.50416666666666665</v>
      </c>
      <c r="I283">
        <v>1</v>
      </c>
      <c r="J283" t="s">
        <v>146</v>
      </c>
      <c r="K283">
        <v>4</v>
      </c>
      <c r="L283" t="s">
        <v>147</v>
      </c>
      <c r="M283" t="s">
        <v>1099</v>
      </c>
      <c r="N283" t="s">
        <v>1100</v>
      </c>
      <c r="O283" t="s">
        <v>1101</v>
      </c>
      <c r="P283" t="s">
        <v>1102</v>
      </c>
    </row>
    <row r="284" spans="1:16" x14ac:dyDescent="0.35">
      <c r="A284" t="s">
        <v>118</v>
      </c>
      <c r="B284">
        <v>1700702275</v>
      </c>
      <c r="C284" t="s">
        <v>18</v>
      </c>
      <c r="D284" t="s">
        <v>21</v>
      </c>
      <c r="E284" s="29">
        <v>46204</v>
      </c>
      <c r="F284" t="s">
        <v>3</v>
      </c>
      <c r="G284" s="28">
        <v>0.51111111111111107</v>
      </c>
      <c r="H284" s="28">
        <v>0.51111111111111107</v>
      </c>
      <c r="I284">
        <v>0</v>
      </c>
      <c r="J284" t="s">
        <v>174</v>
      </c>
      <c r="K284">
        <v>0</v>
      </c>
      <c r="L284" t="s">
        <v>176</v>
      </c>
      <c r="M284" t="s">
        <v>1107</v>
      </c>
      <c r="N284" t="s">
        <v>1108</v>
      </c>
      <c r="O284" t="s">
        <v>1109</v>
      </c>
      <c r="P284" t="s">
        <v>1110</v>
      </c>
    </row>
    <row r="285" spans="1:16" x14ac:dyDescent="0.35">
      <c r="A285" t="s">
        <v>118</v>
      </c>
      <c r="B285">
        <v>1700702275</v>
      </c>
      <c r="C285" t="s">
        <v>18</v>
      </c>
      <c r="D285" t="s">
        <v>21</v>
      </c>
      <c r="E285" s="29">
        <v>46204</v>
      </c>
      <c r="F285" t="s">
        <v>3</v>
      </c>
      <c r="G285" s="28">
        <v>0.5180555555555556</v>
      </c>
      <c r="H285" s="28">
        <v>0.5180555555555556</v>
      </c>
      <c r="I285">
        <v>0</v>
      </c>
      <c r="J285" t="s">
        <v>174</v>
      </c>
      <c r="K285">
        <v>0</v>
      </c>
      <c r="L285" t="s">
        <v>1111</v>
      </c>
      <c r="M285" t="s">
        <v>1112</v>
      </c>
      <c r="N285" t="s">
        <v>1113</v>
      </c>
      <c r="O285" t="s">
        <v>1114</v>
      </c>
      <c r="P285" t="s">
        <v>1115</v>
      </c>
    </row>
    <row r="286" spans="1:16" x14ac:dyDescent="0.35">
      <c r="A286" t="s">
        <v>118</v>
      </c>
      <c r="B286">
        <v>1700702275</v>
      </c>
      <c r="C286" t="s">
        <v>18</v>
      </c>
      <c r="D286" t="s">
        <v>21</v>
      </c>
      <c r="E286" s="29">
        <v>46204</v>
      </c>
      <c r="F286" t="s">
        <v>3</v>
      </c>
      <c r="G286" s="28">
        <v>0.52500000000000002</v>
      </c>
      <c r="H286" s="28">
        <v>0.57361111111111107</v>
      </c>
      <c r="I286">
        <v>1</v>
      </c>
      <c r="J286" t="s">
        <v>146</v>
      </c>
      <c r="K286">
        <v>4</v>
      </c>
      <c r="L286" t="s">
        <v>147</v>
      </c>
      <c r="M286" t="s">
        <v>1116</v>
      </c>
      <c r="N286" t="s">
        <v>1117</v>
      </c>
      <c r="O286" t="s">
        <v>1118</v>
      </c>
      <c r="P286" t="s">
        <v>1119</v>
      </c>
    </row>
    <row r="287" spans="1:16" x14ac:dyDescent="0.35">
      <c r="A287" t="s">
        <v>118</v>
      </c>
      <c r="B287">
        <v>1700702275</v>
      </c>
      <c r="C287" t="s">
        <v>18</v>
      </c>
      <c r="D287" t="s">
        <v>21</v>
      </c>
      <c r="E287" s="29">
        <v>46204</v>
      </c>
      <c r="F287" t="s">
        <v>3</v>
      </c>
      <c r="G287" s="28">
        <v>0.5805555555555556</v>
      </c>
      <c r="H287" s="28">
        <v>0.5805555555555556</v>
      </c>
      <c r="I287">
        <v>0</v>
      </c>
      <c r="J287" t="s">
        <v>174</v>
      </c>
      <c r="K287">
        <v>0</v>
      </c>
      <c r="L287" t="s">
        <v>1120</v>
      </c>
      <c r="M287" t="s">
        <v>1121</v>
      </c>
      <c r="N287" t="s">
        <v>1122</v>
      </c>
      <c r="O287" t="s">
        <v>1123</v>
      </c>
      <c r="P287" t="s">
        <v>1124</v>
      </c>
    </row>
    <row r="288" spans="1:16" x14ac:dyDescent="0.35">
      <c r="A288" t="s">
        <v>118</v>
      </c>
      <c r="B288">
        <v>1700702275</v>
      </c>
      <c r="C288" t="s">
        <v>18</v>
      </c>
      <c r="D288" t="s">
        <v>21</v>
      </c>
      <c r="E288" s="29">
        <v>46204</v>
      </c>
      <c r="F288" t="s">
        <v>3</v>
      </c>
      <c r="G288" s="28">
        <v>0.58750000000000002</v>
      </c>
      <c r="H288" s="28">
        <v>0.58750000000000002</v>
      </c>
      <c r="I288">
        <v>0</v>
      </c>
      <c r="J288" t="s">
        <v>174</v>
      </c>
      <c r="K288">
        <v>0</v>
      </c>
      <c r="L288" t="s">
        <v>1125</v>
      </c>
      <c r="M288" t="s">
        <v>1126</v>
      </c>
      <c r="N288" t="s">
        <v>1127</v>
      </c>
      <c r="O288" t="s">
        <v>1128</v>
      </c>
      <c r="P288" t="s">
        <v>1129</v>
      </c>
    </row>
    <row r="289" spans="1:16" x14ac:dyDescent="0.35">
      <c r="A289" t="s">
        <v>118</v>
      </c>
      <c r="B289">
        <v>1700702275</v>
      </c>
      <c r="C289" t="s">
        <v>18</v>
      </c>
      <c r="D289" t="s">
        <v>21</v>
      </c>
      <c r="E289" s="29">
        <v>46204</v>
      </c>
      <c r="F289" t="s">
        <v>3</v>
      </c>
      <c r="G289" s="28">
        <v>0.59444444444444444</v>
      </c>
      <c r="H289" s="28">
        <v>0.61527777777777781</v>
      </c>
      <c r="I289">
        <v>1</v>
      </c>
      <c r="J289" t="s">
        <v>146</v>
      </c>
      <c r="K289">
        <v>2</v>
      </c>
      <c r="L289" t="s">
        <v>147</v>
      </c>
      <c r="M289" t="s">
        <v>1099</v>
      </c>
      <c r="N289" t="s">
        <v>1100</v>
      </c>
      <c r="O289" t="s">
        <v>1101</v>
      </c>
      <c r="P289" t="s">
        <v>1102</v>
      </c>
    </row>
    <row r="290" spans="1:16" x14ac:dyDescent="0.35">
      <c r="A290" t="s">
        <v>118</v>
      </c>
      <c r="B290">
        <v>1700702275</v>
      </c>
      <c r="C290" t="s">
        <v>18</v>
      </c>
      <c r="D290" t="s">
        <v>21</v>
      </c>
      <c r="E290" s="29">
        <v>46204</v>
      </c>
      <c r="F290" t="s">
        <v>3</v>
      </c>
      <c r="G290" s="28">
        <v>0.62222222222222223</v>
      </c>
      <c r="H290" s="28">
        <v>0.62222222222222223</v>
      </c>
      <c r="I290">
        <v>0</v>
      </c>
      <c r="J290" t="s">
        <v>174</v>
      </c>
      <c r="K290">
        <v>0</v>
      </c>
      <c r="L290" t="s">
        <v>257</v>
      </c>
      <c r="M290" t="s">
        <v>1103</v>
      </c>
      <c r="N290" t="s">
        <v>1104</v>
      </c>
      <c r="O290" t="s">
        <v>1105</v>
      </c>
      <c r="P290" t="s">
        <v>1106</v>
      </c>
    </row>
    <row r="291" spans="1:16" x14ac:dyDescent="0.35">
      <c r="A291" t="s">
        <v>118</v>
      </c>
      <c r="B291">
        <v>1700702275</v>
      </c>
      <c r="C291" t="s">
        <v>18</v>
      </c>
      <c r="D291" t="s">
        <v>21</v>
      </c>
      <c r="E291" s="29">
        <v>46204</v>
      </c>
      <c r="F291" t="s">
        <v>3</v>
      </c>
      <c r="G291" s="28">
        <v>0.62916666666666665</v>
      </c>
      <c r="H291" s="28">
        <v>0.74722222222222223</v>
      </c>
      <c r="I291">
        <v>3</v>
      </c>
      <c r="J291" t="s">
        <v>146</v>
      </c>
      <c r="K291">
        <v>8</v>
      </c>
      <c r="L291" t="s">
        <v>147</v>
      </c>
      <c r="M291" t="s">
        <v>1130</v>
      </c>
      <c r="N291" t="s">
        <v>1100</v>
      </c>
      <c r="O291" t="s">
        <v>1101</v>
      </c>
      <c r="P291" t="s">
        <v>1102</v>
      </c>
    </row>
    <row r="292" spans="1:16" x14ac:dyDescent="0.35">
      <c r="A292" t="s">
        <v>118</v>
      </c>
      <c r="B292">
        <v>1700702275</v>
      </c>
      <c r="C292" t="s">
        <v>18</v>
      </c>
      <c r="D292" t="s">
        <v>21</v>
      </c>
      <c r="E292" s="29">
        <v>46204</v>
      </c>
      <c r="F292" t="s">
        <v>3</v>
      </c>
      <c r="G292" s="28">
        <v>0.75416666666666665</v>
      </c>
      <c r="H292" s="28">
        <v>0.75416666666666665</v>
      </c>
      <c r="I292">
        <v>0</v>
      </c>
      <c r="J292" t="s">
        <v>174</v>
      </c>
      <c r="K292">
        <v>0</v>
      </c>
      <c r="L292" t="s">
        <v>262</v>
      </c>
      <c r="M292" t="s">
        <v>1131</v>
      </c>
      <c r="N292" t="s">
        <v>1132</v>
      </c>
      <c r="O292" t="s">
        <v>1133</v>
      </c>
      <c r="P292" t="s">
        <v>1134</v>
      </c>
    </row>
    <row r="293" spans="1:16" x14ac:dyDescent="0.35">
      <c r="A293" t="s">
        <v>118</v>
      </c>
      <c r="B293">
        <v>1700702275</v>
      </c>
      <c r="C293" t="s">
        <v>18</v>
      </c>
      <c r="D293" t="s">
        <v>21</v>
      </c>
      <c r="E293" s="29">
        <v>46204</v>
      </c>
      <c r="F293" t="s">
        <v>3</v>
      </c>
      <c r="G293" s="28">
        <v>0.76111111111111107</v>
      </c>
      <c r="H293" s="28">
        <v>0.76111111111111107</v>
      </c>
      <c r="I293">
        <v>0</v>
      </c>
      <c r="J293" t="s">
        <v>174</v>
      </c>
      <c r="K293">
        <v>0</v>
      </c>
      <c r="L293" t="s">
        <v>186</v>
      </c>
      <c r="M293" t="s">
        <v>1135</v>
      </c>
      <c r="N293" t="s">
        <v>1136</v>
      </c>
      <c r="O293" t="s">
        <v>1137</v>
      </c>
      <c r="P293" t="s">
        <v>1138</v>
      </c>
    </row>
    <row r="294" spans="1:16" x14ac:dyDescent="0.35">
      <c r="A294" t="s">
        <v>118</v>
      </c>
      <c r="B294">
        <v>1700702275</v>
      </c>
      <c r="C294" t="s">
        <v>18</v>
      </c>
      <c r="D294" t="s">
        <v>21</v>
      </c>
      <c r="E294" s="29">
        <v>46204</v>
      </c>
      <c r="F294" t="s">
        <v>3</v>
      </c>
      <c r="G294" s="28">
        <v>0.7680555555555556</v>
      </c>
      <c r="H294" s="28">
        <v>0.7680555555555556</v>
      </c>
      <c r="I294">
        <v>0</v>
      </c>
      <c r="J294" t="s">
        <v>174</v>
      </c>
      <c r="K294">
        <v>0</v>
      </c>
      <c r="L294" t="s">
        <v>1139</v>
      </c>
      <c r="M294" t="s">
        <v>1140</v>
      </c>
      <c r="N294" t="s">
        <v>1141</v>
      </c>
      <c r="O294" t="s">
        <v>1142</v>
      </c>
      <c r="P294" t="s">
        <v>1143</v>
      </c>
    </row>
    <row r="295" spans="1:16" x14ac:dyDescent="0.35">
      <c r="A295" t="s">
        <v>118</v>
      </c>
      <c r="B295">
        <v>1700702275</v>
      </c>
      <c r="C295" t="s">
        <v>18</v>
      </c>
      <c r="D295" t="s">
        <v>21</v>
      </c>
      <c r="E295" s="29">
        <v>46204</v>
      </c>
      <c r="F295" t="s">
        <v>3</v>
      </c>
      <c r="G295" s="28">
        <v>0.77500000000000002</v>
      </c>
      <c r="H295" s="28">
        <v>0.90694444444444444</v>
      </c>
      <c r="I295">
        <v>3</v>
      </c>
      <c r="J295" t="s">
        <v>146</v>
      </c>
      <c r="K295">
        <v>10</v>
      </c>
      <c r="L295" t="s">
        <v>147</v>
      </c>
      <c r="M295" t="s">
        <v>1144</v>
      </c>
      <c r="N295" t="s">
        <v>1145</v>
      </c>
      <c r="O295" t="s">
        <v>1146</v>
      </c>
      <c r="P295" t="s">
        <v>1147</v>
      </c>
    </row>
    <row r="296" spans="1:16" x14ac:dyDescent="0.35">
      <c r="A296" t="s">
        <v>118</v>
      </c>
      <c r="B296">
        <v>1700702275</v>
      </c>
      <c r="C296" t="s">
        <v>18</v>
      </c>
      <c r="D296" t="s">
        <v>21</v>
      </c>
      <c r="E296" s="29">
        <v>46205</v>
      </c>
      <c r="F296" t="s">
        <v>4</v>
      </c>
      <c r="G296" s="28">
        <v>0.39305555555555555</v>
      </c>
      <c r="H296" s="28">
        <v>0.39305555555555555</v>
      </c>
      <c r="I296">
        <v>0</v>
      </c>
      <c r="J296" t="s">
        <v>174</v>
      </c>
      <c r="K296">
        <v>0</v>
      </c>
      <c r="L296" t="s">
        <v>1148</v>
      </c>
      <c r="M296" t="s">
        <v>279</v>
      </c>
      <c r="N296" t="s">
        <v>280</v>
      </c>
      <c r="O296" t="s">
        <v>281</v>
      </c>
      <c r="P296" t="s">
        <v>1149</v>
      </c>
    </row>
    <row r="297" spans="1:16" x14ac:dyDescent="0.35">
      <c r="A297" t="s">
        <v>118</v>
      </c>
      <c r="B297">
        <v>1700702275</v>
      </c>
      <c r="C297" t="s">
        <v>18</v>
      </c>
      <c r="D297" t="s">
        <v>21</v>
      </c>
      <c r="E297" s="29">
        <v>46205</v>
      </c>
      <c r="F297" t="s">
        <v>4</v>
      </c>
      <c r="G297" s="28">
        <v>0.4</v>
      </c>
      <c r="H297" s="28">
        <v>0.4</v>
      </c>
      <c r="I297">
        <v>0</v>
      </c>
      <c r="J297" t="s">
        <v>174</v>
      </c>
      <c r="K297">
        <v>0</v>
      </c>
      <c r="L297" t="s">
        <v>1150</v>
      </c>
      <c r="M297" t="s">
        <v>1151</v>
      </c>
      <c r="N297" t="s">
        <v>1152</v>
      </c>
      <c r="O297" t="s">
        <v>1153</v>
      </c>
      <c r="P297" t="s">
        <v>348</v>
      </c>
    </row>
    <row r="298" spans="1:16" x14ac:dyDescent="0.35">
      <c r="A298" t="s">
        <v>118</v>
      </c>
      <c r="B298">
        <v>1700702275</v>
      </c>
      <c r="C298" t="s">
        <v>18</v>
      </c>
      <c r="D298" t="s">
        <v>21</v>
      </c>
      <c r="E298" s="29">
        <v>46205</v>
      </c>
      <c r="F298" t="s">
        <v>4</v>
      </c>
      <c r="G298" s="28">
        <v>0.40694444444444444</v>
      </c>
      <c r="H298" s="28">
        <v>0.40694444444444444</v>
      </c>
      <c r="I298">
        <v>0</v>
      </c>
      <c r="J298" t="s">
        <v>174</v>
      </c>
      <c r="K298">
        <v>0</v>
      </c>
      <c r="L298" t="s">
        <v>1154</v>
      </c>
      <c r="M298" t="s">
        <v>1155</v>
      </c>
      <c r="N298" t="s">
        <v>1156</v>
      </c>
      <c r="O298" t="s">
        <v>1157</v>
      </c>
      <c r="P298" t="s">
        <v>1158</v>
      </c>
    </row>
    <row r="299" spans="1:16" x14ac:dyDescent="0.35">
      <c r="A299" t="s">
        <v>118</v>
      </c>
      <c r="B299">
        <v>1700702275</v>
      </c>
      <c r="C299" t="s">
        <v>18</v>
      </c>
      <c r="D299" t="s">
        <v>21</v>
      </c>
      <c r="E299" s="29">
        <v>46205</v>
      </c>
      <c r="F299" t="s">
        <v>4</v>
      </c>
      <c r="G299" s="28">
        <v>0.41388888888888886</v>
      </c>
      <c r="H299" s="28">
        <v>0.41388888888888886</v>
      </c>
      <c r="I299">
        <v>0</v>
      </c>
      <c r="J299" t="s">
        <v>174</v>
      </c>
      <c r="K299">
        <v>0</v>
      </c>
      <c r="L299" t="s">
        <v>1159</v>
      </c>
      <c r="M299" t="s">
        <v>1160</v>
      </c>
      <c r="N299" t="s">
        <v>1161</v>
      </c>
      <c r="O299" t="s">
        <v>1162</v>
      </c>
      <c r="P299" t="s">
        <v>1163</v>
      </c>
    </row>
    <row r="300" spans="1:16" x14ac:dyDescent="0.35">
      <c r="A300" t="s">
        <v>118</v>
      </c>
      <c r="B300">
        <v>1700702275</v>
      </c>
      <c r="C300" t="s">
        <v>18</v>
      </c>
      <c r="D300" t="s">
        <v>21</v>
      </c>
      <c r="E300" s="29">
        <v>46205</v>
      </c>
      <c r="F300" t="s">
        <v>4</v>
      </c>
      <c r="G300" s="28">
        <v>0.42083333333333334</v>
      </c>
      <c r="H300" s="28">
        <v>0.42083333333333334</v>
      </c>
      <c r="I300">
        <v>0</v>
      </c>
      <c r="J300" t="s">
        <v>174</v>
      </c>
      <c r="K300">
        <v>0</v>
      </c>
      <c r="L300" t="s">
        <v>1164</v>
      </c>
      <c r="M300" t="s">
        <v>1165</v>
      </c>
      <c r="N300" t="s">
        <v>1166</v>
      </c>
      <c r="O300" t="s">
        <v>1167</v>
      </c>
      <c r="P300" t="s">
        <v>1168</v>
      </c>
    </row>
    <row r="301" spans="1:16" x14ac:dyDescent="0.35">
      <c r="A301" t="s">
        <v>118</v>
      </c>
      <c r="B301">
        <v>1700702275</v>
      </c>
      <c r="C301" t="s">
        <v>18</v>
      </c>
      <c r="D301" t="s">
        <v>21</v>
      </c>
      <c r="E301" s="29">
        <v>46205</v>
      </c>
      <c r="F301" t="s">
        <v>4</v>
      </c>
      <c r="G301" s="28">
        <v>0.42777777777777776</v>
      </c>
      <c r="H301" s="28">
        <v>0.43472222222222223</v>
      </c>
      <c r="I301">
        <v>0</v>
      </c>
      <c r="J301" t="s">
        <v>146</v>
      </c>
      <c r="K301">
        <v>1</v>
      </c>
      <c r="L301" t="s">
        <v>147</v>
      </c>
      <c r="M301" t="s">
        <v>233</v>
      </c>
      <c r="N301" t="s">
        <v>234</v>
      </c>
      <c r="O301" t="s">
        <v>235</v>
      </c>
      <c r="P301" t="s">
        <v>1169</v>
      </c>
    </row>
    <row r="302" spans="1:16" x14ac:dyDescent="0.35">
      <c r="A302" t="s">
        <v>118</v>
      </c>
      <c r="B302">
        <v>1700702275</v>
      </c>
      <c r="C302" t="s">
        <v>18</v>
      </c>
      <c r="D302" t="s">
        <v>21</v>
      </c>
      <c r="E302" s="29">
        <v>46205</v>
      </c>
      <c r="F302" t="s">
        <v>4</v>
      </c>
      <c r="G302" s="28">
        <v>0.44166666666666665</v>
      </c>
      <c r="H302" s="28">
        <v>0.44166666666666665</v>
      </c>
      <c r="I302">
        <v>0</v>
      </c>
      <c r="J302" t="s">
        <v>174</v>
      </c>
      <c r="K302">
        <v>0</v>
      </c>
      <c r="L302" t="s">
        <v>1170</v>
      </c>
      <c r="M302" t="s">
        <v>223</v>
      </c>
      <c r="N302" t="s">
        <v>224</v>
      </c>
      <c r="O302" t="s">
        <v>225</v>
      </c>
      <c r="P302" t="s">
        <v>1171</v>
      </c>
    </row>
    <row r="303" spans="1:16" x14ac:dyDescent="0.35">
      <c r="A303" t="s">
        <v>118</v>
      </c>
      <c r="B303">
        <v>1700702275</v>
      </c>
      <c r="C303" t="s">
        <v>18</v>
      </c>
      <c r="D303" t="s">
        <v>21</v>
      </c>
      <c r="E303" s="29">
        <v>46205</v>
      </c>
      <c r="F303" t="s">
        <v>4</v>
      </c>
      <c r="G303" s="28">
        <v>0.44861111111111113</v>
      </c>
      <c r="H303" s="28">
        <v>0.44861111111111113</v>
      </c>
      <c r="I303">
        <v>0</v>
      </c>
      <c r="J303" t="s">
        <v>174</v>
      </c>
      <c r="K303">
        <v>0</v>
      </c>
      <c r="L303" t="s">
        <v>648</v>
      </c>
      <c r="M303" t="s">
        <v>1172</v>
      </c>
      <c r="N303" t="s">
        <v>1173</v>
      </c>
      <c r="O303" t="s">
        <v>1174</v>
      </c>
      <c r="P303" t="s">
        <v>1175</v>
      </c>
    </row>
    <row r="304" spans="1:16" x14ac:dyDescent="0.35">
      <c r="A304" t="s">
        <v>118</v>
      </c>
      <c r="B304">
        <v>1700702275</v>
      </c>
      <c r="C304" t="s">
        <v>18</v>
      </c>
      <c r="D304" t="s">
        <v>21</v>
      </c>
      <c r="E304" s="29">
        <v>46205</v>
      </c>
      <c r="F304" t="s">
        <v>4</v>
      </c>
      <c r="G304" s="28">
        <v>0.45555555555555555</v>
      </c>
      <c r="H304" s="28">
        <v>0.58750000000000002</v>
      </c>
      <c r="I304">
        <v>3</v>
      </c>
      <c r="J304" t="s">
        <v>146</v>
      </c>
      <c r="K304">
        <v>10</v>
      </c>
      <c r="L304" t="s">
        <v>147</v>
      </c>
      <c r="M304" t="s">
        <v>233</v>
      </c>
      <c r="N304" t="s">
        <v>234</v>
      </c>
      <c r="O304" t="s">
        <v>235</v>
      </c>
      <c r="P304" t="s">
        <v>1169</v>
      </c>
    </row>
    <row r="305" spans="1:16" x14ac:dyDescent="0.35">
      <c r="A305" t="s">
        <v>118</v>
      </c>
      <c r="B305">
        <v>1700702275</v>
      </c>
      <c r="C305" t="s">
        <v>18</v>
      </c>
      <c r="D305" t="s">
        <v>21</v>
      </c>
      <c r="E305" s="29">
        <v>46205</v>
      </c>
      <c r="F305" t="s">
        <v>4</v>
      </c>
      <c r="G305" s="28">
        <v>0.59444444444444444</v>
      </c>
      <c r="H305" s="28">
        <v>0.59444444444444444</v>
      </c>
      <c r="I305">
        <v>0</v>
      </c>
      <c r="J305" t="s">
        <v>174</v>
      </c>
      <c r="K305">
        <v>0</v>
      </c>
      <c r="L305" t="s">
        <v>1176</v>
      </c>
      <c r="M305" t="s">
        <v>237</v>
      </c>
      <c r="N305" t="s">
        <v>238</v>
      </c>
      <c r="O305" t="s">
        <v>239</v>
      </c>
      <c r="P305" t="s">
        <v>244</v>
      </c>
    </row>
    <row r="306" spans="1:16" x14ac:dyDescent="0.35">
      <c r="A306" t="s">
        <v>118</v>
      </c>
      <c r="B306">
        <v>1700702275</v>
      </c>
      <c r="C306" t="s">
        <v>18</v>
      </c>
      <c r="D306" t="s">
        <v>21</v>
      </c>
      <c r="E306" s="29">
        <v>46205</v>
      </c>
      <c r="F306" t="s">
        <v>4</v>
      </c>
      <c r="G306" s="28">
        <v>0.60138888888888886</v>
      </c>
      <c r="H306" s="28">
        <v>0.62222222222222223</v>
      </c>
      <c r="I306">
        <v>1</v>
      </c>
      <c r="J306" t="s">
        <v>146</v>
      </c>
      <c r="K306">
        <v>2</v>
      </c>
      <c r="L306" t="s">
        <v>147</v>
      </c>
      <c r="M306" t="s">
        <v>1165</v>
      </c>
      <c r="N306" t="s">
        <v>1166</v>
      </c>
      <c r="O306" t="s">
        <v>1167</v>
      </c>
      <c r="P306" t="s">
        <v>1168</v>
      </c>
    </row>
    <row r="307" spans="1:16" x14ac:dyDescent="0.35">
      <c r="A307" t="s">
        <v>118</v>
      </c>
      <c r="B307">
        <v>1700702275</v>
      </c>
      <c r="C307" t="s">
        <v>18</v>
      </c>
      <c r="D307" t="s">
        <v>21</v>
      </c>
      <c r="E307" s="29">
        <v>46205</v>
      </c>
      <c r="F307" t="s">
        <v>4</v>
      </c>
      <c r="G307" s="28">
        <v>0.62916666666666665</v>
      </c>
      <c r="H307" s="28">
        <v>0.62916666666666665</v>
      </c>
      <c r="I307">
        <v>0</v>
      </c>
      <c r="J307" t="s">
        <v>174</v>
      </c>
      <c r="K307">
        <v>0</v>
      </c>
      <c r="L307" t="s">
        <v>1037</v>
      </c>
      <c r="M307" t="s">
        <v>1177</v>
      </c>
      <c r="N307" t="s">
        <v>1178</v>
      </c>
      <c r="O307" t="s">
        <v>1179</v>
      </c>
      <c r="P307" t="s">
        <v>1180</v>
      </c>
    </row>
    <row r="308" spans="1:16" x14ac:dyDescent="0.35">
      <c r="A308" t="s">
        <v>118</v>
      </c>
      <c r="B308">
        <v>1700702275</v>
      </c>
      <c r="C308" t="s">
        <v>18</v>
      </c>
      <c r="D308" t="s">
        <v>21</v>
      </c>
      <c r="E308" s="29">
        <v>46205</v>
      </c>
      <c r="F308" t="s">
        <v>4</v>
      </c>
      <c r="G308" s="28">
        <v>0.63611111111111107</v>
      </c>
      <c r="H308" s="28">
        <v>0.63611111111111107</v>
      </c>
      <c r="I308">
        <v>0</v>
      </c>
      <c r="J308" t="s">
        <v>174</v>
      </c>
      <c r="K308">
        <v>0</v>
      </c>
      <c r="L308" t="s">
        <v>1176</v>
      </c>
      <c r="M308" t="s">
        <v>1165</v>
      </c>
      <c r="N308" t="s">
        <v>1166</v>
      </c>
      <c r="O308" t="s">
        <v>1167</v>
      </c>
      <c r="P308" t="s">
        <v>1168</v>
      </c>
    </row>
    <row r="309" spans="1:16" x14ac:dyDescent="0.35">
      <c r="A309" t="s">
        <v>118</v>
      </c>
      <c r="B309">
        <v>1700702275</v>
      </c>
      <c r="C309" t="s">
        <v>18</v>
      </c>
      <c r="D309" t="s">
        <v>21</v>
      </c>
      <c r="E309" s="29">
        <v>46205</v>
      </c>
      <c r="F309" t="s">
        <v>4</v>
      </c>
      <c r="G309" s="28">
        <v>0.6430555555555556</v>
      </c>
      <c r="H309" s="28">
        <v>0.6430555555555556</v>
      </c>
      <c r="I309">
        <v>0</v>
      </c>
      <c r="J309" t="s">
        <v>174</v>
      </c>
      <c r="K309">
        <v>0</v>
      </c>
      <c r="L309" t="s">
        <v>262</v>
      </c>
      <c r="M309" t="s">
        <v>237</v>
      </c>
      <c r="N309" t="s">
        <v>238</v>
      </c>
      <c r="O309" t="s">
        <v>239</v>
      </c>
      <c r="P309" t="s">
        <v>244</v>
      </c>
    </row>
    <row r="310" spans="1:16" x14ac:dyDescent="0.35">
      <c r="A310" t="s">
        <v>118</v>
      </c>
      <c r="B310">
        <v>1700702275</v>
      </c>
      <c r="C310" t="s">
        <v>18</v>
      </c>
      <c r="D310" t="s">
        <v>21</v>
      </c>
      <c r="E310" s="29">
        <v>46205</v>
      </c>
      <c r="F310" t="s">
        <v>4</v>
      </c>
      <c r="G310" s="28">
        <v>0.65069444444444446</v>
      </c>
      <c r="H310" s="28">
        <v>0.65069444444444446</v>
      </c>
      <c r="I310">
        <v>0</v>
      </c>
      <c r="J310" t="s">
        <v>174</v>
      </c>
      <c r="K310">
        <v>0</v>
      </c>
      <c r="L310" t="s">
        <v>1181</v>
      </c>
      <c r="M310" t="s">
        <v>241</v>
      </c>
      <c r="N310" t="s">
        <v>242</v>
      </c>
      <c r="O310" t="s">
        <v>243</v>
      </c>
      <c r="P310" t="s">
        <v>1182</v>
      </c>
    </row>
    <row r="311" spans="1:16" x14ac:dyDescent="0.35">
      <c r="A311" t="s">
        <v>118</v>
      </c>
      <c r="B311">
        <v>1700702275</v>
      </c>
      <c r="C311" t="s">
        <v>18</v>
      </c>
      <c r="D311" t="s">
        <v>21</v>
      </c>
      <c r="E311" s="29">
        <v>46205</v>
      </c>
      <c r="F311" t="s">
        <v>4</v>
      </c>
      <c r="G311" s="28">
        <v>0.65694444444444444</v>
      </c>
      <c r="H311" s="28">
        <v>0.65694444444444444</v>
      </c>
      <c r="I311">
        <v>0</v>
      </c>
      <c r="J311" t="s">
        <v>174</v>
      </c>
      <c r="K311">
        <v>0</v>
      </c>
      <c r="L311" t="s">
        <v>1183</v>
      </c>
      <c r="M311" t="s">
        <v>1184</v>
      </c>
      <c r="N311" t="s">
        <v>1185</v>
      </c>
      <c r="O311" t="s">
        <v>1186</v>
      </c>
      <c r="P311" t="s">
        <v>1187</v>
      </c>
    </row>
    <row r="312" spans="1:16" x14ac:dyDescent="0.35">
      <c r="A312" t="s">
        <v>118</v>
      </c>
      <c r="B312">
        <v>1700702275</v>
      </c>
      <c r="C312" t="s">
        <v>18</v>
      </c>
      <c r="D312" t="s">
        <v>21</v>
      </c>
      <c r="E312" s="29">
        <v>46205</v>
      </c>
      <c r="F312" t="s">
        <v>4</v>
      </c>
      <c r="G312" s="28">
        <v>0.66388888888888886</v>
      </c>
      <c r="H312" s="28">
        <v>0.66388888888888886</v>
      </c>
      <c r="I312">
        <v>0</v>
      </c>
      <c r="J312" t="s">
        <v>174</v>
      </c>
      <c r="K312">
        <v>0</v>
      </c>
      <c r="L312" t="s">
        <v>595</v>
      </c>
      <c r="M312" t="s">
        <v>1099</v>
      </c>
      <c r="N312" t="s">
        <v>1100</v>
      </c>
      <c r="O312" t="s">
        <v>1101</v>
      </c>
      <c r="P312" t="s">
        <v>1102</v>
      </c>
    </row>
    <row r="313" spans="1:16" x14ac:dyDescent="0.35">
      <c r="A313" t="s">
        <v>118</v>
      </c>
      <c r="B313">
        <v>1700702275</v>
      </c>
      <c r="C313" t="s">
        <v>18</v>
      </c>
      <c r="D313" t="s">
        <v>21</v>
      </c>
      <c r="E313" s="29">
        <v>46205</v>
      </c>
      <c r="F313" t="s">
        <v>4</v>
      </c>
      <c r="G313" s="28">
        <v>0.67083333333333328</v>
      </c>
      <c r="H313" s="28">
        <v>0.67083333333333328</v>
      </c>
      <c r="I313">
        <v>0</v>
      </c>
      <c r="J313" t="s">
        <v>174</v>
      </c>
      <c r="K313">
        <v>0</v>
      </c>
      <c r="L313" t="s">
        <v>1188</v>
      </c>
      <c r="M313" t="s">
        <v>1189</v>
      </c>
      <c r="N313" t="s">
        <v>1190</v>
      </c>
      <c r="O313" t="s">
        <v>1191</v>
      </c>
      <c r="P313" t="s">
        <v>1192</v>
      </c>
    </row>
    <row r="314" spans="1:16" x14ac:dyDescent="0.35">
      <c r="A314" t="s">
        <v>118</v>
      </c>
      <c r="B314">
        <v>1700702275</v>
      </c>
      <c r="C314" t="s">
        <v>18</v>
      </c>
      <c r="D314" t="s">
        <v>21</v>
      </c>
      <c r="E314" s="29">
        <v>46205</v>
      </c>
      <c r="F314" t="s">
        <v>4</v>
      </c>
      <c r="G314" s="28">
        <v>0.67777777777777781</v>
      </c>
      <c r="H314" s="28">
        <v>0.67777777777777781</v>
      </c>
      <c r="I314">
        <v>0</v>
      </c>
      <c r="J314" t="s">
        <v>174</v>
      </c>
      <c r="K314">
        <v>0</v>
      </c>
      <c r="L314" t="s">
        <v>1193</v>
      </c>
      <c r="M314" t="s">
        <v>191</v>
      </c>
      <c r="N314" t="s">
        <v>192</v>
      </c>
      <c r="O314" t="s">
        <v>193</v>
      </c>
      <c r="P314" t="s">
        <v>1194</v>
      </c>
    </row>
    <row r="315" spans="1:16" x14ac:dyDescent="0.35">
      <c r="A315" t="s">
        <v>118</v>
      </c>
      <c r="B315">
        <v>1700702275</v>
      </c>
      <c r="C315" t="s">
        <v>18</v>
      </c>
      <c r="D315" t="s">
        <v>21</v>
      </c>
      <c r="E315" s="29">
        <v>46205</v>
      </c>
      <c r="F315" t="s">
        <v>4</v>
      </c>
      <c r="G315" s="28">
        <v>0.68472222222222223</v>
      </c>
      <c r="H315" s="28">
        <v>0.68472222222222223</v>
      </c>
      <c r="I315">
        <v>0</v>
      </c>
      <c r="J315" t="s">
        <v>174</v>
      </c>
      <c r="K315">
        <v>0</v>
      </c>
      <c r="L315" t="s">
        <v>1195</v>
      </c>
      <c r="M315" t="s">
        <v>1131</v>
      </c>
      <c r="N315" t="s">
        <v>1132</v>
      </c>
      <c r="O315" t="s">
        <v>1133</v>
      </c>
      <c r="P315" t="s">
        <v>1134</v>
      </c>
    </row>
    <row r="316" spans="1:16" x14ac:dyDescent="0.35">
      <c r="A316" t="s">
        <v>118</v>
      </c>
      <c r="B316">
        <v>1700702275</v>
      </c>
      <c r="C316" t="s">
        <v>18</v>
      </c>
      <c r="D316" t="s">
        <v>21</v>
      </c>
      <c r="E316" s="29">
        <v>46205</v>
      </c>
      <c r="F316" t="s">
        <v>4</v>
      </c>
      <c r="G316" s="28">
        <v>0.69166666666666665</v>
      </c>
      <c r="H316" s="28">
        <v>0.69166666666666665</v>
      </c>
      <c r="I316">
        <v>0</v>
      </c>
      <c r="J316" t="s">
        <v>174</v>
      </c>
      <c r="K316">
        <v>0</v>
      </c>
      <c r="L316" t="s">
        <v>1195</v>
      </c>
      <c r="M316" t="s">
        <v>1189</v>
      </c>
      <c r="N316" t="s">
        <v>1190</v>
      </c>
      <c r="O316" t="s">
        <v>1191</v>
      </c>
      <c r="P316" t="s">
        <v>1192</v>
      </c>
    </row>
    <row r="317" spans="1:16" x14ac:dyDescent="0.35">
      <c r="A317" t="s">
        <v>118</v>
      </c>
      <c r="B317">
        <v>1700702275</v>
      </c>
      <c r="C317" t="s">
        <v>18</v>
      </c>
      <c r="D317" t="s">
        <v>21</v>
      </c>
      <c r="E317" s="29">
        <v>46205</v>
      </c>
      <c r="F317" t="s">
        <v>4</v>
      </c>
      <c r="G317" s="28">
        <v>0.69861111111111107</v>
      </c>
      <c r="H317" s="28">
        <v>0.7055555555555556</v>
      </c>
      <c r="I317">
        <v>0</v>
      </c>
      <c r="J317" t="s">
        <v>146</v>
      </c>
      <c r="K317">
        <v>1</v>
      </c>
      <c r="L317" t="s">
        <v>147</v>
      </c>
      <c r="M317" t="s">
        <v>1131</v>
      </c>
      <c r="N317" t="s">
        <v>1132</v>
      </c>
      <c r="O317" t="s">
        <v>1133</v>
      </c>
      <c r="P317" t="s">
        <v>1134</v>
      </c>
    </row>
    <row r="318" spans="1:16" x14ac:dyDescent="0.35">
      <c r="A318" t="s">
        <v>118</v>
      </c>
      <c r="B318">
        <v>1700702275</v>
      </c>
      <c r="C318" t="s">
        <v>18</v>
      </c>
      <c r="D318" t="s">
        <v>21</v>
      </c>
      <c r="E318" s="29">
        <v>46205</v>
      </c>
      <c r="F318" t="s">
        <v>4</v>
      </c>
      <c r="G318" s="28">
        <v>0.71250000000000002</v>
      </c>
      <c r="H318" s="28">
        <v>0.71250000000000002</v>
      </c>
      <c r="I318">
        <v>0</v>
      </c>
      <c r="J318" t="s">
        <v>174</v>
      </c>
      <c r="K318">
        <v>0</v>
      </c>
      <c r="L318" t="s">
        <v>293</v>
      </c>
      <c r="M318" t="s">
        <v>1189</v>
      </c>
      <c r="N318" t="s">
        <v>1190</v>
      </c>
      <c r="O318" t="s">
        <v>1191</v>
      </c>
      <c r="P318" t="s">
        <v>1192</v>
      </c>
    </row>
    <row r="319" spans="1:16" x14ac:dyDescent="0.35">
      <c r="A319" t="s">
        <v>118</v>
      </c>
      <c r="B319">
        <v>1700702275</v>
      </c>
      <c r="C319" t="s">
        <v>18</v>
      </c>
      <c r="D319" t="s">
        <v>21</v>
      </c>
      <c r="E319" s="29">
        <v>46205</v>
      </c>
      <c r="F319" t="s">
        <v>4</v>
      </c>
      <c r="G319" s="28">
        <v>0.71944444444444444</v>
      </c>
      <c r="H319" s="28">
        <v>0.71944444444444444</v>
      </c>
      <c r="I319">
        <v>0</v>
      </c>
      <c r="J319" t="s">
        <v>174</v>
      </c>
      <c r="K319">
        <v>0</v>
      </c>
      <c r="L319" t="s">
        <v>1196</v>
      </c>
      <c r="M319" t="s">
        <v>1197</v>
      </c>
      <c r="N319" t="s">
        <v>1198</v>
      </c>
      <c r="O319" t="s">
        <v>1199</v>
      </c>
      <c r="P319" t="s">
        <v>1200</v>
      </c>
    </row>
    <row r="320" spans="1:16" x14ac:dyDescent="0.35">
      <c r="A320" t="s">
        <v>118</v>
      </c>
      <c r="B320">
        <v>1700702275</v>
      </c>
      <c r="C320" t="s">
        <v>18</v>
      </c>
      <c r="D320" t="s">
        <v>21</v>
      </c>
      <c r="E320" s="29">
        <v>46205</v>
      </c>
      <c r="F320" t="s">
        <v>4</v>
      </c>
      <c r="G320" s="28">
        <v>0.72638888888888886</v>
      </c>
      <c r="H320" s="28">
        <v>0.72638888888888886</v>
      </c>
      <c r="I320">
        <v>0</v>
      </c>
      <c r="J320" t="s">
        <v>174</v>
      </c>
      <c r="K320">
        <v>0</v>
      </c>
      <c r="L320" t="s">
        <v>1196</v>
      </c>
      <c r="M320" t="s">
        <v>1131</v>
      </c>
      <c r="N320" t="s">
        <v>1132</v>
      </c>
      <c r="O320" t="s">
        <v>1133</v>
      </c>
      <c r="P320" t="s">
        <v>1134</v>
      </c>
    </row>
    <row r="321" spans="1:16" x14ac:dyDescent="0.35">
      <c r="A321" t="s">
        <v>118</v>
      </c>
      <c r="B321">
        <v>1700702275</v>
      </c>
      <c r="C321" t="s">
        <v>18</v>
      </c>
      <c r="D321" t="s">
        <v>21</v>
      </c>
      <c r="E321" s="29">
        <v>46205</v>
      </c>
      <c r="F321" t="s">
        <v>4</v>
      </c>
      <c r="G321" s="28">
        <v>0.73333333333333328</v>
      </c>
      <c r="H321" s="28">
        <v>0.73333333333333328</v>
      </c>
      <c r="I321">
        <v>0</v>
      </c>
      <c r="J321" t="s">
        <v>174</v>
      </c>
      <c r="K321">
        <v>0</v>
      </c>
      <c r="L321" t="s">
        <v>293</v>
      </c>
      <c r="M321" t="s">
        <v>1197</v>
      </c>
      <c r="N321" t="s">
        <v>1198</v>
      </c>
      <c r="O321" t="s">
        <v>1199</v>
      </c>
      <c r="P321" t="s">
        <v>1200</v>
      </c>
    </row>
    <row r="322" spans="1:16" x14ac:dyDescent="0.35">
      <c r="A322" t="s">
        <v>118</v>
      </c>
      <c r="B322">
        <v>1700702275</v>
      </c>
      <c r="C322" t="s">
        <v>18</v>
      </c>
      <c r="D322" t="s">
        <v>21</v>
      </c>
      <c r="E322" s="29">
        <v>46205</v>
      </c>
      <c r="F322" t="s">
        <v>4</v>
      </c>
      <c r="G322" s="28">
        <v>0.74027777777777781</v>
      </c>
      <c r="H322" s="28">
        <v>0.74027777777777781</v>
      </c>
      <c r="I322">
        <v>0</v>
      </c>
      <c r="J322" t="s">
        <v>174</v>
      </c>
      <c r="K322">
        <v>0</v>
      </c>
      <c r="L322" t="s">
        <v>1201</v>
      </c>
      <c r="M322" t="s">
        <v>1189</v>
      </c>
      <c r="N322" t="s">
        <v>1190</v>
      </c>
      <c r="O322" t="s">
        <v>1191</v>
      </c>
      <c r="P322" t="s">
        <v>1192</v>
      </c>
    </row>
    <row r="323" spans="1:16" x14ac:dyDescent="0.35">
      <c r="A323" t="s">
        <v>118</v>
      </c>
      <c r="B323">
        <v>1700702275</v>
      </c>
      <c r="C323" t="s">
        <v>18</v>
      </c>
      <c r="D323" t="s">
        <v>21</v>
      </c>
      <c r="E323" s="29">
        <v>46205</v>
      </c>
      <c r="F323" t="s">
        <v>4</v>
      </c>
      <c r="G323" s="28">
        <v>0.74722222222222223</v>
      </c>
      <c r="H323" s="28">
        <v>0.76111111111111107</v>
      </c>
      <c r="I323">
        <v>0</v>
      </c>
      <c r="J323" t="s">
        <v>146</v>
      </c>
      <c r="K323">
        <v>1</v>
      </c>
      <c r="L323" t="s">
        <v>147</v>
      </c>
      <c r="M323" t="s">
        <v>1202</v>
      </c>
      <c r="N323" t="s">
        <v>1203</v>
      </c>
      <c r="O323" t="s">
        <v>1204</v>
      </c>
      <c r="P323" t="s">
        <v>1098</v>
      </c>
    </row>
    <row r="324" spans="1:16" x14ac:dyDescent="0.35">
      <c r="A324" t="s">
        <v>118</v>
      </c>
      <c r="B324">
        <v>1700702275</v>
      </c>
      <c r="C324" t="s">
        <v>18</v>
      </c>
      <c r="D324" t="s">
        <v>21</v>
      </c>
      <c r="E324" s="29">
        <v>46205</v>
      </c>
      <c r="F324" t="s">
        <v>4</v>
      </c>
      <c r="G324" s="28">
        <v>0.7680555555555556</v>
      </c>
      <c r="H324" s="28">
        <v>0.7680555555555556</v>
      </c>
      <c r="I324">
        <v>0</v>
      </c>
      <c r="J324" t="s">
        <v>174</v>
      </c>
      <c r="K324">
        <v>0</v>
      </c>
      <c r="L324" t="s">
        <v>1205</v>
      </c>
      <c r="M324" t="s">
        <v>1206</v>
      </c>
      <c r="N324" t="s">
        <v>1207</v>
      </c>
      <c r="O324" t="s">
        <v>1208</v>
      </c>
      <c r="P324" t="s">
        <v>1209</v>
      </c>
    </row>
    <row r="325" spans="1:16" x14ac:dyDescent="0.35">
      <c r="A325" t="s">
        <v>118</v>
      </c>
      <c r="B325">
        <v>1700702275</v>
      </c>
      <c r="C325" t="s">
        <v>18</v>
      </c>
      <c r="D325" t="s">
        <v>21</v>
      </c>
      <c r="E325" s="29">
        <v>46205</v>
      </c>
      <c r="F325" t="s">
        <v>4</v>
      </c>
      <c r="G325" s="28">
        <v>0.77500000000000002</v>
      </c>
      <c r="H325" s="28">
        <v>0.77500000000000002</v>
      </c>
      <c r="I325">
        <v>0</v>
      </c>
      <c r="J325" t="s">
        <v>174</v>
      </c>
      <c r="K325">
        <v>0</v>
      </c>
      <c r="L325" t="s">
        <v>1210</v>
      </c>
      <c r="M325" t="s">
        <v>1131</v>
      </c>
      <c r="N325" t="s">
        <v>1132</v>
      </c>
      <c r="O325" t="s">
        <v>1133</v>
      </c>
      <c r="P325" t="s">
        <v>1134</v>
      </c>
    </row>
    <row r="326" spans="1:16" x14ac:dyDescent="0.35">
      <c r="A326" t="s">
        <v>118</v>
      </c>
      <c r="B326">
        <v>1700702275</v>
      </c>
      <c r="C326" t="s">
        <v>18</v>
      </c>
      <c r="D326" t="s">
        <v>21</v>
      </c>
      <c r="E326" s="29">
        <v>46205</v>
      </c>
      <c r="F326" t="s">
        <v>4</v>
      </c>
      <c r="G326" s="28">
        <v>0.78194444444444444</v>
      </c>
      <c r="H326" s="28">
        <v>0.79652777777777772</v>
      </c>
      <c r="I326">
        <v>0</v>
      </c>
      <c r="J326" t="s">
        <v>146</v>
      </c>
      <c r="K326">
        <v>1</v>
      </c>
      <c r="L326" t="s">
        <v>147</v>
      </c>
      <c r="M326" t="s">
        <v>1095</v>
      </c>
      <c r="N326" t="s">
        <v>1096</v>
      </c>
      <c r="O326" t="s">
        <v>1097</v>
      </c>
      <c r="P326" t="s">
        <v>1098</v>
      </c>
    </row>
    <row r="327" spans="1:16" x14ac:dyDescent="0.35">
      <c r="A327" t="s">
        <v>118</v>
      </c>
      <c r="B327">
        <v>1700702275</v>
      </c>
      <c r="C327" t="s">
        <v>18</v>
      </c>
      <c r="D327" t="s">
        <v>21</v>
      </c>
      <c r="E327" s="29">
        <v>46207</v>
      </c>
      <c r="F327" t="s">
        <v>5</v>
      </c>
      <c r="G327" s="28">
        <v>0.37916666666666665</v>
      </c>
      <c r="H327" s="28">
        <v>0.37916666666666665</v>
      </c>
      <c r="I327">
        <v>0</v>
      </c>
      <c r="J327" t="s">
        <v>174</v>
      </c>
      <c r="K327">
        <v>0</v>
      </c>
      <c r="L327" t="s">
        <v>1211</v>
      </c>
      <c r="M327" t="s">
        <v>1212</v>
      </c>
      <c r="N327" t="s">
        <v>1213</v>
      </c>
      <c r="O327" t="s">
        <v>1214</v>
      </c>
      <c r="P327" t="s">
        <v>1215</v>
      </c>
    </row>
    <row r="328" spans="1:16" x14ac:dyDescent="0.35">
      <c r="A328" t="s">
        <v>118</v>
      </c>
      <c r="B328">
        <v>1700702275</v>
      </c>
      <c r="C328" t="s">
        <v>18</v>
      </c>
      <c r="D328" t="s">
        <v>21</v>
      </c>
      <c r="E328" s="29">
        <v>46207</v>
      </c>
      <c r="F328" t="s">
        <v>5</v>
      </c>
      <c r="G328" s="28">
        <v>0.38611111111111113</v>
      </c>
      <c r="H328" s="28">
        <v>0.38611111111111113</v>
      </c>
      <c r="I328">
        <v>0</v>
      </c>
      <c r="J328" t="s">
        <v>174</v>
      </c>
      <c r="K328">
        <v>0</v>
      </c>
      <c r="L328" t="s">
        <v>903</v>
      </c>
      <c r="M328" t="s">
        <v>1216</v>
      </c>
      <c r="N328" t="s">
        <v>1217</v>
      </c>
      <c r="O328" t="s">
        <v>1218</v>
      </c>
      <c r="P328" t="s">
        <v>1219</v>
      </c>
    </row>
    <row r="329" spans="1:16" x14ac:dyDescent="0.35">
      <c r="A329" t="s">
        <v>118</v>
      </c>
      <c r="B329">
        <v>1700702275</v>
      </c>
      <c r="C329" t="s">
        <v>18</v>
      </c>
      <c r="D329" t="s">
        <v>21</v>
      </c>
      <c r="E329" s="29">
        <v>46207</v>
      </c>
      <c r="F329" t="s">
        <v>5</v>
      </c>
      <c r="G329" s="28">
        <v>0.39305555555555555</v>
      </c>
      <c r="H329" s="28">
        <v>0.4</v>
      </c>
      <c r="I329">
        <v>0</v>
      </c>
      <c r="J329" t="s">
        <v>146</v>
      </c>
      <c r="K329">
        <v>1</v>
      </c>
      <c r="L329" t="s">
        <v>147</v>
      </c>
      <c r="M329" t="s">
        <v>1220</v>
      </c>
      <c r="N329" t="s">
        <v>1221</v>
      </c>
      <c r="O329" t="s">
        <v>1222</v>
      </c>
      <c r="P329" t="s">
        <v>1223</v>
      </c>
    </row>
    <row r="330" spans="1:16" x14ac:dyDescent="0.35">
      <c r="A330" t="s">
        <v>118</v>
      </c>
      <c r="B330">
        <v>1700702275</v>
      </c>
      <c r="C330" t="s">
        <v>18</v>
      </c>
      <c r="D330" t="s">
        <v>21</v>
      </c>
      <c r="E330" s="29">
        <v>46207</v>
      </c>
      <c r="F330" t="s">
        <v>5</v>
      </c>
      <c r="G330" s="28">
        <v>0.40694444444444444</v>
      </c>
      <c r="H330" s="28">
        <v>0.40694444444444444</v>
      </c>
      <c r="I330">
        <v>0</v>
      </c>
      <c r="J330" t="s">
        <v>174</v>
      </c>
      <c r="K330">
        <v>0</v>
      </c>
      <c r="L330" t="s">
        <v>1017</v>
      </c>
      <c r="M330" t="s">
        <v>1224</v>
      </c>
      <c r="N330" t="s">
        <v>1225</v>
      </c>
      <c r="O330" t="s">
        <v>1226</v>
      </c>
      <c r="P330" t="s">
        <v>1227</v>
      </c>
    </row>
    <row r="331" spans="1:16" x14ac:dyDescent="0.35">
      <c r="A331" t="s">
        <v>118</v>
      </c>
      <c r="B331">
        <v>1700702275</v>
      </c>
      <c r="C331" t="s">
        <v>18</v>
      </c>
      <c r="D331" t="s">
        <v>21</v>
      </c>
      <c r="E331" s="29">
        <v>46207</v>
      </c>
      <c r="F331" t="s">
        <v>5</v>
      </c>
      <c r="G331" s="28">
        <v>0.41388888888888886</v>
      </c>
      <c r="H331" s="28">
        <v>0.43472222222222223</v>
      </c>
      <c r="I331">
        <v>1</v>
      </c>
      <c r="J331" t="s">
        <v>146</v>
      </c>
      <c r="K331">
        <v>2</v>
      </c>
      <c r="L331" t="s">
        <v>147</v>
      </c>
      <c r="M331" t="s">
        <v>1228</v>
      </c>
      <c r="N331" t="s">
        <v>1229</v>
      </c>
      <c r="O331" t="s">
        <v>1230</v>
      </c>
      <c r="P331" t="s">
        <v>1231</v>
      </c>
    </row>
    <row r="332" spans="1:16" x14ac:dyDescent="0.35">
      <c r="A332" t="s">
        <v>118</v>
      </c>
      <c r="B332">
        <v>1700702275</v>
      </c>
      <c r="C332" t="s">
        <v>18</v>
      </c>
      <c r="D332" t="s">
        <v>21</v>
      </c>
      <c r="E332" s="29">
        <v>46207</v>
      </c>
      <c r="F332" t="s">
        <v>5</v>
      </c>
      <c r="G332" s="28">
        <v>0.44166666666666665</v>
      </c>
      <c r="H332" s="28">
        <v>0.44166666666666665</v>
      </c>
      <c r="I332">
        <v>0</v>
      </c>
      <c r="J332" t="s">
        <v>174</v>
      </c>
      <c r="K332">
        <v>0</v>
      </c>
      <c r="L332" t="s">
        <v>657</v>
      </c>
      <c r="M332" t="s">
        <v>1232</v>
      </c>
      <c r="N332" t="s">
        <v>1233</v>
      </c>
      <c r="O332" t="s">
        <v>1234</v>
      </c>
      <c r="P332" t="s">
        <v>1235</v>
      </c>
    </row>
    <row r="333" spans="1:16" x14ac:dyDescent="0.35">
      <c r="A333" t="s">
        <v>118</v>
      </c>
      <c r="B333">
        <v>1700702275</v>
      </c>
      <c r="C333" t="s">
        <v>18</v>
      </c>
      <c r="D333" t="s">
        <v>21</v>
      </c>
      <c r="E333" s="29">
        <v>46207</v>
      </c>
      <c r="F333" t="s">
        <v>5</v>
      </c>
      <c r="G333" s="28">
        <v>0.44861111111111113</v>
      </c>
      <c r="H333" s="28">
        <v>0.46944444444444444</v>
      </c>
      <c r="I333">
        <v>0</v>
      </c>
      <c r="J333" t="s">
        <v>146</v>
      </c>
      <c r="K333">
        <v>2</v>
      </c>
      <c r="L333" t="s">
        <v>147</v>
      </c>
      <c r="M333" t="s">
        <v>1228</v>
      </c>
      <c r="N333" t="s">
        <v>1229</v>
      </c>
      <c r="O333" t="s">
        <v>1230</v>
      </c>
      <c r="P333" t="s">
        <v>1231</v>
      </c>
    </row>
    <row r="334" spans="1:16" x14ac:dyDescent="0.35">
      <c r="A334" t="s">
        <v>118</v>
      </c>
      <c r="B334">
        <v>1700702275</v>
      </c>
      <c r="C334" t="s">
        <v>18</v>
      </c>
      <c r="D334" t="s">
        <v>21</v>
      </c>
      <c r="E334" s="29">
        <v>46207</v>
      </c>
      <c r="F334" t="s">
        <v>5</v>
      </c>
      <c r="G334" s="28">
        <v>0.47638888888888886</v>
      </c>
      <c r="H334" s="28">
        <v>0.57361111111111107</v>
      </c>
      <c r="I334">
        <v>2</v>
      </c>
      <c r="J334" t="s">
        <v>146</v>
      </c>
      <c r="K334">
        <v>7</v>
      </c>
      <c r="L334" t="s">
        <v>147</v>
      </c>
      <c r="M334" t="s">
        <v>1232</v>
      </c>
      <c r="N334" t="s">
        <v>1233</v>
      </c>
      <c r="O334" t="s">
        <v>1234</v>
      </c>
      <c r="P334" t="s">
        <v>1235</v>
      </c>
    </row>
    <row r="335" spans="1:16" x14ac:dyDescent="0.35">
      <c r="A335" t="s">
        <v>118</v>
      </c>
      <c r="B335">
        <v>1700702275</v>
      </c>
      <c r="C335" t="s">
        <v>18</v>
      </c>
      <c r="D335" t="s">
        <v>21</v>
      </c>
      <c r="E335" s="29">
        <v>46207</v>
      </c>
      <c r="F335" t="s">
        <v>5</v>
      </c>
      <c r="G335" s="28">
        <v>0.5805555555555556</v>
      </c>
      <c r="H335" s="28">
        <v>0.5805555555555556</v>
      </c>
      <c r="I335">
        <v>0</v>
      </c>
      <c r="J335" t="s">
        <v>174</v>
      </c>
      <c r="K335">
        <v>0</v>
      </c>
      <c r="L335" t="s">
        <v>1236</v>
      </c>
      <c r="M335" t="s">
        <v>1237</v>
      </c>
      <c r="N335" t="s">
        <v>1238</v>
      </c>
      <c r="O335" t="s">
        <v>1239</v>
      </c>
      <c r="P335" t="s">
        <v>1240</v>
      </c>
    </row>
    <row r="336" spans="1:16" x14ac:dyDescent="0.35">
      <c r="A336" t="s">
        <v>118</v>
      </c>
      <c r="B336">
        <v>1700702275</v>
      </c>
      <c r="C336" t="s">
        <v>18</v>
      </c>
      <c r="D336" t="s">
        <v>21</v>
      </c>
      <c r="E336" s="29">
        <v>46207</v>
      </c>
      <c r="F336" t="s">
        <v>5</v>
      </c>
      <c r="G336" s="28">
        <v>0.58750000000000002</v>
      </c>
      <c r="H336" s="28">
        <v>0.59444444444444444</v>
      </c>
      <c r="I336">
        <v>0</v>
      </c>
      <c r="J336" t="s">
        <v>146</v>
      </c>
      <c r="K336">
        <v>0</v>
      </c>
      <c r="L336" t="s">
        <v>147</v>
      </c>
      <c r="M336" t="s">
        <v>1241</v>
      </c>
      <c r="N336" t="s">
        <v>1242</v>
      </c>
      <c r="O336" t="s">
        <v>1243</v>
      </c>
      <c r="P336" t="s">
        <v>1244</v>
      </c>
    </row>
    <row r="337" spans="1:16" x14ac:dyDescent="0.35">
      <c r="A337" t="s">
        <v>118</v>
      </c>
      <c r="B337">
        <v>1700702275</v>
      </c>
      <c r="C337" t="s">
        <v>18</v>
      </c>
      <c r="D337" t="s">
        <v>21</v>
      </c>
      <c r="E337" s="29">
        <v>46207</v>
      </c>
      <c r="F337" t="s">
        <v>5</v>
      </c>
      <c r="G337" s="28">
        <v>0.60138888888888886</v>
      </c>
      <c r="H337" s="28">
        <v>0.60138888888888886</v>
      </c>
      <c r="I337">
        <v>0</v>
      </c>
      <c r="J337" t="s">
        <v>174</v>
      </c>
      <c r="K337">
        <v>0</v>
      </c>
      <c r="L337" t="s">
        <v>1022</v>
      </c>
      <c r="M337" t="s">
        <v>1245</v>
      </c>
      <c r="N337" t="s">
        <v>1246</v>
      </c>
      <c r="O337" t="s">
        <v>1247</v>
      </c>
      <c r="P337" t="s">
        <v>1248</v>
      </c>
    </row>
    <row r="338" spans="1:16" x14ac:dyDescent="0.35">
      <c r="A338" t="s">
        <v>118</v>
      </c>
      <c r="B338">
        <v>1700702275</v>
      </c>
      <c r="C338" t="s">
        <v>18</v>
      </c>
      <c r="D338" t="s">
        <v>21</v>
      </c>
      <c r="E338" s="29">
        <v>46207</v>
      </c>
      <c r="F338" t="s">
        <v>5</v>
      </c>
      <c r="G338" s="28">
        <v>0.60833333333333328</v>
      </c>
      <c r="H338" s="28">
        <v>0.60833333333333328</v>
      </c>
      <c r="I338">
        <v>0</v>
      </c>
      <c r="J338" t="s">
        <v>174</v>
      </c>
      <c r="K338">
        <v>0</v>
      </c>
      <c r="L338" t="s">
        <v>213</v>
      </c>
      <c r="M338" t="s">
        <v>1228</v>
      </c>
      <c r="N338" t="s">
        <v>1229</v>
      </c>
      <c r="O338" t="s">
        <v>1230</v>
      </c>
      <c r="P338" t="s">
        <v>1231</v>
      </c>
    </row>
    <row r="339" spans="1:16" x14ac:dyDescent="0.35">
      <c r="A339" t="s">
        <v>118</v>
      </c>
      <c r="B339">
        <v>1700702275</v>
      </c>
      <c r="C339" t="s">
        <v>18</v>
      </c>
      <c r="D339" t="s">
        <v>21</v>
      </c>
      <c r="E339" s="29">
        <v>46207</v>
      </c>
      <c r="F339" t="s">
        <v>5</v>
      </c>
      <c r="G339" s="28">
        <v>0.61527777777777781</v>
      </c>
      <c r="H339" s="28">
        <v>0.65</v>
      </c>
      <c r="I339">
        <v>1</v>
      </c>
      <c r="J339" t="s">
        <v>146</v>
      </c>
      <c r="K339">
        <v>2</v>
      </c>
      <c r="L339" t="s">
        <v>147</v>
      </c>
      <c r="M339" t="s">
        <v>1249</v>
      </c>
      <c r="N339" t="s">
        <v>1250</v>
      </c>
      <c r="O339" t="s">
        <v>1251</v>
      </c>
      <c r="P339" t="s">
        <v>1252</v>
      </c>
    </row>
    <row r="340" spans="1:16" x14ac:dyDescent="0.35">
      <c r="A340" t="s">
        <v>118</v>
      </c>
      <c r="B340">
        <v>1700702275</v>
      </c>
      <c r="C340" t="s">
        <v>18</v>
      </c>
      <c r="D340" t="s">
        <v>21</v>
      </c>
      <c r="E340" s="29">
        <v>46207</v>
      </c>
      <c r="F340" t="s">
        <v>5</v>
      </c>
      <c r="G340" s="28">
        <v>0.65694444444444444</v>
      </c>
      <c r="H340" s="28">
        <v>0.65694444444444444</v>
      </c>
      <c r="I340">
        <v>0</v>
      </c>
      <c r="J340" t="s">
        <v>174</v>
      </c>
      <c r="K340">
        <v>0</v>
      </c>
      <c r="L340" t="s">
        <v>212</v>
      </c>
      <c r="M340" t="s">
        <v>1253</v>
      </c>
      <c r="N340" t="s">
        <v>1254</v>
      </c>
      <c r="O340" t="s">
        <v>1255</v>
      </c>
      <c r="P340" t="s">
        <v>1256</v>
      </c>
    </row>
    <row r="341" spans="1:16" x14ac:dyDescent="0.35">
      <c r="A341" t="s">
        <v>118</v>
      </c>
      <c r="B341">
        <v>1700702275</v>
      </c>
      <c r="C341" t="s">
        <v>18</v>
      </c>
      <c r="D341" t="s">
        <v>21</v>
      </c>
      <c r="E341" s="29">
        <v>46207</v>
      </c>
      <c r="F341" t="s">
        <v>5</v>
      </c>
      <c r="G341" s="28">
        <v>0.66388888888888886</v>
      </c>
      <c r="H341" s="28">
        <v>0.67777777777777781</v>
      </c>
      <c r="I341">
        <v>0</v>
      </c>
      <c r="J341" t="s">
        <v>146</v>
      </c>
      <c r="K341">
        <v>1</v>
      </c>
      <c r="L341" t="s">
        <v>147</v>
      </c>
      <c r="M341" t="s">
        <v>1257</v>
      </c>
      <c r="N341" t="s">
        <v>1258</v>
      </c>
      <c r="O341" t="s">
        <v>1259</v>
      </c>
      <c r="P341" t="s">
        <v>1260</v>
      </c>
    </row>
    <row r="342" spans="1:16" x14ac:dyDescent="0.35">
      <c r="A342" t="s">
        <v>118</v>
      </c>
      <c r="B342">
        <v>1700702275</v>
      </c>
      <c r="C342" t="s">
        <v>18</v>
      </c>
      <c r="D342" t="s">
        <v>21</v>
      </c>
      <c r="E342" s="29">
        <v>46207</v>
      </c>
      <c r="F342" t="s">
        <v>5</v>
      </c>
      <c r="G342" s="28">
        <v>0.68472222222222223</v>
      </c>
      <c r="H342" s="28">
        <v>0.68472222222222223</v>
      </c>
      <c r="I342">
        <v>0</v>
      </c>
      <c r="J342" t="s">
        <v>174</v>
      </c>
      <c r="K342">
        <v>0</v>
      </c>
      <c r="L342" t="s">
        <v>1261</v>
      </c>
      <c r="M342" t="s">
        <v>1228</v>
      </c>
      <c r="N342" t="s">
        <v>1229</v>
      </c>
      <c r="O342" t="s">
        <v>1230</v>
      </c>
      <c r="P342" t="s">
        <v>1231</v>
      </c>
    </row>
    <row r="343" spans="1:16" x14ac:dyDescent="0.35">
      <c r="A343" t="s">
        <v>118</v>
      </c>
      <c r="B343">
        <v>1700702275</v>
      </c>
      <c r="C343" t="s">
        <v>18</v>
      </c>
      <c r="D343" t="s">
        <v>21</v>
      </c>
      <c r="E343" s="29">
        <v>46207</v>
      </c>
      <c r="F343" t="s">
        <v>5</v>
      </c>
      <c r="G343" s="28">
        <v>0.69166666666666665</v>
      </c>
      <c r="H343" s="28">
        <v>0.69166666666666665</v>
      </c>
      <c r="I343">
        <v>0</v>
      </c>
      <c r="J343" t="s">
        <v>174</v>
      </c>
      <c r="K343">
        <v>0</v>
      </c>
      <c r="L343" t="s">
        <v>614</v>
      </c>
      <c r="M343" t="s">
        <v>1262</v>
      </c>
      <c r="N343" t="s">
        <v>1263</v>
      </c>
      <c r="O343" t="s">
        <v>1264</v>
      </c>
      <c r="P343" t="s">
        <v>1265</v>
      </c>
    </row>
    <row r="344" spans="1:16" x14ac:dyDescent="0.35">
      <c r="A344" t="s">
        <v>118</v>
      </c>
      <c r="B344">
        <v>1700702275</v>
      </c>
      <c r="C344" t="s">
        <v>18</v>
      </c>
      <c r="D344" t="s">
        <v>21</v>
      </c>
      <c r="E344" s="29">
        <v>46207</v>
      </c>
      <c r="F344" t="s">
        <v>5</v>
      </c>
      <c r="G344" s="28">
        <v>0.69861111111111107</v>
      </c>
      <c r="H344" s="28">
        <v>0.69861111111111107</v>
      </c>
      <c r="I344">
        <v>0</v>
      </c>
      <c r="J344" t="s">
        <v>174</v>
      </c>
      <c r="K344">
        <v>0</v>
      </c>
      <c r="L344" t="s">
        <v>1266</v>
      </c>
      <c r="M344" t="s">
        <v>1267</v>
      </c>
      <c r="N344" t="s">
        <v>1268</v>
      </c>
      <c r="O344" t="s">
        <v>1269</v>
      </c>
      <c r="P344" t="s">
        <v>1270</v>
      </c>
    </row>
    <row r="345" spans="1:16" x14ac:dyDescent="0.35">
      <c r="A345" t="s">
        <v>118</v>
      </c>
      <c r="B345">
        <v>1700702275</v>
      </c>
      <c r="C345" t="s">
        <v>18</v>
      </c>
      <c r="D345" t="s">
        <v>21</v>
      </c>
      <c r="E345" s="29">
        <v>46207</v>
      </c>
      <c r="F345" t="s">
        <v>5</v>
      </c>
      <c r="G345" s="28">
        <v>0.7055555555555556</v>
      </c>
      <c r="H345" s="28">
        <v>0.7055555555555556</v>
      </c>
      <c r="I345">
        <v>0</v>
      </c>
      <c r="J345" t="s">
        <v>174</v>
      </c>
      <c r="K345">
        <v>0</v>
      </c>
      <c r="L345" t="s">
        <v>1271</v>
      </c>
      <c r="M345" t="s">
        <v>1272</v>
      </c>
      <c r="N345" t="s">
        <v>1273</v>
      </c>
      <c r="O345" t="s">
        <v>1274</v>
      </c>
      <c r="P345" t="s">
        <v>1275</v>
      </c>
    </row>
    <row r="346" spans="1:16" x14ac:dyDescent="0.35">
      <c r="A346" t="s">
        <v>118</v>
      </c>
      <c r="B346">
        <v>1700702275</v>
      </c>
      <c r="C346" t="s">
        <v>18</v>
      </c>
      <c r="D346" t="s">
        <v>21</v>
      </c>
      <c r="E346" s="29">
        <v>46207</v>
      </c>
      <c r="F346" t="s">
        <v>5</v>
      </c>
      <c r="G346" s="28">
        <v>0.71250000000000002</v>
      </c>
      <c r="H346" s="28">
        <v>0.72638888888888886</v>
      </c>
      <c r="I346">
        <v>0</v>
      </c>
      <c r="J346" t="s">
        <v>146</v>
      </c>
      <c r="K346">
        <v>1</v>
      </c>
      <c r="L346" t="s">
        <v>147</v>
      </c>
      <c r="M346" t="s">
        <v>1276</v>
      </c>
      <c r="N346" t="s">
        <v>1277</v>
      </c>
      <c r="O346" t="s">
        <v>1278</v>
      </c>
      <c r="P346" t="s">
        <v>1279</v>
      </c>
    </row>
    <row r="347" spans="1:16" x14ac:dyDescent="0.35">
      <c r="A347" t="s">
        <v>118</v>
      </c>
      <c r="B347">
        <v>1700702275</v>
      </c>
      <c r="C347" t="s">
        <v>18</v>
      </c>
      <c r="D347" t="s">
        <v>21</v>
      </c>
      <c r="E347" s="29">
        <v>46207</v>
      </c>
      <c r="F347" t="s">
        <v>5</v>
      </c>
      <c r="G347" s="28">
        <v>0.73333333333333328</v>
      </c>
      <c r="H347" s="28">
        <v>0.74027777777777781</v>
      </c>
      <c r="I347">
        <v>0</v>
      </c>
      <c r="J347" t="s">
        <v>146</v>
      </c>
      <c r="K347">
        <v>1</v>
      </c>
      <c r="L347" t="s">
        <v>147</v>
      </c>
      <c r="M347" t="s">
        <v>1280</v>
      </c>
      <c r="N347" t="s">
        <v>1281</v>
      </c>
      <c r="O347" t="s">
        <v>1282</v>
      </c>
      <c r="P347" t="s">
        <v>1283</v>
      </c>
    </row>
    <row r="348" spans="1:16" x14ac:dyDescent="0.35">
      <c r="A348" t="s">
        <v>118</v>
      </c>
      <c r="B348">
        <v>1700702275</v>
      </c>
      <c r="C348" t="s">
        <v>18</v>
      </c>
      <c r="D348" t="s">
        <v>21</v>
      </c>
      <c r="E348" s="29">
        <v>46207</v>
      </c>
      <c r="F348" t="s">
        <v>5</v>
      </c>
      <c r="G348" s="28">
        <v>0.74722222222222223</v>
      </c>
      <c r="H348" s="28">
        <v>0.74722222222222223</v>
      </c>
      <c r="I348">
        <v>0</v>
      </c>
      <c r="J348" t="s">
        <v>174</v>
      </c>
      <c r="K348">
        <v>0</v>
      </c>
      <c r="L348" t="s">
        <v>1284</v>
      </c>
      <c r="M348" t="s">
        <v>1285</v>
      </c>
      <c r="N348" t="s">
        <v>1286</v>
      </c>
      <c r="O348" t="s">
        <v>1287</v>
      </c>
      <c r="P348" t="s">
        <v>1288</v>
      </c>
    </row>
    <row r="349" spans="1:16" x14ac:dyDescent="0.35">
      <c r="A349" t="s">
        <v>118</v>
      </c>
      <c r="B349">
        <v>1700702275</v>
      </c>
      <c r="C349" t="s">
        <v>18</v>
      </c>
      <c r="D349" t="s">
        <v>21</v>
      </c>
      <c r="E349" s="29">
        <v>46207</v>
      </c>
      <c r="F349" t="s">
        <v>5</v>
      </c>
      <c r="G349" s="28">
        <v>0.75416666666666665</v>
      </c>
      <c r="H349" s="28">
        <v>0.77500000000000002</v>
      </c>
      <c r="I349">
        <v>1</v>
      </c>
      <c r="J349" t="s">
        <v>146</v>
      </c>
      <c r="K349">
        <v>2</v>
      </c>
      <c r="L349" t="s">
        <v>147</v>
      </c>
      <c r="M349" t="s">
        <v>1276</v>
      </c>
      <c r="N349" t="s">
        <v>1277</v>
      </c>
      <c r="O349" t="s">
        <v>1278</v>
      </c>
      <c r="P349" t="s">
        <v>1279</v>
      </c>
    </row>
    <row r="350" spans="1:16" x14ac:dyDescent="0.35">
      <c r="A350" t="s">
        <v>118</v>
      </c>
      <c r="B350">
        <v>1700702275</v>
      </c>
      <c r="C350" t="s">
        <v>18</v>
      </c>
      <c r="D350" t="s">
        <v>21</v>
      </c>
      <c r="E350" s="29">
        <v>46207</v>
      </c>
      <c r="F350" t="s">
        <v>5</v>
      </c>
      <c r="G350" s="28">
        <v>0.78194444444444444</v>
      </c>
      <c r="H350" s="28">
        <v>0.78194444444444444</v>
      </c>
      <c r="I350">
        <v>0</v>
      </c>
      <c r="J350" t="s">
        <v>174</v>
      </c>
      <c r="K350">
        <v>0</v>
      </c>
      <c r="L350" t="s">
        <v>1037</v>
      </c>
      <c r="M350" t="s">
        <v>1289</v>
      </c>
      <c r="N350" t="s">
        <v>1290</v>
      </c>
      <c r="O350" t="s">
        <v>1291</v>
      </c>
      <c r="P350" t="s">
        <v>1292</v>
      </c>
    </row>
    <row r="351" spans="1:16" x14ac:dyDescent="0.35">
      <c r="A351" t="s">
        <v>118</v>
      </c>
      <c r="B351">
        <v>1700702275</v>
      </c>
      <c r="C351" t="s">
        <v>18</v>
      </c>
      <c r="D351" t="s">
        <v>21</v>
      </c>
      <c r="E351" s="29">
        <v>46207</v>
      </c>
      <c r="F351" t="s">
        <v>5</v>
      </c>
      <c r="G351" s="28">
        <v>0.78888888888888886</v>
      </c>
      <c r="H351" s="28">
        <v>0.78888888888888886</v>
      </c>
      <c r="I351">
        <v>0</v>
      </c>
      <c r="J351" t="s">
        <v>174</v>
      </c>
      <c r="K351">
        <v>0</v>
      </c>
      <c r="L351" t="s">
        <v>293</v>
      </c>
      <c r="M351" t="s">
        <v>1285</v>
      </c>
      <c r="N351" t="s">
        <v>1286</v>
      </c>
      <c r="O351" t="s">
        <v>1287</v>
      </c>
      <c r="P351" t="s">
        <v>1288</v>
      </c>
    </row>
    <row r="352" spans="1:16" x14ac:dyDescent="0.35">
      <c r="A352" t="s">
        <v>118</v>
      </c>
      <c r="B352">
        <v>1700702275</v>
      </c>
      <c r="C352" t="s">
        <v>18</v>
      </c>
      <c r="D352" t="s">
        <v>21</v>
      </c>
      <c r="E352" s="29">
        <v>46208</v>
      </c>
      <c r="F352" t="s">
        <v>6</v>
      </c>
      <c r="G352" s="28">
        <v>0.37916666666666665</v>
      </c>
      <c r="H352" s="28">
        <v>0.37916666666666665</v>
      </c>
      <c r="I352">
        <v>0</v>
      </c>
      <c r="J352" t="s">
        <v>174</v>
      </c>
      <c r="K352">
        <v>0</v>
      </c>
      <c r="L352" t="s">
        <v>1293</v>
      </c>
      <c r="M352" t="s">
        <v>1294</v>
      </c>
      <c r="N352" t="s">
        <v>1295</v>
      </c>
      <c r="O352" t="s">
        <v>1296</v>
      </c>
      <c r="P352" t="s">
        <v>1297</v>
      </c>
    </row>
    <row r="353" spans="1:16" x14ac:dyDescent="0.35">
      <c r="A353" t="s">
        <v>118</v>
      </c>
      <c r="B353">
        <v>1700702275</v>
      </c>
      <c r="C353" t="s">
        <v>18</v>
      </c>
      <c r="D353" t="s">
        <v>21</v>
      </c>
      <c r="E353" s="29">
        <v>46208</v>
      </c>
      <c r="F353" t="s">
        <v>6</v>
      </c>
      <c r="G353" s="28">
        <v>0.38611111111111113</v>
      </c>
      <c r="H353" s="28">
        <v>0.38611111111111113</v>
      </c>
      <c r="I353">
        <v>0</v>
      </c>
      <c r="J353" t="s">
        <v>174</v>
      </c>
      <c r="K353">
        <v>0</v>
      </c>
      <c r="L353" t="s">
        <v>186</v>
      </c>
      <c r="M353" t="s">
        <v>1298</v>
      </c>
      <c r="N353" t="s">
        <v>1299</v>
      </c>
      <c r="O353" t="s">
        <v>1300</v>
      </c>
      <c r="P353" t="s">
        <v>1301</v>
      </c>
    </row>
    <row r="354" spans="1:16" x14ac:dyDescent="0.35">
      <c r="A354" t="s">
        <v>118</v>
      </c>
      <c r="B354">
        <v>1700702275</v>
      </c>
      <c r="C354" t="s">
        <v>18</v>
      </c>
      <c r="D354" t="s">
        <v>21</v>
      </c>
      <c r="E354" s="29">
        <v>46208</v>
      </c>
      <c r="F354" t="s">
        <v>6</v>
      </c>
      <c r="G354" s="28">
        <v>0.39305555555555555</v>
      </c>
      <c r="H354" s="28">
        <v>0.39305555555555555</v>
      </c>
      <c r="I354">
        <v>0</v>
      </c>
      <c r="J354" t="s">
        <v>174</v>
      </c>
      <c r="K354">
        <v>0</v>
      </c>
      <c r="L354" t="s">
        <v>442</v>
      </c>
      <c r="M354" t="s">
        <v>1131</v>
      </c>
      <c r="N354" t="s">
        <v>1132</v>
      </c>
      <c r="O354" t="s">
        <v>1133</v>
      </c>
      <c r="P354" t="s">
        <v>1134</v>
      </c>
    </row>
    <row r="355" spans="1:16" x14ac:dyDescent="0.35">
      <c r="A355" t="s">
        <v>118</v>
      </c>
      <c r="B355">
        <v>1700702275</v>
      </c>
      <c r="C355" t="s">
        <v>18</v>
      </c>
      <c r="D355" t="s">
        <v>21</v>
      </c>
      <c r="E355" s="29">
        <v>46208</v>
      </c>
      <c r="F355" t="s">
        <v>6</v>
      </c>
      <c r="G355" s="28">
        <v>0.4</v>
      </c>
      <c r="H355" s="28">
        <v>0.4</v>
      </c>
      <c r="I355">
        <v>0</v>
      </c>
      <c r="J355" t="s">
        <v>174</v>
      </c>
      <c r="K355">
        <v>0</v>
      </c>
      <c r="L355" t="s">
        <v>1302</v>
      </c>
      <c r="M355" t="s">
        <v>279</v>
      </c>
      <c r="N355" t="s">
        <v>280</v>
      </c>
      <c r="O355" t="s">
        <v>281</v>
      </c>
      <c r="P355" t="s">
        <v>1149</v>
      </c>
    </row>
    <row r="356" spans="1:16" x14ac:dyDescent="0.35">
      <c r="A356" t="s">
        <v>118</v>
      </c>
      <c r="B356">
        <v>1700702275</v>
      </c>
      <c r="C356" t="s">
        <v>18</v>
      </c>
      <c r="D356" t="s">
        <v>21</v>
      </c>
      <c r="E356" s="29">
        <v>46208</v>
      </c>
      <c r="F356" t="s">
        <v>6</v>
      </c>
      <c r="G356" s="28">
        <v>0.40694444444444444</v>
      </c>
      <c r="H356" s="28">
        <v>0.40694444444444444</v>
      </c>
      <c r="I356">
        <v>0</v>
      </c>
      <c r="J356" t="s">
        <v>174</v>
      </c>
      <c r="K356">
        <v>0</v>
      </c>
      <c r="L356" t="s">
        <v>293</v>
      </c>
      <c r="M356" t="s">
        <v>1303</v>
      </c>
      <c r="N356" t="s">
        <v>1304</v>
      </c>
      <c r="O356" t="s">
        <v>1305</v>
      </c>
      <c r="P356" t="s">
        <v>1306</v>
      </c>
    </row>
    <row r="357" spans="1:16" x14ac:dyDescent="0.35">
      <c r="A357" t="s">
        <v>118</v>
      </c>
      <c r="B357">
        <v>1700702275</v>
      </c>
      <c r="C357" t="s">
        <v>18</v>
      </c>
      <c r="D357" t="s">
        <v>21</v>
      </c>
      <c r="E357" s="29">
        <v>46208</v>
      </c>
      <c r="F357" t="s">
        <v>6</v>
      </c>
      <c r="G357" s="28">
        <v>0.41388888888888886</v>
      </c>
      <c r="H357" s="28">
        <v>0.41388888888888886</v>
      </c>
      <c r="I357">
        <v>0</v>
      </c>
      <c r="J357" t="s">
        <v>174</v>
      </c>
      <c r="K357">
        <v>0</v>
      </c>
      <c r="L357" t="s">
        <v>1307</v>
      </c>
      <c r="M357" t="s">
        <v>1308</v>
      </c>
      <c r="N357" t="s">
        <v>1309</v>
      </c>
      <c r="O357" t="s">
        <v>1310</v>
      </c>
      <c r="P357" t="s">
        <v>1311</v>
      </c>
    </row>
    <row r="358" spans="1:16" x14ac:dyDescent="0.35">
      <c r="A358" t="s">
        <v>118</v>
      </c>
      <c r="B358">
        <v>1700702275</v>
      </c>
      <c r="C358" t="s">
        <v>18</v>
      </c>
      <c r="D358" t="s">
        <v>21</v>
      </c>
      <c r="E358" s="29">
        <v>46208</v>
      </c>
      <c r="F358" t="s">
        <v>6</v>
      </c>
      <c r="G358" s="28">
        <v>0.42083333333333334</v>
      </c>
      <c r="H358" s="28">
        <v>0.42083333333333334</v>
      </c>
      <c r="I358">
        <v>0</v>
      </c>
      <c r="J358" t="s">
        <v>174</v>
      </c>
      <c r="K358">
        <v>0</v>
      </c>
      <c r="L358" t="s">
        <v>624</v>
      </c>
      <c r="M358" t="s">
        <v>1312</v>
      </c>
      <c r="N358" t="s">
        <v>1313</v>
      </c>
      <c r="O358" t="s">
        <v>1314</v>
      </c>
      <c r="P358" t="s">
        <v>1315</v>
      </c>
    </row>
    <row r="359" spans="1:16" x14ac:dyDescent="0.35">
      <c r="A359" t="s">
        <v>118</v>
      </c>
      <c r="B359">
        <v>1700702275</v>
      </c>
      <c r="C359" t="s">
        <v>18</v>
      </c>
      <c r="D359" t="s">
        <v>21</v>
      </c>
      <c r="E359" s="29">
        <v>46208</v>
      </c>
      <c r="F359" t="s">
        <v>6</v>
      </c>
      <c r="G359" s="28">
        <v>0.42777777777777776</v>
      </c>
      <c r="H359" s="28">
        <v>0.44166666666666665</v>
      </c>
      <c r="I359">
        <v>0</v>
      </c>
      <c r="J359" t="s">
        <v>146</v>
      </c>
      <c r="K359">
        <v>1</v>
      </c>
      <c r="L359" t="s">
        <v>147</v>
      </c>
      <c r="M359" t="s">
        <v>1316</v>
      </c>
      <c r="N359" t="s">
        <v>1317</v>
      </c>
      <c r="O359" t="s">
        <v>1318</v>
      </c>
      <c r="P359" t="s">
        <v>1192</v>
      </c>
    </row>
    <row r="360" spans="1:16" x14ac:dyDescent="0.35">
      <c r="A360" t="s">
        <v>118</v>
      </c>
      <c r="B360">
        <v>1700702275</v>
      </c>
      <c r="C360" t="s">
        <v>18</v>
      </c>
      <c r="D360" t="s">
        <v>21</v>
      </c>
      <c r="E360" s="29">
        <v>46208</v>
      </c>
      <c r="F360" t="s">
        <v>6</v>
      </c>
      <c r="G360" s="28">
        <v>0.44861111111111113</v>
      </c>
      <c r="H360" s="28">
        <v>0.59444444444444444</v>
      </c>
      <c r="I360">
        <v>4</v>
      </c>
      <c r="J360" t="s">
        <v>146</v>
      </c>
      <c r="K360">
        <v>10</v>
      </c>
      <c r="L360" t="s">
        <v>147</v>
      </c>
      <c r="M360" t="s">
        <v>1319</v>
      </c>
      <c r="N360" t="s">
        <v>1320</v>
      </c>
      <c r="O360" t="s">
        <v>1321</v>
      </c>
      <c r="P360" t="s">
        <v>1322</v>
      </c>
    </row>
    <row r="361" spans="1:16" x14ac:dyDescent="0.35">
      <c r="A361" t="s">
        <v>118</v>
      </c>
      <c r="B361">
        <v>1700702275</v>
      </c>
      <c r="C361" t="s">
        <v>18</v>
      </c>
      <c r="D361" t="s">
        <v>21</v>
      </c>
      <c r="E361" s="29">
        <v>46208</v>
      </c>
      <c r="F361" t="s">
        <v>6</v>
      </c>
      <c r="G361" s="28">
        <v>0.60138888888888886</v>
      </c>
      <c r="H361" s="28">
        <v>0.62916666666666665</v>
      </c>
      <c r="I361">
        <v>1</v>
      </c>
      <c r="J361" t="s">
        <v>146</v>
      </c>
      <c r="K361">
        <v>2</v>
      </c>
      <c r="L361" t="s">
        <v>147</v>
      </c>
      <c r="M361" t="s">
        <v>1323</v>
      </c>
      <c r="N361" t="s">
        <v>1324</v>
      </c>
      <c r="O361" t="s">
        <v>1325</v>
      </c>
      <c r="P361" t="s">
        <v>1326</v>
      </c>
    </row>
    <row r="362" spans="1:16" x14ac:dyDescent="0.35">
      <c r="A362" t="s">
        <v>118</v>
      </c>
      <c r="B362">
        <v>1700702275</v>
      </c>
      <c r="C362" t="s">
        <v>18</v>
      </c>
      <c r="D362" t="s">
        <v>21</v>
      </c>
      <c r="E362" s="29">
        <v>46208</v>
      </c>
      <c r="F362" t="s">
        <v>6</v>
      </c>
      <c r="G362" s="28">
        <v>0.63611111111111107</v>
      </c>
      <c r="H362" s="28">
        <v>0.67083333333333328</v>
      </c>
      <c r="I362">
        <v>1</v>
      </c>
      <c r="J362" t="s">
        <v>146</v>
      </c>
      <c r="K362">
        <v>2</v>
      </c>
      <c r="L362" t="s">
        <v>147</v>
      </c>
      <c r="M362" t="s">
        <v>1327</v>
      </c>
      <c r="N362" t="s">
        <v>1328</v>
      </c>
      <c r="O362" t="s">
        <v>1329</v>
      </c>
      <c r="P362" t="s">
        <v>1330</v>
      </c>
    </row>
    <row r="363" spans="1:16" x14ac:dyDescent="0.35">
      <c r="A363" t="s">
        <v>118</v>
      </c>
      <c r="B363">
        <v>1700702275</v>
      </c>
      <c r="C363" t="s">
        <v>18</v>
      </c>
      <c r="D363" t="s">
        <v>21</v>
      </c>
      <c r="E363" s="29">
        <v>46208</v>
      </c>
      <c r="F363" t="s">
        <v>6</v>
      </c>
      <c r="G363" s="28">
        <v>0.67777777777777781</v>
      </c>
      <c r="H363" s="28">
        <v>0.72638888888888886</v>
      </c>
      <c r="I363">
        <v>1</v>
      </c>
      <c r="J363" t="s">
        <v>146</v>
      </c>
      <c r="K363">
        <v>4</v>
      </c>
      <c r="L363" t="s">
        <v>147</v>
      </c>
      <c r="M363" t="s">
        <v>1316</v>
      </c>
      <c r="N363" t="s">
        <v>1317</v>
      </c>
      <c r="O363" t="s">
        <v>1318</v>
      </c>
      <c r="P363" t="s">
        <v>1192</v>
      </c>
    </row>
    <row r="364" spans="1:16" x14ac:dyDescent="0.35">
      <c r="A364" t="s">
        <v>118</v>
      </c>
      <c r="B364">
        <v>1700702275</v>
      </c>
      <c r="C364" t="s">
        <v>18</v>
      </c>
      <c r="D364" t="s">
        <v>21</v>
      </c>
      <c r="E364" s="29">
        <v>46208</v>
      </c>
      <c r="F364" t="s">
        <v>6</v>
      </c>
      <c r="G364" s="28">
        <v>0.73333333333333328</v>
      </c>
      <c r="H364" s="28">
        <v>0.80277777777777781</v>
      </c>
      <c r="I364">
        <v>2</v>
      </c>
      <c r="J364" t="s">
        <v>146</v>
      </c>
      <c r="K364">
        <v>5</v>
      </c>
      <c r="L364" t="s">
        <v>147</v>
      </c>
      <c r="M364" t="s">
        <v>1319</v>
      </c>
      <c r="N364" t="s">
        <v>1320</v>
      </c>
      <c r="O364" t="s">
        <v>1321</v>
      </c>
      <c r="P364" t="s">
        <v>1322</v>
      </c>
    </row>
    <row r="365" spans="1:16" x14ac:dyDescent="0.35">
      <c r="A365" t="s">
        <v>112</v>
      </c>
      <c r="B365">
        <v>1324732688</v>
      </c>
      <c r="C365" t="s">
        <v>18</v>
      </c>
      <c r="D365" t="s">
        <v>20</v>
      </c>
      <c r="E365" s="29">
        <v>46204</v>
      </c>
      <c r="F365" t="s">
        <v>3</v>
      </c>
      <c r="G365" s="28">
        <v>0.3888888888888889</v>
      </c>
      <c r="H365" s="28">
        <v>0.3888888888888889</v>
      </c>
      <c r="I365">
        <v>0</v>
      </c>
      <c r="J365" t="s">
        <v>174</v>
      </c>
      <c r="K365">
        <v>0</v>
      </c>
      <c r="L365" t="s">
        <v>1331</v>
      </c>
      <c r="M365" t="s">
        <v>1332</v>
      </c>
      <c r="N365" t="s">
        <v>1333</v>
      </c>
      <c r="O365" t="s">
        <v>1334</v>
      </c>
      <c r="P365" t="s">
        <v>1335</v>
      </c>
    </row>
    <row r="366" spans="1:16" x14ac:dyDescent="0.35">
      <c r="A366" t="s">
        <v>112</v>
      </c>
      <c r="B366">
        <v>1324732688</v>
      </c>
      <c r="C366" t="s">
        <v>18</v>
      </c>
      <c r="D366" t="s">
        <v>20</v>
      </c>
      <c r="E366" s="29">
        <v>46204</v>
      </c>
      <c r="F366" t="s">
        <v>3</v>
      </c>
      <c r="G366" s="28">
        <v>0.39652777777777776</v>
      </c>
      <c r="H366" s="28">
        <v>0.39652777777777776</v>
      </c>
      <c r="I366">
        <v>0</v>
      </c>
      <c r="J366" t="s">
        <v>174</v>
      </c>
      <c r="K366">
        <v>0</v>
      </c>
      <c r="L366" t="s">
        <v>1331</v>
      </c>
      <c r="M366" t="s">
        <v>1336</v>
      </c>
      <c r="N366" t="s">
        <v>1337</v>
      </c>
      <c r="O366" t="s">
        <v>1338</v>
      </c>
      <c r="P366" t="s">
        <v>1339</v>
      </c>
    </row>
    <row r="367" spans="1:16" x14ac:dyDescent="0.35">
      <c r="A367" t="s">
        <v>112</v>
      </c>
      <c r="B367">
        <v>1324732688</v>
      </c>
      <c r="C367" t="s">
        <v>18</v>
      </c>
      <c r="D367" t="s">
        <v>20</v>
      </c>
      <c r="E367" s="29">
        <v>46204</v>
      </c>
      <c r="F367" t="s">
        <v>3</v>
      </c>
      <c r="G367" s="28">
        <v>0.40277777777777779</v>
      </c>
      <c r="H367" s="28">
        <v>0.4236111111111111</v>
      </c>
      <c r="I367">
        <v>0</v>
      </c>
      <c r="J367" t="s">
        <v>146</v>
      </c>
      <c r="K367">
        <v>2</v>
      </c>
      <c r="L367" t="s">
        <v>147</v>
      </c>
      <c r="M367" t="s">
        <v>1332</v>
      </c>
      <c r="N367" t="s">
        <v>1333</v>
      </c>
      <c r="O367" t="s">
        <v>1334</v>
      </c>
      <c r="P367" t="s">
        <v>1335</v>
      </c>
    </row>
    <row r="368" spans="1:16" x14ac:dyDescent="0.35">
      <c r="A368" t="s">
        <v>112</v>
      </c>
      <c r="B368">
        <v>1324732688</v>
      </c>
      <c r="C368" t="s">
        <v>18</v>
      </c>
      <c r="D368" t="s">
        <v>20</v>
      </c>
      <c r="E368" s="29">
        <v>46204</v>
      </c>
      <c r="F368" t="s">
        <v>3</v>
      </c>
      <c r="G368" s="28">
        <v>0.43055555555555558</v>
      </c>
      <c r="H368" s="28">
        <v>0.4513888888888889</v>
      </c>
      <c r="I368">
        <v>0</v>
      </c>
      <c r="J368" t="s">
        <v>146</v>
      </c>
      <c r="K368">
        <v>2</v>
      </c>
      <c r="L368" t="s">
        <v>147</v>
      </c>
      <c r="M368" t="s">
        <v>1340</v>
      </c>
      <c r="N368" t="s">
        <v>1341</v>
      </c>
      <c r="O368" t="s">
        <v>1342</v>
      </c>
      <c r="P368" t="s">
        <v>1343</v>
      </c>
    </row>
    <row r="369" spans="1:16" x14ac:dyDescent="0.35">
      <c r="A369" t="s">
        <v>112</v>
      </c>
      <c r="B369">
        <v>1324732688</v>
      </c>
      <c r="C369" t="s">
        <v>18</v>
      </c>
      <c r="D369" t="s">
        <v>20</v>
      </c>
      <c r="E369" s="29">
        <v>46204</v>
      </c>
      <c r="F369" t="s">
        <v>3</v>
      </c>
      <c r="G369" s="28">
        <v>0.45833333333333331</v>
      </c>
      <c r="H369" s="28">
        <v>0.45833333333333331</v>
      </c>
      <c r="I369">
        <v>0</v>
      </c>
      <c r="J369" t="s">
        <v>174</v>
      </c>
      <c r="K369">
        <v>0</v>
      </c>
      <c r="L369" t="s">
        <v>1344</v>
      </c>
      <c r="M369" t="s">
        <v>1345</v>
      </c>
      <c r="N369" t="s">
        <v>1346</v>
      </c>
      <c r="O369" t="s">
        <v>1347</v>
      </c>
      <c r="P369" t="s">
        <v>1348</v>
      </c>
    </row>
    <row r="370" spans="1:16" x14ac:dyDescent="0.35">
      <c r="A370" t="s">
        <v>112</v>
      </c>
      <c r="B370">
        <v>1324732688</v>
      </c>
      <c r="C370" t="s">
        <v>18</v>
      </c>
      <c r="D370" t="s">
        <v>20</v>
      </c>
      <c r="E370" s="29">
        <v>46204</v>
      </c>
      <c r="F370" t="s">
        <v>3</v>
      </c>
      <c r="G370" s="28">
        <v>0.46527777777777779</v>
      </c>
      <c r="H370" s="28">
        <v>0.46527777777777779</v>
      </c>
      <c r="I370">
        <v>0</v>
      </c>
      <c r="J370" t="s">
        <v>174</v>
      </c>
      <c r="K370">
        <v>0</v>
      </c>
      <c r="L370" t="s">
        <v>1349</v>
      </c>
      <c r="M370" t="s">
        <v>154</v>
      </c>
      <c r="N370" t="s">
        <v>164</v>
      </c>
      <c r="O370" t="s">
        <v>165</v>
      </c>
      <c r="P370" t="s">
        <v>1350</v>
      </c>
    </row>
    <row r="371" spans="1:16" x14ac:dyDescent="0.35">
      <c r="A371" t="s">
        <v>112</v>
      </c>
      <c r="B371">
        <v>1324732688</v>
      </c>
      <c r="C371" t="s">
        <v>18</v>
      </c>
      <c r="D371" t="s">
        <v>20</v>
      </c>
      <c r="E371" s="29">
        <v>46204</v>
      </c>
      <c r="F371" t="s">
        <v>3</v>
      </c>
      <c r="G371" s="28">
        <v>0.47222222222222221</v>
      </c>
      <c r="H371" s="28">
        <v>0.55555555555555558</v>
      </c>
      <c r="I371">
        <v>2</v>
      </c>
      <c r="J371" t="s">
        <v>146</v>
      </c>
      <c r="K371">
        <v>6</v>
      </c>
      <c r="L371" t="s">
        <v>147</v>
      </c>
      <c r="M371" t="s">
        <v>1340</v>
      </c>
      <c r="N371" t="s">
        <v>1341</v>
      </c>
      <c r="O371" t="s">
        <v>1342</v>
      </c>
      <c r="P371" t="s">
        <v>1343</v>
      </c>
    </row>
    <row r="372" spans="1:16" x14ac:dyDescent="0.35">
      <c r="A372" t="s">
        <v>112</v>
      </c>
      <c r="B372">
        <v>1324732688</v>
      </c>
      <c r="C372" t="s">
        <v>18</v>
      </c>
      <c r="D372" t="s">
        <v>20</v>
      </c>
      <c r="E372" s="29">
        <v>46204</v>
      </c>
      <c r="F372" t="s">
        <v>3</v>
      </c>
      <c r="G372" s="28">
        <v>0.5625</v>
      </c>
      <c r="H372" s="28">
        <v>0.59027777777777779</v>
      </c>
      <c r="I372">
        <v>1</v>
      </c>
      <c r="J372" t="s">
        <v>146</v>
      </c>
      <c r="K372">
        <v>2</v>
      </c>
      <c r="L372" t="s">
        <v>147</v>
      </c>
      <c r="M372" t="s">
        <v>154</v>
      </c>
      <c r="N372" t="s">
        <v>164</v>
      </c>
      <c r="O372" t="s">
        <v>165</v>
      </c>
      <c r="P372" t="s">
        <v>1350</v>
      </c>
    </row>
    <row r="373" spans="1:16" x14ac:dyDescent="0.35">
      <c r="A373" t="s">
        <v>112</v>
      </c>
      <c r="B373">
        <v>1324732688</v>
      </c>
      <c r="C373" t="s">
        <v>18</v>
      </c>
      <c r="D373" t="s">
        <v>20</v>
      </c>
      <c r="E373" s="29">
        <v>46204</v>
      </c>
      <c r="F373" t="s">
        <v>3</v>
      </c>
      <c r="G373" s="28">
        <v>0.59722222222222221</v>
      </c>
      <c r="H373" s="28">
        <v>0.59722222222222221</v>
      </c>
      <c r="I373">
        <v>0</v>
      </c>
      <c r="J373" t="s">
        <v>174</v>
      </c>
      <c r="K373">
        <v>0</v>
      </c>
      <c r="L373" t="s">
        <v>1349</v>
      </c>
      <c r="M373" t="s">
        <v>1340</v>
      </c>
      <c r="N373" t="s">
        <v>1341</v>
      </c>
      <c r="O373" t="s">
        <v>1342</v>
      </c>
      <c r="P373" t="s">
        <v>1343</v>
      </c>
    </row>
    <row r="374" spans="1:16" x14ac:dyDescent="0.35">
      <c r="A374" t="s">
        <v>112</v>
      </c>
      <c r="B374">
        <v>1324732688</v>
      </c>
      <c r="C374" t="s">
        <v>18</v>
      </c>
      <c r="D374" t="s">
        <v>20</v>
      </c>
      <c r="E374" s="29">
        <v>46204</v>
      </c>
      <c r="F374" t="s">
        <v>3</v>
      </c>
      <c r="G374" s="28">
        <v>0.60416666666666663</v>
      </c>
      <c r="H374" s="28">
        <v>0.61805555555555558</v>
      </c>
      <c r="I374">
        <v>0</v>
      </c>
      <c r="J374" t="s">
        <v>146</v>
      </c>
      <c r="K374">
        <v>1</v>
      </c>
      <c r="L374" t="s">
        <v>147</v>
      </c>
      <c r="M374" t="s">
        <v>154</v>
      </c>
      <c r="N374" t="s">
        <v>164</v>
      </c>
      <c r="O374" t="s">
        <v>165</v>
      </c>
      <c r="P374" t="s">
        <v>1350</v>
      </c>
    </row>
    <row r="375" spans="1:16" x14ac:dyDescent="0.35">
      <c r="A375" t="s">
        <v>112</v>
      </c>
      <c r="B375">
        <v>1324732688</v>
      </c>
      <c r="C375" t="s">
        <v>18</v>
      </c>
      <c r="D375" t="s">
        <v>20</v>
      </c>
      <c r="E375" s="29">
        <v>46204</v>
      </c>
      <c r="F375" t="s">
        <v>3</v>
      </c>
      <c r="G375" s="28">
        <v>0.625</v>
      </c>
      <c r="H375" s="28">
        <v>0.73611111111111116</v>
      </c>
      <c r="I375">
        <v>3</v>
      </c>
      <c r="J375" t="s">
        <v>146</v>
      </c>
      <c r="K375">
        <v>8</v>
      </c>
      <c r="L375" t="s">
        <v>147</v>
      </c>
      <c r="M375" t="s">
        <v>1340</v>
      </c>
      <c r="N375" t="s">
        <v>1341</v>
      </c>
      <c r="O375" t="s">
        <v>1342</v>
      </c>
      <c r="P375" t="s">
        <v>1343</v>
      </c>
    </row>
    <row r="376" spans="1:16" x14ac:dyDescent="0.35">
      <c r="A376" t="s">
        <v>112</v>
      </c>
      <c r="B376">
        <v>1324732688</v>
      </c>
      <c r="C376" t="s">
        <v>18</v>
      </c>
      <c r="D376" t="s">
        <v>20</v>
      </c>
      <c r="E376" s="29">
        <v>46204</v>
      </c>
      <c r="F376" t="s">
        <v>3</v>
      </c>
      <c r="G376" s="28">
        <v>0.74305555555555558</v>
      </c>
      <c r="H376" s="28">
        <v>0.74305555555555558</v>
      </c>
      <c r="I376">
        <v>0</v>
      </c>
      <c r="J376" t="s">
        <v>174</v>
      </c>
      <c r="K376">
        <v>0</v>
      </c>
      <c r="L376" t="s">
        <v>1351</v>
      </c>
      <c r="M376" t="s">
        <v>1352</v>
      </c>
      <c r="N376" t="s">
        <v>1353</v>
      </c>
      <c r="O376" t="s">
        <v>1354</v>
      </c>
      <c r="P376" t="s">
        <v>1355</v>
      </c>
    </row>
    <row r="377" spans="1:16" x14ac:dyDescent="0.35">
      <c r="A377" t="s">
        <v>112</v>
      </c>
      <c r="B377">
        <v>1324732688</v>
      </c>
      <c r="C377" t="s">
        <v>18</v>
      </c>
      <c r="D377" t="s">
        <v>20</v>
      </c>
      <c r="E377" s="29">
        <v>46204</v>
      </c>
      <c r="F377" t="s">
        <v>3</v>
      </c>
      <c r="G377" s="28">
        <v>0.75</v>
      </c>
      <c r="H377" s="28">
        <v>0.75</v>
      </c>
      <c r="I377">
        <v>0</v>
      </c>
      <c r="J377" t="s">
        <v>174</v>
      </c>
      <c r="K377">
        <v>0</v>
      </c>
      <c r="L377" t="s">
        <v>614</v>
      </c>
      <c r="M377" t="s">
        <v>1356</v>
      </c>
      <c r="N377" t="s">
        <v>1357</v>
      </c>
      <c r="O377" t="s">
        <v>1358</v>
      </c>
      <c r="P377" t="s">
        <v>1359</v>
      </c>
    </row>
    <row r="378" spans="1:16" x14ac:dyDescent="0.35">
      <c r="A378" t="s">
        <v>112</v>
      </c>
      <c r="B378">
        <v>1324732688</v>
      </c>
      <c r="C378" t="s">
        <v>18</v>
      </c>
      <c r="D378" t="s">
        <v>20</v>
      </c>
      <c r="E378" s="29">
        <v>46204</v>
      </c>
      <c r="F378" t="s">
        <v>3</v>
      </c>
      <c r="G378" s="28">
        <v>0.75694444444444442</v>
      </c>
      <c r="H378" s="28">
        <v>0.76388888888888884</v>
      </c>
      <c r="I378">
        <v>0</v>
      </c>
      <c r="J378" t="s">
        <v>146</v>
      </c>
      <c r="K378">
        <v>0</v>
      </c>
      <c r="L378" t="s">
        <v>147</v>
      </c>
      <c r="M378" t="s">
        <v>1360</v>
      </c>
      <c r="N378" t="s">
        <v>1361</v>
      </c>
      <c r="O378" t="s">
        <v>1362</v>
      </c>
      <c r="P378" t="s">
        <v>1363</v>
      </c>
    </row>
    <row r="379" spans="1:16" x14ac:dyDescent="0.35">
      <c r="A379" t="s">
        <v>112</v>
      </c>
      <c r="B379">
        <v>1324732688</v>
      </c>
      <c r="C379" t="s">
        <v>18</v>
      </c>
      <c r="D379" t="s">
        <v>20</v>
      </c>
      <c r="E379" s="29">
        <v>46204</v>
      </c>
      <c r="F379" t="s">
        <v>3</v>
      </c>
      <c r="G379" s="28">
        <v>0.77083333333333337</v>
      </c>
      <c r="H379" s="28">
        <v>0.77083333333333337</v>
      </c>
      <c r="I379">
        <v>0</v>
      </c>
      <c r="J379" t="s">
        <v>174</v>
      </c>
      <c r="K379">
        <v>0</v>
      </c>
      <c r="L379" t="s">
        <v>1364</v>
      </c>
      <c r="M379" t="s">
        <v>1365</v>
      </c>
      <c r="N379" t="s">
        <v>1366</v>
      </c>
      <c r="O379" t="s">
        <v>1367</v>
      </c>
      <c r="P379" t="s">
        <v>1368</v>
      </c>
    </row>
    <row r="380" spans="1:16" x14ac:dyDescent="0.35">
      <c r="A380" t="s">
        <v>112</v>
      </c>
      <c r="B380">
        <v>1324732688</v>
      </c>
      <c r="C380" t="s">
        <v>18</v>
      </c>
      <c r="D380" t="s">
        <v>20</v>
      </c>
      <c r="E380" s="29">
        <v>46204</v>
      </c>
      <c r="F380" t="s">
        <v>3</v>
      </c>
      <c r="G380" s="28">
        <v>0.77777777777777779</v>
      </c>
      <c r="H380" s="28">
        <v>0.77777777777777779</v>
      </c>
      <c r="I380">
        <v>0</v>
      </c>
      <c r="J380" t="s">
        <v>174</v>
      </c>
      <c r="K380">
        <v>0</v>
      </c>
      <c r="L380" t="s">
        <v>1369</v>
      </c>
      <c r="M380" t="s">
        <v>1356</v>
      </c>
      <c r="N380" t="s">
        <v>1357</v>
      </c>
      <c r="O380" t="s">
        <v>1358</v>
      </c>
      <c r="P380" t="s">
        <v>1359</v>
      </c>
    </row>
    <row r="381" spans="1:16" x14ac:dyDescent="0.35">
      <c r="A381" t="s">
        <v>112</v>
      </c>
      <c r="B381">
        <v>1324732688</v>
      </c>
      <c r="C381" t="s">
        <v>18</v>
      </c>
      <c r="D381" t="s">
        <v>20</v>
      </c>
      <c r="E381" s="29">
        <v>46204</v>
      </c>
      <c r="F381" t="s">
        <v>3</v>
      </c>
      <c r="G381" s="28">
        <v>0.78472222222222221</v>
      </c>
      <c r="H381" s="28">
        <v>0.78472222222222221</v>
      </c>
      <c r="I381">
        <v>0</v>
      </c>
      <c r="J381" t="s">
        <v>174</v>
      </c>
      <c r="K381">
        <v>0</v>
      </c>
      <c r="L381" t="s">
        <v>1370</v>
      </c>
      <c r="M381" t="s">
        <v>1371</v>
      </c>
      <c r="N381" t="s">
        <v>1372</v>
      </c>
      <c r="O381" t="s">
        <v>1373</v>
      </c>
      <c r="P381" t="s">
        <v>1374</v>
      </c>
    </row>
    <row r="382" spans="1:16" x14ac:dyDescent="0.35">
      <c r="A382" t="s">
        <v>112</v>
      </c>
      <c r="B382">
        <v>1324732688</v>
      </c>
      <c r="C382" t="s">
        <v>18</v>
      </c>
      <c r="D382" t="s">
        <v>20</v>
      </c>
      <c r="E382" s="29">
        <v>46205</v>
      </c>
      <c r="F382" t="s">
        <v>4</v>
      </c>
      <c r="G382" s="28">
        <v>0.38194444444444442</v>
      </c>
      <c r="H382" s="28">
        <v>0.38194444444444442</v>
      </c>
      <c r="I382">
        <v>0</v>
      </c>
      <c r="J382" t="s">
        <v>174</v>
      </c>
      <c r="K382">
        <v>0</v>
      </c>
      <c r="L382" t="s">
        <v>1375</v>
      </c>
      <c r="M382" t="s">
        <v>1376</v>
      </c>
      <c r="N382" t="s">
        <v>1377</v>
      </c>
      <c r="O382" t="s">
        <v>1378</v>
      </c>
      <c r="P382" t="s">
        <v>1379</v>
      </c>
    </row>
    <row r="383" spans="1:16" x14ac:dyDescent="0.35">
      <c r="A383" t="s">
        <v>112</v>
      </c>
      <c r="B383">
        <v>1324732688</v>
      </c>
      <c r="C383" t="s">
        <v>18</v>
      </c>
      <c r="D383" t="s">
        <v>20</v>
      </c>
      <c r="E383" s="29">
        <v>46205</v>
      </c>
      <c r="F383" t="s">
        <v>4</v>
      </c>
      <c r="G383" s="28">
        <v>0.3888888888888889</v>
      </c>
      <c r="H383" s="28">
        <v>0.3888888888888889</v>
      </c>
      <c r="I383">
        <v>0</v>
      </c>
      <c r="J383" t="s">
        <v>174</v>
      </c>
      <c r="K383">
        <v>0</v>
      </c>
      <c r="L383" t="s">
        <v>1380</v>
      </c>
      <c r="M383" t="s">
        <v>1381</v>
      </c>
      <c r="N383" t="s">
        <v>1382</v>
      </c>
      <c r="O383" t="s">
        <v>1383</v>
      </c>
      <c r="P383" t="s">
        <v>1384</v>
      </c>
    </row>
    <row r="384" spans="1:16" x14ac:dyDescent="0.35">
      <c r="A384" t="s">
        <v>112</v>
      </c>
      <c r="B384">
        <v>1324732688</v>
      </c>
      <c r="C384" t="s">
        <v>18</v>
      </c>
      <c r="D384" t="s">
        <v>20</v>
      </c>
      <c r="E384" s="29">
        <v>46205</v>
      </c>
      <c r="F384" t="s">
        <v>4</v>
      </c>
      <c r="G384" s="28">
        <v>0.39583333333333331</v>
      </c>
      <c r="H384" s="28">
        <v>0.39583333333333331</v>
      </c>
      <c r="I384">
        <v>0</v>
      </c>
      <c r="J384" t="s">
        <v>174</v>
      </c>
      <c r="K384">
        <v>0</v>
      </c>
      <c r="L384" t="s">
        <v>1385</v>
      </c>
      <c r="M384" t="s">
        <v>1386</v>
      </c>
      <c r="N384" t="s">
        <v>1387</v>
      </c>
      <c r="O384" t="s">
        <v>1388</v>
      </c>
      <c r="P384" t="s">
        <v>1389</v>
      </c>
    </row>
    <row r="385" spans="1:16" x14ac:dyDescent="0.35">
      <c r="A385" t="s">
        <v>112</v>
      </c>
      <c r="B385">
        <v>1324732688</v>
      </c>
      <c r="C385" t="s">
        <v>18</v>
      </c>
      <c r="D385" t="s">
        <v>20</v>
      </c>
      <c r="E385" s="29">
        <v>46205</v>
      </c>
      <c r="F385" t="s">
        <v>4</v>
      </c>
      <c r="G385" s="28">
        <v>0.40277777777777779</v>
      </c>
      <c r="H385" s="28">
        <v>0.40277777777777779</v>
      </c>
      <c r="I385">
        <v>0</v>
      </c>
      <c r="J385" t="s">
        <v>174</v>
      </c>
      <c r="K385">
        <v>0</v>
      </c>
      <c r="L385" t="s">
        <v>1390</v>
      </c>
      <c r="M385" t="s">
        <v>1391</v>
      </c>
      <c r="N385" t="s">
        <v>1392</v>
      </c>
      <c r="O385" t="s">
        <v>1393</v>
      </c>
      <c r="P385" t="s">
        <v>1394</v>
      </c>
    </row>
    <row r="386" spans="1:16" x14ac:dyDescent="0.35">
      <c r="A386" t="s">
        <v>112</v>
      </c>
      <c r="B386">
        <v>1324732688</v>
      </c>
      <c r="C386" t="s">
        <v>18</v>
      </c>
      <c r="D386" t="s">
        <v>20</v>
      </c>
      <c r="E386" s="29">
        <v>46205</v>
      </c>
      <c r="F386" t="s">
        <v>4</v>
      </c>
      <c r="G386" s="28">
        <v>0.40972222222222221</v>
      </c>
      <c r="H386" s="28">
        <v>0.40972222222222221</v>
      </c>
      <c r="I386">
        <v>0</v>
      </c>
      <c r="J386" t="s">
        <v>174</v>
      </c>
      <c r="K386">
        <v>0</v>
      </c>
      <c r="L386" t="s">
        <v>1395</v>
      </c>
      <c r="M386" t="s">
        <v>1396</v>
      </c>
      <c r="N386" t="s">
        <v>1397</v>
      </c>
      <c r="O386" t="s">
        <v>1398</v>
      </c>
      <c r="P386" t="s">
        <v>1399</v>
      </c>
    </row>
    <row r="387" spans="1:16" x14ac:dyDescent="0.35">
      <c r="A387" t="s">
        <v>112</v>
      </c>
      <c r="B387">
        <v>1324732688</v>
      </c>
      <c r="C387" t="s">
        <v>18</v>
      </c>
      <c r="D387" t="s">
        <v>20</v>
      </c>
      <c r="E387" s="29">
        <v>46205</v>
      </c>
      <c r="F387" t="s">
        <v>4</v>
      </c>
      <c r="G387" s="28">
        <v>0.41666666666666669</v>
      </c>
      <c r="H387" s="28">
        <v>0.41666666666666669</v>
      </c>
      <c r="I387">
        <v>0</v>
      </c>
      <c r="J387" t="s">
        <v>174</v>
      </c>
      <c r="K387">
        <v>0</v>
      </c>
      <c r="L387" t="s">
        <v>1400</v>
      </c>
      <c r="M387" t="s">
        <v>1401</v>
      </c>
      <c r="N387" t="s">
        <v>1402</v>
      </c>
      <c r="O387" t="s">
        <v>1403</v>
      </c>
      <c r="P387" t="s">
        <v>1404</v>
      </c>
    </row>
    <row r="388" spans="1:16" x14ac:dyDescent="0.35">
      <c r="A388" t="s">
        <v>112</v>
      </c>
      <c r="B388">
        <v>1324732688</v>
      </c>
      <c r="C388" t="s">
        <v>18</v>
      </c>
      <c r="D388" t="s">
        <v>20</v>
      </c>
      <c r="E388" s="29">
        <v>46205</v>
      </c>
      <c r="F388" t="s">
        <v>4</v>
      </c>
      <c r="G388" s="28">
        <v>0.4236111111111111</v>
      </c>
      <c r="H388" s="28">
        <v>0.4236111111111111</v>
      </c>
      <c r="I388">
        <v>0</v>
      </c>
      <c r="J388" t="s">
        <v>174</v>
      </c>
      <c r="K388">
        <v>0</v>
      </c>
      <c r="L388" t="s">
        <v>1405</v>
      </c>
      <c r="M388" t="s">
        <v>1406</v>
      </c>
      <c r="N388" t="s">
        <v>1407</v>
      </c>
      <c r="O388" t="s">
        <v>1408</v>
      </c>
      <c r="P388" t="s">
        <v>1409</v>
      </c>
    </row>
    <row r="389" spans="1:16" x14ac:dyDescent="0.35">
      <c r="A389" t="s">
        <v>112</v>
      </c>
      <c r="B389">
        <v>1324732688</v>
      </c>
      <c r="C389" t="s">
        <v>18</v>
      </c>
      <c r="D389" t="s">
        <v>20</v>
      </c>
      <c r="E389" s="29">
        <v>46205</v>
      </c>
      <c r="F389" t="s">
        <v>4</v>
      </c>
      <c r="G389" s="28">
        <v>0.43055555555555558</v>
      </c>
      <c r="H389" s="28">
        <v>0.43055555555555558</v>
      </c>
      <c r="I389">
        <v>0</v>
      </c>
      <c r="J389" t="s">
        <v>174</v>
      </c>
      <c r="K389">
        <v>0</v>
      </c>
      <c r="L389" t="s">
        <v>1410</v>
      </c>
      <c r="M389" t="s">
        <v>1411</v>
      </c>
      <c r="N389" t="s">
        <v>1412</v>
      </c>
      <c r="O389" t="s">
        <v>1413</v>
      </c>
      <c r="P389" t="s">
        <v>1414</v>
      </c>
    </row>
    <row r="390" spans="1:16" x14ac:dyDescent="0.35">
      <c r="A390" t="s">
        <v>112</v>
      </c>
      <c r="B390">
        <v>1324732688</v>
      </c>
      <c r="C390" t="s">
        <v>18</v>
      </c>
      <c r="D390" t="s">
        <v>20</v>
      </c>
      <c r="E390" s="29">
        <v>46205</v>
      </c>
      <c r="F390" t="s">
        <v>4</v>
      </c>
      <c r="G390" s="28">
        <v>0.4375</v>
      </c>
      <c r="H390" s="28">
        <v>0.4375</v>
      </c>
      <c r="I390">
        <v>0</v>
      </c>
      <c r="J390" t="s">
        <v>174</v>
      </c>
      <c r="K390">
        <v>0</v>
      </c>
      <c r="L390" t="s">
        <v>1415</v>
      </c>
      <c r="M390" t="s">
        <v>1416</v>
      </c>
      <c r="N390" t="s">
        <v>1417</v>
      </c>
      <c r="O390" t="s">
        <v>1418</v>
      </c>
      <c r="P390" t="s">
        <v>1419</v>
      </c>
    </row>
    <row r="391" spans="1:16" x14ac:dyDescent="0.35">
      <c r="A391" t="s">
        <v>112</v>
      </c>
      <c r="B391">
        <v>1324732688</v>
      </c>
      <c r="C391" t="s">
        <v>18</v>
      </c>
      <c r="D391" t="s">
        <v>20</v>
      </c>
      <c r="E391" s="29">
        <v>46205</v>
      </c>
      <c r="F391" t="s">
        <v>4</v>
      </c>
      <c r="G391" s="28">
        <v>0.44444444444444442</v>
      </c>
      <c r="H391" s="28">
        <v>0.44444444444444442</v>
      </c>
      <c r="I391">
        <v>0</v>
      </c>
      <c r="J391" t="s">
        <v>174</v>
      </c>
      <c r="K391">
        <v>0</v>
      </c>
      <c r="L391" t="s">
        <v>1420</v>
      </c>
      <c r="M391" t="s">
        <v>1421</v>
      </c>
      <c r="N391" t="s">
        <v>1422</v>
      </c>
      <c r="O391" t="s">
        <v>1423</v>
      </c>
      <c r="P391" t="s">
        <v>1424</v>
      </c>
    </row>
    <row r="392" spans="1:16" x14ac:dyDescent="0.35">
      <c r="A392" t="s">
        <v>112</v>
      </c>
      <c r="B392">
        <v>1324732688</v>
      </c>
      <c r="C392" t="s">
        <v>18</v>
      </c>
      <c r="D392" t="s">
        <v>20</v>
      </c>
      <c r="E392" s="29">
        <v>46205</v>
      </c>
      <c r="F392" t="s">
        <v>4</v>
      </c>
      <c r="G392" s="28">
        <v>0.4513888888888889</v>
      </c>
      <c r="H392" s="28">
        <v>0.4513888888888889</v>
      </c>
      <c r="I392">
        <v>0</v>
      </c>
      <c r="J392" t="s">
        <v>174</v>
      </c>
      <c r="K392">
        <v>0</v>
      </c>
      <c r="L392" t="s">
        <v>1425</v>
      </c>
      <c r="M392" t="s">
        <v>1426</v>
      </c>
      <c r="N392" t="s">
        <v>1427</v>
      </c>
      <c r="O392" t="s">
        <v>1428</v>
      </c>
      <c r="P392" t="s">
        <v>1429</v>
      </c>
    </row>
    <row r="393" spans="1:16" x14ac:dyDescent="0.35">
      <c r="A393" t="s">
        <v>112</v>
      </c>
      <c r="B393">
        <v>1324732688</v>
      </c>
      <c r="C393" t="s">
        <v>18</v>
      </c>
      <c r="D393" t="s">
        <v>20</v>
      </c>
      <c r="E393" s="29">
        <v>46205</v>
      </c>
      <c r="F393" t="s">
        <v>4</v>
      </c>
      <c r="G393" s="28">
        <v>0.45833333333333331</v>
      </c>
      <c r="H393" s="28">
        <v>0.45833333333333331</v>
      </c>
      <c r="I393">
        <v>0</v>
      </c>
      <c r="J393" t="s">
        <v>174</v>
      </c>
      <c r="K393">
        <v>0</v>
      </c>
      <c r="L393" t="s">
        <v>1430</v>
      </c>
      <c r="M393" t="s">
        <v>1431</v>
      </c>
      <c r="N393" t="s">
        <v>1432</v>
      </c>
      <c r="O393" t="s">
        <v>1433</v>
      </c>
      <c r="P393" t="s">
        <v>1434</v>
      </c>
    </row>
    <row r="394" spans="1:16" x14ac:dyDescent="0.35">
      <c r="A394" t="s">
        <v>112</v>
      </c>
      <c r="B394">
        <v>1324732688</v>
      </c>
      <c r="C394" t="s">
        <v>18</v>
      </c>
      <c r="D394" t="s">
        <v>20</v>
      </c>
      <c r="E394" s="29">
        <v>46205</v>
      </c>
      <c r="F394" t="s">
        <v>4</v>
      </c>
      <c r="G394" s="28">
        <v>0.46527777777777779</v>
      </c>
      <c r="H394" s="28">
        <v>0.46527777777777779</v>
      </c>
      <c r="I394">
        <v>0</v>
      </c>
      <c r="J394" t="s">
        <v>174</v>
      </c>
      <c r="K394">
        <v>0</v>
      </c>
      <c r="L394" t="s">
        <v>1435</v>
      </c>
      <c r="M394" t="s">
        <v>1436</v>
      </c>
      <c r="N394" t="s">
        <v>1437</v>
      </c>
      <c r="O394" t="s">
        <v>1438</v>
      </c>
      <c r="P394" t="s">
        <v>1439</v>
      </c>
    </row>
    <row r="395" spans="1:16" x14ac:dyDescent="0.35">
      <c r="A395" t="s">
        <v>112</v>
      </c>
      <c r="B395">
        <v>1324732688</v>
      </c>
      <c r="C395" t="s">
        <v>18</v>
      </c>
      <c r="D395" t="s">
        <v>20</v>
      </c>
      <c r="E395" s="29">
        <v>46205</v>
      </c>
      <c r="F395" t="s">
        <v>4</v>
      </c>
      <c r="G395" s="28">
        <v>0.47222222222222221</v>
      </c>
      <c r="H395" s="28">
        <v>0.47222222222222221</v>
      </c>
      <c r="I395">
        <v>0</v>
      </c>
      <c r="J395" t="s">
        <v>174</v>
      </c>
      <c r="K395">
        <v>0</v>
      </c>
      <c r="L395" t="s">
        <v>1440</v>
      </c>
      <c r="M395" t="s">
        <v>1441</v>
      </c>
      <c r="N395" t="s">
        <v>1442</v>
      </c>
      <c r="O395" t="s">
        <v>1443</v>
      </c>
      <c r="P395" t="s">
        <v>1444</v>
      </c>
    </row>
    <row r="396" spans="1:16" x14ac:dyDescent="0.35">
      <c r="A396" t="s">
        <v>112</v>
      </c>
      <c r="B396">
        <v>1324732688</v>
      </c>
      <c r="C396" t="s">
        <v>18</v>
      </c>
      <c r="D396" t="s">
        <v>20</v>
      </c>
      <c r="E396" s="29">
        <v>46205</v>
      </c>
      <c r="F396" t="s">
        <v>4</v>
      </c>
      <c r="G396" s="28">
        <v>0.47916666666666669</v>
      </c>
      <c r="H396" s="28">
        <v>0.53472222222222221</v>
      </c>
      <c r="I396">
        <v>1</v>
      </c>
      <c r="J396" t="s">
        <v>146</v>
      </c>
      <c r="K396">
        <v>4</v>
      </c>
      <c r="L396" t="s">
        <v>147</v>
      </c>
      <c r="M396" t="s">
        <v>1445</v>
      </c>
      <c r="N396" t="s">
        <v>1446</v>
      </c>
      <c r="O396" t="s">
        <v>1447</v>
      </c>
      <c r="P396" t="s">
        <v>1448</v>
      </c>
    </row>
    <row r="397" spans="1:16" x14ac:dyDescent="0.35">
      <c r="A397" t="s">
        <v>112</v>
      </c>
      <c r="B397">
        <v>1324732688</v>
      </c>
      <c r="C397" t="s">
        <v>18</v>
      </c>
      <c r="D397" t="s">
        <v>20</v>
      </c>
      <c r="E397" s="29">
        <v>46205</v>
      </c>
      <c r="F397" t="s">
        <v>4</v>
      </c>
      <c r="G397" s="28">
        <v>0.54166666666666663</v>
      </c>
      <c r="H397" s="28">
        <v>0.54166666666666663</v>
      </c>
      <c r="I397">
        <v>0</v>
      </c>
      <c r="J397" t="s">
        <v>174</v>
      </c>
      <c r="K397">
        <v>0</v>
      </c>
      <c r="L397" t="s">
        <v>1449</v>
      </c>
      <c r="M397" t="s">
        <v>1450</v>
      </c>
      <c r="N397" t="s">
        <v>1451</v>
      </c>
      <c r="O397" t="s">
        <v>1452</v>
      </c>
      <c r="P397" t="s">
        <v>1453</v>
      </c>
    </row>
    <row r="398" spans="1:16" x14ac:dyDescent="0.35">
      <c r="A398" t="s">
        <v>112</v>
      </c>
      <c r="B398">
        <v>1324732688</v>
      </c>
      <c r="C398" t="s">
        <v>18</v>
      </c>
      <c r="D398" t="s">
        <v>20</v>
      </c>
      <c r="E398" s="29">
        <v>46205</v>
      </c>
      <c r="F398" t="s">
        <v>4</v>
      </c>
      <c r="G398" s="28">
        <v>0.54861111111111116</v>
      </c>
      <c r="H398" s="28">
        <v>0.56944444444444442</v>
      </c>
      <c r="I398">
        <v>0</v>
      </c>
      <c r="J398" t="s">
        <v>146</v>
      </c>
      <c r="K398">
        <v>1</v>
      </c>
      <c r="L398" t="s">
        <v>147</v>
      </c>
      <c r="M398" t="s">
        <v>1454</v>
      </c>
      <c r="N398" t="s">
        <v>1455</v>
      </c>
      <c r="O398" t="s">
        <v>1456</v>
      </c>
      <c r="P398" t="s">
        <v>1457</v>
      </c>
    </row>
    <row r="399" spans="1:16" x14ac:dyDescent="0.35">
      <c r="A399" t="s">
        <v>112</v>
      </c>
      <c r="B399">
        <v>1324732688</v>
      </c>
      <c r="C399" t="s">
        <v>18</v>
      </c>
      <c r="D399" t="s">
        <v>20</v>
      </c>
      <c r="E399" s="29">
        <v>46205</v>
      </c>
      <c r="F399" t="s">
        <v>4</v>
      </c>
      <c r="G399" s="28">
        <v>0.57638888888888884</v>
      </c>
      <c r="H399" s="28">
        <v>0.57638888888888884</v>
      </c>
      <c r="I399">
        <v>0</v>
      </c>
      <c r="J399" t="s">
        <v>174</v>
      </c>
      <c r="K399">
        <v>0</v>
      </c>
      <c r="L399" t="s">
        <v>1022</v>
      </c>
      <c r="M399" t="s">
        <v>1458</v>
      </c>
      <c r="N399" t="s">
        <v>1459</v>
      </c>
      <c r="O399" t="s">
        <v>1460</v>
      </c>
      <c r="P399" t="s">
        <v>1461</v>
      </c>
    </row>
    <row r="400" spans="1:16" x14ac:dyDescent="0.35">
      <c r="A400" t="s">
        <v>112</v>
      </c>
      <c r="B400">
        <v>1324732688</v>
      </c>
      <c r="C400" t="s">
        <v>18</v>
      </c>
      <c r="D400" t="s">
        <v>20</v>
      </c>
      <c r="E400" s="29">
        <v>46205</v>
      </c>
      <c r="F400" t="s">
        <v>4</v>
      </c>
      <c r="G400" s="28">
        <v>0.58333333333333337</v>
      </c>
      <c r="H400" s="28">
        <v>0.59722222222222221</v>
      </c>
      <c r="I400">
        <v>0</v>
      </c>
      <c r="J400" t="s">
        <v>146</v>
      </c>
      <c r="K400">
        <v>1</v>
      </c>
      <c r="L400" t="s">
        <v>147</v>
      </c>
      <c r="M400" t="s">
        <v>1462</v>
      </c>
      <c r="N400" t="s">
        <v>1463</v>
      </c>
      <c r="O400" t="s">
        <v>1464</v>
      </c>
      <c r="P400" t="s">
        <v>1465</v>
      </c>
    </row>
    <row r="401" spans="1:16" x14ac:dyDescent="0.35">
      <c r="A401" t="s">
        <v>112</v>
      </c>
      <c r="B401">
        <v>1324732688</v>
      </c>
      <c r="C401" t="s">
        <v>18</v>
      </c>
      <c r="D401" t="s">
        <v>20</v>
      </c>
      <c r="E401" s="29">
        <v>46205</v>
      </c>
      <c r="F401" t="s">
        <v>4</v>
      </c>
      <c r="G401" s="28">
        <v>0.60416666666666663</v>
      </c>
      <c r="H401" s="28">
        <v>0.60416666666666663</v>
      </c>
      <c r="I401">
        <v>0</v>
      </c>
      <c r="J401" t="s">
        <v>174</v>
      </c>
      <c r="K401">
        <v>0</v>
      </c>
      <c r="L401" t="s">
        <v>1466</v>
      </c>
      <c r="M401" t="s">
        <v>1467</v>
      </c>
      <c r="N401" t="s">
        <v>1468</v>
      </c>
      <c r="O401" t="s">
        <v>1469</v>
      </c>
      <c r="P401" t="s">
        <v>1470</v>
      </c>
    </row>
    <row r="402" spans="1:16" x14ac:dyDescent="0.35">
      <c r="A402" t="s">
        <v>112</v>
      </c>
      <c r="B402">
        <v>1324732688</v>
      </c>
      <c r="C402" t="s">
        <v>18</v>
      </c>
      <c r="D402" t="s">
        <v>20</v>
      </c>
      <c r="E402" s="29">
        <v>46205</v>
      </c>
      <c r="F402" t="s">
        <v>4</v>
      </c>
      <c r="G402" s="28">
        <v>0.61111111111111116</v>
      </c>
      <c r="H402" s="28">
        <v>0.61111111111111116</v>
      </c>
      <c r="I402">
        <v>0</v>
      </c>
      <c r="J402" t="s">
        <v>174</v>
      </c>
      <c r="K402">
        <v>0</v>
      </c>
      <c r="L402" t="s">
        <v>213</v>
      </c>
      <c r="M402" t="s">
        <v>1471</v>
      </c>
      <c r="N402" t="s">
        <v>1472</v>
      </c>
      <c r="O402" t="s">
        <v>1473</v>
      </c>
      <c r="P402" t="s">
        <v>1474</v>
      </c>
    </row>
    <row r="403" spans="1:16" x14ac:dyDescent="0.35">
      <c r="A403" t="s">
        <v>112</v>
      </c>
      <c r="B403">
        <v>1324732688</v>
      </c>
      <c r="C403" t="s">
        <v>18</v>
      </c>
      <c r="D403" t="s">
        <v>20</v>
      </c>
      <c r="E403" s="29">
        <v>46205</v>
      </c>
      <c r="F403" t="s">
        <v>4</v>
      </c>
      <c r="G403" s="28">
        <v>0.61805555555555558</v>
      </c>
      <c r="H403" s="28">
        <v>0.625</v>
      </c>
      <c r="I403">
        <v>0</v>
      </c>
      <c r="J403" t="s">
        <v>146</v>
      </c>
      <c r="K403">
        <v>0</v>
      </c>
      <c r="L403" t="s">
        <v>147</v>
      </c>
      <c r="M403" t="s">
        <v>1462</v>
      </c>
      <c r="N403" t="s">
        <v>1463</v>
      </c>
      <c r="O403" t="s">
        <v>1464</v>
      </c>
      <c r="P403" t="s">
        <v>1465</v>
      </c>
    </row>
    <row r="404" spans="1:16" x14ac:dyDescent="0.35">
      <c r="A404" t="s">
        <v>112</v>
      </c>
      <c r="B404">
        <v>1324732688</v>
      </c>
      <c r="C404" t="s">
        <v>18</v>
      </c>
      <c r="D404" t="s">
        <v>20</v>
      </c>
      <c r="E404" s="29">
        <v>46205</v>
      </c>
      <c r="F404" t="s">
        <v>4</v>
      </c>
      <c r="G404" s="28">
        <v>0.63194444444444442</v>
      </c>
      <c r="H404" s="28">
        <v>0.63194444444444442</v>
      </c>
      <c r="I404">
        <v>0</v>
      </c>
      <c r="J404" t="s">
        <v>174</v>
      </c>
      <c r="K404">
        <v>0</v>
      </c>
      <c r="L404" t="s">
        <v>1475</v>
      </c>
      <c r="M404" t="s">
        <v>1467</v>
      </c>
      <c r="N404" t="s">
        <v>1468</v>
      </c>
      <c r="O404" t="s">
        <v>1469</v>
      </c>
      <c r="P404" t="s">
        <v>1470</v>
      </c>
    </row>
    <row r="405" spans="1:16" x14ac:dyDescent="0.35">
      <c r="A405" t="s">
        <v>112</v>
      </c>
      <c r="B405">
        <v>1324732688</v>
      </c>
      <c r="C405" t="s">
        <v>18</v>
      </c>
      <c r="D405" t="s">
        <v>20</v>
      </c>
      <c r="E405" s="29">
        <v>46205</v>
      </c>
      <c r="F405" t="s">
        <v>4</v>
      </c>
      <c r="G405" s="28">
        <v>0.63888888888888884</v>
      </c>
      <c r="H405" s="28">
        <v>0.67361111111111116</v>
      </c>
      <c r="I405">
        <v>1</v>
      </c>
      <c r="J405" t="s">
        <v>146</v>
      </c>
      <c r="K405">
        <v>3</v>
      </c>
      <c r="L405" t="s">
        <v>147</v>
      </c>
      <c r="M405" t="s">
        <v>1462</v>
      </c>
      <c r="N405" t="s">
        <v>1463</v>
      </c>
      <c r="O405" t="s">
        <v>1464</v>
      </c>
      <c r="P405" t="s">
        <v>1465</v>
      </c>
    </row>
    <row r="406" spans="1:16" x14ac:dyDescent="0.35">
      <c r="A406" t="s">
        <v>112</v>
      </c>
      <c r="B406">
        <v>1324732688</v>
      </c>
      <c r="C406" t="s">
        <v>18</v>
      </c>
      <c r="D406" t="s">
        <v>20</v>
      </c>
      <c r="E406" s="29">
        <v>46205</v>
      </c>
      <c r="F406" t="s">
        <v>4</v>
      </c>
      <c r="G406" s="28">
        <v>0.68055555555555558</v>
      </c>
      <c r="H406" s="28">
        <v>0.6875</v>
      </c>
      <c r="I406">
        <v>0</v>
      </c>
      <c r="J406" t="s">
        <v>146</v>
      </c>
      <c r="K406">
        <v>0</v>
      </c>
      <c r="L406" t="s">
        <v>147</v>
      </c>
      <c r="M406" t="s">
        <v>1467</v>
      </c>
      <c r="N406" t="s">
        <v>1468</v>
      </c>
      <c r="O406" t="s">
        <v>1469</v>
      </c>
      <c r="P406" t="s">
        <v>1470</v>
      </c>
    </row>
    <row r="407" spans="1:16" x14ac:dyDescent="0.35">
      <c r="A407" t="s">
        <v>112</v>
      </c>
      <c r="B407">
        <v>1324732688</v>
      </c>
      <c r="C407" t="s">
        <v>18</v>
      </c>
      <c r="D407" t="s">
        <v>20</v>
      </c>
      <c r="E407" s="29">
        <v>46205</v>
      </c>
      <c r="F407" t="s">
        <v>4</v>
      </c>
      <c r="G407" s="28">
        <v>0.69444444444444442</v>
      </c>
      <c r="H407" s="28">
        <v>0.69444444444444442</v>
      </c>
      <c r="I407">
        <v>0</v>
      </c>
      <c r="J407" t="s">
        <v>174</v>
      </c>
      <c r="K407">
        <v>0</v>
      </c>
      <c r="L407" t="s">
        <v>1476</v>
      </c>
      <c r="M407" t="s">
        <v>1477</v>
      </c>
      <c r="N407" t="s">
        <v>1478</v>
      </c>
      <c r="O407" t="s">
        <v>1479</v>
      </c>
      <c r="P407" t="s">
        <v>1480</v>
      </c>
    </row>
    <row r="408" spans="1:16" x14ac:dyDescent="0.35">
      <c r="A408" t="s">
        <v>112</v>
      </c>
      <c r="B408">
        <v>1324732688</v>
      </c>
      <c r="C408" t="s">
        <v>18</v>
      </c>
      <c r="D408" t="s">
        <v>20</v>
      </c>
      <c r="E408" s="29">
        <v>46205</v>
      </c>
      <c r="F408" t="s">
        <v>4</v>
      </c>
      <c r="G408" s="28">
        <v>0.70138888888888884</v>
      </c>
      <c r="H408" s="28">
        <v>0.70138888888888884</v>
      </c>
      <c r="I408">
        <v>0</v>
      </c>
      <c r="J408" t="s">
        <v>174</v>
      </c>
      <c r="K408">
        <v>0</v>
      </c>
      <c r="L408" t="s">
        <v>1481</v>
      </c>
      <c r="M408" t="s">
        <v>1482</v>
      </c>
      <c r="N408" t="s">
        <v>1483</v>
      </c>
      <c r="O408" t="s">
        <v>1484</v>
      </c>
      <c r="P408" t="s">
        <v>1485</v>
      </c>
    </row>
    <row r="409" spans="1:16" x14ac:dyDescent="0.35">
      <c r="A409" t="s">
        <v>112</v>
      </c>
      <c r="B409">
        <v>1324732688</v>
      </c>
      <c r="C409" t="s">
        <v>18</v>
      </c>
      <c r="D409" t="s">
        <v>20</v>
      </c>
      <c r="E409" s="29">
        <v>46205</v>
      </c>
      <c r="F409" t="s">
        <v>4</v>
      </c>
      <c r="G409" s="28">
        <v>0.70833333333333337</v>
      </c>
      <c r="H409" s="28">
        <v>0.70833333333333337</v>
      </c>
      <c r="I409">
        <v>0</v>
      </c>
      <c r="J409" t="s">
        <v>174</v>
      </c>
      <c r="K409">
        <v>0</v>
      </c>
      <c r="L409" t="s">
        <v>1486</v>
      </c>
      <c r="M409" t="s">
        <v>1487</v>
      </c>
      <c r="N409" t="s">
        <v>1488</v>
      </c>
      <c r="O409" t="s">
        <v>1489</v>
      </c>
      <c r="P409" t="s">
        <v>1490</v>
      </c>
    </row>
    <row r="410" spans="1:16" x14ac:dyDescent="0.35">
      <c r="A410" t="s">
        <v>112</v>
      </c>
      <c r="B410">
        <v>1324732688</v>
      </c>
      <c r="C410" t="s">
        <v>18</v>
      </c>
      <c r="D410" t="s">
        <v>20</v>
      </c>
      <c r="E410" s="29">
        <v>46205</v>
      </c>
      <c r="F410" t="s">
        <v>4</v>
      </c>
      <c r="G410" s="28">
        <v>0.71527777777777779</v>
      </c>
      <c r="H410" s="28">
        <v>0.71527777777777779</v>
      </c>
      <c r="I410">
        <v>0</v>
      </c>
      <c r="J410" t="s">
        <v>174</v>
      </c>
      <c r="K410">
        <v>0</v>
      </c>
      <c r="L410" t="s">
        <v>1491</v>
      </c>
      <c r="M410" t="s">
        <v>1492</v>
      </c>
      <c r="N410" t="s">
        <v>1493</v>
      </c>
      <c r="O410" t="s">
        <v>1494</v>
      </c>
      <c r="P410" t="s">
        <v>1495</v>
      </c>
    </row>
    <row r="411" spans="1:16" x14ac:dyDescent="0.35">
      <c r="A411" t="s">
        <v>112</v>
      </c>
      <c r="B411">
        <v>1324732688</v>
      </c>
      <c r="C411" t="s">
        <v>18</v>
      </c>
      <c r="D411" t="s">
        <v>20</v>
      </c>
      <c r="E411" s="29">
        <v>46205</v>
      </c>
      <c r="F411" t="s">
        <v>4</v>
      </c>
      <c r="G411" s="28">
        <v>0.72222222222222221</v>
      </c>
      <c r="H411" s="28">
        <v>0.72916666666666663</v>
      </c>
      <c r="I411">
        <v>0</v>
      </c>
      <c r="J411" t="s">
        <v>146</v>
      </c>
      <c r="K411">
        <v>0</v>
      </c>
      <c r="L411" t="s">
        <v>147</v>
      </c>
      <c r="M411" t="s">
        <v>1496</v>
      </c>
      <c r="N411" t="s">
        <v>1497</v>
      </c>
      <c r="O411" t="s">
        <v>1498</v>
      </c>
      <c r="P411" t="s">
        <v>1499</v>
      </c>
    </row>
    <row r="412" spans="1:16" x14ac:dyDescent="0.35">
      <c r="A412" t="s">
        <v>112</v>
      </c>
      <c r="B412">
        <v>1324732688</v>
      </c>
      <c r="C412" t="s">
        <v>18</v>
      </c>
      <c r="D412" t="s">
        <v>20</v>
      </c>
      <c r="E412" s="29">
        <v>46205</v>
      </c>
      <c r="F412" t="s">
        <v>4</v>
      </c>
      <c r="G412" s="28">
        <v>0.73611111111111116</v>
      </c>
      <c r="H412" s="28">
        <v>0.73611111111111116</v>
      </c>
      <c r="I412">
        <v>0</v>
      </c>
      <c r="J412" t="s">
        <v>174</v>
      </c>
      <c r="K412">
        <v>0</v>
      </c>
      <c r="L412" t="s">
        <v>1500</v>
      </c>
      <c r="M412" t="s">
        <v>1501</v>
      </c>
      <c r="N412" t="s">
        <v>1502</v>
      </c>
      <c r="O412" t="s">
        <v>1503</v>
      </c>
      <c r="P412" t="s">
        <v>1504</v>
      </c>
    </row>
    <row r="413" spans="1:16" x14ac:dyDescent="0.35">
      <c r="A413" t="s">
        <v>112</v>
      </c>
      <c r="B413">
        <v>1324732688</v>
      </c>
      <c r="C413" t="s">
        <v>18</v>
      </c>
      <c r="D413" t="s">
        <v>20</v>
      </c>
      <c r="E413" s="29">
        <v>46205</v>
      </c>
      <c r="F413" t="s">
        <v>4</v>
      </c>
      <c r="G413" s="28">
        <v>0.74305555555555558</v>
      </c>
      <c r="H413" s="28">
        <v>0.74305555555555558</v>
      </c>
      <c r="I413">
        <v>0</v>
      </c>
      <c r="J413" t="s">
        <v>174</v>
      </c>
      <c r="K413">
        <v>0</v>
      </c>
      <c r="L413" t="s">
        <v>1505</v>
      </c>
      <c r="M413" t="s">
        <v>1506</v>
      </c>
      <c r="N413" t="s">
        <v>1507</v>
      </c>
      <c r="O413" t="s">
        <v>1508</v>
      </c>
      <c r="P413" t="s">
        <v>1509</v>
      </c>
    </row>
    <row r="414" spans="1:16" x14ac:dyDescent="0.35">
      <c r="A414" t="s">
        <v>112</v>
      </c>
      <c r="B414">
        <v>1324732688</v>
      </c>
      <c r="C414" t="s">
        <v>18</v>
      </c>
      <c r="D414" t="s">
        <v>20</v>
      </c>
      <c r="E414" s="29">
        <v>46205</v>
      </c>
      <c r="F414" t="s">
        <v>4</v>
      </c>
      <c r="G414" s="28">
        <v>0.75</v>
      </c>
      <c r="H414" s="28">
        <v>0.99305555555555558</v>
      </c>
      <c r="I414">
        <v>6</v>
      </c>
      <c r="J414" t="s">
        <v>146</v>
      </c>
      <c r="K414">
        <v>18</v>
      </c>
      <c r="L414" t="s">
        <v>147</v>
      </c>
      <c r="M414" t="s">
        <v>1510</v>
      </c>
      <c r="N414" t="s">
        <v>1511</v>
      </c>
      <c r="O414" t="s">
        <v>1512</v>
      </c>
      <c r="P414" t="s">
        <v>1513</v>
      </c>
    </row>
    <row r="415" spans="1:16" x14ac:dyDescent="0.35">
      <c r="A415" t="s">
        <v>112</v>
      </c>
      <c r="B415">
        <v>1324732688</v>
      </c>
      <c r="C415" t="s">
        <v>18</v>
      </c>
      <c r="D415" t="s">
        <v>20</v>
      </c>
      <c r="E415" s="29">
        <v>46207</v>
      </c>
      <c r="F415" t="s">
        <v>5</v>
      </c>
      <c r="G415" s="28">
        <v>0.40972222222222221</v>
      </c>
      <c r="H415" s="28">
        <v>0.40972222222222221</v>
      </c>
      <c r="I415">
        <v>0</v>
      </c>
      <c r="J415" t="s">
        <v>174</v>
      </c>
      <c r="K415">
        <v>0</v>
      </c>
      <c r="L415" t="s">
        <v>1514</v>
      </c>
      <c r="M415" t="s">
        <v>154</v>
      </c>
      <c r="N415" t="s">
        <v>164</v>
      </c>
      <c r="O415" t="s">
        <v>165</v>
      </c>
      <c r="P415" t="s">
        <v>1350</v>
      </c>
    </row>
    <row r="416" spans="1:16" x14ac:dyDescent="0.35">
      <c r="A416" t="s">
        <v>112</v>
      </c>
      <c r="B416">
        <v>1324732688</v>
      </c>
      <c r="C416" t="s">
        <v>18</v>
      </c>
      <c r="D416" t="s">
        <v>20</v>
      </c>
      <c r="E416" s="29">
        <v>46207</v>
      </c>
      <c r="F416" t="s">
        <v>5</v>
      </c>
      <c r="G416" s="28">
        <v>0.41666666666666669</v>
      </c>
      <c r="H416" s="28">
        <v>0.41666666666666669</v>
      </c>
      <c r="I416">
        <v>0</v>
      </c>
      <c r="J416" t="s">
        <v>174</v>
      </c>
      <c r="K416">
        <v>0</v>
      </c>
      <c r="L416" t="s">
        <v>1515</v>
      </c>
      <c r="M416" t="s">
        <v>1516</v>
      </c>
      <c r="N416" t="s">
        <v>1517</v>
      </c>
      <c r="O416" t="s">
        <v>1518</v>
      </c>
      <c r="P416" t="s">
        <v>1519</v>
      </c>
    </row>
    <row r="417" spans="1:16" x14ac:dyDescent="0.35">
      <c r="A417" t="s">
        <v>112</v>
      </c>
      <c r="B417">
        <v>1324732688</v>
      </c>
      <c r="C417" t="s">
        <v>18</v>
      </c>
      <c r="D417" t="s">
        <v>20</v>
      </c>
      <c r="E417" s="29">
        <v>46207</v>
      </c>
      <c r="F417" t="s">
        <v>5</v>
      </c>
      <c r="G417" s="28">
        <v>0.4236111111111111</v>
      </c>
      <c r="H417" s="28">
        <v>0.4236111111111111</v>
      </c>
      <c r="I417">
        <v>0</v>
      </c>
      <c r="J417" t="s">
        <v>174</v>
      </c>
      <c r="K417">
        <v>0</v>
      </c>
      <c r="L417" t="s">
        <v>1520</v>
      </c>
      <c r="M417" t="s">
        <v>1521</v>
      </c>
      <c r="N417" t="s">
        <v>1522</v>
      </c>
      <c r="O417" t="s">
        <v>1523</v>
      </c>
      <c r="P417" t="s">
        <v>1524</v>
      </c>
    </row>
    <row r="418" spans="1:16" x14ac:dyDescent="0.35">
      <c r="A418" t="s">
        <v>112</v>
      </c>
      <c r="B418">
        <v>1324732688</v>
      </c>
      <c r="C418" t="s">
        <v>18</v>
      </c>
      <c r="D418" t="s">
        <v>20</v>
      </c>
      <c r="E418" s="29">
        <v>46207</v>
      </c>
      <c r="F418" t="s">
        <v>5</v>
      </c>
      <c r="G418" s="28">
        <v>0.43055555555555558</v>
      </c>
      <c r="H418" s="28">
        <v>0.43055555555555558</v>
      </c>
      <c r="I418">
        <v>0</v>
      </c>
      <c r="J418" t="s">
        <v>174</v>
      </c>
      <c r="K418">
        <v>0</v>
      </c>
      <c r="L418" t="s">
        <v>1525</v>
      </c>
      <c r="M418" t="s">
        <v>1526</v>
      </c>
      <c r="N418" t="s">
        <v>1527</v>
      </c>
      <c r="O418" t="s">
        <v>1528</v>
      </c>
      <c r="P418" t="s">
        <v>1529</v>
      </c>
    </row>
    <row r="419" spans="1:16" x14ac:dyDescent="0.35">
      <c r="A419" t="s">
        <v>112</v>
      </c>
      <c r="B419">
        <v>1324732688</v>
      </c>
      <c r="C419" t="s">
        <v>18</v>
      </c>
      <c r="D419" t="s">
        <v>20</v>
      </c>
      <c r="E419" s="29">
        <v>46207</v>
      </c>
      <c r="F419" t="s">
        <v>5</v>
      </c>
      <c r="G419" s="28">
        <v>0.4375</v>
      </c>
      <c r="H419" s="28">
        <v>0.4375</v>
      </c>
      <c r="I419">
        <v>0</v>
      </c>
      <c r="J419" t="s">
        <v>174</v>
      </c>
      <c r="K419">
        <v>0</v>
      </c>
      <c r="L419" t="s">
        <v>1530</v>
      </c>
      <c r="M419" t="s">
        <v>1531</v>
      </c>
      <c r="N419" t="s">
        <v>1532</v>
      </c>
      <c r="O419" t="s">
        <v>1533</v>
      </c>
      <c r="P419" t="s">
        <v>1534</v>
      </c>
    </row>
    <row r="420" spans="1:16" x14ac:dyDescent="0.35">
      <c r="A420" t="s">
        <v>112</v>
      </c>
      <c r="B420">
        <v>1324732688</v>
      </c>
      <c r="C420" t="s">
        <v>18</v>
      </c>
      <c r="D420" t="s">
        <v>20</v>
      </c>
      <c r="E420" s="29">
        <v>46207</v>
      </c>
      <c r="F420" t="s">
        <v>5</v>
      </c>
      <c r="G420" s="28">
        <v>0.44444444444444442</v>
      </c>
      <c r="H420" s="28">
        <v>0.44444444444444442</v>
      </c>
      <c r="I420">
        <v>0</v>
      </c>
      <c r="J420" t="s">
        <v>174</v>
      </c>
      <c r="K420">
        <v>0</v>
      </c>
      <c r="L420" t="s">
        <v>1535</v>
      </c>
      <c r="M420" t="s">
        <v>1536</v>
      </c>
      <c r="N420" t="s">
        <v>1537</v>
      </c>
      <c r="O420" t="s">
        <v>1538</v>
      </c>
      <c r="P420" t="s">
        <v>1539</v>
      </c>
    </row>
    <row r="421" spans="1:16" x14ac:dyDescent="0.35">
      <c r="A421" t="s">
        <v>112</v>
      </c>
      <c r="B421">
        <v>1324732688</v>
      </c>
      <c r="C421" t="s">
        <v>18</v>
      </c>
      <c r="D421" t="s">
        <v>20</v>
      </c>
      <c r="E421" s="29">
        <v>46207</v>
      </c>
      <c r="F421" t="s">
        <v>5</v>
      </c>
      <c r="G421" s="28">
        <v>0.4513888888888889</v>
      </c>
      <c r="H421" s="28">
        <v>0.45833333333333331</v>
      </c>
      <c r="I421">
        <v>0</v>
      </c>
      <c r="J421" t="s">
        <v>146</v>
      </c>
      <c r="K421">
        <v>0</v>
      </c>
      <c r="L421" t="s">
        <v>147</v>
      </c>
      <c r="M421" t="s">
        <v>1540</v>
      </c>
      <c r="N421" t="s">
        <v>1541</v>
      </c>
      <c r="O421" t="s">
        <v>1542</v>
      </c>
      <c r="P421" t="s">
        <v>1543</v>
      </c>
    </row>
    <row r="422" spans="1:16" x14ac:dyDescent="0.35">
      <c r="A422" t="s">
        <v>112</v>
      </c>
      <c r="B422">
        <v>1324732688</v>
      </c>
      <c r="C422" t="s">
        <v>18</v>
      </c>
      <c r="D422" t="s">
        <v>20</v>
      </c>
      <c r="E422" s="29">
        <v>46207</v>
      </c>
      <c r="F422" t="s">
        <v>5</v>
      </c>
      <c r="G422" s="28">
        <v>0.46527777777777779</v>
      </c>
      <c r="H422" s="28">
        <v>0.46527777777777779</v>
      </c>
      <c r="I422">
        <v>0</v>
      </c>
      <c r="J422" t="s">
        <v>174</v>
      </c>
      <c r="K422">
        <v>0</v>
      </c>
      <c r="L422" t="s">
        <v>1544</v>
      </c>
      <c r="M422" t="s">
        <v>1545</v>
      </c>
      <c r="N422" t="s">
        <v>1546</v>
      </c>
      <c r="O422" t="s">
        <v>1547</v>
      </c>
      <c r="P422" t="s">
        <v>1548</v>
      </c>
    </row>
    <row r="423" spans="1:16" x14ac:dyDescent="0.35">
      <c r="A423" t="s">
        <v>112</v>
      </c>
      <c r="B423">
        <v>1324732688</v>
      </c>
      <c r="C423" t="s">
        <v>18</v>
      </c>
      <c r="D423" t="s">
        <v>20</v>
      </c>
      <c r="E423" s="29">
        <v>46207</v>
      </c>
      <c r="F423" t="s">
        <v>5</v>
      </c>
      <c r="G423" s="28">
        <v>0.47222222222222221</v>
      </c>
      <c r="H423" s="28">
        <v>0.47222222222222221</v>
      </c>
      <c r="I423">
        <v>0</v>
      </c>
      <c r="J423" t="s">
        <v>174</v>
      </c>
      <c r="K423">
        <v>0</v>
      </c>
      <c r="L423" t="s">
        <v>1188</v>
      </c>
      <c r="M423" t="s">
        <v>1549</v>
      </c>
      <c r="N423" t="s">
        <v>1550</v>
      </c>
      <c r="O423" t="s">
        <v>1551</v>
      </c>
      <c r="P423" t="s">
        <v>1552</v>
      </c>
    </row>
    <row r="424" spans="1:16" x14ac:dyDescent="0.35">
      <c r="A424" t="s">
        <v>112</v>
      </c>
      <c r="B424">
        <v>1324732688</v>
      </c>
      <c r="C424" t="s">
        <v>18</v>
      </c>
      <c r="D424" t="s">
        <v>20</v>
      </c>
      <c r="E424" s="29">
        <v>46207</v>
      </c>
      <c r="F424" t="s">
        <v>5</v>
      </c>
      <c r="G424" s="28">
        <v>0.47916666666666669</v>
      </c>
      <c r="H424" s="28">
        <v>0.47916666666666669</v>
      </c>
      <c r="I424">
        <v>0</v>
      </c>
      <c r="J424" t="s">
        <v>174</v>
      </c>
      <c r="K424">
        <v>0</v>
      </c>
      <c r="L424" t="s">
        <v>1553</v>
      </c>
      <c r="M424" t="s">
        <v>1554</v>
      </c>
      <c r="N424" t="s">
        <v>1555</v>
      </c>
      <c r="O424" t="s">
        <v>1556</v>
      </c>
      <c r="P424" t="s">
        <v>1557</v>
      </c>
    </row>
    <row r="425" spans="1:16" x14ac:dyDescent="0.35">
      <c r="A425" t="s">
        <v>112</v>
      </c>
      <c r="B425">
        <v>1324732688</v>
      </c>
      <c r="C425" t="s">
        <v>18</v>
      </c>
      <c r="D425" t="s">
        <v>20</v>
      </c>
      <c r="E425" s="29">
        <v>46207</v>
      </c>
      <c r="F425" t="s">
        <v>5</v>
      </c>
      <c r="G425" s="28">
        <v>0.4861111111111111</v>
      </c>
      <c r="H425" s="28">
        <v>0.49305555555555558</v>
      </c>
      <c r="I425">
        <v>0</v>
      </c>
      <c r="J425" t="s">
        <v>146</v>
      </c>
      <c r="K425">
        <v>1</v>
      </c>
      <c r="L425" t="s">
        <v>147</v>
      </c>
      <c r="M425" t="s">
        <v>1558</v>
      </c>
      <c r="N425" t="s">
        <v>1559</v>
      </c>
      <c r="O425" t="s">
        <v>1560</v>
      </c>
      <c r="P425" t="s">
        <v>1561</v>
      </c>
    </row>
    <row r="426" spans="1:16" x14ac:dyDescent="0.35">
      <c r="A426" t="s">
        <v>112</v>
      </c>
      <c r="B426">
        <v>1324732688</v>
      </c>
      <c r="C426" t="s">
        <v>18</v>
      </c>
      <c r="D426" t="s">
        <v>20</v>
      </c>
      <c r="E426" s="29">
        <v>46207</v>
      </c>
      <c r="F426" t="s">
        <v>5</v>
      </c>
      <c r="G426" s="28">
        <v>0.5</v>
      </c>
      <c r="H426" s="28">
        <v>0.5</v>
      </c>
      <c r="I426">
        <v>0</v>
      </c>
      <c r="J426" t="s">
        <v>174</v>
      </c>
      <c r="K426">
        <v>0</v>
      </c>
      <c r="L426" t="s">
        <v>600</v>
      </c>
      <c r="M426" t="s">
        <v>1562</v>
      </c>
      <c r="N426" t="s">
        <v>1563</v>
      </c>
      <c r="O426" t="s">
        <v>1564</v>
      </c>
      <c r="P426" t="s">
        <v>1565</v>
      </c>
    </row>
    <row r="427" spans="1:16" x14ac:dyDescent="0.35">
      <c r="A427" t="s">
        <v>112</v>
      </c>
      <c r="B427">
        <v>1324732688</v>
      </c>
      <c r="C427" t="s">
        <v>18</v>
      </c>
      <c r="D427" t="s">
        <v>20</v>
      </c>
      <c r="E427" s="29">
        <v>46207</v>
      </c>
      <c r="F427" t="s">
        <v>5</v>
      </c>
      <c r="G427" s="28">
        <v>0.50694444444444442</v>
      </c>
      <c r="H427" s="28">
        <v>0.56944444444444442</v>
      </c>
      <c r="I427">
        <v>2</v>
      </c>
      <c r="J427" t="s">
        <v>146</v>
      </c>
      <c r="K427">
        <v>4</v>
      </c>
      <c r="L427" t="s">
        <v>147</v>
      </c>
      <c r="M427" t="s">
        <v>1566</v>
      </c>
      <c r="N427" t="s">
        <v>1567</v>
      </c>
      <c r="O427" t="s">
        <v>1568</v>
      </c>
      <c r="P427" t="s">
        <v>1569</v>
      </c>
    </row>
    <row r="428" spans="1:16" x14ac:dyDescent="0.35">
      <c r="A428" t="s">
        <v>112</v>
      </c>
      <c r="B428">
        <v>1324732688</v>
      </c>
      <c r="C428" t="s">
        <v>18</v>
      </c>
      <c r="D428" t="s">
        <v>20</v>
      </c>
      <c r="E428" s="29">
        <v>46207</v>
      </c>
      <c r="F428" t="s">
        <v>5</v>
      </c>
      <c r="G428" s="28">
        <v>0.57638888888888884</v>
      </c>
      <c r="H428" s="28">
        <v>0.59027777777777779</v>
      </c>
      <c r="I428">
        <v>0</v>
      </c>
      <c r="J428" t="s">
        <v>146</v>
      </c>
      <c r="K428">
        <v>1</v>
      </c>
      <c r="L428" t="s">
        <v>147</v>
      </c>
      <c r="M428" t="s">
        <v>1570</v>
      </c>
      <c r="N428" t="s">
        <v>1571</v>
      </c>
      <c r="O428" t="s">
        <v>1572</v>
      </c>
      <c r="P428" t="s">
        <v>1573</v>
      </c>
    </row>
    <row r="429" spans="1:16" x14ac:dyDescent="0.35">
      <c r="A429" t="s">
        <v>112</v>
      </c>
      <c r="B429">
        <v>1324732688</v>
      </c>
      <c r="C429" t="s">
        <v>18</v>
      </c>
      <c r="D429" t="s">
        <v>20</v>
      </c>
      <c r="E429" s="29">
        <v>46207</v>
      </c>
      <c r="F429" t="s">
        <v>5</v>
      </c>
      <c r="G429" s="28">
        <v>0.59722222222222221</v>
      </c>
      <c r="H429" s="28">
        <v>0.59722222222222221</v>
      </c>
      <c r="I429">
        <v>0</v>
      </c>
      <c r="J429" t="s">
        <v>174</v>
      </c>
      <c r="K429">
        <v>0</v>
      </c>
      <c r="L429" t="s">
        <v>1574</v>
      </c>
      <c r="M429" t="s">
        <v>1575</v>
      </c>
      <c r="N429" t="s">
        <v>1576</v>
      </c>
      <c r="O429" t="s">
        <v>1577</v>
      </c>
      <c r="P429" t="s">
        <v>1578</v>
      </c>
    </row>
    <row r="430" spans="1:16" x14ac:dyDescent="0.35">
      <c r="A430" t="s">
        <v>112</v>
      </c>
      <c r="B430">
        <v>1324732688</v>
      </c>
      <c r="C430" t="s">
        <v>18</v>
      </c>
      <c r="D430" t="s">
        <v>20</v>
      </c>
      <c r="E430" s="29">
        <v>46207</v>
      </c>
      <c r="F430" t="s">
        <v>5</v>
      </c>
      <c r="G430" s="28">
        <v>0.60416666666666663</v>
      </c>
      <c r="H430" s="28">
        <v>0.60416666666666663</v>
      </c>
      <c r="I430">
        <v>0</v>
      </c>
      <c r="J430" t="s">
        <v>174</v>
      </c>
      <c r="K430">
        <v>0</v>
      </c>
      <c r="L430" t="s">
        <v>1579</v>
      </c>
      <c r="M430" t="s">
        <v>1580</v>
      </c>
      <c r="N430" t="s">
        <v>1581</v>
      </c>
      <c r="O430" t="s">
        <v>1582</v>
      </c>
      <c r="P430" t="s">
        <v>1583</v>
      </c>
    </row>
    <row r="431" spans="1:16" x14ac:dyDescent="0.35">
      <c r="A431" t="s">
        <v>112</v>
      </c>
      <c r="B431">
        <v>1324732688</v>
      </c>
      <c r="C431" t="s">
        <v>18</v>
      </c>
      <c r="D431" t="s">
        <v>20</v>
      </c>
      <c r="E431" s="29">
        <v>46207</v>
      </c>
      <c r="F431" t="s">
        <v>5</v>
      </c>
      <c r="G431" s="28">
        <v>0.61111111111111116</v>
      </c>
      <c r="H431" s="28">
        <v>0.61111111111111116</v>
      </c>
      <c r="I431">
        <v>0</v>
      </c>
      <c r="J431" t="s">
        <v>174</v>
      </c>
      <c r="K431">
        <v>0</v>
      </c>
      <c r="L431" t="s">
        <v>1584</v>
      </c>
      <c r="M431" t="s">
        <v>1585</v>
      </c>
      <c r="N431" t="s">
        <v>1586</v>
      </c>
      <c r="O431" t="s">
        <v>1587</v>
      </c>
      <c r="P431" t="s">
        <v>1588</v>
      </c>
    </row>
    <row r="432" spans="1:16" x14ac:dyDescent="0.35">
      <c r="A432" t="s">
        <v>112</v>
      </c>
      <c r="B432">
        <v>1324732688</v>
      </c>
      <c r="C432" t="s">
        <v>18</v>
      </c>
      <c r="D432" t="s">
        <v>20</v>
      </c>
      <c r="E432" s="29">
        <v>46207</v>
      </c>
      <c r="F432" t="s">
        <v>5</v>
      </c>
      <c r="G432" s="28">
        <v>0.61805555555555558</v>
      </c>
      <c r="H432" s="28">
        <v>0.61805555555555558</v>
      </c>
      <c r="I432">
        <v>0</v>
      </c>
      <c r="J432" t="s">
        <v>174</v>
      </c>
      <c r="K432">
        <v>0</v>
      </c>
      <c r="L432" t="s">
        <v>1589</v>
      </c>
      <c r="M432" t="s">
        <v>1531</v>
      </c>
      <c r="N432" t="s">
        <v>1532</v>
      </c>
      <c r="O432" t="s">
        <v>1533</v>
      </c>
      <c r="P432" t="s">
        <v>1534</v>
      </c>
    </row>
    <row r="433" spans="1:16" x14ac:dyDescent="0.35">
      <c r="A433" t="s">
        <v>112</v>
      </c>
      <c r="B433">
        <v>1324732688</v>
      </c>
      <c r="C433" t="s">
        <v>18</v>
      </c>
      <c r="D433" t="s">
        <v>20</v>
      </c>
      <c r="E433" s="29">
        <v>46207</v>
      </c>
      <c r="F433" t="s">
        <v>5</v>
      </c>
      <c r="G433" s="28">
        <v>0.625</v>
      </c>
      <c r="H433" s="28">
        <v>0.63888888888888884</v>
      </c>
      <c r="I433">
        <v>0</v>
      </c>
      <c r="J433" t="s">
        <v>146</v>
      </c>
      <c r="K433">
        <v>1</v>
      </c>
      <c r="L433" t="s">
        <v>147</v>
      </c>
      <c r="M433" t="s">
        <v>1590</v>
      </c>
      <c r="N433" t="s">
        <v>1591</v>
      </c>
      <c r="O433" t="s">
        <v>1592</v>
      </c>
      <c r="P433" t="s">
        <v>1593</v>
      </c>
    </row>
    <row r="434" spans="1:16" x14ac:dyDescent="0.35">
      <c r="A434" t="s">
        <v>112</v>
      </c>
      <c r="B434">
        <v>1324732688</v>
      </c>
      <c r="C434" t="s">
        <v>18</v>
      </c>
      <c r="D434" t="s">
        <v>20</v>
      </c>
      <c r="E434" s="29">
        <v>46207</v>
      </c>
      <c r="F434" t="s">
        <v>5</v>
      </c>
      <c r="G434" s="28">
        <v>0.64583333333333337</v>
      </c>
      <c r="H434" s="28">
        <v>0.66666666666666663</v>
      </c>
      <c r="I434">
        <v>0</v>
      </c>
      <c r="J434" t="s">
        <v>146</v>
      </c>
      <c r="K434">
        <v>1</v>
      </c>
      <c r="L434" t="s">
        <v>147</v>
      </c>
      <c r="M434" t="s">
        <v>1531</v>
      </c>
      <c r="N434" t="s">
        <v>1532</v>
      </c>
      <c r="O434" t="s">
        <v>1533</v>
      </c>
      <c r="P434" t="s">
        <v>1534</v>
      </c>
    </row>
    <row r="435" spans="1:16" x14ac:dyDescent="0.35">
      <c r="A435" t="s">
        <v>112</v>
      </c>
      <c r="B435">
        <v>1324732688</v>
      </c>
      <c r="C435" t="s">
        <v>18</v>
      </c>
      <c r="D435" t="s">
        <v>20</v>
      </c>
      <c r="E435" s="29">
        <v>46207</v>
      </c>
      <c r="F435" t="s">
        <v>5</v>
      </c>
      <c r="G435" s="28">
        <v>0.67361111111111116</v>
      </c>
      <c r="H435" s="28">
        <v>0.67361111111111116</v>
      </c>
      <c r="I435">
        <v>0</v>
      </c>
      <c r="J435" t="s">
        <v>174</v>
      </c>
      <c r="K435">
        <v>0</v>
      </c>
      <c r="L435" t="s">
        <v>471</v>
      </c>
      <c r="M435" t="s">
        <v>1590</v>
      </c>
      <c r="N435" t="s">
        <v>1591</v>
      </c>
      <c r="O435" t="s">
        <v>1592</v>
      </c>
      <c r="P435" t="s">
        <v>1593</v>
      </c>
    </row>
    <row r="436" spans="1:16" x14ac:dyDescent="0.35">
      <c r="A436" t="s">
        <v>112</v>
      </c>
      <c r="B436">
        <v>1324732688</v>
      </c>
      <c r="C436" t="s">
        <v>18</v>
      </c>
      <c r="D436" t="s">
        <v>20</v>
      </c>
      <c r="E436" s="29">
        <v>46207</v>
      </c>
      <c r="F436" t="s">
        <v>5</v>
      </c>
      <c r="G436" s="28">
        <v>0.68055555555555558</v>
      </c>
      <c r="H436" s="28">
        <v>0.68055555555555558</v>
      </c>
      <c r="I436">
        <v>0</v>
      </c>
      <c r="J436" t="s">
        <v>174</v>
      </c>
      <c r="K436">
        <v>0</v>
      </c>
      <c r="L436" t="s">
        <v>1594</v>
      </c>
      <c r="M436" t="s">
        <v>1526</v>
      </c>
      <c r="N436" t="s">
        <v>1527</v>
      </c>
      <c r="O436" t="s">
        <v>1528</v>
      </c>
      <c r="P436" t="s">
        <v>1529</v>
      </c>
    </row>
    <row r="437" spans="1:16" x14ac:dyDescent="0.35">
      <c r="A437" t="s">
        <v>112</v>
      </c>
      <c r="B437">
        <v>1324732688</v>
      </c>
      <c r="C437" t="s">
        <v>18</v>
      </c>
      <c r="D437" t="s">
        <v>20</v>
      </c>
      <c r="E437" s="29">
        <v>46207</v>
      </c>
      <c r="F437" t="s">
        <v>5</v>
      </c>
      <c r="G437" s="28">
        <v>0.6875</v>
      </c>
      <c r="H437" s="28">
        <v>0.6875</v>
      </c>
      <c r="I437">
        <v>0</v>
      </c>
      <c r="J437" t="s">
        <v>174</v>
      </c>
      <c r="K437">
        <v>0</v>
      </c>
      <c r="L437" t="s">
        <v>1595</v>
      </c>
      <c r="M437" t="s">
        <v>1596</v>
      </c>
      <c r="N437" t="s">
        <v>1597</v>
      </c>
      <c r="O437" t="s">
        <v>1598</v>
      </c>
      <c r="P437" t="s">
        <v>1599</v>
      </c>
    </row>
    <row r="438" spans="1:16" x14ac:dyDescent="0.35">
      <c r="A438" t="s">
        <v>112</v>
      </c>
      <c r="B438">
        <v>1324732688</v>
      </c>
      <c r="C438" t="s">
        <v>18</v>
      </c>
      <c r="D438" t="s">
        <v>20</v>
      </c>
      <c r="E438" s="29">
        <v>46207</v>
      </c>
      <c r="F438" t="s">
        <v>5</v>
      </c>
      <c r="G438" s="28">
        <v>0.69444444444444442</v>
      </c>
      <c r="H438" s="28">
        <v>0.69444444444444442</v>
      </c>
      <c r="I438">
        <v>0</v>
      </c>
      <c r="J438" t="s">
        <v>174</v>
      </c>
      <c r="K438">
        <v>0</v>
      </c>
      <c r="L438" t="s">
        <v>1600</v>
      </c>
      <c r="M438" t="s">
        <v>1516</v>
      </c>
      <c r="N438" t="s">
        <v>1517</v>
      </c>
      <c r="O438" t="s">
        <v>1518</v>
      </c>
      <c r="P438" t="s">
        <v>1519</v>
      </c>
    </row>
    <row r="439" spans="1:16" x14ac:dyDescent="0.35">
      <c r="A439" t="s">
        <v>112</v>
      </c>
      <c r="B439">
        <v>1324732688</v>
      </c>
      <c r="C439" t="s">
        <v>18</v>
      </c>
      <c r="D439" t="s">
        <v>20</v>
      </c>
      <c r="E439" s="29">
        <v>46207</v>
      </c>
      <c r="F439" t="s">
        <v>5</v>
      </c>
      <c r="G439" s="28">
        <v>0.70138888888888884</v>
      </c>
      <c r="H439" s="28">
        <v>0.70138888888888884</v>
      </c>
      <c r="I439">
        <v>0</v>
      </c>
      <c r="J439" t="s">
        <v>174</v>
      </c>
      <c r="K439">
        <v>0</v>
      </c>
      <c r="L439" t="s">
        <v>1601</v>
      </c>
      <c r="M439" t="s">
        <v>1376</v>
      </c>
      <c r="N439" t="s">
        <v>1377</v>
      </c>
      <c r="O439" t="s">
        <v>1378</v>
      </c>
      <c r="P439" t="s">
        <v>1379</v>
      </c>
    </row>
    <row r="440" spans="1:16" x14ac:dyDescent="0.35">
      <c r="A440" t="s">
        <v>112</v>
      </c>
      <c r="B440">
        <v>1324732688</v>
      </c>
      <c r="C440" t="s">
        <v>18</v>
      </c>
      <c r="D440" t="s">
        <v>20</v>
      </c>
      <c r="E440" s="29">
        <v>46207</v>
      </c>
      <c r="F440" t="s">
        <v>5</v>
      </c>
      <c r="G440" s="28">
        <v>0.70833333333333337</v>
      </c>
      <c r="H440" s="28">
        <v>0.77777777777777779</v>
      </c>
      <c r="I440">
        <v>2</v>
      </c>
      <c r="J440" t="s">
        <v>146</v>
      </c>
      <c r="K440">
        <v>5</v>
      </c>
      <c r="L440" t="s">
        <v>147</v>
      </c>
      <c r="M440" t="s">
        <v>154</v>
      </c>
      <c r="N440" t="s">
        <v>164</v>
      </c>
      <c r="O440" t="s">
        <v>165</v>
      </c>
      <c r="P440" t="s">
        <v>1350</v>
      </c>
    </row>
    <row r="441" spans="1:16" x14ac:dyDescent="0.35">
      <c r="A441" t="s">
        <v>112</v>
      </c>
      <c r="B441">
        <v>1324732688</v>
      </c>
      <c r="C441" t="s">
        <v>18</v>
      </c>
      <c r="D441" t="s">
        <v>20</v>
      </c>
      <c r="E441" s="29">
        <v>46207</v>
      </c>
      <c r="F441" t="s">
        <v>5</v>
      </c>
      <c r="G441" s="28">
        <v>0.78541666666666665</v>
      </c>
      <c r="H441" s="28">
        <v>0.78541666666666665</v>
      </c>
      <c r="I441">
        <v>0</v>
      </c>
      <c r="J441" t="s">
        <v>174</v>
      </c>
      <c r="K441">
        <v>0</v>
      </c>
      <c r="L441" t="s">
        <v>1602</v>
      </c>
      <c r="M441" t="s">
        <v>1603</v>
      </c>
      <c r="N441" t="s">
        <v>1604</v>
      </c>
      <c r="O441" t="s">
        <v>1605</v>
      </c>
      <c r="P441" t="s">
        <v>1606</v>
      </c>
    </row>
    <row r="442" spans="1:16" x14ac:dyDescent="0.35">
      <c r="A442" t="s">
        <v>112</v>
      </c>
      <c r="B442">
        <v>1324732688</v>
      </c>
      <c r="C442" t="s">
        <v>18</v>
      </c>
      <c r="D442" t="s">
        <v>20</v>
      </c>
      <c r="E442" s="29">
        <v>46208</v>
      </c>
      <c r="F442" t="s">
        <v>6</v>
      </c>
      <c r="G442" s="28">
        <v>0.3888888888888889</v>
      </c>
      <c r="H442" s="28">
        <v>0.3888888888888889</v>
      </c>
      <c r="I442">
        <v>0</v>
      </c>
      <c r="J442" t="s">
        <v>174</v>
      </c>
      <c r="K442">
        <v>0</v>
      </c>
      <c r="L442" t="s">
        <v>1607</v>
      </c>
      <c r="M442" t="s">
        <v>1608</v>
      </c>
      <c r="N442" t="s">
        <v>1609</v>
      </c>
      <c r="O442" t="s">
        <v>1610</v>
      </c>
      <c r="P442" t="s">
        <v>1611</v>
      </c>
    </row>
    <row r="443" spans="1:16" x14ac:dyDescent="0.35">
      <c r="A443" t="s">
        <v>112</v>
      </c>
      <c r="B443">
        <v>1324732688</v>
      </c>
      <c r="C443" t="s">
        <v>18</v>
      </c>
      <c r="D443" t="s">
        <v>20</v>
      </c>
      <c r="E443" s="29">
        <v>46208</v>
      </c>
      <c r="F443" t="s">
        <v>6</v>
      </c>
      <c r="G443" s="28">
        <v>0.39583333333333331</v>
      </c>
      <c r="H443" s="28">
        <v>0.39583333333333331</v>
      </c>
      <c r="I443">
        <v>0</v>
      </c>
      <c r="J443" t="s">
        <v>174</v>
      </c>
      <c r="K443">
        <v>0</v>
      </c>
      <c r="L443" t="s">
        <v>1612</v>
      </c>
      <c r="M443" t="s">
        <v>1356</v>
      </c>
      <c r="N443" t="s">
        <v>1357</v>
      </c>
      <c r="O443" t="s">
        <v>1358</v>
      </c>
      <c r="P443" t="s">
        <v>1359</v>
      </c>
    </row>
    <row r="444" spans="1:16" x14ac:dyDescent="0.35">
      <c r="A444" t="s">
        <v>112</v>
      </c>
      <c r="B444">
        <v>1324732688</v>
      </c>
      <c r="C444" t="s">
        <v>18</v>
      </c>
      <c r="D444" t="s">
        <v>20</v>
      </c>
      <c r="E444" s="29">
        <v>46208</v>
      </c>
      <c r="F444" t="s">
        <v>6</v>
      </c>
      <c r="G444" s="28">
        <v>0.40277777777777779</v>
      </c>
      <c r="H444" s="28">
        <v>0.40277777777777779</v>
      </c>
      <c r="I444">
        <v>0</v>
      </c>
      <c r="J444" t="s">
        <v>174</v>
      </c>
      <c r="K444">
        <v>0</v>
      </c>
      <c r="L444" t="s">
        <v>1613</v>
      </c>
      <c r="M444" t="s">
        <v>1614</v>
      </c>
      <c r="N444" t="s">
        <v>1615</v>
      </c>
      <c r="O444" t="s">
        <v>1616</v>
      </c>
      <c r="P444" t="s">
        <v>1617</v>
      </c>
    </row>
    <row r="445" spans="1:16" x14ac:dyDescent="0.35">
      <c r="A445" t="s">
        <v>112</v>
      </c>
      <c r="B445">
        <v>1324732688</v>
      </c>
      <c r="C445" t="s">
        <v>18</v>
      </c>
      <c r="D445" t="s">
        <v>20</v>
      </c>
      <c r="E445" s="29">
        <v>46208</v>
      </c>
      <c r="F445" t="s">
        <v>6</v>
      </c>
      <c r="G445" s="28">
        <v>0.40972222222222221</v>
      </c>
      <c r="H445" s="28">
        <v>0.40972222222222221</v>
      </c>
      <c r="I445">
        <v>0</v>
      </c>
      <c r="J445" t="s">
        <v>174</v>
      </c>
      <c r="K445">
        <v>0</v>
      </c>
      <c r="L445" t="s">
        <v>1618</v>
      </c>
      <c r="M445" t="s">
        <v>1619</v>
      </c>
      <c r="N445" t="s">
        <v>1620</v>
      </c>
      <c r="O445" t="s">
        <v>1621</v>
      </c>
      <c r="P445" t="s">
        <v>1622</v>
      </c>
    </row>
    <row r="446" spans="1:16" x14ac:dyDescent="0.35">
      <c r="A446" t="s">
        <v>112</v>
      </c>
      <c r="B446">
        <v>1324732688</v>
      </c>
      <c r="C446" t="s">
        <v>18</v>
      </c>
      <c r="D446" t="s">
        <v>20</v>
      </c>
      <c r="E446" s="29">
        <v>46208</v>
      </c>
      <c r="F446" t="s">
        <v>6</v>
      </c>
      <c r="G446" s="28">
        <v>0.41666666666666669</v>
      </c>
      <c r="H446" s="28">
        <v>0.41666666666666669</v>
      </c>
      <c r="I446">
        <v>0</v>
      </c>
      <c r="J446" t="s">
        <v>174</v>
      </c>
      <c r="K446">
        <v>0</v>
      </c>
      <c r="L446" t="s">
        <v>1623</v>
      </c>
      <c r="M446" t="s">
        <v>1624</v>
      </c>
      <c r="N446" t="s">
        <v>1625</v>
      </c>
      <c r="O446" t="s">
        <v>1626</v>
      </c>
      <c r="P446" t="s">
        <v>1627</v>
      </c>
    </row>
    <row r="447" spans="1:16" x14ac:dyDescent="0.35">
      <c r="A447" t="s">
        <v>112</v>
      </c>
      <c r="B447">
        <v>1324732688</v>
      </c>
      <c r="C447" t="s">
        <v>18</v>
      </c>
      <c r="D447" t="s">
        <v>20</v>
      </c>
      <c r="E447" s="29">
        <v>46208</v>
      </c>
      <c r="F447" t="s">
        <v>6</v>
      </c>
      <c r="G447" s="28">
        <v>0.4236111111111111</v>
      </c>
      <c r="H447" s="28">
        <v>0.4236111111111111</v>
      </c>
      <c r="I447">
        <v>0</v>
      </c>
      <c r="J447" t="s">
        <v>174</v>
      </c>
      <c r="K447">
        <v>0</v>
      </c>
      <c r="L447" t="s">
        <v>921</v>
      </c>
      <c r="M447" t="s">
        <v>1628</v>
      </c>
      <c r="N447" t="s">
        <v>1629</v>
      </c>
      <c r="O447" t="s">
        <v>1630</v>
      </c>
      <c r="P447" t="s">
        <v>1631</v>
      </c>
    </row>
    <row r="448" spans="1:16" x14ac:dyDescent="0.35">
      <c r="A448" t="s">
        <v>112</v>
      </c>
      <c r="B448">
        <v>1324732688</v>
      </c>
      <c r="C448" t="s">
        <v>18</v>
      </c>
      <c r="D448" t="s">
        <v>20</v>
      </c>
      <c r="E448" s="29">
        <v>46208</v>
      </c>
      <c r="F448" t="s">
        <v>6</v>
      </c>
      <c r="G448" s="28">
        <v>0.43055555555555558</v>
      </c>
      <c r="H448" s="28">
        <v>0.43055555555555558</v>
      </c>
      <c r="I448">
        <v>0</v>
      </c>
      <c r="J448" t="s">
        <v>174</v>
      </c>
      <c r="K448">
        <v>0</v>
      </c>
      <c r="L448" t="s">
        <v>1632</v>
      </c>
      <c r="M448" t="s">
        <v>1633</v>
      </c>
      <c r="N448" t="s">
        <v>1634</v>
      </c>
      <c r="O448" t="s">
        <v>1635</v>
      </c>
      <c r="P448" t="s">
        <v>1636</v>
      </c>
    </row>
    <row r="449" spans="1:16" x14ac:dyDescent="0.35">
      <c r="A449" t="s">
        <v>112</v>
      </c>
      <c r="B449">
        <v>1324732688</v>
      </c>
      <c r="C449" t="s">
        <v>18</v>
      </c>
      <c r="D449" t="s">
        <v>20</v>
      </c>
      <c r="E449" s="29">
        <v>46208</v>
      </c>
      <c r="F449" t="s">
        <v>6</v>
      </c>
      <c r="G449" s="28">
        <v>0.44444444444444442</v>
      </c>
      <c r="H449" s="28">
        <v>0.46527777777777779</v>
      </c>
      <c r="I449">
        <v>1</v>
      </c>
      <c r="J449" t="s">
        <v>146</v>
      </c>
      <c r="K449">
        <v>2</v>
      </c>
      <c r="L449" t="s">
        <v>147</v>
      </c>
      <c r="M449" t="s">
        <v>1637</v>
      </c>
      <c r="N449" t="s">
        <v>1638</v>
      </c>
      <c r="O449" t="s">
        <v>1639</v>
      </c>
      <c r="P449" t="s">
        <v>1640</v>
      </c>
    </row>
    <row r="450" spans="1:16" x14ac:dyDescent="0.35">
      <c r="A450" t="s">
        <v>112</v>
      </c>
      <c r="B450">
        <v>1324732688</v>
      </c>
      <c r="C450" t="s">
        <v>18</v>
      </c>
      <c r="D450" t="s">
        <v>20</v>
      </c>
      <c r="E450" s="29">
        <v>46208</v>
      </c>
      <c r="F450" t="s">
        <v>6</v>
      </c>
      <c r="G450" s="28">
        <v>0.47222222222222221</v>
      </c>
      <c r="H450" s="28">
        <v>0.47916666666666669</v>
      </c>
      <c r="I450">
        <v>0</v>
      </c>
      <c r="J450" t="s">
        <v>146</v>
      </c>
      <c r="K450">
        <v>1</v>
      </c>
      <c r="L450" t="s">
        <v>147</v>
      </c>
      <c r="M450" t="s">
        <v>1641</v>
      </c>
      <c r="N450" t="s">
        <v>1642</v>
      </c>
      <c r="O450" t="s">
        <v>1643</v>
      </c>
      <c r="P450" t="s">
        <v>1644</v>
      </c>
    </row>
    <row r="451" spans="1:16" x14ac:dyDescent="0.35">
      <c r="A451" t="s">
        <v>112</v>
      </c>
      <c r="B451">
        <v>1324732688</v>
      </c>
      <c r="C451" t="s">
        <v>18</v>
      </c>
      <c r="D451" t="s">
        <v>20</v>
      </c>
      <c r="E451" s="29">
        <v>46208</v>
      </c>
      <c r="F451" t="s">
        <v>6</v>
      </c>
      <c r="G451" s="28">
        <v>0.4861111111111111</v>
      </c>
      <c r="H451" s="28">
        <v>0.4861111111111111</v>
      </c>
      <c r="I451">
        <v>0</v>
      </c>
      <c r="J451" t="s">
        <v>174</v>
      </c>
      <c r="K451">
        <v>0</v>
      </c>
      <c r="L451" t="s">
        <v>466</v>
      </c>
      <c r="M451" t="s">
        <v>1645</v>
      </c>
      <c r="N451" t="s">
        <v>1646</v>
      </c>
      <c r="O451" t="s">
        <v>1647</v>
      </c>
      <c r="P451" t="s">
        <v>1648</v>
      </c>
    </row>
    <row r="452" spans="1:16" x14ac:dyDescent="0.35">
      <c r="A452" t="s">
        <v>112</v>
      </c>
      <c r="B452">
        <v>1324732688</v>
      </c>
      <c r="C452" t="s">
        <v>18</v>
      </c>
      <c r="D452" t="s">
        <v>20</v>
      </c>
      <c r="E452" s="29">
        <v>46208</v>
      </c>
      <c r="F452" t="s">
        <v>6</v>
      </c>
      <c r="G452" s="28">
        <v>0.49305555555555558</v>
      </c>
      <c r="H452" s="28">
        <v>0.49305555555555558</v>
      </c>
      <c r="I452">
        <v>0</v>
      </c>
      <c r="J452" t="s">
        <v>174</v>
      </c>
      <c r="K452">
        <v>0</v>
      </c>
      <c r="L452" t="s">
        <v>1649</v>
      </c>
      <c r="M452" t="s">
        <v>1637</v>
      </c>
      <c r="N452" t="s">
        <v>1638</v>
      </c>
      <c r="O452" t="s">
        <v>1639</v>
      </c>
      <c r="P452" t="s">
        <v>1640</v>
      </c>
    </row>
    <row r="453" spans="1:16" x14ac:dyDescent="0.35">
      <c r="A453" t="s">
        <v>112</v>
      </c>
      <c r="B453">
        <v>1324732688</v>
      </c>
      <c r="C453" t="s">
        <v>18</v>
      </c>
      <c r="D453" t="s">
        <v>20</v>
      </c>
      <c r="E453" s="29">
        <v>46208</v>
      </c>
      <c r="F453" t="s">
        <v>6</v>
      </c>
      <c r="G453" s="28">
        <v>0.5</v>
      </c>
      <c r="H453" s="28">
        <v>0.50694444444444442</v>
      </c>
      <c r="I453">
        <v>0</v>
      </c>
      <c r="J453" t="s">
        <v>146</v>
      </c>
      <c r="K453">
        <v>0</v>
      </c>
      <c r="L453" t="s">
        <v>147</v>
      </c>
      <c r="M453" t="s">
        <v>1650</v>
      </c>
      <c r="N453" t="s">
        <v>1651</v>
      </c>
      <c r="O453" t="s">
        <v>1652</v>
      </c>
      <c r="P453" t="s">
        <v>1653</v>
      </c>
    </row>
    <row r="454" spans="1:16" x14ac:dyDescent="0.35">
      <c r="A454" t="s">
        <v>112</v>
      </c>
      <c r="B454">
        <v>1324732688</v>
      </c>
      <c r="C454" t="s">
        <v>18</v>
      </c>
      <c r="D454" t="s">
        <v>20</v>
      </c>
      <c r="E454" s="29">
        <v>46208</v>
      </c>
      <c r="F454" t="s">
        <v>6</v>
      </c>
      <c r="G454" s="28">
        <v>0.51388888888888884</v>
      </c>
      <c r="H454" s="28">
        <v>0.51388888888888884</v>
      </c>
      <c r="I454">
        <v>0</v>
      </c>
      <c r="J454" t="s">
        <v>174</v>
      </c>
      <c r="K454">
        <v>0</v>
      </c>
      <c r="L454" t="s">
        <v>262</v>
      </c>
      <c r="M454" t="s">
        <v>1641</v>
      </c>
      <c r="N454" t="s">
        <v>1642</v>
      </c>
      <c r="O454" t="s">
        <v>1643</v>
      </c>
      <c r="P454" t="s">
        <v>1644</v>
      </c>
    </row>
    <row r="455" spans="1:16" x14ac:dyDescent="0.35">
      <c r="A455" t="s">
        <v>112</v>
      </c>
      <c r="B455">
        <v>1324732688</v>
      </c>
      <c r="C455" t="s">
        <v>18</v>
      </c>
      <c r="D455" t="s">
        <v>20</v>
      </c>
      <c r="E455" s="29">
        <v>46208</v>
      </c>
      <c r="F455" t="s">
        <v>6</v>
      </c>
      <c r="G455" s="28">
        <v>0.52083333333333337</v>
      </c>
      <c r="H455" s="28">
        <v>0.52083333333333337</v>
      </c>
      <c r="I455">
        <v>0</v>
      </c>
      <c r="J455" t="s">
        <v>174</v>
      </c>
      <c r="K455">
        <v>0</v>
      </c>
      <c r="L455" t="s">
        <v>262</v>
      </c>
      <c r="M455" t="s">
        <v>1637</v>
      </c>
      <c r="N455" t="s">
        <v>1638</v>
      </c>
      <c r="O455" t="s">
        <v>1639</v>
      </c>
      <c r="P455" t="s">
        <v>1640</v>
      </c>
    </row>
    <row r="456" spans="1:16" x14ac:dyDescent="0.35">
      <c r="A456" t="s">
        <v>112</v>
      </c>
      <c r="B456">
        <v>1324732688</v>
      </c>
      <c r="C456" t="s">
        <v>18</v>
      </c>
      <c r="D456" t="s">
        <v>20</v>
      </c>
      <c r="E456" s="29">
        <v>46208</v>
      </c>
      <c r="F456" t="s">
        <v>6</v>
      </c>
      <c r="G456" s="28">
        <v>0.52777777777777779</v>
      </c>
      <c r="H456" s="28">
        <v>0.54861111111111116</v>
      </c>
      <c r="I456">
        <v>1</v>
      </c>
      <c r="J456" t="s">
        <v>146</v>
      </c>
      <c r="K456">
        <v>2</v>
      </c>
      <c r="L456" t="s">
        <v>147</v>
      </c>
      <c r="M456" t="s">
        <v>1641</v>
      </c>
      <c r="N456" t="s">
        <v>1642</v>
      </c>
      <c r="O456" t="s">
        <v>1643</v>
      </c>
      <c r="P456" t="s">
        <v>1644</v>
      </c>
    </row>
    <row r="457" spans="1:16" x14ac:dyDescent="0.35">
      <c r="A457" t="s">
        <v>112</v>
      </c>
      <c r="B457">
        <v>1324732688</v>
      </c>
      <c r="C457" t="s">
        <v>18</v>
      </c>
      <c r="D457" t="s">
        <v>20</v>
      </c>
      <c r="E457" s="29">
        <v>46208</v>
      </c>
      <c r="F457" t="s">
        <v>6</v>
      </c>
      <c r="G457" s="28">
        <v>0.55555555555555558</v>
      </c>
      <c r="H457" s="28">
        <v>0.55555555555555558</v>
      </c>
      <c r="I457">
        <v>0</v>
      </c>
      <c r="J457" t="s">
        <v>174</v>
      </c>
      <c r="K457">
        <v>0</v>
      </c>
      <c r="L457" t="s">
        <v>262</v>
      </c>
      <c r="M457" t="s">
        <v>1637</v>
      </c>
      <c r="N457" t="s">
        <v>1638</v>
      </c>
      <c r="O457" t="s">
        <v>1639</v>
      </c>
      <c r="P457" t="s">
        <v>1640</v>
      </c>
    </row>
    <row r="458" spans="1:16" x14ac:dyDescent="0.35">
      <c r="A458" t="s">
        <v>112</v>
      </c>
      <c r="B458">
        <v>1324732688</v>
      </c>
      <c r="C458" t="s">
        <v>18</v>
      </c>
      <c r="D458" t="s">
        <v>20</v>
      </c>
      <c r="E458" s="29">
        <v>46208</v>
      </c>
      <c r="F458" t="s">
        <v>6</v>
      </c>
      <c r="G458" s="28">
        <v>0.5625</v>
      </c>
      <c r="H458" s="28">
        <v>0.58333333333333337</v>
      </c>
      <c r="I458">
        <v>1</v>
      </c>
      <c r="J458" t="s">
        <v>146</v>
      </c>
      <c r="K458">
        <v>2</v>
      </c>
      <c r="L458" t="s">
        <v>147</v>
      </c>
      <c r="M458" t="s">
        <v>1641</v>
      </c>
      <c r="N458" t="s">
        <v>1642</v>
      </c>
      <c r="O458" t="s">
        <v>1643</v>
      </c>
      <c r="P458" t="s">
        <v>1644</v>
      </c>
    </row>
    <row r="459" spans="1:16" x14ac:dyDescent="0.35">
      <c r="A459" t="s">
        <v>112</v>
      </c>
      <c r="B459">
        <v>1324732688</v>
      </c>
      <c r="C459" t="s">
        <v>18</v>
      </c>
      <c r="D459" t="s">
        <v>20</v>
      </c>
      <c r="E459" s="29">
        <v>46208</v>
      </c>
      <c r="F459" t="s">
        <v>6</v>
      </c>
      <c r="G459" s="28">
        <v>0.59027777777777779</v>
      </c>
      <c r="H459" s="28">
        <v>0.59027777777777779</v>
      </c>
      <c r="I459">
        <v>0</v>
      </c>
      <c r="J459" t="s">
        <v>174</v>
      </c>
      <c r="K459">
        <v>0</v>
      </c>
      <c r="L459" t="s">
        <v>1148</v>
      </c>
      <c r="M459" t="s">
        <v>1654</v>
      </c>
      <c r="N459" t="s">
        <v>1655</v>
      </c>
      <c r="O459" t="s">
        <v>1656</v>
      </c>
      <c r="P459" t="s">
        <v>1657</v>
      </c>
    </row>
    <row r="460" spans="1:16" x14ac:dyDescent="0.35">
      <c r="A460" t="s">
        <v>112</v>
      </c>
      <c r="B460">
        <v>1324732688</v>
      </c>
      <c r="C460" t="s">
        <v>18</v>
      </c>
      <c r="D460" t="s">
        <v>20</v>
      </c>
      <c r="E460" s="29">
        <v>46208</v>
      </c>
      <c r="F460" t="s">
        <v>6</v>
      </c>
      <c r="G460" s="28">
        <v>0.59722222222222221</v>
      </c>
      <c r="H460" s="28">
        <v>0.59722222222222221</v>
      </c>
      <c r="I460">
        <v>0</v>
      </c>
      <c r="J460" t="s">
        <v>174</v>
      </c>
      <c r="K460">
        <v>0</v>
      </c>
      <c r="L460" t="s">
        <v>1658</v>
      </c>
      <c r="M460" t="s">
        <v>1633</v>
      </c>
      <c r="N460" t="s">
        <v>1634</v>
      </c>
      <c r="O460" t="s">
        <v>1635</v>
      </c>
      <c r="P460" t="s">
        <v>1636</v>
      </c>
    </row>
    <row r="461" spans="1:16" x14ac:dyDescent="0.35">
      <c r="A461" t="s">
        <v>112</v>
      </c>
      <c r="B461">
        <v>1324732688</v>
      </c>
      <c r="C461" t="s">
        <v>18</v>
      </c>
      <c r="D461" t="s">
        <v>20</v>
      </c>
      <c r="E461" s="29">
        <v>46208</v>
      </c>
      <c r="F461" t="s">
        <v>6</v>
      </c>
      <c r="G461" s="28">
        <v>0.60416666666666663</v>
      </c>
      <c r="H461" s="28">
        <v>0.69444444444444442</v>
      </c>
      <c r="I461">
        <v>2</v>
      </c>
      <c r="J461" t="s">
        <v>146</v>
      </c>
      <c r="K461">
        <v>6</v>
      </c>
      <c r="L461" t="s">
        <v>147</v>
      </c>
      <c r="M461" t="s">
        <v>1659</v>
      </c>
      <c r="N461" t="s">
        <v>1660</v>
      </c>
      <c r="O461" t="s">
        <v>1661</v>
      </c>
      <c r="P461" t="s">
        <v>1662</v>
      </c>
    </row>
    <row r="462" spans="1:16" x14ac:dyDescent="0.35">
      <c r="A462" t="s">
        <v>112</v>
      </c>
      <c r="B462">
        <v>1324732688</v>
      </c>
      <c r="C462" t="s">
        <v>18</v>
      </c>
      <c r="D462" t="s">
        <v>20</v>
      </c>
      <c r="E462" s="29">
        <v>46208</v>
      </c>
      <c r="F462" t="s">
        <v>6</v>
      </c>
      <c r="G462" s="28">
        <v>0.70138888888888884</v>
      </c>
      <c r="H462" s="28">
        <v>0.70138888888888884</v>
      </c>
      <c r="I462">
        <v>0</v>
      </c>
      <c r="J462" t="s">
        <v>174</v>
      </c>
      <c r="K462">
        <v>0</v>
      </c>
      <c r="L462" t="s">
        <v>287</v>
      </c>
      <c r="M462" t="s">
        <v>1663</v>
      </c>
      <c r="N462" t="s">
        <v>1664</v>
      </c>
      <c r="O462" t="s">
        <v>1665</v>
      </c>
      <c r="P462" t="s">
        <v>1666</v>
      </c>
    </row>
    <row r="463" spans="1:16" x14ac:dyDescent="0.35">
      <c r="A463" t="s">
        <v>112</v>
      </c>
      <c r="B463">
        <v>1324732688</v>
      </c>
      <c r="C463" t="s">
        <v>18</v>
      </c>
      <c r="D463" t="s">
        <v>20</v>
      </c>
      <c r="E463" s="29">
        <v>46208</v>
      </c>
      <c r="F463" t="s">
        <v>6</v>
      </c>
      <c r="G463" s="28">
        <v>0.70833333333333337</v>
      </c>
      <c r="H463" s="28">
        <v>0.70833333333333337</v>
      </c>
      <c r="I463">
        <v>0</v>
      </c>
      <c r="J463" t="s">
        <v>174</v>
      </c>
      <c r="K463">
        <v>0</v>
      </c>
      <c r="L463" t="s">
        <v>1667</v>
      </c>
      <c r="M463" t="s">
        <v>1668</v>
      </c>
      <c r="N463" t="s">
        <v>1669</v>
      </c>
      <c r="O463" t="s">
        <v>1670</v>
      </c>
      <c r="P463" t="s">
        <v>1671</v>
      </c>
    </row>
    <row r="464" spans="1:16" x14ac:dyDescent="0.35">
      <c r="A464" t="s">
        <v>112</v>
      </c>
      <c r="B464">
        <v>1324732688</v>
      </c>
      <c r="C464" t="s">
        <v>18</v>
      </c>
      <c r="D464" t="s">
        <v>20</v>
      </c>
      <c r="E464" s="29">
        <v>46208</v>
      </c>
      <c r="F464" t="s">
        <v>6</v>
      </c>
      <c r="G464" s="28">
        <v>0.71527777777777779</v>
      </c>
      <c r="H464" s="28">
        <v>0.71527777777777779</v>
      </c>
      <c r="I464">
        <v>0</v>
      </c>
      <c r="J464" t="s">
        <v>174</v>
      </c>
      <c r="K464">
        <v>0</v>
      </c>
      <c r="L464" t="s">
        <v>1672</v>
      </c>
      <c r="M464" t="s">
        <v>1673</v>
      </c>
      <c r="N464" t="s">
        <v>1674</v>
      </c>
      <c r="O464" t="s">
        <v>1675</v>
      </c>
      <c r="P464" t="s">
        <v>1676</v>
      </c>
    </row>
    <row r="465" spans="1:16" x14ac:dyDescent="0.35">
      <c r="A465" t="s">
        <v>112</v>
      </c>
      <c r="B465">
        <v>1324732688</v>
      </c>
      <c r="C465" t="s">
        <v>18</v>
      </c>
      <c r="D465" t="s">
        <v>20</v>
      </c>
      <c r="E465" s="29">
        <v>46208</v>
      </c>
      <c r="F465" t="s">
        <v>6</v>
      </c>
      <c r="G465" s="28">
        <v>0.72222222222222221</v>
      </c>
      <c r="H465" s="28">
        <v>0.72222222222222221</v>
      </c>
      <c r="I465">
        <v>0</v>
      </c>
      <c r="J465" t="s">
        <v>174</v>
      </c>
      <c r="K465">
        <v>0</v>
      </c>
      <c r="L465" t="s">
        <v>1677</v>
      </c>
      <c r="M465" t="s">
        <v>1678</v>
      </c>
      <c r="N465" t="s">
        <v>1679</v>
      </c>
      <c r="O465" t="s">
        <v>1680</v>
      </c>
      <c r="P465" t="s">
        <v>1681</v>
      </c>
    </row>
    <row r="466" spans="1:16" x14ac:dyDescent="0.35">
      <c r="A466" t="s">
        <v>112</v>
      </c>
      <c r="B466">
        <v>1324732688</v>
      </c>
      <c r="C466" t="s">
        <v>18</v>
      </c>
      <c r="D466" t="s">
        <v>20</v>
      </c>
      <c r="E466" s="29">
        <v>46208</v>
      </c>
      <c r="F466" t="s">
        <v>6</v>
      </c>
      <c r="G466" s="28">
        <v>0.72916666666666663</v>
      </c>
      <c r="H466" s="28">
        <v>0.72916666666666663</v>
      </c>
      <c r="I466">
        <v>0</v>
      </c>
      <c r="J466" t="s">
        <v>174</v>
      </c>
      <c r="K466">
        <v>0</v>
      </c>
      <c r="L466" t="s">
        <v>1682</v>
      </c>
      <c r="M466" t="s">
        <v>1683</v>
      </c>
      <c r="N466" t="s">
        <v>1684</v>
      </c>
      <c r="O466" t="s">
        <v>1685</v>
      </c>
      <c r="P466" t="s">
        <v>1686</v>
      </c>
    </row>
    <row r="467" spans="1:16" x14ac:dyDescent="0.35">
      <c r="A467" t="s">
        <v>112</v>
      </c>
      <c r="B467">
        <v>1324732688</v>
      </c>
      <c r="C467" t="s">
        <v>18</v>
      </c>
      <c r="D467" t="s">
        <v>20</v>
      </c>
      <c r="E467" s="29">
        <v>46208</v>
      </c>
      <c r="F467" t="s">
        <v>6</v>
      </c>
      <c r="G467" s="28">
        <v>0.73611111111111116</v>
      </c>
      <c r="H467" s="28">
        <v>0.73611111111111116</v>
      </c>
      <c r="I467">
        <v>0</v>
      </c>
      <c r="J467" t="s">
        <v>174</v>
      </c>
      <c r="K467">
        <v>0</v>
      </c>
      <c r="L467" t="s">
        <v>1687</v>
      </c>
      <c r="M467" t="s">
        <v>1688</v>
      </c>
      <c r="N467" t="s">
        <v>1689</v>
      </c>
      <c r="O467" t="s">
        <v>1690</v>
      </c>
      <c r="P467" t="s">
        <v>1691</v>
      </c>
    </row>
    <row r="468" spans="1:16" x14ac:dyDescent="0.35">
      <c r="A468" t="s">
        <v>112</v>
      </c>
      <c r="B468">
        <v>1324732688</v>
      </c>
      <c r="C468" t="s">
        <v>18</v>
      </c>
      <c r="D468" t="s">
        <v>20</v>
      </c>
      <c r="E468" s="29">
        <v>46208</v>
      </c>
      <c r="F468" t="s">
        <v>6</v>
      </c>
      <c r="G468" s="28">
        <v>0.74305555555555558</v>
      </c>
      <c r="H468" s="28">
        <v>0.74305555555555558</v>
      </c>
      <c r="I468">
        <v>0</v>
      </c>
      <c r="J468" t="s">
        <v>174</v>
      </c>
      <c r="K468">
        <v>0</v>
      </c>
      <c r="L468" t="s">
        <v>1692</v>
      </c>
      <c r="M468" t="s">
        <v>1360</v>
      </c>
      <c r="N468" t="s">
        <v>1693</v>
      </c>
      <c r="O468" t="s">
        <v>1694</v>
      </c>
      <c r="P468" t="s">
        <v>1695</v>
      </c>
    </row>
    <row r="469" spans="1:16" x14ac:dyDescent="0.35">
      <c r="A469" t="s">
        <v>112</v>
      </c>
      <c r="B469">
        <v>1324732688</v>
      </c>
      <c r="C469" t="s">
        <v>18</v>
      </c>
      <c r="D469" t="s">
        <v>20</v>
      </c>
      <c r="E469" s="29">
        <v>46208</v>
      </c>
      <c r="F469" t="s">
        <v>6</v>
      </c>
      <c r="G469" s="28">
        <v>0.75</v>
      </c>
      <c r="H469" s="28">
        <v>0.75</v>
      </c>
      <c r="I469">
        <v>0</v>
      </c>
      <c r="J469" t="s">
        <v>174</v>
      </c>
      <c r="K469">
        <v>0</v>
      </c>
      <c r="L469" t="s">
        <v>1370</v>
      </c>
      <c r="M469" t="s">
        <v>1371</v>
      </c>
      <c r="N469" t="s">
        <v>1372</v>
      </c>
      <c r="O469" t="s">
        <v>1373</v>
      </c>
      <c r="P469" t="s">
        <v>1374</v>
      </c>
    </row>
    <row r="470" spans="1:16" x14ac:dyDescent="0.35">
      <c r="A470" t="s">
        <v>112</v>
      </c>
      <c r="B470">
        <v>1324732688</v>
      </c>
      <c r="C470" t="s">
        <v>18</v>
      </c>
      <c r="D470" t="s">
        <v>20</v>
      </c>
      <c r="E470" s="29">
        <v>46208</v>
      </c>
      <c r="F470" t="s">
        <v>6</v>
      </c>
      <c r="G470" s="28">
        <v>0.75694444444444442</v>
      </c>
      <c r="H470" s="28">
        <v>0.75694444444444442</v>
      </c>
      <c r="I470">
        <v>0</v>
      </c>
      <c r="J470" t="s">
        <v>174</v>
      </c>
      <c r="K470">
        <v>0</v>
      </c>
      <c r="L470" t="s">
        <v>1349</v>
      </c>
      <c r="M470" t="s">
        <v>1340</v>
      </c>
      <c r="N470" t="s">
        <v>1341</v>
      </c>
      <c r="O470" t="s">
        <v>1342</v>
      </c>
      <c r="P470" t="s">
        <v>1343</v>
      </c>
    </row>
    <row r="471" spans="1:16" x14ac:dyDescent="0.35">
      <c r="A471" t="s">
        <v>112</v>
      </c>
      <c r="B471">
        <v>1324732688</v>
      </c>
      <c r="C471" t="s">
        <v>18</v>
      </c>
      <c r="D471" t="s">
        <v>20</v>
      </c>
      <c r="E471" s="29">
        <v>46208</v>
      </c>
      <c r="F471" t="s">
        <v>6</v>
      </c>
      <c r="G471" s="28">
        <v>0.76388888888888884</v>
      </c>
      <c r="H471" s="28">
        <v>0.79861111111111116</v>
      </c>
      <c r="I471">
        <v>1</v>
      </c>
      <c r="J471" t="s">
        <v>146</v>
      </c>
      <c r="K471">
        <v>3</v>
      </c>
      <c r="L471" t="s">
        <v>147</v>
      </c>
      <c r="M471" t="s">
        <v>154</v>
      </c>
      <c r="N471" t="s">
        <v>164</v>
      </c>
      <c r="O471" t="s">
        <v>165</v>
      </c>
      <c r="P471" t="s">
        <v>1350</v>
      </c>
    </row>
    <row r="472" spans="1:16" x14ac:dyDescent="0.35">
      <c r="A472" t="s">
        <v>102</v>
      </c>
      <c r="B472">
        <v>1322845177</v>
      </c>
      <c r="C472" t="s">
        <v>18</v>
      </c>
      <c r="D472" t="s">
        <v>20</v>
      </c>
      <c r="E472" s="29">
        <v>46204</v>
      </c>
      <c r="F472" t="s">
        <v>3</v>
      </c>
      <c r="G472" s="28">
        <v>0.37708333333333333</v>
      </c>
      <c r="H472" s="28">
        <v>0.37708333333333333</v>
      </c>
      <c r="I472">
        <v>0</v>
      </c>
      <c r="J472" t="s">
        <v>174</v>
      </c>
      <c r="K472">
        <v>0</v>
      </c>
      <c r="L472" t="s">
        <v>1696</v>
      </c>
      <c r="M472" t="s">
        <v>1697</v>
      </c>
      <c r="N472" t="s">
        <v>1698</v>
      </c>
      <c r="O472" t="s">
        <v>1699</v>
      </c>
      <c r="P472" t="s">
        <v>1700</v>
      </c>
    </row>
    <row r="473" spans="1:16" x14ac:dyDescent="0.35">
      <c r="A473" t="s">
        <v>102</v>
      </c>
      <c r="B473">
        <v>1322845177</v>
      </c>
      <c r="C473" t="s">
        <v>18</v>
      </c>
      <c r="D473" t="s">
        <v>20</v>
      </c>
      <c r="E473" s="29">
        <v>46204</v>
      </c>
      <c r="F473" t="s">
        <v>3</v>
      </c>
      <c r="G473" s="28">
        <v>0.3840277777777778</v>
      </c>
      <c r="H473" s="28">
        <v>0.39097222222222222</v>
      </c>
      <c r="I473">
        <v>0</v>
      </c>
      <c r="J473" t="s">
        <v>146</v>
      </c>
      <c r="K473">
        <v>0</v>
      </c>
      <c r="L473" t="s">
        <v>147</v>
      </c>
      <c r="M473" t="s">
        <v>1701</v>
      </c>
      <c r="N473" t="s">
        <v>1702</v>
      </c>
      <c r="O473" t="s">
        <v>1703</v>
      </c>
      <c r="P473" t="s">
        <v>1704</v>
      </c>
    </row>
    <row r="474" spans="1:16" x14ac:dyDescent="0.35">
      <c r="A474" t="s">
        <v>102</v>
      </c>
      <c r="B474">
        <v>1322845177</v>
      </c>
      <c r="C474" t="s">
        <v>18</v>
      </c>
      <c r="D474" t="s">
        <v>20</v>
      </c>
      <c r="E474" s="29">
        <v>46204</v>
      </c>
      <c r="F474" t="s">
        <v>3</v>
      </c>
      <c r="G474" s="28">
        <v>0.39791666666666664</v>
      </c>
      <c r="H474" s="28">
        <v>0.42569444444444443</v>
      </c>
      <c r="I474">
        <v>1</v>
      </c>
      <c r="J474" t="s">
        <v>146</v>
      </c>
      <c r="K474">
        <v>2</v>
      </c>
      <c r="L474" t="s">
        <v>147</v>
      </c>
      <c r="M474" t="s">
        <v>1705</v>
      </c>
      <c r="N474" t="s">
        <v>1706</v>
      </c>
      <c r="O474" t="s">
        <v>1707</v>
      </c>
      <c r="P474" t="s">
        <v>1708</v>
      </c>
    </row>
    <row r="475" spans="1:16" x14ac:dyDescent="0.35">
      <c r="A475" t="s">
        <v>102</v>
      </c>
      <c r="B475">
        <v>1322845177</v>
      </c>
      <c r="C475" t="s">
        <v>18</v>
      </c>
      <c r="D475" t="s">
        <v>20</v>
      </c>
      <c r="E475" s="29">
        <v>46204</v>
      </c>
      <c r="F475" t="s">
        <v>3</v>
      </c>
      <c r="G475" s="28">
        <v>0.43263888888888891</v>
      </c>
      <c r="H475" s="28">
        <v>0.43958333333333333</v>
      </c>
      <c r="I475">
        <v>0</v>
      </c>
      <c r="J475" t="s">
        <v>146</v>
      </c>
      <c r="K475">
        <v>0</v>
      </c>
      <c r="L475" t="s">
        <v>147</v>
      </c>
      <c r="M475" t="s">
        <v>1701</v>
      </c>
      <c r="N475" t="s">
        <v>1702</v>
      </c>
      <c r="O475" t="s">
        <v>1703</v>
      </c>
      <c r="P475" t="s">
        <v>1704</v>
      </c>
    </row>
    <row r="476" spans="1:16" x14ac:dyDescent="0.35">
      <c r="A476" t="s">
        <v>102</v>
      </c>
      <c r="B476">
        <v>1322845177</v>
      </c>
      <c r="C476" t="s">
        <v>18</v>
      </c>
      <c r="D476" t="s">
        <v>20</v>
      </c>
      <c r="E476" s="29">
        <v>46204</v>
      </c>
      <c r="F476" t="s">
        <v>3</v>
      </c>
      <c r="G476" s="28">
        <v>0.4465277777777778</v>
      </c>
      <c r="H476" s="28">
        <v>0.45347222222222222</v>
      </c>
      <c r="I476">
        <v>0</v>
      </c>
      <c r="J476" t="s">
        <v>146</v>
      </c>
      <c r="K476">
        <v>0</v>
      </c>
      <c r="L476" t="s">
        <v>147</v>
      </c>
      <c r="M476" t="s">
        <v>1705</v>
      </c>
      <c r="N476" t="s">
        <v>1706</v>
      </c>
      <c r="O476" t="s">
        <v>1707</v>
      </c>
      <c r="P476" t="s">
        <v>1708</v>
      </c>
    </row>
    <row r="477" spans="1:16" x14ac:dyDescent="0.35">
      <c r="A477" t="s">
        <v>102</v>
      </c>
      <c r="B477">
        <v>1322845177</v>
      </c>
      <c r="C477" t="s">
        <v>18</v>
      </c>
      <c r="D477" t="s">
        <v>20</v>
      </c>
      <c r="E477" s="29">
        <v>46204</v>
      </c>
      <c r="F477" t="s">
        <v>3</v>
      </c>
      <c r="G477" s="28">
        <v>0.46041666666666664</v>
      </c>
      <c r="H477" s="28">
        <v>0.46041666666666664</v>
      </c>
      <c r="I477">
        <v>0</v>
      </c>
      <c r="J477" t="s">
        <v>174</v>
      </c>
      <c r="K477">
        <v>0</v>
      </c>
      <c r="L477" t="s">
        <v>1709</v>
      </c>
      <c r="M477" t="s">
        <v>1701</v>
      </c>
      <c r="N477" t="s">
        <v>1702</v>
      </c>
      <c r="O477" t="s">
        <v>1703</v>
      </c>
      <c r="P477" t="s">
        <v>1704</v>
      </c>
    </row>
    <row r="478" spans="1:16" x14ac:dyDescent="0.35">
      <c r="A478" t="s">
        <v>102</v>
      </c>
      <c r="B478">
        <v>1322845177</v>
      </c>
      <c r="C478" t="s">
        <v>18</v>
      </c>
      <c r="D478" t="s">
        <v>20</v>
      </c>
      <c r="E478" s="29">
        <v>46204</v>
      </c>
      <c r="F478" t="s">
        <v>3</v>
      </c>
      <c r="G478" s="28">
        <v>0.46736111111111112</v>
      </c>
      <c r="H478" s="28">
        <v>0.47430555555555554</v>
      </c>
      <c r="I478">
        <v>0</v>
      </c>
      <c r="J478" t="s">
        <v>146</v>
      </c>
      <c r="K478">
        <v>0</v>
      </c>
      <c r="L478" t="s">
        <v>147</v>
      </c>
      <c r="M478" t="s">
        <v>1705</v>
      </c>
      <c r="N478" t="s">
        <v>1706</v>
      </c>
      <c r="O478" t="s">
        <v>1707</v>
      </c>
      <c r="P478" t="s">
        <v>1708</v>
      </c>
    </row>
    <row r="479" spans="1:16" x14ac:dyDescent="0.35">
      <c r="A479" t="s">
        <v>102</v>
      </c>
      <c r="B479">
        <v>1322845177</v>
      </c>
      <c r="C479" t="s">
        <v>18</v>
      </c>
      <c r="D479" t="s">
        <v>20</v>
      </c>
      <c r="E479" s="29">
        <v>46204</v>
      </c>
      <c r="F479" t="s">
        <v>3</v>
      </c>
      <c r="G479" s="28">
        <v>0.48125000000000001</v>
      </c>
      <c r="H479" s="28">
        <v>0.48125000000000001</v>
      </c>
      <c r="I479">
        <v>0</v>
      </c>
      <c r="J479" t="s">
        <v>174</v>
      </c>
      <c r="K479">
        <v>0</v>
      </c>
      <c r="L479" t="s">
        <v>1710</v>
      </c>
      <c r="M479" t="s">
        <v>1711</v>
      </c>
      <c r="N479" t="s">
        <v>1712</v>
      </c>
      <c r="O479" t="s">
        <v>1713</v>
      </c>
      <c r="P479" t="s">
        <v>1714</v>
      </c>
    </row>
    <row r="480" spans="1:16" x14ac:dyDescent="0.35">
      <c r="A480" t="s">
        <v>102</v>
      </c>
      <c r="B480">
        <v>1322845177</v>
      </c>
      <c r="C480" t="s">
        <v>18</v>
      </c>
      <c r="D480" t="s">
        <v>20</v>
      </c>
      <c r="E480" s="29">
        <v>46204</v>
      </c>
      <c r="F480" t="s">
        <v>3</v>
      </c>
      <c r="G480" s="28">
        <v>0.48819444444444443</v>
      </c>
      <c r="H480" s="28">
        <v>0.48819444444444443</v>
      </c>
      <c r="I480">
        <v>0</v>
      </c>
      <c r="J480" t="s">
        <v>174</v>
      </c>
      <c r="K480">
        <v>0</v>
      </c>
      <c r="L480" t="s">
        <v>1715</v>
      </c>
      <c r="M480" t="s">
        <v>1716</v>
      </c>
      <c r="N480" t="s">
        <v>1717</v>
      </c>
      <c r="O480" t="s">
        <v>1718</v>
      </c>
      <c r="P480" t="s">
        <v>1719</v>
      </c>
    </row>
    <row r="481" spans="1:16" x14ac:dyDescent="0.35">
      <c r="A481" t="s">
        <v>102</v>
      </c>
      <c r="B481">
        <v>1322845177</v>
      </c>
      <c r="C481" t="s">
        <v>18</v>
      </c>
      <c r="D481" t="s">
        <v>20</v>
      </c>
      <c r="E481" s="29">
        <v>46204</v>
      </c>
      <c r="F481" t="s">
        <v>3</v>
      </c>
      <c r="G481" s="28">
        <v>0.49513888888888891</v>
      </c>
      <c r="H481" s="28">
        <v>0.53680555555555554</v>
      </c>
      <c r="I481">
        <v>1</v>
      </c>
      <c r="J481" t="s">
        <v>146</v>
      </c>
      <c r="K481">
        <v>3</v>
      </c>
      <c r="L481" t="s">
        <v>147</v>
      </c>
      <c r="M481" t="s">
        <v>1720</v>
      </c>
      <c r="N481" t="s">
        <v>1721</v>
      </c>
      <c r="O481" t="s">
        <v>1722</v>
      </c>
      <c r="P481" t="s">
        <v>1723</v>
      </c>
    </row>
    <row r="482" spans="1:16" x14ac:dyDescent="0.35">
      <c r="A482" t="s">
        <v>102</v>
      </c>
      <c r="B482">
        <v>1322845177</v>
      </c>
      <c r="C482" t="s">
        <v>18</v>
      </c>
      <c r="D482" t="s">
        <v>20</v>
      </c>
      <c r="E482" s="29">
        <v>46204</v>
      </c>
      <c r="F482" t="s">
        <v>3</v>
      </c>
      <c r="G482" s="28">
        <v>0.54374999999999996</v>
      </c>
      <c r="H482" s="28">
        <v>0.54374999999999996</v>
      </c>
      <c r="I482">
        <v>0</v>
      </c>
      <c r="J482" t="s">
        <v>174</v>
      </c>
      <c r="K482">
        <v>0</v>
      </c>
      <c r="L482" t="s">
        <v>1715</v>
      </c>
      <c r="M482" t="s">
        <v>1716</v>
      </c>
      <c r="N482" t="s">
        <v>1717</v>
      </c>
      <c r="O482" t="s">
        <v>1718</v>
      </c>
      <c r="P482" t="s">
        <v>1719</v>
      </c>
    </row>
    <row r="483" spans="1:16" x14ac:dyDescent="0.35">
      <c r="A483" t="s">
        <v>102</v>
      </c>
      <c r="B483">
        <v>1322845177</v>
      </c>
      <c r="C483" t="s">
        <v>18</v>
      </c>
      <c r="D483" t="s">
        <v>20</v>
      </c>
      <c r="E483" s="29">
        <v>46204</v>
      </c>
      <c r="F483" t="s">
        <v>3</v>
      </c>
      <c r="G483" s="28">
        <v>0.55069444444444449</v>
      </c>
      <c r="H483" s="28">
        <v>0.5854166666666667</v>
      </c>
      <c r="I483">
        <v>1</v>
      </c>
      <c r="J483" t="s">
        <v>146</v>
      </c>
      <c r="K483">
        <v>2</v>
      </c>
      <c r="L483" t="s">
        <v>147</v>
      </c>
      <c r="M483" t="s">
        <v>1720</v>
      </c>
      <c r="N483" t="s">
        <v>1721</v>
      </c>
      <c r="O483" t="s">
        <v>1722</v>
      </c>
      <c r="P483" t="s">
        <v>1723</v>
      </c>
    </row>
    <row r="484" spans="1:16" x14ac:dyDescent="0.35">
      <c r="A484" t="s">
        <v>102</v>
      </c>
      <c r="B484">
        <v>1322845177</v>
      </c>
      <c r="C484" t="s">
        <v>18</v>
      </c>
      <c r="D484" t="s">
        <v>20</v>
      </c>
      <c r="E484" s="29">
        <v>46204</v>
      </c>
      <c r="F484" t="s">
        <v>3</v>
      </c>
      <c r="G484" s="28">
        <v>0.59236111111111112</v>
      </c>
      <c r="H484" s="28">
        <v>0.59236111111111112</v>
      </c>
      <c r="I484">
        <v>0</v>
      </c>
      <c r="J484" t="s">
        <v>174</v>
      </c>
      <c r="K484">
        <v>0</v>
      </c>
      <c r="L484" t="s">
        <v>1715</v>
      </c>
      <c r="M484" t="s">
        <v>1716</v>
      </c>
      <c r="N484" t="s">
        <v>1717</v>
      </c>
      <c r="O484" t="s">
        <v>1718</v>
      </c>
      <c r="P484" t="s">
        <v>1719</v>
      </c>
    </row>
    <row r="485" spans="1:16" x14ac:dyDescent="0.35">
      <c r="A485" t="s">
        <v>102</v>
      </c>
      <c r="B485">
        <v>1322845177</v>
      </c>
      <c r="C485" t="s">
        <v>18</v>
      </c>
      <c r="D485" t="s">
        <v>20</v>
      </c>
      <c r="E485" s="29">
        <v>46204</v>
      </c>
      <c r="F485" t="s">
        <v>3</v>
      </c>
      <c r="G485" s="28">
        <v>0.59930555555555554</v>
      </c>
      <c r="H485" s="28">
        <v>0.59930555555555554</v>
      </c>
      <c r="I485">
        <v>0</v>
      </c>
      <c r="J485" t="s">
        <v>174</v>
      </c>
      <c r="K485">
        <v>0</v>
      </c>
      <c r="L485" t="s">
        <v>1715</v>
      </c>
      <c r="M485" t="s">
        <v>1720</v>
      </c>
      <c r="N485" t="s">
        <v>1721</v>
      </c>
      <c r="O485" t="s">
        <v>1722</v>
      </c>
      <c r="P485" t="s">
        <v>1723</v>
      </c>
    </row>
    <row r="486" spans="1:16" x14ac:dyDescent="0.35">
      <c r="A486" t="s">
        <v>102</v>
      </c>
      <c r="B486">
        <v>1322845177</v>
      </c>
      <c r="C486" t="s">
        <v>18</v>
      </c>
      <c r="D486" t="s">
        <v>20</v>
      </c>
      <c r="E486" s="29">
        <v>46204</v>
      </c>
      <c r="F486" t="s">
        <v>3</v>
      </c>
      <c r="G486" s="28">
        <v>0.60624999999999996</v>
      </c>
      <c r="H486" s="28">
        <v>0.62013888888888891</v>
      </c>
      <c r="I486">
        <v>0</v>
      </c>
      <c r="J486" t="s">
        <v>146</v>
      </c>
      <c r="K486">
        <v>1</v>
      </c>
      <c r="L486" t="s">
        <v>147</v>
      </c>
      <c r="M486" t="s">
        <v>1716</v>
      </c>
      <c r="N486" t="s">
        <v>1717</v>
      </c>
      <c r="O486" t="s">
        <v>1718</v>
      </c>
      <c r="P486" t="s">
        <v>1719</v>
      </c>
    </row>
    <row r="487" spans="1:16" x14ac:dyDescent="0.35">
      <c r="A487" t="s">
        <v>102</v>
      </c>
      <c r="B487">
        <v>1322845177</v>
      </c>
      <c r="C487" t="s">
        <v>18</v>
      </c>
      <c r="D487" t="s">
        <v>20</v>
      </c>
      <c r="E487" s="29">
        <v>46204</v>
      </c>
      <c r="F487" t="s">
        <v>3</v>
      </c>
      <c r="G487" s="28">
        <v>0.62708333333333333</v>
      </c>
      <c r="H487" s="28">
        <v>0.66180555555555554</v>
      </c>
      <c r="I487">
        <v>1</v>
      </c>
      <c r="J487" t="s">
        <v>146</v>
      </c>
      <c r="K487">
        <v>2</v>
      </c>
      <c r="L487" t="s">
        <v>147</v>
      </c>
      <c r="M487" t="s">
        <v>1720</v>
      </c>
      <c r="N487" t="s">
        <v>1721</v>
      </c>
      <c r="O487" t="s">
        <v>1722</v>
      </c>
      <c r="P487" t="s">
        <v>1723</v>
      </c>
    </row>
    <row r="488" spans="1:16" x14ac:dyDescent="0.35">
      <c r="A488" t="s">
        <v>102</v>
      </c>
      <c r="B488">
        <v>1322845177</v>
      </c>
      <c r="C488" t="s">
        <v>18</v>
      </c>
      <c r="D488" t="s">
        <v>20</v>
      </c>
      <c r="E488" s="29">
        <v>46204</v>
      </c>
      <c r="F488" t="s">
        <v>3</v>
      </c>
      <c r="G488" s="28">
        <v>0.66874999999999996</v>
      </c>
      <c r="H488" s="28">
        <v>0.77986111111111112</v>
      </c>
      <c r="I488">
        <v>3</v>
      </c>
      <c r="J488" t="s">
        <v>146</v>
      </c>
      <c r="K488">
        <v>8</v>
      </c>
      <c r="L488" t="s">
        <v>147</v>
      </c>
      <c r="M488" t="s">
        <v>1724</v>
      </c>
      <c r="N488" t="s">
        <v>1725</v>
      </c>
      <c r="O488" t="s">
        <v>1726</v>
      </c>
      <c r="P488" t="s">
        <v>1727</v>
      </c>
    </row>
    <row r="489" spans="1:16" x14ac:dyDescent="0.35">
      <c r="A489" t="s">
        <v>102</v>
      </c>
      <c r="B489">
        <v>1322845177</v>
      </c>
      <c r="C489" t="s">
        <v>18</v>
      </c>
      <c r="D489" t="s">
        <v>20</v>
      </c>
      <c r="E489" s="29">
        <v>46204</v>
      </c>
      <c r="F489" t="s">
        <v>3</v>
      </c>
      <c r="G489" s="28">
        <v>0.78680555555555554</v>
      </c>
      <c r="H489" s="28">
        <v>0.79374999999999996</v>
      </c>
      <c r="I489">
        <v>0</v>
      </c>
      <c r="J489" t="s">
        <v>146</v>
      </c>
      <c r="K489">
        <v>0</v>
      </c>
      <c r="L489" t="s">
        <v>147</v>
      </c>
      <c r="M489" t="s">
        <v>1705</v>
      </c>
      <c r="N489" t="s">
        <v>1706</v>
      </c>
      <c r="O489" t="s">
        <v>1707</v>
      </c>
      <c r="P489" t="s">
        <v>1708</v>
      </c>
    </row>
    <row r="490" spans="1:16" x14ac:dyDescent="0.35">
      <c r="A490" t="s">
        <v>102</v>
      </c>
      <c r="B490">
        <v>1322845177</v>
      </c>
      <c r="C490" t="s">
        <v>18</v>
      </c>
      <c r="D490" t="s">
        <v>20</v>
      </c>
      <c r="E490" s="29">
        <v>46205</v>
      </c>
      <c r="F490" t="s">
        <v>4</v>
      </c>
      <c r="G490" s="28">
        <v>0.37708333333333333</v>
      </c>
      <c r="H490" s="28">
        <v>0.37708333333333333</v>
      </c>
      <c r="I490">
        <v>0</v>
      </c>
      <c r="J490" t="s">
        <v>174</v>
      </c>
      <c r="K490">
        <v>0</v>
      </c>
      <c r="L490" t="s">
        <v>1728</v>
      </c>
      <c r="M490" t="s">
        <v>1729</v>
      </c>
      <c r="N490" t="s">
        <v>1730</v>
      </c>
      <c r="O490" t="s">
        <v>1731</v>
      </c>
      <c r="P490" t="s">
        <v>1732</v>
      </c>
    </row>
    <row r="491" spans="1:16" x14ac:dyDescent="0.35">
      <c r="A491" t="s">
        <v>102</v>
      </c>
      <c r="B491">
        <v>1322845177</v>
      </c>
      <c r="C491" t="s">
        <v>18</v>
      </c>
      <c r="D491" t="s">
        <v>20</v>
      </c>
      <c r="E491" s="29">
        <v>46205</v>
      </c>
      <c r="F491" t="s">
        <v>4</v>
      </c>
      <c r="G491" s="28">
        <v>0.3840277777777778</v>
      </c>
      <c r="H491" s="28">
        <v>0.39097222222222222</v>
      </c>
      <c r="I491">
        <v>0</v>
      </c>
      <c r="J491" t="s">
        <v>146</v>
      </c>
      <c r="K491">
        <v>0</v>
      </c>
      <c r="L491" t="s">
        <v>147</v>
      </c>
      <c r="M491" t="s">
        <v>1733</v>
      </c>
      <c r="N491" t="s">
        <v>1734</v>
      </c>
      <c r="O491" t="s">
        <v>1735</v>
      </c>
      <c r="P491" t="s">
        <v>1736</v>
      </c>
    </row>
    <row r="492" spans="1:16" x14ac:dyDescent="0.35">
      <c r="A492" t="s">
        <v>102</v>
      </c>
      <c r="B492">
        <v>1322845177</v>
      </c>
      <c r="C492" t="s">
        <v>18</v>
      </c>
      <c r="D492" t="s">
        <v>20</v>
      </c>
      <c r="E492" s="29">
        <v>46205</v>
      </c>
      <c r="F492" t="s">
        <v>4</v>
      </c>
      <c r="G492" s="28">
        <v>0.39791666666666664</v>
      </c>
      <c r="H492" s="28">
        <v>0.39791666666666664</v>
      </c>
      <c r="I492">
        <v>0</v>
      </c>
      <c r="J492" t="s">
        <v>174</v>
      </c>
      <c r="K492">
        <v>0</v>
      </c>
      <c r="L492" t="s">
        <v>1737</v>
      </c>
      <c r="M492" t="s">
        <v>1738</v>
      </c>
      <c r="N492" t="s">
        <v>1739</v>
      </c>
      <c r="O492" t="s">
        <v>1740</v>
      </c>
      <c r="P492" t="s">
        <v>1741</v>
      </c>
    </row>
    <row r="493" spans="1:16" x14ac:dyDescent="0.35">
      <c r="A493" t="s">
        <v>102</v>
      </c>
      <c r="B493">
        <v>1322845177</v>
      </c>
      <c r="C493" t="s">
        <v>18</v>
      </c>
      <c r="D493" t="s">
        <v>20</v>
      </c>
      <c r="E493" s="29">
        <v>46205</v>
      </c>
      <c r="F493" t="s">
        <v>4</v>
      </c>
      <c r="G493" s="28">
        <v>0.40486111111111112</v>
      </c>
      <c r="H493" s="28">
        <v>0.40486111111111112</v>
      </c>
      <c r="I493">
        <v>0</v>
      </c>
      <c r="J493" t="s">
        <v>174</v>
      </c>
      <c r="K493">
        <v>0</v>
      </c>
      <c r="L493" t="s">
        <v>1742</v>
      </c>
      <c r="M493" t="s">
        <v>1743</v>
      </c>
      <c r="N493" t="s">
        <v>1744</v>
      </c>
      <c r="O493" t="s">
        <v>1745</v>
      </c>
      <c r="P493" t="s">
        <v>1746</v>
      </c>
    </row>
    <row r="494" spans="1:16" x14ac:dyDescent="0.35">
      <c r="A494" t="s">
        <v>102</v>
      </c>
      <c r="B494">
        <v>1322845177</v>
      </c>
      <c r="C494" t="s">
        <v>18</v>
      </c>
      <c r="D494" t="s">
        <v>20</v>
      </c>
      <c r="E494" s="29">
        <v>46205</v>
      </c>
      <c r="F494" t="s">
        <v>4</v>
      </c>
      <c r="G494" s="28">
        <v>0.41180555555555554</v>
      </c>
      <c r="H494" s="28">
        <v>0.41180555555555554</v>
      </c>
      <c r="I494">
        <v>0</v>
      </c>
      <c r="J494" t="s">
        <v>174</v>
      </c>
      <c r="K494">
        <v>0</v>
      </c>
      <c r="L494" t="s">
        <v>685</v>
      </c>
      <c r="M494" t="s">
        <v>1747</v>
      </c>
      <c r="N494" t="s">
        <v>1748</v>
      </c>
      <c r="O494" t="s">
        <v>1749</v>
      </c>
      <c r="P494" t="s">
        <v>1750</v>
      </c>
    </row>
    <row r="495" spans="1:16" x14ac:dyDescent="0.35">
      <c r="A495" t="s">
        <v>102</v>
      </c>
      <c r="B495">
        <v>1322845177</v>
      </c>
      <c r="C495" t="s">
        <v>18</v>
      </c>
      <c r="D495" t="s">
        <v>20</v>
      </c>
      <c r="E495" s="29">
        <v>46205</v>
      </c>
      <c r="F495" t="s">
        <v>4</v>
      </c>
      <c r="G495" s="28">
        <v>0.41875000000000001</v>
      </c>
      <c r="H495" s="28">
        <v>0.46736111111111112</v>
      </c>
      <c r="I495">
        <v>1</v>
      </c>
      <c r="J495" t="s">
        <v>146</v>
      </c>
      <c r="K495">
        <v>4</v>
      </c>
      <c r="L495" t="s">
        <v>147</v>
      </c>
      <c r="M495" t="s">
        <v>1751</v>
      </c>
      <c r="N495" t="s">
        <v>1752</v>
      </c>
      <c r="O495" t="s">
        <v>1753</v>
      </c>
      <c r="P495" t="s">
        <v>1754</v>
      </c>
    </row>
    <row r="496" spans="1:16" x14ac:dyDescent="0.35">
      <c r="A496" t="s">
        <v>102</v>
      </c>
      <c r="B496">
        <v>1322845177</v>
      </c>
      <c r="C496" t="s">
        <v>18</v>
      </c>
      <c r="D496" t="s">
        <v>20</v>
      </c>
      <c r="E496" s="29">
        <v>46205</v>
      </c>
      <c r="F496" t="s">
        <v>4</v>
      </c>
      <c r="G496" s="28">
        <v>0.47430555555555554</v>
      </c>
      <c r="H496" s="28">
        <v>0.47430555555555554</v>
      </c>
      <c r="I496">
        <v>0</v>
      </c>
      <c r="J496" t="s">
        <v>174</v>
      </c>
      <c r="K496">
        <v>0</v>
      </c>
      <c r="L496" t="s">
        <v>1755</v>
      </c>
      <c r="M496" t="s">
        <v>1756</v>
      </c>
      <c r="N496" t="s">
        <v>1757</v>
      </c>
      <c r="O496" t="s">
        <v>1758</v>
      </c>
      <c r="P496" t="s">
        <v>1759</v>
      </c>
    </row>
    <row r="497" spans="1:16" x14ac:dyDescent="0.35">
      <c r="A497" t="s">
        <v>102</v>
      </c>
      <c r="B497">
        <v>1322845177</v>
      </c>
      <c r="C497" t="s">
        <v>18</v>
      </c>
      <c r="D497" t="s">
        <v>20</v>
      </c>
      <c r="E497" s="29">
        <v>46205</v>
      </c>
      <c r="F497" t="s">
        <v>4</v>
      </c>
      <c r="G497" s="28">
        <v>0.48125000000000001</v>
      </c>
      <c r="H497" s="28">
        <v>0.48819444444444443</v>
      </c>
      <c r="I497">
        <v>0</v>
      </c>
      <c r="J497" t="s">
        <v>146</v>
      </c>
      <c r="K497">
        <v>0</v>
      </c>
      <c r="L497" t="s">
        <v>147</v>
      </c>
      <c r="M497" t="s">
        <v>1760</v>
      </c>
      <c r="N497" t="s">
        <v>1761</v>
      </c>
      <c r="O497" t="s">
        <v>1762</v>
      </c>
      <c r="P497" t="s">
        <v>1763</v>
      </c>
    </row>
    <row r="498" spans="1:16" x14ac:dyDescent="0.35">
      <c r="A498" t="s">
        <v>102</v>
      </c>
      <c r="B498">
        <v>1322845177</v>
      </c>
      <c r="C498" t="s">
        <v>18</v>
      </c>
      <c r="D498" t="s">
        <v>20</v>
      </c>
      <c r="E498" s="29">
        <v>46205</v>
      </c>
      <c r="F498" t="s">
        <v>4</v>
      </c>
      <c r="G498" s="28">
        <v>0.49513888888888891</v>
      </c>
      <c r="H498" s="28">
        <v>0.49513888888888891</v>
      </c>
      <c r="I498">
        <v>0</v>
      </c>
      <c r="J498" t="s">
        <v>174</v>
      </c>
      <c r="K498">
        <v>0</v>
      </c>
      <c r="L498" t="s">
        <v>1764</v>
      </c>
      <c r="M498" t="s">
        <v>1765</v>
      </c>
      <c r="N498" t="s">
        <v>1766</v>
      </c>
      <c r="O498" t="s">
        <v>1767</v>
      </c>
      <c r="P498" t="s">
        <v>1768</v>
      </c>
    </row>
    <row r="499" spans="1:16" x14ac:dyDescent="0.35">
      <c r="A499" t="s">
        <v>102</v>
      </c>
      <c r="B499">
        <v>1322845177</v>
      </c>
      <c r="C499" t="s">
        <v>18</v>
      </c>
      <c r="D499" t="s">
        <v>20</v>
      </c>
      <c r="E499" s="29">
        <v>46205</v>
      </c>
      <c r="F499" t="s">
        <v>4</v>
      </c>
      <c r="G499" s="28">
        <v>0.50208333333333333</v>
      </c>
      <c r="H499" s="28">
        <v>0.55069444444444449</v>
      </c>
      <c r="I499">
        <v>1</v>
      </c>
      <c r="J499" t="s">
        <v>146</v>
      </c>
      <c r="K499">
        <v>4</v>
      </c>
      <c r="L499" t="s">
        <v>147</v>
      </c>
      <c r="M499" t="s">
        <v>1760</v>
      </c>
      <c r="N499" t="s">
        <v>1761</v>
      </c>
      <c r="O499" t="s">
        <v>1762</v>
      </c>
      <c r="P499" t="s">
        <v>1763</v>
      </c>
    </row>
    <row r="500" spans="1:16" x14ac:dyDescent="0.35">
      <c r="A500" t="s">
        <v>102</v>
      </c>
      <c r="B500">
        <v>1322845177</v>
      </c>
      <c r="C500" t="s">
        <v>18</v>
      </c>
      <c r="D500" t="s">
        <v>20</v>
      </c>
      <c r="E500" s="29">
        <v>46205</v>
      </c>
      <c r="F500" t="s">
        <v>4</v>
      </c>
      <c r="G500" s="28">
        <v>0.55763888888888891</v>
      </c>
      <c r="H500" s="28">
        <v>0.55763888888888891</v>
      </c>
      <c r="I500">
        <v>0</v>
      </c>
      <c r="J500" t="s">
        <v>174</v>
      </c>
      <c r="K500">
        <v>0</v>
      </c>
      <c r="L500" t="s">
        <v>1769</v>
      </c>
      <c r="M500" t="s">
        <v>1770</v>
      </c>
      <c r="N500" t="s">
        <v>1771</v>
      </c>
      <c r="O500" t="s">
        <v>1772</v>
      </c>
      <c r="P500" t="s">
        <v>1773</v>
      </c>
    </row>
    <row r="501" spans="1:16" x14ac:dyDescent="0.35">
      <c r="A501" t="s">
        <v>102</v>
      </c>
      <c r="B501">
        <v>1322845177</v>
      </c>
      <c r="C501" t="s">
        <v>18</v>
      </c>
      <c r="D501" t="s">
        <v>20</v>
      </c>
      <c r="E501" s="29">
        <v>46205</v>
      </c>
      <c r="F501" t="s">
        <v>4</v>
      </c>
      <c r="G501" s="28">
        <v>0.56458333333333333</v>
      </c>
      <c r="H501" s="28">
        <v>0.56458333333333333</v>
      </c>
      <c r="I501">
        <v>0</v>
      </c>
      <c r="J501" t="s">
        <v>174</v>
      </c>
      <c r="K501">
        <v>0</v>
      </c>
      <c r="L501" t="s">
        <v>1774</v>
      </c>
      <c r="M501" t="s">
        <v>1751</v>
      </c>
      <c r="N501" t="s">
        <v>1752</v>
      </c>
      <c r="O501" t="s">
        <v>1753</v>
      </c>
      <c r="P501" t="s">
        <v>1754</v>
      </c>
    </row>
    <row r="502" spans="1:16" x14ac:dyDescent="0.35">
      <c r="A502" t="s">
        <v>102</v>
      </c>
      <c r="B502">
        <v>1322845177</v>
      </c>
      <c r="C502" t="s">
        <v>18</v>
      </c>
      <c r="D502" t="s">
        <v>20</v>
      </c>
      <c r="E502" s="29">
        <v>46205</v>
      </c>
      <c r="F502" t="s">
        <v>4</v>
      </c>
      <c r="G502" s="28">
        <v>0.57152777777777775</v>
      </c>
      <c r="H502" s="28">
        <v>0.57152777777777775</v>
      </c>
      <c r="I502">
        <v>0</v>
      </c>
      <c r="J502" t="s">
        <v>174</v>
      </c>
      <c r="K502">
        <v>0</v>
      </c>
      <c r="L502" t="s">
        <v>1774</v>
      </c>
      <c r="M502" t="s">
        <v>1775</v>
      </c>
      <c r="N502" t="s">
        <v>1776</v>
      </c>
      <c r="O502" t="s">
        <v>1777</v>
      </c>
      <c r="P502" t="s">
        <v>1778</v>
      </c>
    </row>
    <row r="503" spans="1:16" x14ac:dyDescent="0.35">
      <c r="A503" t="s">
        <v>102</v>
      </c>
      <c r="B503">
        <v>1322845177</v>
      </c>
      <c r="C503" t="s">
        <v>18</v>
      </c>
      <c r="D503" t="s">
        <v>20</v>
      </c>
      <c r="E503" s="29">
        <v>46205</v>
      </c>
      <c r="F503" t="s">
        <v>4</v>
      </c>
      <c r="G503" s="28">
        <v>0.57847222222222228</v>
      </c>
      <c r="H503" s="28">
        <v>0.6479166666666667</v>
      </c>
      <c r="I503">
        <v>2</v>
      </c>
      <c r="J503" t="s">
        <v>146</v>
      </c>
      <c r="K503">
        <v>5</v>
      </c>
      <c r="L503" t="s">
        <v>147</v>
      </c>
      <c r="M503" t="s">
        <v>1751</v>
      </c>
      <c r="N503" t="s">
        <v>1752</v>
      </c>
      <c r="O503" t="s">
        <v>1753</v>
      </c>
      <c r="P503" t="s">
        <v>1754</v>
      </c>
    </row>
    <row r="504" spans="1:16" x14ac:dyDescent="0.35">
      <c r="A504" t="s">
        <v>102</v>
      </c>
      <c r="B504">
        <v>1322845177</v>
      </c>
      <c r="C504" t="s">
        <v>18</v>
      </c>
      <c r="D504" t="s">
        <v>20</v>
      </c>
      <c r="E504" s="29">
        <v>46205</v>
      </c>
      <c r="F504" t="s">
        <v>4</v>
      </c>
      <c r="G504" s="28">
        <v>0.65486111111111112</v>
      </c>
      <c r="H504" s="28">
        <v>0.65486111111111112</v>
      </c>
      <c r="I504">
        <v>0</v>
      </c>
      <c r="J504" t="s">
        <v>174</v>
      </c>
      <c r="K504">
        <v>0</v>
      </c>
      <c r="L504" t="s">
        <v>1266</v>
      </c>
      <c r="M504" t="s">
        <v>1779</v>
      </c>
      <c r="N504" t="s">
        <v>1780</v>
      </c>
      <c r="O504" t="s">
        <v>1781</v>
      </c>
      <c r="P504" t="s">
        <v>1782</v>
      </c>
    </row>
    <row r="505" spans="1:16" x14ac:dyDescent="0.35">
      <c r="A505" t="s">
        <v>102</v>
      </c>
      <c r="B505">
        <v>1322845177</v>
      </c>
      <c r="C505" t="s">
        <v>18</v>
      </c>
      <c r="D505" t="s">
        <v>20</v>
      </c>
      <c r="E505" s="29">
        <v>46205</v>
      </c>
      <c r="F505" t="s">
        <v>4</v>
      </c>
      <c r="G505" s="28">
        <v>0.66180555555555554</v>
      </c>
      <c r="H505" s="28">
        <v>0.66180555555555554</v>
      </c>
      <c r="I505">
        <v>0</v>
      </c>
      <c r="J505" t="s">
        <v>174</v>
      </c>
      <c r="K505">
        <v>0</v>
      </c>
      <c r="L505" t="s">
        <v>1783</v>
      </c>
      <c r="M505" t="s">
        <v>1784</v>
      </c>
      <c r="N505" t="s">
        <v>1785</v>
      </c>
      <c r="O505" t="s">
        <v>1786</v>
      </c>
      <c r="P505" t="s">
        <v>1787</v>
      </c>
    </row>
    <row r="506" spans="1:16" x14ac:dyDescent="0.35">
      <c r="A506" t="s">
        <v>102</v>
      </c>
      <c r="B506">
        <v>1322845177</v>
      </c>
      <c r="C506" t="s">
        <v>18</v>
      </c>
      <c r="D506" t="s">
        <v>20</v>
      </c>
      <c r="E506" s="29">
        <v>46205</v>
      </c>
      <c r="F506" t="s">
        <v>4</v>
      </c>
      <c r="G506" s="28">
        <v>0.66874999999999996</v>
      </c>
      <c r="H506" s="28">
        <v>0.66874999999999996</v>
      </c>
      <c r="I506">
        <v>0</v>
      </c>
      <c r="J506" t="s">
        <v>174</v>
      </c>
      <c r="K506">
        <v>0</v>
      </c>
      <c r="L506" t="s">
        <v>1788</v>
      </c>
      <c r="M506" t="s">
        <v>1789</v>
      </c>
      <c r="N506" t="s">
        <v>1790</v>
      </c>
      <c r="O506" t="s">
        <v>1791</v>
      </c>
      <c r="P506" t="s">
        <v>1792</v>
      </c>
    </row>
    <row r="507" spans="1:16" x14ac:dyDescent="0.35">
      <c r="A507" t="s">
        <v>102</v>
      </c>
      <c r="B507">
        <v>1322845177</v>
      </c>
      <c r="C507" t="s">
        <v>18</v>
      </c>
      <c r="D507" t="s">
        <v>20</v>
      </c>
      <c r="E507" s="29">
        <v>46205</v>
      </c>
      <c r="F507" t="s">
        <v>4</v>
      </c>
      <c r="G507" s="28">
        <v>0.67569444444444449</v>
      </c>
      <c r="H507" s="28">
        <v>0.67569444444444449</v>
      </c>
      <c r="I507">
        <v>0</v>
      </c>
      <c r="J507" t="s">
        <v>174</v>
      </c>
      <c r="K507">
        <v>0</v>
      </c>
      <c r="L507" t="s">
        <v>705</v>
      </c>
      <c r="M507" t="s">
        <v>1793</v>
      </c>
      <c r="N507" t="s">
        <v>1794</v>
      </c>
      <c r="O507" t="s">
        <v>1795</v>
      </c>
      <c r="P507" t="s">
        <v>1796</v>
      </c>
    </row>
    <row r="508" spans="1:16" x14ac:dyDescent="0.35">
      <c r="A508" t="s">
        <v>102</v>
      </c>
      <c r="B508">
        <v>1322845177</v>
      </c>
      <c r="C508" t="s">
        <v>18</v>
      </c>
      <c r="D508" t="s">
        <v>20</v>
      </c>
      <c r="E508" s="29">
        <v>46205</v>
      </c>
      <c r="F508" t="s">
        <v>4</v>
      </c>
      <c r="G508" s="28">
        <v>0.68263888888888891</v>
      </c>
      <c r="H508" s="28">
        <v>0.68958333333333333</v>
      </c>
      <c r="I508">
        <v>0</v>
      </c>
      <c r="J508" t="s">
        <v>146</v>
      </c>
      <c r="K508">
        <v>0</v>
      </c>
      <c r="L508" t="s">
        <v>147</v>
      </c>
      <c r="M508" t="s">
        <v>1797</v>
      </c>
      <c r="N508" t="s">
        <v>1798</v>
      </c>
      <c r="O508" t="s">
        <v>1799</v>
      </c>
      <c r="P508" t="s">
        <v>1800</v>
      </c>
    </row>
    <row r="509" spans="1:16" x14ac:dyDescent="0.35">
      <c r="A509" t="s">
        <v>102</v>
      </c>
      <c r="B509">
        <v>1322845177</v>
      </c>
      <c r="C509" t="s">
        <v>18</v>
      </c>
      <c r="D509" t="s">
        <v>20</v>
      </c>
      <c r="E509" s="29">
        <v>46205</v>
      </c>
      <c r="F509" t="s">
        <v>4</v>
      </c>
      <c r="G509" s="28">
        <v>0.69652777777777775</v>
      </c>
      <c r="H509" s="28">
        <v>0.69652777777777775</v>
      </c>
      <c r="I509">
        <v>0</v>
      </c>
      <c r="J509" t="s">
        <v>174</v>
      </c>
      <c r="K509">
        <v>0</v>
      </c>
      <c r="L509" t="s">
        <v>1801</v>
      </c>
      <c r="M509" t="s">
        <v>1802</v>
      </c>
      <c r="N509" t="s">
        <v>1803</v>
      </c>
      <c r="O509" t="s">
        <v>1804</v>
      </c>
      <c r="P509" t="s">
        <v>1805</v>
      </c>
    </row>
    <row r="510" spans="1:16" x14ac:dyDescent="0.35">
      <c r="A510" t="s">
        <v>102</v>
      </c>
      <c r="B510">
        <v>1322845177</v>
      </c>
      <c r="C510" t="s">
        <v>18</v>
      </c>
      <c r="D510" t="s">
        <v>20</v>
      </c>
      <c r="E510" s="29">
        <v>46205</v>
      </c>
      <c r="F510" t="s">
        <v>4</v>
      </c>
      <c r="G510" s="28">
        <v>0.70347222222222228</v>
      </c>
      <c r="H510" s="28">
        <v>0.70347222222222228</v>
      </c>
      <c r="I510">
        <v>0</v>
      </c>
      <c r="J510" t="s">
        <v>174</v>
      </c>
      <c r="K510">
        <v>0</v>
      </c>
      <c r="L510" t="s">
        <v>1801</v>
      </c>
      <c r="M510" t="s">
        <v>1806</v>
      </c>
      <c r="N510" t="s">
        <v>1807</v>
      </c>
      <c r="O510" t="s">
        <v>1808</v>
      </c>
      <c r="P510" t="s">
        <v>1809</v>
      </c>
    </row>
    <row r="511" spans="1:16" x14ac:dyDescent="0.35">
      <c r="A511" t="s">
        <v>102</v>
      </c>
      <c r="B511">
        <v>1322845177</v>
      </c>
      <c r="C511" t="s">
        <v>18</v>
      </c>
      <c r="D511" t="s">
        <v>20</v>
      </c>
      <c r="E511" s="29">
        <v>46205</v>
      </c>
      <c r="F511" t="s">
        <v>4</v>
      </c>
      <c r="G511" s="28">
        <v>0.7104166666666667</v>
      </c>
      <c r="H511" s="28">
        <v>0.7104166666666667</v>
      </c>
      <c r="I511">
        <v>0</v>
      </c>
      <c r="J511" t="s">
        <v>174</v>
      </c>
      <c r="K511">
        <v>0</v>
      </c>
      <c r="L511" t="s">
        <v>1810</v>
      </c>
      <c r="M511" t="s">
        <v>1802</v>
      </c>
      <c r="N511" t="s">
        <v>1803</v>
      </c>
      <c r="O511" t="s">
        <v>1804</v>
      </c>
      <c r="P511" t="s">
        <v>1805</v>
      </c>
    </row>
    <row r="512" spans="1:16" x14ac:dyDescent="0.35">
      <c r="A512" t="s">
        <v>102</v>
      </c>
      <c r="B512">
        <v>1322845177</v>
      </c>
      <c r="C512" t="s">
        <v>18</v>
      </c>
      <c r="D512" t="s">
        <v>20</v>
      </c>
      <c r="E512" s="29">
        <v>46205</v>
      </c>
      <c r="F512" t="s">
        <v>4</v>
      </c>
      <c r="G512" s="28">
        <v>0.71736111111111112</v>
      </c>
      <c r="H512" s="28">
        <v>0.71736111111111112</v>
      </c>
      <c r="I512">
        <v>0</v>
      </c>
      <c r="J512" t="s">
        <v>174</v>
      </c>
      <c r="K512">
        <v>0</v>
      </c>
      <c r="L512" t="s">
        <v>1811</v>
      </c>
      <c r="M512" t="s">
        <v>1812</v>
      </c>
      <c r="N512" t="s">
        <v>1813</v>
      </c>
      <c r="O512" t="s">
        <v>1814</v>
      </c>
      <c r="P512" t="s">
        <v>1815</v>
      </c>
    </row>
    <row r="513" spans="1:16" x14ac:dyDescent="0.35">
      <c r="A513" t="s">
        <v>102</v>
      </c>
      <c r="B513">
        <v>1322845177</v>
      </c>
      <c r="C513" t="s">
        <v>18</v>
      </c>
      <c r="D513" t="s">
        <v>20</v>
      </c>
      <c r="E513" s="29">
        <v>46205</v>
      </c>
      <c r="F513" t="s">
        <v>4</v>
      </c>
      <c r="G513" s="28">
        <v>0.72430555555555554</v>
      </c>
      <c r="H513" s="28">
        <v>0.72430555555555554</v>
      </c>
      <c r="I513">
        <v>0</v>
      </c>
      <c r="J513" t="s">
        <v>174</v>
      </c>
      <c r="K513">
        <v>0</v>
      </c>
      <c r="L513" t="s">
        <v>595</v>
      </c>
      <c r="M513" t="s">
        <v>1816</v>
      </c>
      <c r="N513" t="s">
        <v>1817</v>
      </c>
      <c r="O513" t="s">
        <v>1818</v>
      </c>
      <c r="P513" t="s">
        <v>1819</v>
      </c>
    </row>
    <row r="514" spans="1:16" x14ac:dyDescent="0.35">
      <c r="A514" t="s">
        <v>102</v>
      </c>
      <c r="B514">
        <v>1322845177</v>
      </c>
      <c r="C514" t="s">
        <v>18</v>
      </c>
      <c r="D514" t="s">
        <v>20</v>
      </c>
      <c r="E514" s="29">
        <v>46205</v>
      </c>
      <c r="F514" t="s">
        <v>4</v>
      </c>
      <c r="G514" s="28">
        <v>0.73124999999999996</v>
      </c>
      <c r="H514" s="28">
        <v>0.73124999999999996</v>
      </c>
      <c r="I514">
        <v>0</v>
      </c>
      <c r="J514" t="s">
        <v>174</v>
      </c>
      <c r="K514">
        <v>0</v>
      </c>
      <c r="L514" t="s">
        <v>1820</v>
      </c>
      <c r="M514" t="s">
        <v>1821</v>
      </c>
      <c r="N514" t="s">
        <v>1822</v>
      </c>
      <c r="O514" t="s">
        <v>1823</v>
      </c>
      <c r="P514" t="s">
        <v>1824</v>
      </c>
    </row>
    <row r="515" spans="1:16" x14ac:dyDescent="0.35">
      <c r="A515" t="s">
        <v>102</v>
      </c>
      <c r="B515">
        <v>1322845177</v>
      </c>
      <c r="C515" t="s">
        <v>18</v>
      </c>
      <c r="D515" t="s">
        <v>20</v>
      </c>
      <c r="E515" s="29">
        <v>46205</v>
      </c>
      <c r="F515" t="s">
        <v>4</v>
      </c>
      <c r="G515" s="28">
        <v>0.73888888888888893</v>
      </c>
      <c r="H515" s="28">
        <v>0.74513888888888891</v>
      </c>
      <c r="I515">
        <v>0</v>
      </c>
      <c r="J515" t="s">
        <v>146</v>
      </c>
      <c r="K515">
        <v>0</v>
      </c>
      <c r="L515" t="s">
        <v>147</v>
      </c>
      <c r="M515" t="s">
        <v>1825</v>
      </c>
      <c r="N515" t="s">
        <v>1826</v>
      </c>
      <c r="O515" t="s">
        <v>1827</v>
      </c>
      <c r="P515" t="s">
        <v>1828</v>
      </c>
    </row>
    <row r="516" spans="1:16" x14ac:dyDescent="0.35">
      <c r="A516" t="s">
        <v>102</v>
      </c>
      <c r="B516">
        <v>1322845177</v>
      </c>
      <c r="C516" t="s">
        <v>18</v>
      </c>
      <c r="D516" t="s">
        <v>20</v>
      </c>
      <c r="E516" s="29">
        <v>46205</v>
      </c>
      <c r="F516" t="s">
        <v>4</v>
      </c>
      <c r="G516" s="28">
        <v>0.75208333333333333</v>
      </c>
      <c r="H516" s="28">
        <v>0.76597222222222228</v>
      </c>
      <c r="I516">
        <v>0</v>
      </c>
      <c r="J516" t="s">
        <v>146</v>
      </c>
      <c r="K516">
        <v>1</v>
      </c>
      <c r="L516" t="s">
        <v>147</v>
      </c>
      <c r="M516" t="s">
        <v>1829</v>
      </c>
      <c r="N516" t="s">
        <v>1830</v>
      </c>
      <c r="O516" t="s">
        <v>1831</v>
      </c>
      <c r="P516" t="s">
        <v>1832</v>
      </c>
    </row>
    <row r="517" spans="1:16" x14ac:dyDescent="0.35">
      <c r="A517" t="s">
        <v>102</v>
      </c>
      <c r="B517">
        <v>1322845177</v>
      </c>
      <c r="C517" t="s">
        <v>18</v>
      </c>
      <c r="D517" t="s">
        <v>20</v>
      </c>
      <c r="E517" s="29">
        <v>46205</v>
      </c>
      <c r="F517" t="s">
        <v>4</v>
      </c>
      <c r="G517" s="28">
        <v>0.7729166666666667</v>
      </c>
      <c r="H517" s="28">
        <v>0.7729166666666667</v>
      </c>
      <c r="I517">
        <v>0</v>
      </c>
      <c r="J517" t="s">
        <v>174</v>
      </c>
      <c r="K517">
        <v>0</v>
      </c>
      <c r="L517" t="s">
        <v>1833</v>
      </c>
      <c r="M517" t="s">
        <v>1834</v>
      </c>
      <c r="N517" t="s">
        <v>1835</v>
      </c>
      <c r="O517" t="s">
        <v>1836</v>
      </c>
      <c r="P517" t="s">
        <v>1837</v>
      </c>
    </row>
    <row r="518" spans="1:16" x14ac:dyDescent="0.35">
      <c r="A518" t="s">
        <v>102</v>
      </c>
      <c r="B518">
        <v>1322845177</v>
      </c>
      <c r="C518" t="s">
        <v>18</v>
      </c>
      <c r="D518" t="s">
        <v>20</v>
      </c>
      <c r="E518" s="29">
        <v>46205</v>
      </c>
      <c r="F518" t="s">
        <v>4</v>
      </c>
      <c r="G518" s="28">
        <v>0.77986111111111112</v>
      </c>
      <c r="H518" s="28">
        <v>0.77986111111111112</v>
      </c>
      <c r="I518">
        <v>0</v>
      </c>
      <c r="J518" t="s">
        <v>174</v>
      </c>
      <c r="K518">
        <v>0</v>
      </c>
      <c r="L518" t="s">
        <v>1833</v>
      </c>
      <c r="M518" t="s">
        <v>1838</v>
      </c>
      <c r="N518" t="s">
        <v>1839</v>
      </c>
      <c r="O518" t="s">
        <v>1840</v>
      </c>
      <c r="P518" t="s">
        <v>1841</v>
      </c>
    </row>
    <row r="519" spans="1:16" x14ac:dyDescent="0.35">
      <c r="A519" t="s">
        <v>102</v>
      </c>
      <c r="B519">
        <v>1322845177</v>
      </c>
      <c r="C519" t="s">
        <v>18</v>
      </c>
      <c r="D519" t="s">
        <v>20</v>
      </c>
      <c r="E519" s="29">
        <v>46205</v>
      </c>
      <c r="F519" t="s">
        <v>4</v>
      </c>
      <c r="G519" s="28">
        <v>0.78680555555555554</v>
      </c>
      <c r="H519" s="28">
        <v>0.80069444444444449</v>
      </c>
      <c r="I519">
        <v>0</v>
      </c>
      <c r="J519" t="s">
        <v>146</v>
      </c>
      <c r="K519">
        <v>1</v>
      </c>
      <c r="L519" t="s">
        <v>147</v>
      </c>
      <c r="M519" t="s">
        <v>1834</v>
      </c>
      <c r="N519" t="s">
        <v>1835</v>
      </c>
      <c r="O519" t="s">
        <v>1836</v>
      </c>
      <c r="P519" t="s">
        <v>1837</v>
      </c>
    </row>
    <row r="520" spans="1:16" x14ac:dyDescent="0.35">
      <c r="A520" t="s">
        <v>102</v>
      </c>
      <c r="B520">
        <v>1322845177</v>
      </c>
      <c r="C520" t="s">
        <v>18</v>
      </c>
      <c r="D520" t="s">
        <v>20</v>
      </c>
      <c r="E520" s="29">
        <v>46207</v>
      </c>
      <c r="F520" t="s">
        <v>5</v>
      </c>
      <c r="G520" s="28">
        <v>0.39166666666666666</v>
      </c>
      <c r="H520" s="28">
        <v>0.39166666666666666</v>
      </c>
      <c r="I520">
        <v>0</v>
      </c>
      <c r="J520" t="s">
        <v>174</v>
      </c>
      <c r="K520">
        <v>0</v>
      </c>
      <c r="L520" t="s">
        <v>1842</v>
      </c>
      <c r="M520" t="s">
        <v>1843</v>
      </c>
      <c r="N520" t="s">
        <v>1844</v>
      </c>
      <c r="O520" t="s">
        <v>1845</v>
      </c>
      <c r="P520" t="s">
        <v>1846</v>
      </c>
    </row>
    <row r="521" spans="1:16" x14ac:dyDescent="0.35">
      <c r="A521" t="s">
        <v>102</v>
      </c>
      <c r="B521">
        <v>1322845177</v>
      </c>
      <c r="C521" t="s">
        <v>18</v>
      </c>
      <c r="D521" t="s">
        <v>20</v>
      </c>
      <c r="E521" s="29">
        <v>46207</v>
      </c>
      <c r="F521" t="s">
        <v>5</v>
      </c>
      <c r="G521" s="28">
        <v>0.54374999999999996</v>
      </c>
      <c r="H521" s="28">
        <v>0.55069444444444449</v>
      </c>
      <c r="I521">
        <v>0</v>
      </c>
      <c r="J521" t="s">
        <v>146</v>
      </c>
      <c r="K521">
        <v>1</v>
      </c>
      <c r="L521" t="s">
        <v>147</v>
      </c>
      <c r="M521" t="s">
        <v>1847</v>
      </c>
      <c r="N521" t="s">
        <v>1848</v>
      </c>
      <c r="O521" t="s">
        <v>1849</v>
      </c>
      <c r="P521" t="s">
        <v>1850</v>
      </c>
    </row>
    <row r="522" spans="1:16" x14ac:dyDescent="0.35">
      <c r="A522" t="s">
        <v>102</v>
      </c>
      <c r="B522">
        <v>1322845177</v>
      </c>
      <c r="C522" t="s">
        <v>18</v>
      </c>
      <c r="D522" t="s">
        <v>20</v>
      </c>
      <c r="E522" s="29">
        <v>46207</v>
      </c>
      <c r="F522" t="s">
        <v>5</v>
      </c>
      <c r="G522" s="28">
        <v>0.55763888888888891</v>
      </c>
      <c r="H522" s="28">
        <v>0.55763888888888891</v>
      </c>
      <c r="I522">
        <v>0</v>
      </c>
      <c r="J522" t="s">
        <v>174</v>
      </c>
      <c r="K522">
        <v>0</v>
      </c>
      <c r="L522" t="s">
        <v>1851</v>
      </c>
      <c r="M522" t="s">
        <v>1838</v>
      </c>
      <c r="N522" t="s">
        <v>1852</v>
      </c>
      <c r="O522" t="s">
        <v>1853</v>
      </c>
      <c r="P522" t="s">
        <v>1854</v>
      </c>
    </row>
    <row r="523" spans="1:16" x14ac:dyDescent="0.35">
      <c r="A523" t="s">
        <v>102</v>
      </c>
      <c r="B523">
        <v>1322845177</v>
      </c>
      <c r="C523" t="s">
        <v>18</v>
      </c>
      <c r="D523" t="s">
        <v>20</v>
      </c>
      <c r="E523" s="29">
        <v>46207</v>
      </c>
      <c r="F523" t="s">
        <v>5</v>
      </c>
      <c r="G523" s="28">
        <v>0.56458333333333333</v>
      </c>
      <c r="H523" s="28">
        <v>0.56458333333333333</v>
      </c>
      <c r="I523">
        <v>0</v>
      </c>
      <c r="J523" t="s">
        <v>174</v>
      </c>
      <c r="K523">
        <v>0</v>
      </c>
      <c r="L523" t="s">
        <v>1855</v>
      </c>
      <c r="M523" t="s">
        <v>1856</v>
      </c>
      <c r="N523" t="s">
        <v>1857</v>
      </c>
      <c r="O523" t="s">
        <v>1858</v>
      </c>
      <c r="P523" t="s">
        <v>1714</v>
      </c>
    </row>
    <row r="524" spans="1:16" x14ac:dyDescent="0.35">
      <c r="A524" t="s">
        <v>102</v>
      </c>
      <c r="B524">
        <v>1322845177</v>
      </c>
      <c r="C524" t="s">
        <v>18</v>
      </c>
      <c r="D524" t="s">
        <v>20</v>
      </c>
      <c r="E524" s="29">
        <v>46207</v>
      </c>
      <c r="F524" t="s">
        <v>5</v>
      </c>
      <c r="G524" s="28">
        <v>0.57152777777777775</v>
      </c>
      <c r="H524" s="28">
        <v>0.57152777777777775</v>
      </c>
      <c r="I524">
        <v>0</v>
      </c>
      <c r="J524" t="s">
        <v>174</v>
      </c>
      <c r="K524">
        <v>0</v>
      </c>
      <c r="L524" t="s">
        <v>1859</v>
      </c>
      <c r="M524" t="s">
        <v>1860</v>
      </c>
      <c r="N524" t="s">
        <v>1861</v>
      </c>
      <c r="O524" t="s">
        <v>1862</v>
      </c>
      <c r="P524" t="s">
        <v>1863</v>
      </c>
    </row>
    <row r="525" spans="1:16" x14ac:dyDescent="0.35">
      <c r="A525" t="s">
        <v>102</v>
      </c>
      <c r="B525">
        <v>1322845177</v>
      </c>
      <c r="C525" t="s">
        <v>18</v>
      </c>
      <c r="D525" t="s">
        <v>20</v>
      </c>
      <c r="E525" s="29">
        <v>46207</v>
      </c>
      <c r="F525" t="s">
        <v>5</v>
      </c>
      <c r="G525" s="28">
        <v>0.57847222222222228</v>
      </c>
      <c r="H525" s="28">
        <v>0.57847222222222228</v>
      </c>
      <c r="I525">
        <v>0</v>
      </c>
      <c r="J525" t="s">
        <v>174</v>
      </c>
      <c r="K525">
        <v>0</v>
      </c>
      <c r="L525" t="s">
        <v>1859</v>
      </c>
      <c r="M525" t="s">
        <v>1864</v>
      </c>
      <c r="N525" t="s">
        <v>1865</v>
      </c>
      <c r="O525" t="s">
        <v>1866</v>
      </c>
      <c r="P525" t="s">
        <v>1867</v>
      </c>
    </row>
    <row r="526" spans="1:16" x14ac:dyDescent="0.35">
      <c r="A526" t="s">
        <v>102</v>
      </c>
      <c r="B526">
        <v>1322845177</v>
      </c>
      <c r="C526" t="s">
        <v>18</v>
      </c>
      <c r="D526" t="s">
        <v>20</v>
      </c>
      <c r="E526" s="29">
        <v>46207</v>
      </c>
      <c r="F526" t="s">
        <v>5</v>
      </c>
      <c r="G526" s="28">
        <v>0.5854166666666667</v>
      </c>
      <c r="H526" s="28">
        <v>0.5854166666666667</v>
      </c>
      <c r="I526">
        <v>0</v>
      </c>
      <c r="J526" t="s">
        <v>174</v>
      </c>
      <c r="K526">
        <v>0</v>
      </c>
      <c r="L526" t="s">
        <v>1859</v>
      </c>
      <c r="M526" t="s">
        <v>1860</v>
      </c>
      <c r="N526" t="s">
        <v>1861</v>
      </c>
      <c r="O526" t="s">
        <v>1862</v>
      </c>
      <c r="P526" t="s">
        <v>1863</v>
      </c>
    </row>
    <row r="527" spans="1:16" x14ac:dyDescent="0.35">
      <c r="A527" t="s">
        <v>102</v>
      </c>
      <c r="B527">
        <v>1322845177</v>
      </c>
      <c r="C527" t="s">
        <v>18</v>
      </c>
      <c r="D527" t="s">
        <v>20</v>
      </c>
      <c r="E527" s="29">
        <v>46207</v>
      </c>
      <c r="F527" t="s">
        <v>5</v>
      </c>
      <c r="G527" s="28">
        <v>0.59236111111111112</v>
      </c>
      <c r="H527" s="28">
        <v>0.63402777777777775</v>
      </c>
      <c r="I527">
        <v>1</v>
      </c>
      <c r="J527" t="s">
        <v>146</v>
      </c>
      <c r="K527">
        <v>3</v>
      </c>
      <c r="L527" t="s">
        <v>147</v>
      </c>
      <c r="M527" t="s">
        <v>1864</v>
      </c>
      <c r="N527" t="s">
        <v>1865</v>
      </c>
      <c r="O527" t="s">
        <v>1866</v>
      </c>
      <c r="P527" t="s">
        <v>1867</v>
      </c>
    </row>
    <row r="528" spans="1:16" x14ac:dyDescent="0.35">
      <c r="A528" t="s">
        <v>102</v>
      </c>
      <c r="B528">
        <v>1322845177</v>
      </c>
      <c r="C528" t="s">
        <v>18</v>
      </c>
      <c r="D528" t="s">
        <v>20</v>
      </c>
      <c r="E528" s="29">
        <v>46207</v>
      </c>
      <c r="F528" t="s">
        <v>5</v>
      </c>
      <c r="G528" s="28">
        <v>0.64097222222222228</v>
      </c>
      <c r="H528" s="28">
        <v>0.64097222222222228</v>
      </c>
      <c r="I528">
        <v>0</v>
      </c>
      <c r="J528" t="s">
        <v>174</v>
      </c>
      <c r="K528">
        <v>0</v>
      </c>
      <c r="L528" t="s">
        <v>1868</v>
      </c>
      <c r="M528" t="s">
        <v>1869</v>
      </c>
      <c r="N528" t="s">
        <v>1870</v>
      </c>
      <c r="O528" t="s">
        <v>1871</v>
      </c>
      <c r="P528" t="s">
        <v>1872</v>
      </c>
    </row>
    <row r="529" spans="1:16" x14ac:dyDescent="0.35">
      <c r="A529" t="s">
        <v>102</v>
      </c>
      <c r="B529">
        <v>1322845177</v>
      </c>
      <c r="C529" t="s">
        <v>18</v>
      </c>
      <c r="D529" t="s">
        <v>20</v>
      </c>
      <c r="E529" s="29">
        <v>46207</v>
      </c>
      <c r="F529" t="s">
        <v>5</v>
      </c>
      <c r="G529" s="28">
        <v>0.67569444444444449</v>
      </c>
      <c r="H529" s="28">
        <v>0.70347222222222228</v>
      </c>
      <c r="I529">
        <v>1</v>
      </c>
      <c r="J529" t="s">
        <v>146</v>
      </c>
      <c r="K529">
        <v>2</v>
      </c>
      <c r="L529" t="s">
        <v>147</v>
      </c>
      <c r="M529" t="s">
        <v>1873</v>
      </c>
      <c r="N529" t="s">
        <v>1874</v>
      </c>
      <c r="O529" t="s">
        <v>1875</v>
      </c>
      <c r="P529" t="s">
        <v>1876</v>
      </c>
    </row>
    <row r="530" spans="1:16" x14ac:dyDescent="0.35">
      <c r="A530" t="s">
        <v>102</v>
      </c>
      <c r="B530">
        <v>1322845177</v>
      </c>
      <c r="C530" t="s">
        <v>18</v>
      </c>
      <c r="D530" t="s">
        <v>20</v>
      </c>
      <c r="E530" s="29">
        <v>46207</v>
      </c>
      <c r="F530" t="s">
        <v>5</v>
      </c>
      <c r="G530" s="28">
        <v>0.7104166666666667</v>
      </c>
      <c r="H530" s="28">
        <v>0.72430555555555554</v>
      </c>
      <c r="I530">
        <v>0</v>
      </c>
      <c r="J530" t="s">
        <v>146</v>
      </c>
      <c r="K530">
        <v>1</v>
      </c>
      <c r="L530" t="s">
        <v>147</v>
      </c>
      <c r="M530" t="s">
        <v>1877</v>
      </c>
      <c r="N530" t="s">
        <v>1878</v>
      </c>
      <c r="O530" t="s">
        <v>1879</v>
      </c>
      <c r="P530" t="s">
        <v>1880</v>
      </c>
    </row>
    <row r="531" spans="1:16" x14ac:dyDescent="0.35">
      <c r="A531" t="s">
        <v>102</v>
      </c>
      <c r="B531">
        <v>1322845177</v>
      </c>
      <c r="C531" t="s">
        <v>18</v>
      </c>
      <c r="D531" t="s">
        <v>20</v>
      </c>
      <c r="E531" s="29">
        <v>46207</v>
      </c>
      <c r="F531" t="s">
        <v>5</v>
      </c>
      <c r="G531" s="28">
        <v>0.73124999999999996</v>
      </c>
      <c r="H531" s="28">
        <v>0.73124999999999996</v>
      </c>
      <c r="I531">
        <v>0</v>
      </c>
      <c r="J531" t="s">
        <v>174</v>
      </c>
      <c r="K531">
        <v>0</v>
      </c>
      <c r="L531" t="s">
        <v>1881</v>
      </c>
      <c r="M531" t="s">
        <v>1882</v>
      </c>
      <c r="N531" t="s">
        <v>1883</v>
      </c>
      <c r="O531" t="s">
        <v>1884</v>
      </c>
      <c r="P531" t="s">
        <v>1885</v>
      </c>
    </row>
    <row r="532" spans="1:16" x14ac:dyDescent="0.35">
      <c r="A532" t="s">
        <v>102</v>
      </c>
      <c r="B532">
        <v>1322845177</v>
      </c>
      <c r="C532" t="s">
        <v>18</v>
      </c>
      <c r="D532" t="s">
        <v>20</v>
      </c>
      <c r="E532" s="29">
        <v>46207</v>
      </c>
      <c r="F532" t="s">
        <v>5</v>
      </c>
      <c r="G532" s="28">
        <v>0.73819444444444449</v>
      </c>
      <c r="H532" s="28">
        <v>0.73819444444444449</v>
      </c>
      <c r="I532">
        <v>0</v>
      </c>
      <c r="J532" t="s">
        <v>174</v>
      </c>
      <c r="K532">
        <v>0</v>
      </c>
      <c r="L532" t="s">
        <v>1886</v>
      </c>
      <c r="M532" t="s">
        <v>1887</v>
      </c>
      <c r="N532" t="s">
        <v>1888</v>
      </c>
      <c r="O532" t="s">
        <v>1889</v>
      </c>
      <c r="P532" t="s">
        <v>1890</v>
      </c>
    </row>
    <row r="533" spans="1:16" x14ac:dyDescent="0.35">
      <c r="A533" t="s">
        <v>102</v>
      </c>
      <c r="B533">
        <v>1322845177</v>
      </c>
      <c r="C533" t="s">
        <v>18</v>
      </c>
      <c r="D533" t="s">
        <v>20</v>
      </c>
      <c r="E533" s="29">
        <v>46207</v>
      </c>
      <c r="F533" t="s">
        <v>5</v>
      </c>
      <c r="G533" s="28">
        <v>0.74513888888888891</v>
      </c>
      <c r="H533" s="28">
        <v>0.74513888888888891</v>
      </c>
      <c r="I533">
        <v>0</v>
      </c>
      <c r="J533" t="s">
        <v>174</v>
      </c>
      <c r="K533">
        <v>0</v>
      </c>
      <c r="L533" t="s">
        <v>1891</v>
      </c>
      <c r="M533" t="s">
        <v>1873</v>
      </c>
      <c r="N533" t="s">
        <v>1874</v>
      </c>
      <c r="O533" t="s">
        <v>1875</v>
      </c>
      <c r="P533" t="s">
        <v>1876</v>
      </c>
    </row>
    <row r="534" spans="1:16" x14ac:dyDescent="0.35">
      <c r="A534" t="s">
        <v>102</v>
      </c>
      <c r="B534">
        <v>1322845177</v>
      </c>
      <c r="C534" t="s">
        <v>18</v>
      </c>
      <c r="D534" t="s">
        <v>20</v>
      </c>
      <c r="E534" s="29">
        <v>46208</v>
      </c>
      <c r="F534" t="s">
        <v>6</v>
      </c>
      <c r="G534" s="28">
        <v>0.39097222222222222</v>
      </c>
      <c r="H534" s="28">
        <v>0.39097222222222222</v>
      </c>
      <c r="I534">
        <v>0</v>
      </c>
      <c r="J534" t="s">
        <v>174</v>
      </c>
      <c r="K534">
        <v>0</v>
      </c>
      <c r="L534" t="s">
        <v>956</v>
      </c>
      <c r="M534" t="s">
        <v>1892</v>
      </c>
      <c r="N534" t="s">
        <v>1893</v>
      </c>
      <c r="O534" t="s">
        <v>1894</v>
      </c>
      <c r="P534" t="s">
        <v>1895</v>
      </c>
    </row>
    <row r="535" spans="1:16" x14ac:dyDescent="0.35">
      <c r="A535" t="s">
        <v>102</v>
      </c>
      <c r="B535">
        <v>1322845177</v>
      </c>
      <c r="C535" t="s">
        <v>18</v>
      </c>
      <c r="D535" t="s">
        <v>20</v>
      </c>
      <c r="E535" s="29">
        <v>46208</v>
      </c>
      <c r="F535" t="s">
        <v>6</v>
      </c>
      <c r="G535" s="28">
        <v>0.39791666666666664</v>
      </c>
      <c r="H535" s="28">
        <v>0.39791666666666664</v>
      </c>
      <c r="I535">
        <v>0</v>
      </c>
      <c r="J535" t="s">
        <v>174</v>
      </c>
      <c r="K535">
        <v>0</v>
      </c>
      <c r="L535" t="s">
        <v>1896</v>
      </c>
      <c r="M535" t="s">
        <v>1897</v>
      </c>
      <c r="N535" t="s">
        <v>1898</v>
      </c>
      <c r="O535" t="s">
        <v>1899</v>
      </c>
      <c r="P535" t="s">
        <v>1900</v>
      </c>
    </row>
    <row r="536" spans="1:16" x14ac:dyDescent="0.35">
      <c r="A536" t="s">
        <v>102</v>
      </c>
      <c r="B536">
        <v>1322845177</v>
      </c>
      <c r="C536" t="s">
        <v>18</v>
      </c>
      <c r="D536" t="s">
        <v>20</v>
      </c>
      <c r="E536" s="29">
        <v>46208</v>
      </c>
      <c r="F536" t="s">
        <v>6</v>
      </c>
      <c r="G536" s="28">
        <v>0.40486111111111112</v>
      </c>
      <c r="H536" s="28">
        <v>0.40486111111111112</v>
      </c>
      <c r="I536">
        <v>0</v>
      </c>
      <c r="J536" t="s">
        <v>174</v>
      </c>
      <c r="K536">
        <v>0</v>
      </c>
      <c r="L536" t="s">
        <v>1901</v>
      </c>
      <c r="M536" t="s">
        <v>1902</v>
      </c>
      <c r="N536" t="s">
        <v>1903</v>
      </c>
      <c r="O536" t="s">
        <v>1904</v>
      </c>
      <c r="P536" t="s">
        <v>1905</v>
      </c>
    </row>
    <row r="537" spans="1:16" x14ac:dyDescent="0.35">
      <c r="A537" t="s">
        <v>102</v>
      </c>
      <c r="B537">
        <v>1322845177</v>
      </c>
      <c r="C537" t="s">
        <v>18</v>
      </c>
      <c r="D537" t="s">
        <v>20</v>
      </c>
      <c r="E537" s="29">
        <v>46208</v>
      </c>
      <c r="F537" t="s">
        <v>6</v>
      </c>
      <c r="G537" s="28">
        <v>0.41180555555555554</v>
      </c>
      <c r="H537" s="28">
        <v>0.46736111111111112</v>
      </c>
      <c r="I537">
        <v>1</v>
      </c>
      <c r="J537" t="s">
        <v>146</v>
      </c>
      <c r="K537">
        <v>4</v>
      </c>
      <c r="L537" t="s">
        <v>147</v>
      </c>
      <c r="M537" t="s">
        <v>1906</v>
      </c>
      <c r="N537" t="s">
        <v>1907</v>
      </c>
      <c r="O537" t="s">
        <v>1908</v>
      </c>
      <c r="P537" t="s">
        <v>1909</v>
      </c>
    </row>
    <row r="538" spans="1:16" x14ac:dyDescent="0.35">
      <c r="A538" t="s">
        <v>102</v>
      </c>
      <c r="B538">
        <v>1322845177</v>
      </c>
      <c r="C538" t="s">
        <v>18</v>
      </c>
      <c r="D538" t="s">
        <v>20</v>
      </c>
      <c r="E538" s="29">
        <v>46208</v>
      </c>
      <c r="F538" t="s">
        <v>6</v>
      </c>
      <c r="G538" s="28">
        <v>0.47430555555555554</v>
      </c>
      <c r="H538" s="28">
        <v>0.48125000000000001</v>
      </c>
      <c r="I538">
        <v>0</v>
      </c>
      <c r="J538" t="s">
        <v>146</v>
      </c>
      <c r="K538">
        <v>1</v>
      </c>
      <c r="L538" t="s">
        <v>147</v>
      </c>
      <c r="M538" t="s">
        <v>1910</v>
      </c>
      <c r="N538" t="s">
        <v>1911</v>
      </c>
      <c r="O538" t="s">
        <v>1912</v>
      </c>
      <c r="P538" t="s">
        <v>1913</v>
      </c>
    </row>
    <row r="539" spans="1:16" x14ac:dyDescent="0.35">
      <c r="A539" t="s">
        <v>102</v>
      </c>
      <c r="B539">
        <v>1322845177</v>
      </c>
      <c r="C539" t="s">
        <v>18</v>
      </c>
      <c r="D539" t="s">
        <v>20</v>
      </c>
      <c r="E539" s="29">
        <v>46208</v>
      </c>
      <c r="F539" t="s">
        <v>6</v>
      </c>
      <c r="G539" s="28">
        <v>0.48819444444444443</v>
      </c>
      <c r="H539" s="28">
        <v>0.48819444444444443</v>
      </c>
      <c r="I539">
        <v>0</v>
      </c>
      <c r="J539" t="s">
        <v>174</v>
      </c>
      <c r="K539">
        <v>0</v>
      </c>
      <c r="L539" t="s">
        <v>971</v>
      </c>
      <c r="M539" t="s">
        <v>1914</v>
      </c>
      <c r="N539" t="s">
        <v>1915</v>
      </c>
      <c r="O539" t="s">
        <v>1916</v>
      </c>
      <c r="P539" t="s">
        <v>1917</v>
      </c>
    </row>
    <row r="540" spans="1:16" x14ac:dyDescent="0.35">
      <c r="A540" t="s">
        <v>102</v>
      </c>
      <c r="B540">
        <v>1322845177</v>
      </c>
      <c r="C540" t="s">
        <v>18</v>
      </c>
      <c r="D540" t="s">
        <v>20</v>
      </c>
      <c r="E540" s="29">
        <v>46208</v>
      </c>
      <c r="F540" t="s">
        <v>6</v>
      </c>
      <c r="G540" s="28">
        <v>0.49513888888888891</v>
      </c>
      <c r="H540" s="28">
        <v>0.49513888888888891</v>
      </c>
      <c r="I540">
        <v>0</v>
      </c>
      <c r="J540" t="s">
        <v>174</v>
      </c>
      <c r="K540">
        <v>0</v>
      </c>
      <c r="L540" t="s">
        <v>1918</v>
      </c>
      <c r="M540" t="s">
        <v>1919</v>
      </c>
      <c r="N540" t="s">
        <v>1920</v>
      </c>
      <c r="O540" t="s">
        <v>1921</v>
      </c>
      <c r="P540" t="s">
        <v>1922</v>
      </c>
    </row>
    <row r="541" spans="1:16" x14ac:dyDescent="0.35">
      <c r="A541" t="s">
        <v>102</v>
      </c>
      <c r="B541">
        <v>1322845177</v>
      </c>
      <c r="C541" t="s">
        <v>18</v>
      </c>
      <c r="D541" t="s">
        <v>20</v>
      </c>
      <c r="E541" s="29">
        <v>46208</v>
      </c>
      <c r="F541" t="s">
        <v>6</v>
      </c>
      <c r="G541" s="28">
        <v>0.50208333333333333</v>
      </c>
      <c r="H541" s="28">
        <v>0.50208333333333333</v>
      </c>
      <c r="I541">
        <v>0</v>
      </c>
      <c r="J541" t="s">
        <v>174</v>
      </c>
      <c r="K541">
        <v>0</v>
      </c>
      <c r="L541" t="s">
        <v>1923</v>
      </c>
      <c r="M541" t="s">
        <v>1924</v>
      </c>
      <c r="N541" t="s">
        <v>1925</v>
      </c>
      <c r="O541" t="s">
        <v>1926</v>
      </c>
      <c r="P541" t="s">
        <v>1927</v>
      </c>
    </row>
    <row r="542" spans="1:16" x14ac:dyDescent="0.35">
      <c r="A542" t="s">
        <v>102</v>
      </c>
      <c r="B542">
        <v>1322845177</v>
      </c>
      <c r="C542" t="s">
        <v>18</v>
      </c>
      <c r="D542" t="s">
        <v>20</v>
      </c>
      <c r="E542" s="29">
        <v>46208</v>
      </c>
      <c r="F542" t="s">
        <v>6</v>
      </c>
      <c r="G542" s="28">
        <v>0.50902777777777775</v>
      </c>
      <c r="H542" s="28">
        <v>0.51597222222222228</v>
      </c>
      <c r="I542">
        <v>0</v>
      </c>
      <c r="J542" t="s">
        <v>146</v>
      </c>
      <c r="K542">
        <v>1</v>
      </c>
      <c r="L542" t="s">
        <v>147</v>
      </c>
      <c r="M542" t="s">
        <v>1928</v>
      </c>
      <c r="N542" t="s">
        <v>1929</v>
      </c>
      <c r="O542" t="s">
        <v>1930</v>
      </c>
      <c r="P542" t="s">
        <v>1931</v>
      </c>
    </row>
    <row r="543" spans="1:16" x14ac:dyDescent="0.35">
      <c r="A543" t="s">
        <v>102</v>
      </c>
      <c r="B543">
        <v>1322845177</v>
      </c>
      <c r="C543" t="s">
        <v>18</v>
      </c>
      <c r="D543" t="s">
        <v>20</v>
      </c>
      <c r="E543" s="29">
        <v>46208</v>
      </c>
      <c r="F543" t="s">
        <v>6</v>
      </c>
      <c r="G543" s="28">
        <v>0.5229166666666667</v>
      </c>
      <c r="H543" s="28">
        <v>0.5229166666666667</v>
      </c>
      <c r="I543">
        <v>0</v>
      </c>
      <c r="J543" t="s">
        <v>174</v>
      </c>
      <c r="K543">
        <v>0</v>
      </c>
      <c r="L543" t="s">
        <v>1466</v>
      </c>
      <c r="M543" t="s">
        <v>1932</v>
      </c>
      <c r="N543" t="s">
        <v>1933</v>
      </c>
      <c r="O543" t="s">
        <v>1934</v>
      </c>
      <c r="P543" t="s">
        <v>1935</v>
      </c>
    </row>
    <row r="544" spans="1:16" x14ac:dyDescent="0.35">
      <c r="A544" t="s">
        <v>102</v>
      </c>
      <c r="B544">
        <v>1322845177</v>
      </c>
      <c r="C544" t="s">
        <v>18</v>
      </c>
      <c r="D544" t="s">
        <v>20</v>
      </c>
      <c r="E544" s="29">
        <v>46208</v>
      </c>
      <c r="F544" t="s">
        <v>6</v>
      </c>
      <c r="G544" s="28">
        <v>0.52986111111111112</v>
      </c>
      <c r="H544" s="28">
        <v>0.52986111111111112</v>
      </c>
      <c r="I544">
        <v>0</v>
      </c>
      <c r="J544" t="s">
        <v>174</v>
      </c>
      <c r="K544">
        <v>0</v>
      </c>
      <c r="L544" t="s">
        <v>1936</v>
      </c>
      <c r="M544" t="s">
        <v>1928</v>
      </c>
      <c r="N544" t="s">
        <v>1929</v>
      </c>
      <c r="O544" t="s">
        <v>1930</v>
      </c>
      <c r="P544" t="s">
        <v>1931</v>
      </c>
    </row>
    <row r="545" spans="1:16" x14ac:dyDescent="0.35">
      <c r="A545" t="s">
        <v>102</v>
      </c>
      <c r="B545">
        <v>1322845177</v>
      </c>
      <c r="C545" t="s">
        <v>18</v>
      </c>
      <c r="D545" t="s">
        <v>20</v>
      </c>
      <c r="E545" s="29">
        <v>46208</v>
      </c>
      <c r="F545" t="s">
        <v>6</v>
      </c>
      <c r="G545" s="28">
        <v>0.53680555555555554</v>
      </c>
      <c r="H545" s="28">
        <v>0.53680555555555554</v>
      </c>
      <c r="I545">
        <v>0</v>
      </c>
      <c r="J545" t="s">
        <v>174</v>
      </c>
      <c r="K545">
        <v>0</v>
      </c>
      <c r="L545" t="s">
        <v>1937</v>
      </c>
      <c r="M545" t="s">
        <v>1938</v>
      </c>
      <c r="N545" t="s">
        <v>1939</v>
      </c>
      <c r="O545" t="s">
        <v>1940</v>
      </c>
      <c r="P545" t="s">
        <v>1941</v>
      </c>
    </row>
    <row r="546" spans="1:16" x14ac:dyDescent="0.35">
      <c r="A546" t="s">
        <v>102</v>
      </c>
      <c r="B546">
        <v>1322845177</v>
      </c>
      <c r="C546" t="s">
        <v>18</v>
      </c>
      <c r="D546" t="s">
        <v>20</v>
      </c>
      <c r="E546" s="29">
        <v>46208</v>
      </c>
      <c r="F546" t="s">
        <v>6</v>
      </c>
      <c r="G546" s="28">
        <v>0.54374999999999996</v>
      </c>
      <c r="H546" s="28">
        <v>0.54374999999999996</v>
      </c>
      <c r="I546">
        <v>0</v>
      </c>
      <c r="J546" t="s">
        <v>174</v>
      </c>
      <c r="K546">
        <v>0</v>
      </c>
      <c r="L546" t="s">
        <v>1942</v>
      </c>
      <c r="M546" t="s">
        <v>1943</v>
      </c>
      <c r="N546" t="s">
        <v>1944</v>
      </c>
      <c r="O546" t="s">
        <v>1945</v>
      </c>
      <c r="P546" t="s">
        <v>1946</v>
      </c>
    </row>
    <row r="547" spans="1:16" x14ac:dyDescent="0.35">
      <c r="A547" t="s">
        <v>102</v>
      </c>
      <c r="B547">
        <v>1322845177</v>
      </c>
      <c r="C547" t="s">
        <v>18</v>
      </c>
      <c r="D547" t="s">
        <v>20</v>
      </c>
      <c r="E547" s="29">
        <v>46208</v>
      </c>
      <c r="F547" t="s">
        <v>6</v>
      </c>
      <c r="G547" s="28">
        <v>0.55069444444444449</v>
      </c>
      <c r="H547" s="28">
        <v>0.55069444444444449</v>
      </c>
      <c r="I547">
        <v>0</v>
      </c>
      <c r="J547" t="s">
        <v>174</v>
      </c>
      <c r="K547">
        <v>0</v>
      </c>
      <c r="L547" t="s">
        <v>1947</v>
      </c>
      <c r="M547" t="s">
        <v>1948</v>
      </c>
      <c r="N547" t="s">
        <v>1949</v>
      </c>
      <c r="O547" t="s">
        <v>1950</v>
      </c>
      <c r="P547" t="s">
        <v>1951</v>
      </c>
    </row>
    <row r="548" spans="1:16" x14ac:dyDescent="0.35">
      <c r="A548" t="s">
        <v>102</v>
      </c>
      <c r="B548">
        <v>1322845177</v>
      </c>
      <c r="C548" t="s">
        <v>18</v>
      </c>
      <c r="D548" t="s">
        <v>20</v>
      </c>
      <c r="E548" s="29">
        <v>46208</v>
      </c>
      <c r="F548" t="s">
        <v>6</v>
      </c>
      <c r="G548" s="28">
        <v>0.55763888888888891</v>
      </c>
      <c r="H548" s="28">
        <v>0.55763888888888891</v>
      </c>
      <c r="I548">
        <v>0</v>
      </c>
      <c r="J548" t="s">
        <v>174</v>
      </c>
      <c r="K548">
        <v>0</v>
      </c>
      <c r="L548" t="s">
        <v>1952</v>
      </c>
      <c r="M548" t="s">
        <v>1953</v>
      </c>
      <c r="N548" t="s">
        <v>1954</v>
      </c>
      <c r="O548" t="s">
        <v>1955</v>
      </c>
      <c r="P548" t="s">
        <v>1956</v>
      </c>
    </row>
    <row r="549" spans="1:16" x14ac:dyDescent="0.35">
      <c r="A549" t="s">
        <v>102</v>
      </c>
      <c r="B549">
        <v>1322845177</v>
      </c>
      <c r="C549" t="s">
        <v>18</v>
      </c>
      <c r="D549" t="s">
        <v>20</v>
      </c>
      <c r="E549" s="29">
        <v>46208</v>
      </c>
      <c r="F549" t="s">
        <v>6</v>
      </c>
      <c r="G549" s="28">
        <v>0.56458333333333333</v>
      </c>
      <c r="H549" s="28">
        <v>0.57777777777777772</v>
      </c>
      <c r="I549">
        <v>0</v>
      </c>
      <c r="J549" t="s">
        <v>146</v>
      </c>
      <c r="K549">
        <v>1</v>
      </c>
      <c r="L549" t="s">
        <v>147</v>
      </c>
      <c r="M549" t="s">
        <v>1957</v>
      </c>
      <c r="N549" t="s">
        <v>1958</v>
      </c>
      <c r="O549" t="s">
        <v>1959</v>
      </c>
      <c r="P549" t="s">
        <v>1960</v>
      </c>
    </row>
    <row r="550" spans="1:16" x14ac:dyDescent="0.35">
      <c r="A550" t="s">
        <v>102</v>
      </c>
      <c r="B550">
        <v>1322845177</v>
      </c>
      <c r="C550" t="s">
        <v>18</v>
      </c>
      <c r="D550" t="s">
        <v>20</v>
      </c>
      <c r="E550" s="29">
        <v>46208</v>
      </c>
      <c r="F550" t="s">
        <v>6</v>
      </c>
      <c r="G550" s="28">
        <v>0.5854166666666667</v>
      </c>
      <c r="H550" s="28">
        <v>0.5854166666666667</v>
      </c>
      <c r="I550">
        <v>0</v>
      </c>
      <c r="J550" t="s">
        <v>174</v>
      </c>
      <c r="K550">
        <v>0</v>
      </c>
      <c r="L550" t="s">
        <v>245</v>
      </c>
      <c r="M550" t="s">
        <v>1961</v>
      </c>
      <c r="N550" t="s">
        <v>1962</v>
      </c>
      <c r="O550" t="s">
        <v>1963</v>
      </c>
      <c r="P550" t="s">
        <v>1964</v>
      </c>
    </row>
    <row r="551" spans="1:16" x14ac:dyDescent="0.35">
      <c r="A551" t="s">
        <v>102</v>
      </c>
      <c r="B551">
        <v>1322845177</v>
      </c>
      <c r="C551" t="s">
        <v>18</v>
      </c>
      <c r="D551" t="s">
        <v>20</v>
      </c>
      <c r="E551" s="29">
        <v>46208</v>
      </c>
      <c r="F551" t="s">
        <v>6</v>
      </c>
      <c r="G551" s="28">
        <v>0.59236111111111112</v>
      </c>
      <c r="H551" s="28">
        <v>0.59236111111111112</v>
      </c>
      <c r="I551">
        <v>0</v>
      </c>
      <c r="J551" t="s">
        <v>174</v>
      </c>
      <c r="K551">
        <v>0</v>
      </c>
      <c r="L551" t="s">
        <v>1965</v>
      </c>
      <c r="M551" t="s">
        <v>1957</v>
      </c>
      <c r="N551" t="s">
        <v>1958</v>
      </c>
      <c r="O551" t="s">
        <v>1959</v>
      </c>
      <c r="P551" t="s">
        <v>1960</v>
      </c>
    </row>
    <row r="552" spans="1:16" x14ac:dyDescent="0.35">
      <c r="A552" t="s">
        <v>102</v>
      </c>
      <c r="B552">
        <v>1322845177</v>
      </c>
      <c r="C552" t="s">
        <v>18</v>
      </c>
      <c r="D552" t="s">
        <v>20</v>
      </c>
      <c r="E552" s="29">
        <v>46208</v>
      </c>
      <c r="F552" t="s">
        <v>6</v>
      </c>
      <c r="G552" s="28">
        <v>0.59930555555555554</v>
      </c>
      <c r="H552" s="28">
        <v>0.59930555555555554</v>
      </c>
      <c r="I552">
        <v>0</v>
      </c>
      <c r="J552" t="s">
        <v>174</v>
      </c>
      <c r="K552">
        <v>0</v>
      </c>
      <c r="L552" t="s">
        <v>1966</v>
      </c>
      <c r="M552" t="s">
        <v>1967</v>
      </c>
      <c r="N552" t="s">
        <v>1968</v>
      </c>
      <c r="O552" t="s">
        <v>1969</v>
      </c>
      <c r="P552" t="s">
        <v>1970</v>
      </c>
    </row>
    <row r="553" spans="1:16" x14ac:dyDescent="0.35">
      <c r="A553" t="s">
        <v>102</v>
      </c>
      <c r="B553">
        <v>1322845177</v>
      </c>
      <c r="C553" t="s">
        <v>18</v>
      </c>
      <c r="D553" t="s">
        <v>20</v>
      </c>
      <c r="E553" s="29">
        <v>46208</v>
      </c>
      <c r="F553" t="s">
        <v>6</v>
      </c>
      <c r="G553" s="28">
        <v>0.60416666666666663</v>
      </c>
      <c r="H553" s="28">
        <v>0.60416666666666663</v>
      </c>
      <c r="I553">
        <v>0</v>
      </c>
      <c r="J553" t="s">
        <v>174</v>
      </c>
      <c r="K553">
        <v>0</v>
      </c>
      <c r="L553" t="s">
        <v>1971</v>
      </c>
      <c r="M553" t="s">
        <v>1972</v>
      </c>
      <c r="N553" t="s">
        <v>1973</v>
      </c>
      <c r="O553" t="s">
        <v>1974</v>
      </c>
      <c r="P553" t="s">
        <v>1975</v>
      </c>
    </row>
    <row r="554" spans="1:16" x14ac:dyDescent="0.35">
      <c r="A554" t="s">
        <v>102</v>
      </c>
      <c r="B554">
        <v>1322845177</v>
      </c>
      <c r="C554" t="s">
        <v>18</v>
      </c>
      <c r="D554" t="s">
        <v>20</v>
      </c>
      <c r="E554" s="29">
        <v>46208</v>
      </c>
      <c r="F554" t="s">
        <v>6</v>
      </c>
      <c r="G554" s="28">
        <v>0.61319444444444449</v>
      </c>
      <c r="H554" s="28">
        <v>0.61319444444444449</v>
      </c>
      <c r="I554">
        <v>0</v>
      </c>
      <c r="J554" t="s">
        <v>174</v>
      </c>
      <c r="K554">
        <v>0</v>
      </c>
      <c r="L554" t="s">
        <v>1012</v>
      </c>
      <c r="M554" t="s">
        <v>1976</v>
      </c>
      <c r="N554" t="s">
        <v>1977</v>
      </c>
      <c r="O554" t="s">
        <v>1978</v>
      </c>
      <c r="P554" t="s">
        <v>1979</v>
      </c>
    </row>
    <row r="555" spans="1:16" x14ac:dyDescent="0.35">
      <c r="A555" t="s">
        <v>102</v>
      </c>
      <c r="B555">
        <v>1322845177</v>
      </c>
      <c r="C555" t="s">
        <v>18</v>
      </c>
      <c r="D555" t="s">
        <v>20</v>
      </c>
      <c r="E555" s="29">
        <v>46208</v>
      </c>
      <c r="F555" t="s">
        <v>6</v>
      </c>
      <c r="G555" s="28">
        <v>0.62013888888888891</v>
      </c>
      <c r="H555" s="28">
        <v>0.63402777777777775</v>
      </c>
      <c r="I555">
        <v>0</v>
      </c>
      <c r="J555" t="s">
        <v>146</v>
      </c>
      <c r="K555">
        <v>1</v>
      </c>
      <c r="L555" t="s">
        <v>147</v>
      </c>
      <c r="M555" t="s">
        <v>1980</v>
      </c>
      <c r="N555" t="s">
        <v>1981</v>
      </c>
      <c r="O555" t="s">
        <v>1982</v>
      </c>
      <c r="P555" t="s">
        <v>1983</v>
      </c>
    </row>
    <row r="556" spans="1:16" x14ac:dyDescent="0.35">
      <c r="A556" t="s">
        <v>102</v>
      </c>
      <c r="B556">
        <v>1322845177</v>
      </c>
      <c r="C556" t="s">
        <v>18</v>
      </c>
      <c r="D556" t="s">
        <v>20</v>
      </c>
      <c r="E556" s="29">
        <v>46208</v>
      </c>
      <c r="F556" t="s">
        <v>6</v>
      </c>
      <c r="G556" s="28">
        <v>0.64097222222222228</v>
      </c>
      <c r="H556" s="28">
        <v>0.64097222222222228</v>
      </c>
      <c r="I556">
        <v>0</v>
      </c>
      <c r="J556" t="s">
        <v>174</v>
      </c>
      <c r="K556">
        <v>0</v>
      </c>
      <c r="L556" t="s">
        <v>1984</v>
      </c>
      <c r="M556" t="s">
        <v>1985</v>
      </c>
      <c r="N556" t="s">
        <v>1986</v>
      </c>
      <c r="O556" t="s">
        <v>1987</v>
      </c>
      <c r="P556" t="s">
        <v>1988</v>
      </c>
    </row>
    <row r="557" spans="1:16" x14ac:dyDescent="0.35">
      <c r="A557" t="s">
        <v>102</v>
      </c>
      <c r="B557">
        <v>1322845177</v>
      </c>
      <c r="C557" t="s">
        <v>18</v>
      </c>
      <c r="D557" t="s">
        <v>20</v>
      </c>
      <c r="E557" s="29">
        <v>46208</v>
      </c>
      <c r="F557" t="s">
        <v>6</v>
      </c>
      <c r="G557" s="28">
        <v>0.6479166666666667</v>
      </c>
      <c r="H557" s="28">
        <v>0.6479166666666667</v>
      </c>
      <c r="I557">
        <v>0</v>
      </c>
      <c r="J557" t="s">
        <v>174</v>
      </c>
      <c r="K557">
        <v>0</v>
      </c>
      <c r="L557" t="s">
        <v>1989</v>
      </c>
      <c r="M557" t="s">
        <v>1990</v>
      </c>
      <c r="N557" t="s">
        <v>1991</v>
      </c>
      <c r="O557" t="s">
        <v>1992</v>
      </c>
      <c r="P557" t="s">
        <v>1993</v>
      </c>
    </row>
    <row r="558" spans="1:16" x14ac:dyDescent="0.35">
      <c r="A558" t="s">
        <v>102</v>
      </c>
      <c r="B558">
        <v>1322845177</v>
      </c>
      <c r="C558" t="s">
        <v>18</v>
      </c>
      <c r="D558" t="s">
        <v>20</v>
      </c>
      <c r="E558" s="29">
        <v>46208</v>
      </c>
      <c r="F558" t="s">
        <v>6</v>
      </c>
      <c r="G558" s="28">
        <v>0.65486111111111112</v>
      </c>
      <c r="H558" s="28">
        <v>0.65486111111111112</v>
      </c>
      <c r="I558">
        <v>0</v>
      </c>
      <c r="J558" t="s">
        <v>174</v>
      </c>
      <c r="K558">
        <v>0</v>
      </c>
      <c r="L558" t="s">
        <v>1994</v>
      </c>
      <c r="M558" t="s">
        <v>1980</v>
      </c>
      <c r="N558" t="s">
        <v>1981</v>
      </c>
      <c r="O558" t="s">
        <v>1982</v>
      </c>
      <c r="P558" t="s">
        <v>1983</v>
      </c>
    </row>
    <row r="559" spans="1:16" x14ac:dyDescent="0.35">
      <c r="A559" t="s">
        <v>102</v>
      </c>
      <c r="B559">
        <v>1322845177</v>
      </c>
      <c r="C559" t="s">
        <v>18</v>
      </c>
      <c r="D559" t="s">
        <v>20</v>
      </c>
      <c r="E559" s="29">
        <v>46208</v>
      </c>
      <c r="F559" t="s">
        <v>6</v>
      </c>
      <c r="G559" s="28">
        <v>0.66249999999999998</v>
      </c>
      <c r="H559" s="28">
        <v>0.66249999999999998</v>
      </c>
      <c r="I559">
        <v>0</v>
      </c>
      <c r="J559" t="s">
        <v>174</v>
      </c>
      <c r="K559">
        <v>0</v>
      </c>
      <c r="L559" t="s">
        <v>1994</v>
      </c>
      <c r="M559" t="s">
        <v>1995</v>
      </c>
      <c r="N559" t="s">
        <v>1996</v>
      </c>
      <c r="O559" t="s">
        <v>1997</v>
      </c>
      <c r="P559" t="s">
        <v>1998</v>
      </c>
    </row>
    <row r="560" spans="1:16" x14ac:dyDescent="0.35">
      <c r="A560" t="s">
        <v>102</v>
      </c>
      <c r="B560">
        <v>1322845177</v>
      </c>
      <c r="C560" t="s">
        <v>18</v>
      </c>
      <c r="D560" t="s">
        <v>20</v>
      </c>
      <c r="E560" s="29">
        <v>46208</v>
      </c>
      <c r="F560" t="s">
        <v>6</v>
      </c>
      <c r="G560" s="28">
        <v>0.66874999999999996</v>
      </c>
      <c r="H560" s="28">
        <v>0.68958333333333333</v>
      </c>
      <c r="I560">
        <v>1</v>
      </c>
      <c r="J560" t="s">
        <v>146</v>
      </c>
      <c r="K560">
        <v>2</v>
      </c>
      <c r="L560" t="s">
        <v>147</v>
      </c>
      <c r="M560" t="s">
        <v>1980</v>
      </c>
      <c r="N560" t="s">
        <v>1981</v>
      </c>
      <c r="O560" t="s">
        <v>1982</v>
      </c>
      <c r="P560" t="s">
        <v>1983</v>
      </c>
    </row>
    <row r="561" spans="1:16" x14ac:dyDescent="0.35">
      <c r="A561" t="s">
        <v>102</v>
      </c>
      <c r="B561">
        <v>1322845177</v>
      </c>
      <c r="C561" t="s">
        <v>18</v>
      </c>
      <c r="D561" t="s">
        <v>20</v>
      </c>
      <c r="E561" s="29">
        <v>46208</v>
      </c>
      <c r="F561" t="s">
        <v>6</v>
      </c>
      <c r="G561" s="28">
        <v>0.69652777777777775</v>
      </c>
      <c r="H561" s="28">
        <v>0.7104166666666667</v>
      </c>
      <c r="I561">
        <v>0</v>
      </c>
      <c r="J561" t="s">
        <v>146</v>
      </c>
      <c r="K561">
        <v>1</v>
      </c>
      <c r="L561" t="s">
        <v>147</v>
      </c>
      <c r="M561" t="s">
        <v>1999</v>
      </c>
      <c r="N561" t="s">
        <v>2000</v>
      </c>
      <c r="O561" t="s">
        <v>2001</v>
      </c>
      <c r="P561" t="s">
        <v>2002</v>
      </c>
    </row>
    <row r="562" spans="1:16" x14ac:dyDescent="0.35">
      <c r="A562" t="s">
        <v>102</v>
      </c>
      <c r="B562">
        <v>1322845177</v>
      </c>
      <c r="C562" t="s">
        <v>18</v>
      </c>
      <c r="D562" t="s">
        <v>20</v>
      </c>
      <c r="E562" s="29">
        <v>46208</v>
      </c>
      <c r="F562" t="s">
        <v>6</v>
      </c>
      <c r="G562" s="28">
        <v>0.71736111111111112</v>
      </c>
      <c r="H562" s="28">
        <v>0.71736111111111112</v>
      </c>
      <c r="I562">
        <v>0</v>
      </c>
      <c r="J562" t="s">
        <v>174</v>
      </c>
      <c r="K562">
        <v>0</v>
      </c>
      <c r="L562" t="s">
        <v>2003</v>
      </c>
      <c r="M562" t="s">
        <v>2004</v>
      </c>
      <c r="N562" t="s">
        <v>2005</v>
      </c>
      <c r="O562" t="s">
        <v>2006</v>
      </c>
      <c r="P562" t="s">
        <v>2007</v>
      </c>
    </row>
    <row r="563" spans="1:16" x14ac:dyDescent="0.35">
      <c r="A563" t="s">
        <v>102</v>
      </c>
      <c r="B563">
        <v>1322845177</v>
      </c>
      <c r="C563" t="s">
        <v>18</v>
      </c>
      <c r="D563" t="s">
        <v>20</v>
      </c>
      <c r="E563" s="29">
        <v>46208</v>
      </c>
      <c r="F563" t="s">
        <v>6</v>
      </c>
      <c r="G563" s="28">
        <v>0.72430555555555554</v>
      </c>
      <c r="H563" s="28">
        <v>0.72430555555555554</v>
      </c>
      <c r="I563">
        <v>0</v>
      </c>
      <c r="J563" t="s">
        <v>174</v>
      </c>
      <c r="K563">
        <v>0</v>
      </c>
      <c r="L563" t="s">
        <v>2008</v>
      </c>
      <c r="M563" t="s">
        <v>2009</v>
      </c>
      <c r="N563" t="s">
        <v>2010</v>
      </c>
      <c r="O563" t="s">
        <v>2011</v>
      </c>
      <c r="P563" t="s">
        <v>2012</v>
      </c>
    </row>
    <row r="564" spans="1:16" x14ac:dyDescent="0.35">
      <c r="A564" t="s">
        <v>102</v>
      </c>
      <c r="B564">
        <v>1322845177</v>
      </c>
      <c r="C564" t="s">
        <v>18</v>
      </c>
      <c r="D564" t="s">
        <v>20</v>
      </c>
      <c r="E564" s="29">
        <v>46208</v>
      </c>
      <c r="F564" t="s">
        <v>6</v>
      </c>
      <c r="G564" s="28">
        <v>0.73124999999999996</v>
      </c>
      <c r="H564" s="28">
        <v>0.73124999999999996</v>
      </c>
      <c r="I564">
        <v>0</v>
      </c>
      <c r="J564" t="s">
        <v>174</v>
      </c>
      <c r="K564">
        <v>0</v>
      </c>
      <c r="L564" t="s">
        <v>2013</v>
      </c>
      <c r="M564" t="s">
        <v>2014</v>
      </c>
      <c r="N564" t="s">
        <v>2015</v>
      </c>
      <c r="O564" t="s">
        <v>2016</v>
      </c>
      <c r="P564" t="s">
        <v>2017</v>
      </c>
    </row>
    <row r="565" spans="1:16" x14ac:dyDescent="0.35">
      <c r="A565" t="s">
        <v>102</v>
      </c>
      <c r="B565">
        <v>1322845177</v>
      </c>
      <c r="C565" t="s">
        <v>18</v>
      </c>
      <c r="D565" t="s">
        <v>20</v>
      </c>
      <c r="E565" s="29">
        <v>46208</v>
      </c>
      <c r="F565" t="s">
        <v>6</v>
      </c>
      <c r="G565" s="28">
        <v>0.73819444444444449</v>
      </c>
      <c r="H565" s="28">
        <v>0.73819444444444449</v>
      </c>
      <c r="I565">
        <v>0</v>
      </c>
      <c r="J565" t="s">
        <v>174</v>
      </c>
      <c r="K565">
        <v>0</v>
      </c>
      <c r="L565" t="s">
        <v>2018</v>
      </c>
      <c r="M565" t="s">
        <v>2019</v>
      </c>
      <c r="N565" t="s">
        <v>2020</v>
      </c>
      <c r="O565" t="s">
        <v>2021</v>
      </c>
      <c r="P565" t="s">
        <v>2022</v>
      </c>
    </row>
    <row r="566" spans="1:16" x14ac:dyDescent="0.35">
      <c r="A566" t="s">
        <v>102</v>
      </c>
      <c r="B566">
        <v>1322845177</v>
      </c>
      <c r="C566" t="s">
        <v>18</v>
      </c>
      <c r="D566" t="s">
        <v>20</v>
      </c>
      <c r="E566" s="29">
        <v>46208</v>
      </c>
      <c r="F566" t="s">
        <v>6</v>
      </c>
      <c r="G566" s="28">
        <v>0.74513888888888891</v>
      </c>
      <c r="H566" s="28">
        <v>0.74513888888888891</v>
      </c>
      <c r="I566">
        <v>0</v>
      </c>
      <c r="J566" t="s">
        <v>174</v>
      </c>
      <c r="K566">
        <v>0</v>
      </c>
      <c r="L566" t="s">
        <v>2023</v>
      </c>
      <c r="M566" t="s">
        <v>1765</v>
      </c>
      <c r="N566" t="s">
        <v>1766</v>
      </c>
      <c r="O566" t="s">
        <v>1767</v>
      </c>
      <c r="P566" t="s">
        <v>1768</v>
      </c>
    </row>
    <row r="567" spans="1:16" x14ac:dyDescent="0.35">
      <c r="A567" t="s">
        <v>102</v>
      </c>
      <c r="B567">
        <v>1322845177</v>
      </c>
      <c r="C567" t="s">
        <v>18</v>
      </c>
      <c r="D567" t="s">
        <v>20</v>
      </c>
      <c r="E567" s="29">
        <v>46208</v>
      </c>
      <c r="F567" t="s">
        <v>6</v>
      </c>
      <c r="G567" s="28">
        <v>0.75208333333333333</v>
      </c>
      <c r="H567" s="28">
        <v>0.75208333333333333</v>
      </c>
      <c r="I567">
        <v>0</v>
      </c>
      <c r="J567" t="s">
        <v>174</v>
      </c>
      <c r="K567">
        <v>0</v>
      </c>
      <c r="L567" t="s">
        <v>2023</v>
      </c>
      <c r="M567" t="s">
        <v>2024</v>
      </c>
      <c r="N567" t="s">
        <v>2025</v>
      </c>
      <c r="O567" t="s">
        <v>2026</v>
      </c>
      <c r="P567" t="s">
        <v>2027</v>
      </c>
    </row>
    <row r="568" spans="1:16" x14ac:dyDescent="0.35">
      <c r="A568" t="s">
        <v>102</v>
      </c>
      <c r="B568">
        <v>1322845177</v>
      </c>
      <c r="C568" t="s">
        <v>18</v>
      </c>
      <c r="D568" t="s">
        <v>20</v>
      </c>
      <c r="E568" s="29">
        <v>46208</v>
      </c>
      <c r="F568" t="s">
        <v>6</v>
      </c>
      <c r="G568" s="28">
        <v>0.75902777777777775</v>
      </c>
      <c r="H568" s="28">
        <v>0.75902777777777775</v>
      </c>
      <c r="I568">
        <v>0</v>
      </c>
      <c r="J568" t="s">
        <v>174</v>
      </c>
      <c r="K568">
        <v>0</v>
      </c>
      <c r="L568" t="s">
        <v>2028</v>
      </c>
      <c r="M568" t="s">
        <v>1765</v>
      </c>
      <c r="N568" t="s">
        <v>1766</v>
      </c>
      <c r="O568" t="s">
        <v>1767</v>
      </c>
      <c r="P568" t="s">
        <v>1768</v>
      </c>
    </row>
    <row r="569" spans="1:16" x14ac:dyDescent="0.35">
      <c r="A569" t="s">
        <v>102</v>
      </c>
      <c r="B569">
        <v>1322845177</v>
      </c>
      <c r="C569" t="s">
        <v>18</v>
      </c>
      <c r="D569" t="s">
        <v>20</v>
      </c>
      <c r="E569" s="29">
        <v>46208</v>
      </c>
      <c r="F569" t="s">
        <v>6</v>
      </c>
      <c r="G569" s="28">
        <v>0.76597222222222228</v>
      </c>
      <c r="H569" s="28">
        <v>0.76597222222222228</v>
      </c>
      <c r="I569">
        <v>0</v>
      </c>
      <c r="J569" t="s">
        <v>174</v>
      </c>
      <c r="K569">
        <v>0</v>
      </c>
      <c r="L569" t="s">
        <v>2029</v>
      </c>
      <c r="M569" t="s">
        <v>2030</v>
      </c>
      <c r="N569" t="s">
        <v>2031</v>
      </c>
      <c r="O569" t="s">
        <v>2032</v>
      </c>
      <c r="P569" t="s">
        <v>2033</v>
      </c>
    </row>
    <row r="570" spans="1:16" x14ac:dyDescent="0.35">
      <c r="A570" t="s">
        <v>102</v>
      </c>
      <c r="B570">
        <v>1322845177</v>
      </c>
      <c r="C570" t="s">
        <v>18</v>
      </c>
      <c r="D570" t="s">
        <v>20</v>
      </c>
      <c r="E570" s="29">
        <v>46208</v>
      </c>
      <c r="F570" t="s">
        <v>6</v>
      </c>
      <c r="G570" s="28">
        <v>0.7729166666666667</v>
      </c>
      <c r="H570" s="28">
        <v>0.81458333333333333</v>
      </c>
      <c r="I570">
        <v>1</v>
      </c>
      <c r="J570" t="s">
        <v>146</v>
      </c>
      <c r="K570">
        <v>3</v>
      </c>
      <c r="L570" t="s">
        <v>147</v>
      </c>
      <c r="M570" t="s">
        <v>1751</v>
      </c>
      <c r="N570" t="s">
        <v>1752</v>
      </c>
      <c r="O570" t="s">
        <v>1753</v>
      </c>
      <c r="P570" t="s">
        <v>1754</v>
      </c>
    </row>
    <row r="571" spans="1:16" x14ac:dyDescent="0.35">
      <c r="A571" t="s">
        <v>87</v>
      </c>
      <c r="B571">
        <v>1700702246</v>
      </c>
      <c r="C571" t="s">
        <v>19</v>
      </c>
      <c r="D571" t="s">
        <v>21</v>
      </c>
      <c r="E571" s="29">
        <v>46204</v>
      </c>
      <c r="F571" t="s">
        <v>3</v>
      </c>
      <c r="G571" s="28">
        <v>0.37777777777777777</v>
      </c>
      <c r="H571" s="28">
        <v>0.37777777777777777</v>
      </c>
      <c r="I571">
        <v>0</v>
      </c>
      <c r="J571" t="s">
        <v>174</v>
      </c>
      <c r="K571">
        <v>0</v>
      </c>
      <c r="L571" t="s">
        <v>1544</v>
      </c>
      <c r="M571" t="s">
        <v>2034</v>
      </c>
      <c r="N571" t="s">
        <v>2035</v>
      </c>
      <c r="O571" t="s">
        <v>2036</v>
      </c>
      <c r="P571" t="s">
        <v>2037</v>
      </c>
    </row>
    <row r="572" spans="1:16" x14ac:dyDescent="0.35">
      <c r="A572" t="s">
        <v>87</v>
      </c>
      <c r="B572">
        <v>1700702246</v>
      </c>
      <c r="C572" t="s">
        <v>19</v>
      </c>
      <c r="D572" t="s">
        <v>21</v>
      </c>
      <c r="E572" s="29">
        <v>46204</v>
      </c>
      <c r="F572" t="s">
        <v>3</v>
      </c>
      <c r="G572" s="28">
        <v>0.38541666666666669</v>
      </c>
      <c r="H572" s="28">
        <v>0.38541666666666669</v>
      </c>
      <c r="I572">
        <v>0</v>
      </c>
      <c r="J572" t="s">
        <v>174</v>
      </c>
      <c r="K572">
        <v>0</v>
      </c>
      <c r="L572" t="s">
        <v>2038</v>
      </c>
      <c r="M572" t="s">
        <v>2039</v>
      </c>
      <c r="N572" t="s">
        <v>2040</v>
      </c>
      <c r="O572" t="s">
        <v>2041</v>
      </c>
      <c r="P572" t="s">
        <v>2042</v>
      </c>
    </row>
    <row r="573" spans="1:16" x14ac:dyDescent="0.35">
      <c r="A573" t="s">
        <v>87</v>
      </c>
      <c r="B573">
        <v>1700702246</v>
      </c>
      <c r="C573" t="s">
        <v>19</v>
      </c>
      <c r="D573" t="s">
        <v>21</v>
      </c>
      <c r="E573" s="29">
        <v>46204</v>
      </c>
      <c r="F573" t="s">
        <v>3</v>
      </c>
      <c r="G573" s="28">
        <v>0.39166666666666666</v>
      </c>
      <c r="H573" s="28">
        <v>0.78749999999999998</v>
      </c>
      <c r="I573">
        <v>10</v>
      </c>
      <c r="J573" t="s">
        <v>146</v>
      </c>
      <c r="K573">
        <v>28</v>
      </c>
      <c r="L573" t="s">
        <v>147</v>
      </c>
      <c r="M573" t="s">
        <v>414</v>
      </c>
      <c r="N573" t="s">
        <v>415</v>
      </c>
      <c r="O573" t="s">
        <v>416</v>
      </c>
      <c r="P573" t="s">
        <v>2043</v>
      </c>
    </row>
    <row r="574" spans="1:16" x14ac:dyDescent="0.35">
      <c r="A574" t="s">
        <v>87</v>
      </c>
      <c r="B574">
        <v>1700702246</v>
      </c>
      <c r="C574" t="s">
        <v>19</v>
      </c>
      <c r="D574" t="s">
        <v>21</v>
      </c>
      <c r="E574" s="29">
        <v>46205</v>
      </c>
      <c r="F574" t="s">
        <v>4</v>
      </c>
      <c r="G574" s="28">
        <v>0.74583333333333335</v>
      </c>
      <c r="H574" s="28">
        <v>0.75972222222222219</v>
      </c>
      <c r="I574">
        <v>0</v>
      </c>
      <c r="J574" t="s">
        <v>146</v>
      </c>
      <c r="K574">
        <v>1</v>
      </c>
      <c r="L574" t="s">
        <v>147</v>
      </c>
      <c r="M574" t="s">
        <v>410</v>
      </c>
      <c r="N574" t="s">
        <v>411</v>
      </c>
      <c r="O574" t="s">
        <v>412</v>
      </c>
      <c r="P574" t="s">
        <v>2044</v>
      </c>
    </row>
    <row r="575" spans="1:16" x14ac:dyDescent="0.35">
      <c r="A575" t="s">
        <v>87</v>
      </c>
      <c r="B575">
        <v>1700702246</v>
      </c>
      <c r="C575" t="s">
        <v>19</v>
      </c>
      <c r="D575" t="s">
        <v>21</v>
      </c>
      <c r="E575" s="29">
        <v>46205</v>
      </c>
      <c r="F575" t="s">
        <v>4</v>
      </c>
      <c r="G575" s="28">
        <v>0.76666666666666672</v>
      </c>
      <c r="H575" s="28">
        <v>0.77361111111111114</v>
      </c>
      <c r="I575">
        <v>0</v>
      </c>
      <c r="J575" t="s">
        <v>146</v>
      </c>
      <c r="K575">
        <v>0</v>
      </c>
      <c r="L575" t="s">
        <v>147</v>
      </c>
      <c r="M575" t="s">
        <v>2045</v>
      </c>
      <c r="N575" t="s">
        <v>2046</v>
      </c>
      <c r="O575" t="s">
        <v>2047</v>
      </c>
      <c r="P575" t="s">
        <v>2048</v>
      </c>
    </row>
    <row r="576" spans="1:16" x14ac:dyDescent="0.35">
      <c r="A576" t="s">
        <v>87</v>
      </c>
      <c r="B576">
        <v>1700702246</v>
      </c>
      <c r="C576" t="s">
        <v>19</v>
      </c>
      <c r="D576" t="s">
        <v>21</v>
      </c>
      <c r="E576" s="29">
        <v>46205</v>
      </c>
      <c r="F576" t="s">
        <v>4</v>
      </c>
      <c r="G576" s="28">
        <v>0.78055555555555556</v>
      </c>
      <c r="H576" s="28">
        <v>0.78055555555555556</v>
      </c>
      <c r="I576">
        <v>0</v>
      </c>
      <c r="J576" t="s">
        <v>174</v>
      </c>
      <c r="K576">
        <v>0</v>
      </c>
      <c r="L576" t="s">
        <v>2049</v>
      </c>
      <c r="M576" t="s">
        <v>2050</v>
      </c>
      <c r="N576" t="s">
        <v>2051</v>
      </c>
      <c r="O576" t="s">
        <v>2052</v>
      </c>
      <c r="P576" t="s">
        <v>441</v>
      </c>
    </row>
    <row r="577" spans="1:16" x14ac:dyDescent="0.35">
      <c r="A577" t="s">
        <v>87</v>
      </c>
      <c r="B577">
        <v>1700702246</v>
      </c>
      <c r="C577" t="s">
        <v>19</v>
      </c>
      <c r="D577" t="s">
        <v>21</v>
      </c>
      <c r="E577" s="29">
        <v>46205</v>
      </c>
      <c r="F577" t="s">
        <v>4</v>
      </c>
      <c r="G577" s="28">
        <v>0.78749999999999998</v>
      </c>
      <c r="H577" s="28">
        <v>0.78749999999999998</v>
      </c>
      <c r="I577">
        <v>0</v>
      </c>
      <c r="J577" t="s">
        <v>174</v>
      </c>
      <c r="K577">
        <v>0</v>
      </c>
      <c r="L577" t="s">
        <v>2053</v>
      </c>
      <c r="M577" t="s">
        <v>2034</v>
      </c>
      <c r="N577" t="s">
        <v>2035</v>
      </c>
      <c r="O577" t="s">
        <v>2036</v>
      </c>
      <c r="P577" t="s">
        <v>2037</v>
      </c>
    </row>
    <row r="578" spans="1:16" x14ac:dyDescent="0.35">
      <c r="A578" t="s">
        <v>87</v>
      </c>
      <c r="B578">
        <v>1700702246</v>
      </c>
      <c r="C578" t="s">
        <v>19</v>
      </c>
      <c r="D578" t="s">
        <v>21</v>
      </c>
      <c r="E578" s="29">
        <v>46207</v>
      </c>
      <c r="F578" t="s">
        <v>5</v>
      </c>
      <c r="G578" s="28">
        <v>0.37777777777777777</v>
      </c>
      <c r="H578" s="28">
        <v>0.37777777777777777</v>
      </c>
      <c r="I578">
        <v>0</v>
      </c>
      <c r="J578" t="s">
        <v>174</v>
      </c>
      <c r="K578">
        <v>0</v>
      </c>
      <c r="L578" t="s">
        <v>2054</v>
      </c>
      <c r="M578" t="s">
        <v>2055</v>
      </c>
      <c r="N578" t="s">
        <v>2056</v>
      </c>
      <c r="O578" t="s">
        <v>2057</v>
      </c>
      <c r="P578" t="s">
        <v>2058</v>
      </c>
    </row>
    <row r="579" spans="1:16" x14ac:dyDescent="0.35">
      <c r="A579" t="s">
        <v>87</v>
      </c>
      <c r="B579">
        <v>1700702246</v>
      </c>
      <c r="C579" t="s">
        <v>19</v>
      </c>
      <c r="D579" t="s">
        <v>21</v>
      </c>
      <c r="E579" s="29">
        <v>46207</v>
      </c>
      <c r="F579" t="s">
        <v>5</v>
      </c>
      <c r="G579" s="28">
        <v>0.38472222222222224</v>
      </c>
      <c r="H579" s="28">
        <v>0.38472222222222224</v>
      </c>
      <c r="I579">
        <v>0</v>
      </c>
      <c r="J579" t="s">
        <v>174</v>
      </c>
      <c r="K579">
        <v>0</v>
      </c>
      <c r="L579" t="s">
        <v>2028</v>
      </c>
      <c r="M579" t="s">
        <v>2059</v>
      </c>
      <c r="N579" t="s">
        <v>2060</v>
      </c>
      <c r="O579" t="s">
        <v>2061</v>
      </c>
      <c r="P579" t="s">
        <v>2062</v>
      </c>
    </row>
    <row r="580" spans="1:16" x14ac:dyDescent="0.35">
      <c r="A580" t="s">
        <v>87</v>
      </c>
      <c r="B580">
        <v>1700702246</v>
      </c>
      <c r="C580" t="s">
        <v>19</v>
      </c>
      <c r="D580" t="s">
        <v>21</v>
      </c>
      <c r="E580" s="29">
        <v>46207</v>
      </c>
      <c r="F580" t="s">
        <v>5</v>
      </c>
      <c r="G580" s="28">
        <v>0.39166666666666666</v>
      </c>
      <c r="H580" s="28">
        <v>0.39166666666666666</v>
      </c>
      <c r="I580">
        <v>0</v>
      </c>
      <c r="J580" t="s">
        <v>174</v>
      </c>
      <c r="K580">
        <v>0</v>
      </c>
      <c r="L580" t="s">
        <v>2063</v>
      </c>
      <c r="M580" t="s">
        <v>2064</v>
      </c>
      <c r="N580" t="s">
        <v>2065</v>
      </c>
      <c r="O580" t="s">
        <v>2066</v>
      </c>
      <c r="P580" t="s">
        <v>2067</v>
      </c>
    </row>
    <row r="581" spans="1:16" x14ac:dyDescent="0.35">
      <c r="A581" t="s">
        <v>87</v>
      </c>
      <c r="B581">
        <v>1700702246</v>
      </c>
      <c r="C581" t="s">
        <v>19</v>
      </c>
      <c r="D581" t="s">
        <v>21</v>
      </c>
      <c r="E581" s="29">
        <v>46207</v>
      </c>
      <c r="F581" t="s">
        <v>5</v>
      </c>
      <c r="G581" s="28">
        <v>0.39861111111111114</v>
      </c>
      <c r="H581" s="28">
        <v>0.44722222222222224</v>
      </c>
      <c r="I581">
        <v>1</v>
      </c>
      <c r="J581" t="s">
        <v>146</v>
      </c>
      <c r="K581">
        <v>4</v>
      </c>
      <c r="L581" t="s">
        <v>147</v>
      </c>
      <c r="M581" t="s">
        <v>2068</v>
      </c>
      <c r="N581" t="s">
        <v>2069</v>
      </c>
      <c r="O581" t="s">
        <v>2070</v>
      </c>
      <c r="P581" t="s">
        <v>2071</v>
      </c>
    </row>
    <row r="582" spans="1:16" x14ac:dyDescent="0.35">
      <c r="A582" t="s">
        <v>87</v>
      </c>
      <c r="B582">
        <v>1700702246</v>
      </c>
      <c r="C582" t="s">
        <v>19</v>
      </c>
      <c r="D582" t="s">
        <v>21</v>
      </c>
      <c r="E582" s="29">
        <v>46207</v>
      </c>
      <c r="F582" t="s">
        <v>5</v>
      </c>
      <c r="G582" s="28">
        <v>0.45416666666666666</v>
      </c>
      <c r="H582" s="28">
        <v>0.46111111111111114</v>
      </c>
      <c r="I582">
        <v>0</v>
      </c>
      <c r="J582" t="s">
        <v>146</v>
      </c>
      <c r="K582">
        <v>1</v>
      </c>
      <c r="L582" t="s">
        <v>147</v>
      </c>
      <c r="M582" t="s">
        <v>2072</v>
      </c>
      <c r="N582" t="s">
        <v>2073</v>
      </c>
      <c r="O582" t="s">
        <v>2074</v>
      </c>
      <c r="P582" t="s">
        <v>2075</v>
      </c>
    </row>
    <row r="583" spans="1:16" x14ac:dyDescent="0.35">
      <c r="A583" t="s">
        <v>87</v>
      </c>
      <c r="B583">
        <v>1700702246</v>
      </c>
      <c r="C583" t="s">
        <v>19</v>
      </c>
      <c r="D583" t="s">
        <v>21</v>
      </c>
      <c r="E583" s="29">
        <v>46207</v>
      </c>
      <c r="F583" t="s">
        <v>5</v>
      </c>
      <c r="G583" s="28">
        <v>0.46805555555555556</v>
      </c>
      <c r="H583" s="28">
        <v>0.46805555555555556</v>
      </c>
      <c r="I583">
        <v>0</v>
      </c>
      <c r="J583" t="s">
        <v>174</v>
      </c>
      <c r="K583">
        <v>0</v>
      </c>
      <c r="L583" t="s">
        <v>2076</v>
      </c>
      <c r="M583" t="s">
        <v>2077</v>
      </c>
      <c r="N583" t="s">
        <v>2078</v>
      </c>
      <c r="O583" t="s">
        <v>2079</v>
      </c>
      <c r="P583" t="s">
        <v>2080</v>
      </c>
    </row>
    <row r="584" spans="1:16" x14ac:dyDescent="0.35">
      <c r="A584" t="s">
        <v>87</v>
      </c>
      <c r="B584">
        <v>1700702246</v>
      </c>
      <c r="C584" t="s">
        <v>19</v>
      </c>
      <c r="D584" t="s">
        <v>21</v>
      </c>
      <c r="E584" s="29">
        <v>46207</v>
      </c>
      <c r="F584" t="s">
        <v>5</v>
      </c>
      <c r="G584" s="28">
        <v>0.47499999999999998</v>
      </c>
      <c r="H584" s="28">
        <v>0.47499999999999998</v>
      </c>
      <c r="I584">
        <v>0</v>
      </c>
      <c r="J584" t="s">
        <v>174</v>
      </c>
      <c r="K584">
        <v>0</v>
      </c>
      <c r="L584" t="s">
        <v>2081</v>
      </c>
      <c r="M584" t="s">
        <v>2082</v>
      </c>
      <c r="N584" t="s">
        <v>2083</v>
      </c>
      <c r="O584" t="s">
        <v>2084</v>
      </c>
      <c r="P584" t="s">
        <v>2085</v>
      </c>
    </row>
    <row r="585" spans="1:16" x14ac:dyDescent="0.35">
      <c r="A585" t="s">
        <v>87</v>
      </c>
      <c r="B585">
        <v>1700702246</v>
      </c>
      <c r="C585" t="s">
        <v>19</v>
      </c>
      <c r="D585" t="s">
        <v>21</v>
      </c>
      <c r="E585" s="29">
        <v>46207</v>
      </c>
      <c r="F585" t="s">
        <v>5</v>
      </c>
      <c r="G585" s="28">
        <v>0.48194444444444445</v>
      </c>
      <c r="H585" s="28">
        <v>0.48888888888888887</v>
      </c>
      <c r="I585">
        <v>0</v>
      </c>
      <c r="J585" t="s">
        <v>146</v>
      </c>
      <c r="K585">
        <v>0</v>
      </c>
      <c r="L585" t="s">
        <v>147</v>
      </c>
      <c r="M585" t="s">
        <v>2072</v>
      </c>
      <c r="N585" t="s">
        <v>2073</v>
      </c>
      <c r="O585" t="s">
        <v>2074</v>
      </c>
      <c r="P585" t="s">
        <v>2075</v>
      </c>
    </row>
    <row r="586" spans="1:16" x14ac:dyDescent="0.35">
      <c r="A586" t="s">
        <v>87</v>
      </c>
      <c r="B586">
        <v>1700702246</v>
      </c>
      <c r="C586" t="s">
        <v>19</v>
      </c>
      <c r="D586" t="s">
        <v>21</v>
      </c>
      <c r="E586" s="29">
        <v>46207</v>
      </c>
      <c r="F586" t="s">
        <v>5</v>
      </c>
      <c r="G586" s="28">
        <v>0.50277777777777777</v>
      </c>
      <c r="H586" s="28">
        <v>0.50972222222222219</v>
      </c>
      <c r="I586">
        <v>0</v>
      </c>
      <c r="J586" t="s">
        <v>146</v>
      </c>
      <c r="K586">
        <v>0</v>
      </c>
      <c r="L586" t="s">
        <v>147</v>
      </c>
      <c r="M586" t="s">
        <v>2086</v>
      </c>
      <c r="N586" t="s">
        <v>2087</v>
      </c>
      <c r="O586" t="s">
        <v>2088</v>
      </c>
      <c r="P586" t="s">
        <v>2089</v>
      </c>
    </row>
    <row r="587" spans="1:16" x14ac:dyDescent="0.35">
      <c r="A587" t="s">
        <v>87</v>
      </c>
      <c r="B587">
        <v>1700702246</v>
      </c>
      <c r="C587" t="s">
        <v>19</v>
      </c>
      <c r="D587" t="s">
        <v>21</v>
      </c>
      <c r="E587" s="29">
        <v>46207</v>
      </c>
      <c r="F587" t="s">
        <v>5</v>
      </c>
      <c r="G587" s="28">
        <v>0.51666666666666672</v>
      </c>
      <c r="H587" s="28">
        <v>0.53749999999999998</v>
      </c>
      <c r="I587">
        <v>0</v>
      </c>
      <c r="J587" t="s">
        <v>146</v>
      </c>
      <c r="K587">
        <v>1</v>
      </c>
      <c r="L587" t="s">
        <v>147</v>
      </c>
      <c r="M587" t="s">
        <v>2090</v>
      </c>
      <c r="N587" t="s">
        <v>2091</v>
      </c>
      <c r="O587" t="s">
        <v>2092</v>
      </c>
      <c r="P587" t="s">
        <v>2093</v>
      </c>
    </row>
    <row r="588" spans="1:16" x14ac:dyDescent="0.35">
      <c r="A588" t="s">
        <v>87</v>
      </c>
      <c r="B588">
        <v>1700702246</v>
      </c>
      <c r="C588" t="s">
        <v>19</v>
      </c>
      <c r="D588" t="s">
        <v>21</v>
      </c>
      <c r="E588" s="29">
        <v>46207</v>
      </c>
      <c r="F588" t="s">
        <v>5</v>
      </c>
      <c r="G588" s="28">
        <v>0.5444444444444444</v>
      </c>
      <c r="H588" s="28">
        <v>0.5444444444444444</v>
      </c>
      <c r="I588">
        <v>0</v>
      </c>
      <c r="J588" t="s">
        <v>174</v>
      </c>
      <c r="K588">
        <v>0</v>
      </c>
      <c r="L588" t="s">
        <v>2094</v>
      </c>
      <c r="M588" t="s">
        <v>2086</v>
      </c>
      <c r="N588" t="s">
        <v>2087</v>
      </c>
      <c r="O588" t="s">
        <v>2088</v>
      </c>
      <c r="P588" t="s">
        <v>2089</v>
      </c>
    </row>
    <row r="589" spans="1:16" x14ac:dyDescent="0.35">
      <c r="A589" t="s">
        <v>87</v>
      </c>
      <c r="B589">
        <v>1700702246</v>
      </c>
      <c r="C589" t="s">
        <v>19</v>
      </c>
      <c r="D589" t="s">
        <v>21</v>
      </c>
      <c r="E589" s="29">
        <v>46207</v>
      </c>
      <c r="F589" t="s">
        <v>5</v>
      </c>
      <c r="G589" s="28">
        <v>0.55138888888888893</v>
      </c>
      <c r="H589" s="28">
        <v>0.55138888888888893</v>
      </c>
      <c r="I589">
        <v>0</v>
      </c>
      <c r="J589" t="s">
        <v>174</v>
      </c>
      <c r="K589">
        <v>0</v>
      </c>
      <c r="L589" t="s">
        <v>2094</v>
      </c>
      <c r="M589" t="s">
        <v>2090</v>
      </c>
      <c r="N589" t="s">
        <v>2091</v>
      </c>
      <c r="O589" t="s">
        <v>2092</v>
      </c>
      <c r="P589" t="s">
        <v>2093</v>
      </c>
    </row>
    <row r="590" spans="1:16" x14ac:dyDescent="0.35">
      <c r="A590" t="s">
        <v>87</v>
      </c>
      <c r="B590">
        <v>1700702246</v>
      </c>
      <c r="C590" t="s">
        <v>19</v>
      </c>
      <c r="D590" t="s">
        <v>21</v>
      </c>
      <c r="E590" s="29">
        <v>46207</v>
      </c>
      <c r="F590" t="s">
        <v>5</v>
      </c>
      <c r="G590" s="28">
        <v>0.55833333333333335</v>
      </c>
      <c r="H590" s="28">
        <v>0.57916666666666672</v>
      </c>
      <c r="I590">
        <v>1</v>
      </c>
      <c r="J590" t="s">
        <v>146</v>
      </c>
      <c r="K590">
        <v>2</v>
      </c>
      <c r="L590" t="s">
        <v>147</v>
      </c>
      <c r="M590" t="s">
        <v>2086</v>
      </c>
      <c r="N590" t="s">
        <v>2087</v>
      </c>
      <c r="O590" t="s">
        <v>2088</v>
      </c>
      <c r="P590" t="s">
        <v>2089</v>
      </c>
    </row>
    <row r="591" spans="1:16" x14ac:dyDescent="0.35">
      <c r="A591" t="s">
        <v>87</v>
      </c>
      <c r="B591">
        <v>1700702246</v>
      </c>
      <c r="C591" t="s">
        <v>19</v>
      </c>
      <c r="D591" t="s">
        <v>21</v>
      </c>
      <c r="E591" s="29">
        <v>46207</v>
      </c>
      <c r="F591" t="s">
        <v>5</v>
      </c>
      <c r="G591" s="28">
        <v>0.58611111111111114</v>
      </c>
      <c r="H591" s="28">
        <v>0.59305555555555556</v>
      </c>
      <c r="I591">
        <v>0</v>
      </c>
      <c r="J591" t="s">
        <v>146</v>
      </c>
      <c r="K591">
        <v>0</v>
      </c>
      <c r="L591" t="s">
        <v>147</v>
      </c>
      <c r="M591" t="s">
        <v>2090</v>
      </c>
      <c r="N591" t="s">
        <v>2091</v>
      </c>
      <c r="O591" t="s">
        <v>2092</v>
      </c>
      <c r="P591" t="s">
        <v>2093</v>
      </c>
    </row>
    <row r="592" spans="1:16" x14ac:dyDescent="0.35">
      <c r="A592" t="s">
        <v>87</v>
      </c>
      <c r="B592">
        <v>1700702246</v>
      </c>
      <c r="C592" t="s">
        <v>19</v>
      </c>
      <c r="D592" t="s">
        <v>21</v>
      </c>
      <c r="E592" s="29">
        <v>46207</v>
      </c>
      <c r="F592" t="s">
        <v>5</v>
      </c>
      <c r="G592" s="28">
        <v>0.6</v>
      </c>
      <c r="H592" s="28">
        <v>0.6</v>
      </c>
      <c r="I592">
        <v>0</v>
      </c>
      <c r="J592" t="s">
        <v>174</v>
      </c>
      <c r="K592">
        <v>0</v>
      </c>
      <c r="L592" t="s">
        <v>2095</v>
      </c>
      <c r="M592" t="s">
        <v>2086</v>
      </c>
      <c r="N592" t="s">
        <v>2087</v>
      </c>
      <c r="O592" t="s">
        <v>2088</v>
      </c>
      <c r="P592" t="s">
        <v>2089</v>
      </c>
    </row>
    <row r="593" spans="1:16" x14ac:dyDescent="0.35">
      <c r="A593" t="s">
        <v>87</v>
      </c>
      <c r="B593">
        <v>1700702246</v>
      </c>
      <c r="C593" t="s">
        <v>19</v>
      </c>
      <c r="D593" t="s">
        <v>21</v>
      </c>
      <c r="E593" s="29">
        <v>46207</v>
      </c>
      <c r="F593" t="s">
        <v>5</v>
      </c>
      <c r="G593" s="28">
        <v>0.6069444444444444</v>
      </c>
      <c r="H593" s="28">
        <v>0.6069444444444444</v>
      </c>
      <c r="I593">
        <v>0</v>
      </c>
      <c r="J593" t="s">
        <v>174</v>
      </c>
      <c r="K593">
        <v>0</v>
      </c>
      <c r="L593" t="s">
        <v>359</v>
      </c>
      <c r="M593" t="s">
        <v>2096</v>
      </c>
      <c r="N593" t="s">
        <v>2097</v>
      </c>
      <c r="O593" t="s">
        <v>2098</v>
      </c>
      <c r="P593" t="s">
        <v>2099</v>
      </c>
    </row>
    <row r="594" spans="1:16" x14ac:dyDescent="0.35">
      <c r="A594" t="s">
        <v>87</v>
      </c>
      <c r="B594">
        <v>1700702246</v>
      </c>
      <c r="C594" t="s">
        <v>19</v>
      </c>
      <c r="D594" t="s">
        <v>21</v>
      </c>
      <c r="E594" s="29">
        <v>46207</v>
      </c>
      <c r="F594" t="s">
        <v>5</v>
      </c>
      <c r="G594" s="28">
        <v>0.61388888888888893</v>
      </c>
      <c r="H594" s="28">
        <v>0.64166666666666672</v>
      </c>
      <c r="I594">
        <v>1</v>
      </c>
      <c r="J594" t="s">
        <v>146</v>
      </c>
      <c r="K594">
        <v>2</v>
      </c>
      <c r="L594" t="s">
        <v>147</v>
      </c>
      <c r="M594" t="s">
        <v>2100</v>
      </c>
      <c r="N594" t="s">
        <v>2101</v>
      </c>
      <c r="O594" t="s">
        <v>2102</v>
      </c>
      <c r="P594" t="s">
        <v>2103</v>
      </c>
    </row>
    <row r="595" spans="1:16" x14ac:dyDescent="0.35">
      <c r="A595" t="s">
        <v>87</v>
      </c>
      <c r="B595">
        <v>1700702246</v>
      </c>
      <c r="C595" t="s">
        <v>19</v>
      </c>
      <c r="D595" t="s">
        <v>21</v>
      </c>
      <c r="E595" s="29">
        <v>46207</v>
      </c>
      <c r="F595" t="s">
        <v>5</v>
      </c>
      <c r="G595" s="28">
        <v>0.64861111111111114</v>
      </c>
      <c r="H595" s="28">
        <v>0.64861111111111114</v>
      </c>
      <c r="I595">
        <v>0</v>
      </c>
      <c r="J595" t="s">
        <v>174</v>
      </c>
      <c r="K595">
        <v>0</v>
      </c>
      <c r="L595" t="s">
        <v>1415</v>
      </c>
      <c r="M595" t="s">
        <v>2104</v>
      </c>
      <c r="N595" t="s">
        <v>2105</v>
      </c>
      <c r="O595" t="s">
        <v>2106</v>
      </c>
      <c r="P595" t="s">
        <v>2107</v>
      </c>
    </row>
    <row r="596" spans="1:16" x14ac:dyDescent="0.35">
      <c r="A596" t="s">
        <v>87</v>
      </c>
      <c r="B596">
        <v>1700702246</v>
      </c>
      <c r="C596" t="s">
        <v>19</v>
      </c>
      <c r="D596" t="s">
        <v>21</v>
      </c>
      <c r="E596" s="29">
        <v>46207</v>
      </c>
      <c r="F596" t="s">
        <v>5</v>
      </c>
      <c r="G596" s="28">
        <v>0.65555555555555556</v>
      </c>
      <c r="H596" s="28">
        <v>0.65555555555555556</v>
      </c>
      <c r="I596">
        <v>0</v>
      </c>
      <c r="J596" t="s">
        <v>174</v>
      </c>
      <c r="K596">
        <v>0</v>
      </c>
      <c r="L596" t="s">
        <v>2108</v>
      </c>
      <c r="M596" t="s">
        <v>2086</v>
      </c>
      <c r="N596" t="s">
        <v>2087</v>
      </c>
      <c r="O596" t="s">
        <v>2088</v>
      </c>
      <c r="P596" t="s">
        <v>2089</v>
      </c>
    </row>
    <row r="597" spans="1:16" x14ac:dyDescent="0.35">
      <c r="A597" t="s">
        <v>87</v>
      </c>
      <c r="B597">
        <v>1700702246</v>
      </c>
      <c r="C597" t="s">
        <v>19</v>
      </c>
      <c r="D597" t="s">
        <v>21</v>
      </c>
      <c r="E597" s="29">
        <v>46207</v>
      </c>
      <c r="F597" t="s">
        <v>5</v>
      </c>
      <c r="G597" s="28">
        <v>0.66249999999999998</v>
      </c>
      <c r="H597" s="28">
        <v>0.66249999999999998</v>
      </c>
      <c r="I597">
        <v>0</v>
      </c>
      <c r="J597" t="s">
        <v>174</v>
      </c>
      <c r="K597">
        <v>0</v>
      </c>
      <c r="L597" t="s">
        <v>2109</v>
      </c>
      <c r="M597" t="s">
        <v>2110</v>
      </c>
      <c r="N597" t="s">
        <v>2111</v>
      </c>
      <c r="O597" t="s">
        <v>2112</v>
      </c>
      <c r="P597" t="s">
        <v>2113</v>
      </c>
    </row>
    <row r="598" spans="1:16" x14ac:dyDescent="0.35">
      <c r="A598" t="s">
        <v>87</v>
      </c>
      <c r="B598">
        <v>1700702246</v>
      </c>
      <c r="C598" t="s">
        <v>19</v>
      </c>
      <c r="D598" t="s">
        <v>21</v>
      </c>
      <c r="E598" s="29">
        <v>46207</v>
      </c>
      <c r="F598" t="s">
        <v>5</v>
      </c>
      <c r="G598" s="28">
        <v>0.6694444444444444</v>
      </c>
      <c r="H598" s="28">
        <v>0.69027777777777777</v>
      </c>
      <c r="I598">
        <v>1</v>
      </c>
      <c r="J598" t="s">
        <v>146</v>
      </c>
      <c r="K598">
        <v>2</v>
      </c>
      <c r="L598" t="s">
        <v>147</v>
      </c>
      <c r="M598" t="s">
        <v>2068</v>
      </c>
      <c r="N598" t="s">
        <v>2069</v>
      </c>
      <c r="O598" t="s">
        <v>2070</v>
      </c>
      <c r="P598" t="s">
        <v>2071</v>
      </c>
    </row>
    <row r="599" spans="1:16" x14ac:dyDescent="0.35">
      <c r="A599" t="s">
        <v>87</v>
      </c>
      <c r="B599">
        <v>1700702246</v>
      </c>
      <c r="C599" t="s">
        <v>19</v>
      </c>
      <c r="D599" t="s">
        <v>21</v>
      </c>
      <c r="E599" s="29">
        <v>46207</v>
      </c>
      <c r="F599" t="s">
        <v>5</v>
      </c>
      <c r="G599" s="28">
        <v>0.69722222222222219</v>
      </c>
      <c r="H599" s="28">
        <v>0.69722222222222219</v>
      </c>
      <c r="I599">
        <v>0</v>
      </c>
      <c r="J599" t="s">
        <v>174</v>
      </c>
      <c r="K599">
        <v>0</v>
      </c>
      <c r="L599" t="s">
        <v>690</v>
      </c>
      <c r="M599" t="s">
        <v>2114</v>
      </c>
      <c r="N599" t="s">
        <v>2115</v>
      </c>
      <c r="O599" t="s">
        <v>2116</v>
      </c>
      <c r="P599" t="s">
        <v>2117</v>
      </c>
    </row>
    <row r="600" spans="1:16" x14ac:dyDescent="0.35">
      <c r="A600" t="s">
        <v>87</v>
      </c>
      <c r="B600">
        <v>1700702246</v>
      </c>
      <c r="C600" t="s">
        <v>19</v>
      </c>
      <c r="D600" t="s">
        <v>21</v>
      </c>
      <c r="E600" s="29">
        <v>46207</v>
      </c>
      <c r="F600" t="s">
        <v>5</v>
      </c>
      <c r="G600" s="28">
        <v>0.70416666666666672</v>
      </c>
      <c r="H600" s="28">
        <v>0.70416666666666672</v>
      </c>
      <c r="I600">
        <v>0</v>
      </c>
      <c r="J600" t="s">
        <v>174</v>
      </c>
      <c r="K600">
        <v>0</v>
      </c>
      <c r="L600" t="s">
        <v>2118</v>
      </c>
      <c r="M600" t="s">
        <v>2119</v>
      </c>
      <c r="N600" t="s">
        <v>2120</v>
      </c>
      <c r="O600" t="s">
        <v>2121</v>
      </c>
      <c r="P600" t="s">
        <v>2122</v>
      </c>
    </row>
    <row r="601" spans="1:16" x14ac:dyDescent="0.35">
      <c r="A601" t="s">
        <v>87</v>
      </c>
      <c r="B601">
        <v>1700702246</v>
      </c>
      <c r="C601" t="s">
        <v>19</v>
      </c>
      <c r="D601" t="s">
        <v>21</v>
      </c>
      <c r="E601" s="29">
        <v>46207</v>
      </c>
      <c r="F601" t="s">
        <v>5</v>
      </c>
      <c r="G601" s="28">
        <v>0.71111111111111114</v>
      </c>
      <c r="H601" s="28">
        <v>0.71111111111111114</v>
      </c>
      <c r="I601">
        <v>0</v>
      </c>
      <c r="J601" t="s">
        <v>174</v>
      </c>
      <c r="K601">
        <v>0</v>
      </c>
      <c r="L601" t="s">
        <v>2123</v>
      </c>
      <c r="M601" t="s">
        <v>2124</v>
      </c>
      <c r="N601" t="s">
        <v>2125</v>
      </c>
      <c r="O601" t="s">
        <v>2126</v>
      </c>
      <c r="P601" t="s">
        <v>2127</v>
      </c>
    </row>
    <row r="602" spans="1:16" x14ac:dyDescent="0.35">
      <c r="A602" t="s">
        <v>87</v>
      </c>
      <c r="B602">
        <v>1700702246</v>
      </c>
      <c r="C602" t="s">
        <v>19</v>
      </c>
      <c r="D602" t="s">
        <v>21</v>
      </c>
      <c r="E602" s="29">
        <v>46207</v>
      </c>
      <c r="F602" t="s">
        <v>5</v>
      </c>
      <c r="G602" s="28">
        <v>0.71805555555555556</v>
      </c>
      <c r="H602" s="28">
        <v>0.71805555555555556</v>
      </c>
      <c r="I602">
        <v>0</v>
      </c>
      <c r="J602" t="s">
        <v>174</v>
      </c>
      <c r="K602">
        <v>0</v>
      </c>
      <c r="L602" t="s">
        <v>2128</v>
      </c>
      <c r="M602" t="s">
        <v>2129</v>
      </c>
      <c r="N602" t="s">
        <v>2130</v>
      </c>
      <c r="O602" t="s">
        <v>2131</v>
      </c>
      <c r="P602" t="s">
        <v>2132</v>
      </c>
    </row>
    <row r="603" spans="1:16" x14ac:dyDescent="0.35">
      <c r="A603" t="s">
        <v>87</v>
      </c>
      <c r="B603">
        <v>1700702246</v>
      </c>
      <c r="C603" t="s">
        <v>19</v>
      </c>
      <c r="D603" t="s">
        <v>21</v>
      </c>
      <c r="E603" s="29">
        <v>46207</v>
      </c>
      <c r="F603" t="s">
        <v>5</v>
      </c>
      <c r="G603" s="28">
        <v>0.72499999999999998</v>
      </c>
      <c r="H603" s="28">
        <v>0.72499999999999998</v>
      </c>
      <c r="I603">
        <v>0</v>
      </c>
      <c r="J603" t="s">
        <v>174</v>
      </c>
      <c r="K603">
        <v>0</v>
      </c>
      <c r="L603" t="s">
        <v>2133</v>
      </c>
      <c r="M603" t="s">
        <v>2134</v>
      </c>
      <c r="N603" t="s">
        <v>2135</v>
      </c>
      <c r="O603" t="s">
        <v>2136</v>
      </c>
      <c r="P603" t="s">
        <v>2137</v>
      </c>
    </row>
    <row r="604" spans="1:16" x14ac:dyDescent="0.35">
      <c r="A604" t="s">
        <v>87</v>
      </c>
      <c r="B604">
        <v>1700702246</v>
      </c>
      <c r="C604" t="s">
        <v>19</v>
      </c>
      <c r="D604" t="s">
        <v>21</v>
      </c>
      <c r="E604" s="29">
        <v>46207</v>
      </c>
      <c r="F604" t="s">
        <v>5</v>
      </c>
      <c r="G604" s="28">
        <v>0.7319444444444444</v>
      </c>
      <c r="H604" s="28">
        <v>0.7319444444444444</v>
      </c>
      <c r="I604">
        <v>0</v>
      </c>
      <c r="J604" t="s">
        <v>174</v>
      </c>
      <c r="K604">
        <v>0</v>
      </c>
      <c r="L604" t="s">
        <v>2138</v>
      </c>
      <c r="M604" t="s">
        <v>2139</v>
      </c>
      <c r="N604" t="s">
        <v>2140</v>
      </c>
      <c r="O604" t="s">
        <v>2141</v>
      </c>
      <c r="P604" t="s">
        <v>2142</v>
      </c>
    </row>
    <row r="605" spans="1:16" x14ac:dyDescent="0.35">
      <c r="A605" t="s">
        <v>87</v>
      </c>
      <c r="B605">
        <v>1700702246</v>
      </c>
      <c r="C605" t="s">
        <v>19</v>
      </c>
      <c r="D605" t="s">
        <v>21</v>
      </c>
      <c r="E605" s="29">
        <v>46207</v>
      </c>
      <c r="F605" t="s">
        <v>5</v>
      </c>
      <c r="G605" s="28">
        <v>0.73888888888888893</v>
      </c>
      <c r="H605" s="28">
        <v>0.83611111111111114</v>
      </c>
      <c r="I605">
        <v>2</v>
      </c>
      <c r="J605" t="s">
        <v>146</v>
      </c>
      <c r="K605">
        <v>7</v>
      </c>
      <c r="L605" t="s">
        <v>147</v>
      </c>
      <c r="M605" t="s">
        <v>2143</v>
      </c>
      <c r="N605" t="s">
        <v>2144</v>
      </c>
      <c r="O605" t="s">
        <v>2145</v>
      </c>
      <c r="P605" t="s">
        <v>2146</v>
      </c>
    </row>
    <row r="606" spans="1:16" x14ac:dyDescent="0.35">
      <c r="A606" t="s">
        <v>87</v>
      </c>
      <c r="B606">
        <v>1700702246</v>
      </c>
      <c r="C606" t="s">
        <v>19</v>
      </c>
      <c r="D606" t="s">
        <v>21</v>
      </c>
      <c r="E606" s="29">
        <v>46208</v>
      </c>
      <c r="F606" t="s">
        <v>6</v>
      </c>
      <c r="G606" s="28">
        <v>0.39166666666666666</v>
      </c>
      <c r="H606" s="28">
        <v>0.39166666666666666</v>
      </c>
      <c r="I606">
        <v>0</v>
      </c>
      <c r="J606" t="s">
        <v>174</v>
      </c>
      <c r="K606">
        <v>0</v>
      </c>
      <c r="L606" t="s">
        <v>2147</v>
      </c>
      <c r="M606" t="s">
        <v>2148</v>
      </c>
      <c r="N606" t="s">
        <v>2149</v>
      </c>
      <c r="O606" t="s">
        <v>2150</v>
      </c>
      <c r="P606" t="s">
        <v>2151</v>
      </c>
    </row>
    <row r="607" spans="1:16" x14ac:dyDescent="0.35">
      <c r="A607" t="s">
        <v>87</v>
      </c>
      <c r="B607">
        <v>1700702246</v>
      </c>
      <c r="C607" t="s">
        <v>19</v>
      </c>
      <c r="D607" t="s">
        <v>21</v>
      </c>
      <c r="E607" s="29">
        <v>46208</v>
      </c>
      <c r="F607" t="s">
        <v>6</v>
      </c>
      <c r="G607" s="28">
        <v>0.39861111111111114</v>
      </c>
      <c r="H607" s="28">
        <v>0.4201388888888889</v>
      </c>
      <c r="I607">
        <v>1</v>
      </c>
      <c r="J607" t="s">
        <v>146</v>
      </c>
      <c r="K607">
        <v>2</v>
      </c>
      <c r="L607" t="s">
        <v>147</v>
      </c>
      <c r="M607" t="s">
        <v>2139</v>
      </c>
      <c r="N607" t="s">
        <v>2140</v>
      </c>
      <c r="O607" t="s">
        <v>2141</v>
      </c>
      <c r="P607" t="s">
        <v>2142</v>
      </c>
    </row>
    <row r="608" spans="1:16" x14ac:dyDescent="0.35">
      <c r="A608" t="s">
        <v>87</v>
      </c>
      <c r="B608">
        <v>1700702246</v>
      </c>
      <c r="C608" t="s">
        <v>19</v>
      </c>
      <c r="D608" t="s">
        <v>21</v>
      </c>
      <c r="E608" s="29">
        <v>46208</v>
      </c>
      <c r="F608" t="s">
        <v>6</v>
      </c>
      <c r="G608" s="28">
        <v>0.42638888888888887</v>
      </c>
      <c r="H608" s="28">
        <v>0.42638888888888887</v>
      </c>
      <c r="I608">
        <v>0</v>
      </c>
      <c r="J608" t="s">
        <v>174</v>
      </c>
      <c r="K608">
        <v>0</v>
      </c>
      <c r="L608" t="s">
        <v>2152</v>
      </c>
      <c r="M608" t="s">
        <v>2153</v>
      </c>
      <c r="N608" t="s">
        <v>2154</v>
      </c>
      <c r="O608" t="s">
        <v>2155</v>
      </c>
      <c r="P608" t="s">
        <v>2156</v>
      </c>
    </row>
    <row r="609" spans="1:16" x14ac:dyDescent="0.35">
      <c r="A609" t="s">
        <v>87</v>
      </c>
      <c r="B609">
        <v>1700702246</v>
      </c>
      <c r="C609" t="s">
        <v>19</v>
      </c>
      <c r="D609" t="s">
        <v>21</v>
      </c>
      <c r="E609" s="29">
        <v>46208</v>
      </c>
      <c r="F609" t="s">
        <v>6</v>
      </c>
      <c r="G609" s="28">
        <v>0.43333333333333335</v>
      </c>
      <c r="H609" s="28">
        <v>0.44722222222222224</v>
      </c>
      <c r="I609">
        <v>0</v>
      </c>
      <c r="J609" t="s">
        <v>146</v>
      </c>
      <c r="K609">
        <v>1</v>
      </c>
      <c r="L609" t="s">
        <v>147</v>
      </c>
      <c r="M609" t="s">
        <v>2139</v>
      </c>
      <c r="N609" t="s">
        <v>2140</v>
      </c>
      <c r="O609" t="s">
        <v>2141</v>
      </c>
      <c r="P609" t="s">
        <v>2142</v>
      </c>
    </row>
    <row r="610" spans="1:16" x14ac:dyDescent="0.35">
      <c r="A610" t="s">
        <v>87</v>
      </c>
      <c r="B610">
        <v>1700702246</v>
      </c>
      <c r="C610" t="s">
        <v>19</v>
      </c>
      <c r="D610" t="s">
        <v>21</v>
      </c>
      <c r="E610" s="29">
        <v>46208</v>
      </c>
      <c r="F610" t="s">
        <v>6</v>
      </c>
      <c r="G610" s="28">
        <v>0.45416666666666666</v>
      </c>
      <c r="H610" s="28">
        <v>0.45416666666666666</v>
      </c>
      <c r="I610">
        <v>0</v>
      </c>
      <c r="J610" t="s">
        <v>174</v>
      </c>
      <c r="K610">
        <v>0</v>
      </c>
      <c r="L610" t="s">
        <v>2157</v>
      </c>
      <c r="M610" t="s">
        <v>2158</v>
      </c>
      <c r="N610" t="s">
        <v>2159</v>
      </c>
      <c r="O610" t="s">
        <v>2160</v>
      </c>
      <c r="P610" t="s">
        <v>2161</v>
      </c>
    </row>
    <row r="611" spans="1:16" x14ac:dyDescent="0.35">
      <c r="A611" t="s">
        <v>87</v>
      </c>
      <c r="B611">
        <v>1700702246</v>
      </c>
      <c r="C611" t="s">
        <v>19</v>
      </c>
      <c r="D611" t="s">
        <v>21</v>
      </c>
      <c r="E611" s="29">
        <v>46208</v>
      </c>
      <c r="F611" t="s">
        <v>6</v>
      </c>
      <c r="G611" s="28">
        <v>0.46111111111111114</v>
      </c>
      <c r="H611" s="28">
        <v>0.49583333333333335</v>
      </c>
      <c r="I611">
        <v>1</v>
      </c>
      <c r="J611" t="s">
        <v>146</v>
      </c>
      <c r="K611">
        <v>2</v>
      </c>
      <c r="L611" t="s">
        <v>147</v>
      </c>
      <c r="M611" t="s">
        <v>2139</v>
      </c>
      <c r="N611" t="s">
        <v>2140</v>
      </c>
      <c r="O611" t="s">
        <v>2141</v>
      </c>
      <c r="P611" t="s">
        <v>2142</v>
      </c>
    </row>
    <row r="612" spans="1:16" x14ac:dyDescent="0.35">
      <c r="A612" t="s">
        <v>87</v>
      </c>
      <c r="B612">
        <v>1700702246</v>
      </c>
      <c r="C612" t="s">
        <v>19</v>
      </c>
      <c r="D612" t="s">
        <v>21</v>
      </c>
      <c r="E612" s="29">
        <v>46208</v>
      </c>
      <c r="F612" t="s">
        <v>6</v>
      </c>
      <c r="G612" s="28">
        <v>0.50277777777777777</v>
      </c>
      <c r="H612" s="28">
        <v>0.50277777777777777</v>
      </c>
      <c r="I612">
        <v>0</v>
      </c>
      <c r="J612" t="s">
        <v>174</v>
      </c>
      <c r="K612">
        <v>0</v>
      </c>
      <c r="L612" t="s">
        <v>2162</v>
      </c>
      <c r="M612" t="s">
        <v>2163</v>
      </c>
      <c r="N612" t="s">
        <v>2164</v>
      </c>
      <c r="O612" t="s">
        <v>2165</v>
      </c>
      <c r="P612" t="s">
        <v>2166</v>
      </c>
    </row>
    <row r="613" spans="1:16" x14ac:dyDescent="0.35">
      <c r="A613" t="s">
        <v>87</v>
      </c>
      <c r="B613">
        <v>1700702246</v>
      </c>
      <c r="C613" t="s">
        <v>19</v>
      </c>
      <c r="D613" t="s">
        <v>21</v>
      </c>
      <c r="E613" s="29">
        <v>46208</v>
      </c>
      <c r="F613" t="s">
        <v>6</v>
      </c>
      <c r="G613" s="28">
        <v>0.50972222222222219</v>
      </c>
      <c r="H613" s="28">
        <v>0.5444444444444444</v>
      </c>
      <c r="I613">
        <v>1</v>
      </c>
      <c r="J613" t="s">
        <v>146</v>
      </c>
      <c r="K613">
        <v>2</v>
      </c>
      <c r="L613" t="s">
        <v>147</v>
      </c>
      <c r="M613" t="s">
        <v>2167</v>
      </c>
      <c r="N613" t="s">
        <v>2168</v>
      </c>
      <c r="O613" t="s">
        <v>2169</v>
      </c>
      <c r="P613" t="s">
        <v>2170</v>
      </c>
    </row>
    <row r="614" spans="1:16" x14ac:dyDescent="0.35">
      <c r="A614" t="s">
        <v>87</v>
      </c>
      <c r="B614">
        <v>1700702246</v>
      </c>
      <c r="C614" t="s">
        <v>19</v>
      </c>
      <c r="D614" t="s">
        <v>21</v>
      </c>
      <c r="E614" s="29">
        <v>46208</v>
      </c>
      <c r="F614" t="s">
        <v>6</v>
      </c>
      <c r="G614" s="28">
        <v>0.55138888888888893</v>
      </c>
      <c r="H614" s="28">
        <v>0.55138888888888893</v>
      </c>
      <c r="I614">
        <v>0</v>
      </c>
      <c r="J614" t="s">
        <v>174</v>
      </c>
      <c r="K614">
        <v>0</v>
      </c>
      <c r="L614" t="s">
        <v>2171</v>
      </c>
      <c r="M614" t="s">
        <v>2172</v>
      </c>
      <c r="N614" t="s">
        <v>2173</v>
      </c>
      <c r="O614" t="s">
        <v>2174</v>
      </c>
      <c r="P614" t="s">
        <v>2175</v>
      </c>
    </row>
    <row r="615" spans="1:16" x14ac:dyDescent="0.35">
      <c r="A615" t="s">
        <v>87</v>
      </c>
      <c r="B615">
        <v>1700702246</v>
      </c>
      <c r="C615" t="s">
        <v>19</v>
      </c>
      <c r="D615" t="s">
        <v>21</v>
      </c>
      <c r="E615" s="29">
        <v>46208</v>
      </c>
      <c r="F615" t="s">
        <v>6</v>
      </c>
      <c r="G615" s="28">
        <v>0.55833333333333335</v>
      </c>
      <c r="H615" s="28">
        <v>0.60555555555555551</v>
      </c>
      <c r="I615">
        <v>1</v>
      </c>
      <c r="J615" t="s">
        <v>146</v>
      </c>
      <c r="K615">
        <v>3</v>
      </c>
      <c r="L615" t="s">
        <v>147</v>
      </c>
      <c r="M615" t="s">
        <v>2167</v>
      </c>
      <c r="N615" t="s">
        <v>2168</v>
      </c>
      <c r="O615" t="s">
        <v>2169</v>
      </c>
      <c r="P615" t="s">
        <v>2170</v>
      </c>
    </row>
    <row r="616" spans="1:16" x14ac:dyDescent="0.35">
      <c r="A616" t="s">
        <v>87</v>
      </c>
      <c r="B616">
        <v>1700702246</v>
      </c>
      <c r="C616" t="s">
        <v>19</v>
      </c>
      <c r="D616" t="s">
        <v>21</v>
      </c>
      <c r="E616" s="29">
        <v>46208</v>
      </c>
      <c r="F616" t="s">
        <v>6</v>
      </c>
      <c r="G616" s="28">
        <v>0.61388888888888893</v>
      </c>
      <c r="H616" s="28">
        <v>0.61388888888888893</v>
      </c>
      <c r="I616">
        <v>0</v>
      </c>
      <c r="J616" t="s">
        <v>174</v>
      </c>
      <c r="K616">
        <v>0</v>
      </c>
      <c r="L616" t="s">
        <v>584</v>
      </c>
      <c r="M616" t="s">
        <v>2176</v>
      </c>
      <c r="N616" t="s">
        <v>2177</v>
      </c>
      <c r="O616" t="s">
        <v>2178</v>
      </c>
      <c r="P616" t="s">
        <v>2179</v>
      </c>
    </row>
    <row r="617" spans="1:16" x14ac:dyDescent="0.35">
      <c r="A617" t="s">
        <v>87</v>
      </c>
      <c r="B617">
        <v>1700702246</v>
      </c>
      <c r="C617" t="s">
        <v>19</v>
      </c>
      <c r="D617" t="s">
        <v>21</v>
      </c>
      <c r="E617" s="29">
        <v>46208</v>
      </c>
      <c r="F617" t="s">
        <v>6</v>
      </c>
      <c r="G617" s="28">
        <v>0.65555555555555556</v>
      </c>
      <c r="H617" s="28">
        <v>0.65555555555555556</v>
      </c>
      <c r="I617">
        <v>0</v>
      </c>
      <c r="J617" t="s">
        <v>174</v>
      </c>
      <c r="K617">
        <v>0</v>
      </c>
      <c r="L617" t="s">
        <v>2180</v>
      </c>
      <c r="M617" t="s">
        <v>2055</v>
      </c>
      <c r="N617" t="s">
        <v>2056</v>
      </c>
      <c r="O617" t="s">
        <v>2057</v>
      </c>
      <c r="P617" t="s">
        <v>2058</v>
      </c>
    </row>
    <row r="618" spans="1:16" x14ac:dyDescent="0.35">
      <c r="A618" t="s">
        <v>87</v>
      </c>
      <c r="B618">
        <v>1700702246</v>
      </c>
      <c r="C618" t="s">
        <v>19</v>
      </c>
      <c r="D618" t="s">
        <v>21</v>
      </c>
      <c r="E618" s="29">
        <v>46208</v>
      </c>
      <c r="F618" t="s">
        <v>6</v>
      </c>
      <c r="G618" s="28">
        <v>0.66249999999999998</v>
      </c>
      <c r="H618" s="28">
        <v>0.66249999999999998</v>
      </c>
      <c r="I618">
        <v>0</v>
      </c>
      <c r="J618" t="s">
        <v>174</v>
      </c>
      <c r="K618">
        <v>0</v>
      </c>
      <c r="L618" t="s">
        <v>1425</v>
      </c>
      <c r="M618" t="s">
        <v>2181</v>
      </c>
      <c r="N618" t="s">
        <v>2182</v>
      </c>
      <c r="O618" t="s">
        <v>2183</v>
      </c>
      <c r="P618" t="s">
        <v>2184</v>
      </c>
    </row>
    <row r="619" spans="1:16" x14ac:dyDescent="0.35">
      <c r="A619" t="s">
        <v>87</v>
      </c>
      <c r="B619">
        <v>1700702246</v>
      </c>
      <c r="C619" t="s">
        <v>19</v>
      </c>
      <c r="D619" t="s">
        <v>21</v>
      </c>
      <c r="E619" s="29">
        <v>46208</v>
      </c>
      <c r="F619" t="s">
        <v>6</v>
      </c>
      <c r="G619" s="28">
        <v>0.6694444444444444</v>
      </c>
      <c r="H619" s="28">
        <v>0.6694444444444444</v>
      </c>
      <c r="I619">
        <v>0</v>
      </c>
      <c r="J619" t="s">
        <v>174</v>
      </c>
      <c r="K619">
        <v>0</v>
      </c>
      <c r="L619" t="s">
        <v>2185</v>
      </c>
      <c r="M619" t="s">
        <v>2186</v>
      </c>
      <c r="N619" t="s">
        <v>2187</v>
      </c>
      <c r="O619" t="s">
        <v>2188</v>
      </c>
      <c r="P619" t="s">
        <v>2189</v>
      </c>
    </row>
    <row r="620" spans="1:16" x14ac:dyDescent="0.35">
      <c r="A620" t="s">
        <v>87</v>
      </c>
      <c r="B620">
        <v>1700702246</v>
      </c>
      <c r="C620" t="s">
        <v>19</v>
      </c>
      <c r="D620" t="s">
        <v>21</v>
      </c>
      <c r="E620" s="29">
        <v>46208</v>
      </c>
      <c r="F620" t="s">
        <v>6</v>
      </c>
      <c r="G620" s="28">
        <v>0.67638888888888893</v>
      </c>
      <c r="H620" s="28">
        <v>0.67638888888888893</v>
      </c>
      <c r="I620">
        <v>0</v>
      </c>
      <c r="J620" t="s">
        <v>174</v>
      </c>
      <c r="K620">
        <v>0</v>
      </c>
      <c r="L620" t="s">
        <v>1901</v>
      </c>
      <c r="M620" t="s">
        <v>2190</v>
      </c>
      <c r="N620" t="s">
        <v>2191</v>
      </c>
      <c r="O620" t="s">
        <v>2192</v>
      </c>
      <c r="P620" t="s">
        <v>2193</v>
      </c>
    </row>
    <row r="621" spans="1:16" x14ac:dyDescent="0.35">
      <c r="A621" t="s">
        <v>87</v>
      </c>
      <c r="B621">
        <v>1700702246</v>
      </c>
      <c r="C621" t="s">
        <v>19</v>
      </c>
      <c r="D621" t="s">
        <v>21</v>
      </c>
      <c r="E621" s="29">
        <v>46208</v>
      </c>
      <c r="F621" t="s">
        <v>6</v>
      </c>
      <c r="G621" s="28">
        <v>0.68333333333333335</v>
      </c>
      <c r="H621" s="28">
        <v>0.68333333333333335</v>
      </c>
      <c r="I621">
        <v>0</v>
      </c>
      <c r="J621" t="s">
        <v>174</v>
      </c>
      <c r="K621">
        <v>0</v>
      </c>
      <c r="L621" t="s">
        <v>2194</v>
      </c>
      <c r="M621" t="s">
        <v>2195</v>
      </c>
      <c r="N621" t="s">
        <v>2196</v>
      </c>
      <c r="O621" t="s">
        <v>2197</v>
      </c>
      <c r="P621" t="s">
        <v>2198</v>
      </c>
    </row>
    <row r="622" spans="1:16" x14ac:dyDescent="0.35">
      <c r="A622" t="s">
        <v>87</v>
      </c>
      <c r="B622">
        <v>1700702246</v>
      </c>
      <c r="C622" t="s">
        <v>19</v>
      </c>
      <c r="D622" t="s">
        <v>21</v>
      </c>
      <c r="E622" s="29">
        <v>46208</v>
      </c>
      <c r="F622" t="s">
        <v>6</v>
      </c>
      <c r="G622" s="28">
        <v>0.69027777777777777</v>
      </c>
      <c r="H622" s="28">
        <v>0.69027777777777777</v>
      </c>
      <c r="I622">
        <v>0</v>
      </c>
      <c r="J622" t="s">
        <v>174</v>
      </c>
      <c r="K622">
        <v>0</v>
      </c>
      <c r="L622" t="s">
        <v>685</v>
      </c>
      <c r="M622" t="s">
        <v>2199</v>
      </c>
      <c r="N622" t="s">
        <v>2200</v>
      </c>
      <c r="O622" t="s">
        <v>2201</v>
      </c>
      <c r="P622" t="s">
        <v>2202</v>
      </c>
    </row>
    <row r="623" spans="1:16" x14ac:dyDescent="0.35">
      <c r="A623" t="s">
        <v>87</v>
      </c>
      <c r="B623">
        <v>1700702246</v>
      </c>
      <c r="C623" t="s">
        <v>19</v>
      </c>
      <c r="D623" t="s">
        <v>21</v>
      </c>
      <c r="E623" s="29">
        <v>46208</v>
      </c>
      <c r="F623" t="s">
        <v>6</v>
      </c>
      <c r="G623" s="28">
        <v>0.69722222222222219</v>
      </c>
      <c r="H623" s="28">
        <v>0.69722222222222219</v>
      </c>
      <c r="I623">
        <v>0</v>
      </c>
      <c r="J623" t="s">
        <v>174</v>
      </c>
      <c r="K623">
        <v>0</v>
      </c>
      <c r="L623" t="s">
        <v>2203</v>
      </c>
      <c r="M623" t="s">
        <v>2204</v>
      </c>
      <c r="N623" t="s">
        <v>2205</v>
      </c>
      <c r="O623" t="s">
        <v>2206</v>
      </c>
      <c r="P623" t="s">
        <v>2207</v>
      </c>
    </row>
    <row r="624" spans="1:16" x14ac:dyDescent="0.35">
      <c r="A624" t="s">
        <v>87</v>
      </c>
      <c r="B624">
        <v>1700702246</v>
      </c>
      <c r="C624" t="s">
        <v>19</v>
      </c>
      <c r="D624" t="s">
        <v>21</v>
      </c>
      <c r="E624" s="29">
        <v>46208</v>
      </c>
      <c r="F624" t="s">
        <v>6</v>
      </c>
      <c r="G624" s="28">
        <v>0.70138888888888884</v>
      </c>
      <c r="H624" s="28">
        <v>0.70138888888888884</v>
      </c>
      <c r="I624">
        <v>0</v>
      </c>
      <c r="J624" t="s">
        <v>174</v>
      </c>
      <c r="K624">
        <v>0</v>
      </c>
      <c r="L624" t="s">
        <v>2208</v>
      </c>
      <c r="M624" t="s">
        <v>2209</v>
      </c>
      <c r="N624" t="s">
        <v>2210</v>
      </c>
      <c r="O624" t="s">
        <v>2211</v>
      </c>
      <c r="P624" t="s">
        <v>2212</v>
      </c>
    </row>
    <row r="625" spans="1:16" x14ac:dyDescent="0.35">
      <c r="A625" t="s">
        <v>87</v>
      </c>
      <c r="B625">
        <v>1700702246</v>
      </c>
      <c r="C625" t="s">
        <v>19</v>
      </c>
      <c r="D625" t="s">
        <v>21</v>
      </c>
      <c r="E625" s="29">
        <v>46208</v>
      </c>
      <c r="F625" t="s">
        <v>6</v>
      </c>
      <c r="G625" s="28">
        <v>0.71111111111111114</v>
      </c>
      <c r="H625" s="28">
        <v>0.71111111111111114</v>
      </c>
      <c r="I625">
        <v>0</v>
      </c>
      <c r="J625" t="s">
        <v>174</v>
      </c>
      <c r="K625">
        <v>0</v>
      </c>
      <c r="L625" t="s">
        <v>2213</v>
      </c>
      <c r="M625" t="s">
        <v>2214</v>
      </c>
      <c r="N625" t="s">
        <v>2215</v>
      </c>
      <c r="O625" t="s">
        <v>2216</v>
      </c>
      <c r="P625" t="s">
        <v>2217</v>
      </c>
    </row>
    <row r="626" spans="1:16" x14ac:dyDescent="0.35">
      <c r="A626" t="s">
        <v>87</v>
      </c>
      <c r="B626">
        <v>1700702246</v>
      </c>
      <c r="C626" t="s">
        <v>19</v>
      </c>
      <c r="D626" t="s">
        <v>21</v>
      </c>
      <c r="E626" s="29">
        <v>46208</v>
      </c>
      <c r="F626" t="s">
        <v>6</v>
      </c>
      <c r="G626" s="28">
        <v>0.71805555555555556</v>
      </c>
      <c r="H626" s="28">
        <v>0.71805555555555556</v>
      </c>
      <c r="I626">
        <v>0</v>
      </c>
      <c r="J626" t="s">
        <v>174</v>
      </c>
      <c r="K626">
        <v>0</v>
      </c>
      <c r="L626" t="s">
        <v>2218</v>
      </c>
      <c r="M626" t="s">
        <v>2219</v>
      </c>
      <c r="N626" t="s">
        <v>2220</v>
      </c>
      <c r="O626" t="s">
        <v>2221</v>
      </c>
      <c r="P626" t="s">
        <v>2222</v>
      </c>
    </row>
    <row r="627" spans="1:16" x14ac:dyDescent="0.35">
      <c r="A627" t="s">
        <v>87</v>
      </c>
      <c r="B627">
        <v>1700702246</v>
      </c>
      <c r="C627" t="s">
        <v>19</v>
      </c>
      <c r="D627" t="s">
        <v>21</v>
      </c>
      <c r="E627" s="29">
        <v>46208</v>
      </c>
      <c r="F627" t="s">
        <v>6</v>
      </c>
      <c r="G627" s="28">
        <v>0.72499999999999998</v>
      </c>
      <c r="H627" s="28">
        <v>0.72499999999999998</v>
      </c>
      <c r="I627">
        <v>0</v>
      </c>
      <c r="J627" t="s">
        <v>174</v>
      </c>
      <c r="K627">
        <v>0</v>
      </c>
      <c r="L627" t="s">
        <v>2223</v>
      </c>
      <c r="M627" t="s">
        <v>2224</v>
      </c>
      <c r="N627" t="s">
        <v>2225</v>
      </c>
      <c r="O627" t="s">
        <v>2226</v>
      </c>
      <c r="P627" t="s">
        <v>2227</v>
      </c>
    </row>
    <row r="628" spans="1:16" x14ac:dyDescent="0.35">
      <c r="A628" t="s">
        <v>87</v>
      </c>
      <c r="B628">
        <v>1700702246</v>
      </c>
      <c r="C628" t="s">
        <v>19</v>
      </c>
      <c r="D628" t="s">
        <v>21</v>
      </c>
      <c r="E628" s="29">
        <v>46208</v>
      </c>
      <c r="F628" t="s">
        <v>6</v>
      </c>
      <c r="G628" s="28">
        <v>0.7319444444444444</v>
      </c>
      <c r="H628" s="28">
        <v>0.75972222222222219</v>
      </c>
      <c r="I628">
        <v>1</v>
      </c>
      <c r="J628" t="s">
        <v>146</v>
      </c>
      <c r="K628">
        <v>2</v>
      </c>
      <c r="L628" t="s">
        <v>147</v>
      </c>
      <c r="M628" t="s">
        <v>2228</v>
      </c>
      <c r="N628" t="s">
        <v>2229</v>
      </c>
      <c r="O628" t="s">
        <v>2230</v>
      </c>
      <c r="P628" t="s">
        <v>2231</v>
      </c>
    </row>
    <row r="629" spans="1:16" x14ac:dyDescent="0.35">
      <c r="A629" t="s">
        <v>87</v>
      </c>
      <c r="B629">
        <v>1700702246</v>
      </c>
      <c r="C629" t="s">
        <v>19</v>
      </c>
      <c r="D629" t="s">
        <v>21</v>
      </c>
      <c r="E629" s="29">
        <v>46208</v>
      </c>
      <c r="F629" t="s">
        <v>6</v>
      </c>
      <c r="G629" s="28">
        <v>0.76666666666666672</v>
      </c>
      <c r="H629" s="28">
        <v>0.76666666666666672</v>
      </c>
      <c r="I629">
        <v>0</v>
      </c>
      <c r="J629" t="s">
        <v>174</v>
      </c>
      <c r="K629">
        <v>0</v>
      </c>
      <c r="L629" t="s">
        <v>2232</v>
      </c>
      <c r="M629" t="s">
        <v>2233</v>
      </c>
      <c r="N629" t="s">
        <v>2234</v>
      </c>
      <c r="O629" t="s">
        <v>2235</v>
      </c>
      <c r="P629" t="s">
        <v>2236</v>
      </c>
    </row>
    <row r="630" spans="1:16" x14ac:dyDescent="0.35">
      <c r="A630" t="s">
        <v>87</v>
      </c>
      <c r="B630">
        <v>1700702246</v>
      </c>
      <c r="C630" t="s">
        <v>19</v>
      </c>
      <c r="D630" t="s">
        <v>21</v>
      </c>
      <c r="E630" s="29">
        <v>46208</v>
      </c>
      <c r="F630" t="s">
        <v>6</v>
      </c>
      <c r="G630" s="28">
        <v>0.77361111111111114</v>
      </c>
      <c r="H630" s="28">
        <v>0.77361111111111114</v>
      </c>
      <c r="I630">
        <v>0</v>
      </c>
      <c r="J630" t="s">
        <v>174</v>
      </c>
      <c r="K630">
        <v>0</v>
      </c>
      <c r="L630" t="s">
        <v>2237</v>
      </c>
      <c r="M630" t="s">
        <v>2238</v>
      </c>
      <c r="N630" t="s">
        <v>2239</v>
      </c>
      <c r="O630" t="s">
        <v>2240</v>
      </c>
      <c r="P630" t="s">
        <v>2241</v>
      </c>
    </row>
    <row r="631" spans="1:16" x14ac:dyDescent="0.35">
      <c r="A631" t="s">
        <v>87</v>
      </c>
      <c r="B631">
        <v>1700702246</v>
      </c>
      <c r="C631" t="s">
        <v>19</v>
      </c>
      <c r="D631" t="s">
        <v>21</v>
      </c>
      <c r="E631" s="29">
        <v>46208</v>
      </c>
      <c r="F631" t="s">
        <v>6</v>
      </c>
      <c r="G631" s="28">
        <v>0.78055555555555556</v>
      </c>
      <c r="H631" s="28">
        <v>0.78055555555555556</v>
      </c>
      <c r="I631">
        <v>0</v>
      </c>
      <c r="J631" t="s">
        <v>174</v>
      </c>
      <c r="K631">
        <v>0</v>
      </c>
      <c r="L631" t="s">
        <v>2242</v>
      </c>
      <c r="M631" t="s">
        <v>2214</v>
      </c>
      <c r="N631" t="s">
        <v>2215</v>
      </c>
      <c r="O631" t="s">
        <v>2216</v>
      </c>
      <c r="P631" t="s">
        <v>2217</v>
      </c>
    </row>
    <row r="632" spans="1:16" x14ac:dyDescent="0.35">
      <c r="A632" t="s">
        <v>87</v>
      </c>
      <c r="B632">
        <v>1700702246</v>
      </c>
      <c r="C632" t="s">
        <v>19</v>
      </c>
      <c r="D632" t="s">
        <v>21</v>
      </c>
      <c r="E632" s="29">
        <v>46208</v>
      </c>
      <c r="F632" t="s">
        <v>6</v>
      </c>
      <c r="G632" s="28">
        <v>0.78749999999999998</v>
      </c>
      <c r="H632" s="28">
        <v>0.78749999999999998</v>
      </c>
      <c r="I632">
        <v>0</v>
      </c>
      <c r="J632" t="s">
        <v>174</v>
      </c>
      <c r="K632">
        <v>0</v>
      </c>
      <c r="L632" t="s">
        <v>2243</v>
      </c>
      <c r="M632" t="s">
        <v>2244</v>
      </c>
      <c r="N632" t="s">
        <v>2245</v>
      </c>
      <c r="O632" t="s">
        <v>2246</v>
      </c>
      <c r="P632" t="s">
        <v>2247</v>
      </c>
    </row>
    <row r="633" spans="1:16" x14ac:dyDescent="0.35">
      <c r="A633" t="s">
        <v>94</v>
      </c>
      <c r="B633">
        <v>1322845165</v>
      </c>
      <c r="C633" t="s">
        <v>18</v>
      </c>
      <c r="D633" t="s">
        <v>20</v>
      </c>
      <c r="E633" s="29">
        <v>46204</v>
      </c>
      <c r="F633" t="s">
        <v>3</v>
      </c>
      <c r="G633" s="28">
        <v>0.38124999999999998</v>
      </c>
      <c r="H633" s="28">
        <v>0.38124999999999998</v>
      </c>
      <c r="I633">
        <v>0</v>
      </c>
      <c r="J633" t="s">
        <v>174</v>
      </c>
      <c r="K633">
        <v>0</v>
      </c>
      <c r="L633" t="s">
        <v>2248</v>
      </c>
      <c r="M633" t="s">
        <v>2249</v>
      </c>
      <c r="N633" t="s">
        <v>2250</v>
      </c>
      <c r="O633" t="s">
        <v>2251</v>
      </c>
      <c r="P633" t="s">
        <v>2252</v>
      </c>
    </row>
    <row r="634" spans="1:16" x14ac:dyDescent="0.35">
      <c r="A634" t="s">
        <v>94</v>
      </c>
      <c r="B634">
        <v>1322845165</v>
      </c>
      <c r="C634" t="s">
        <v>18</v>
      </c>
      <c r="D634" t="s">
        <v>20</v>
      </c>
      <c r="E634" s="29">
        <v>46204</v>
      </c>
      <c r="F634" t="s">
        <v>3</v>
      </c>
      <c r="G634" s="28">
        <v>0.38819444444444445</v>
      </c>
      <c r="H634" s="28">
        <v>0.38819444444444445</v>
      </c>
      <c r="I634">
        <v>0</v>
      </c>
      <c r="J634" t="s">
        <v>174</v>
      </c>
      <c r="K634">
        <v>0</v>
      </c>
      <c r="L634" t="s">
        <v>2248</v>
      </c>
      <c r="M634" t="s">
        <v>2253</v>
      </c>
      <c r="N634" t="s">
        <v>2254</v>
      </c>
      <c r="O634" t="s">
        <v>2255</v>
      </c>
      <c r="P634" t="s">
        <v>2256</v>
      </c>
    </row>
    <row r="635" spans="1:16" x14ac:dyDescent="0.35">
      <c r="A635" t="s">
        <v>94</v>
      </c>
      <c r="B635">
        <v>1322845165</v>
      </c>
      <c r="C635" t="s">
        <v>18</v>
      </c>
      <c r="D635" t="s">
        <v>20</v>
      </c>
      <c r="E635" s="29">
        <v>46204</v>
      </c>
      <c r="F635" t="s">
        <v>3</v>
      </c>
      <c r="G635" s="28">
        <v>0.39513888888888887</v>
      </c>
      <c r="H635" s="28">
        <v>0.39513888888888887</v>
      </c>
      <c r="I635">
        <v>0</v>
      </c>
      <c r="J635" t="s">
        <v>174</v>
      </c>
      <c r="K635">
        <v>0</v>
      </c>
      <c r="L635" t="s">
        <v>2257</v>
      </c>
      <c r="M635" t="s">
        <v>2249</v>
      </c>
      <c r="N635" t="s">
        <v>2250</v>
      </c>
      <c r="O635" t="s">
        <v>2251</v>
      </c>
      <c r="P635" t="s">
        <v>2252</v>
      </c>
    </row>
    <row r="636" spans="1:16" x14ac:dyDescent="0.35">
      <c r="A636" t="s">
        <v>94</v>
      </c>
      <c r="B636">
        <v>1322845165</v>
      </c>
      <c r="C636" t="s">
        <v>18</v>
      </c>
      <c r="D636" t="s">
        <v>20</v>
      </c>
      <c r="E636" s="29">
        <v>46204</v>
      </c>
      <c r="F636" t="s">
        <v>3</v>
      </c>
      <c r="G636" s="28">
        <v>0.40208333333333335</v>
      </c>
      <c r="H636" s="28">
        <v>0.40208333333333335</v>
      </c>
      <c r="I636">
        <v>0</v>
      </c>
      <c r="J636" t="s">
        <v>174</v>
      </c>
      <c r="K636">
        <v>0</v>
      </c>
      <c r="L636" t="s">
        <v>2257</v>
      </c>
      <c r="M636" t="s">
        <v>2258</v>
      </c>
      <c r="N636" t="s">
        <v>2259</v>
      </c>
      <c r="O636" t="s">
        <v>2260</v>
      </c>
      <c r="P636" t="s">
        <v>2261</v>
      </c>
    </row>
    <row r="637" spans="1:16" x14ac:dyDescent="0.35">
      <c r="A637" t="s">
        <v>94</v>
      </c>
      <c r="B637">
        <v>1322845165</v>
      </c>
      <c r="C637" t="s">
        <v>18</v>
      </c>
      <c r="D637" t="s">
        <v>20</v>
      </c>
      <c r="E637" s="29">
        <v>46204</v>
      </c>
      <c r="F637" t="s">
        <v>3</v>
      </c>
      <c r="G637" s="28">
        <v>0.40902777777777777</v>
      </c>
      <c r="H637" s="28">
        <v>0.40902777777777777</v>
      </c>
      <c r="I637">
        <v>0</v>
      </c>
      <c r="J637" t="s">
        <v>174</v>
      </c>
      <c r="K637">
        <v>0</v>
      </c>
      <c r="L637" t="s">
        <v>2262</v>
      </c>
      <c r="M637" t="s">
        <v>2249</v>
      </c>
      <c r="N637" t="s">
        <v>2250</v>
      </c>
      <c r="O637" t="s">
        <v>2251</v>
      </c>
      <c r="P637" t="s">
        <v>2252</v>
      </c>
    </row>
    <row r="638" spans="1:16" x14ac:dyDescent="0.35">
      <c r="A638" t="s">
        <v>94</v>
      </c>
      <c r="B638">
        <v>1322845165</v>
      </c>
      <c r="C638" t="s">
        <v>18</v>
      </c>
      <c r="D638" t="s">
        <v>20</v>
      </c>
      <c r="E638" s="29">
        <v>46204</v>
      </c>
      <c r="F638" t="s">
        <v>3</v>
      </c>
      <c r="G638" s="28">
        <v>0.41597222222222224</v>
      </c>
      <c r="H638" s="28">
        <v>0.41597222222222224</v>
      </c>
      <c r="I638">
        <v>0</v>
      </c>
      <c r="J638" t="s">
        <v>174</v>
      </c>
      <c r="K638">
        <v>0</v>
      </c>
      <c r="L638" t="s">
        <v>2263</v>
      </c>
      <c r="M638" t="s">
        <v>2264</v>
      </c>
      <c r="N638" t="s">
        <v>2265</v>
      </c>
      <c r="O638" t="s">
        <v>2266</v>
      </c>
      <c r="P638" t="s">
        <v>2267</v>
      </c>
    </row>
    <row r="639" spans="1:16" x14ac:dyDescent="0.35">
      <c r="A639" t="s">
        <v>94</v>
      </c>
      <c r="B639">
        <v>1322845165</v>
      </c>
      <c r="C639" t="s">
        <v>18</v>
      </c>
      <c r="D639" t="s">
        <v>20</v>
      </c>
      <c r="E639" s="29">
        <v>46204</v>
      </c>
      <c r="F639" t="s">
        <v>3</v>
      </c>
      <c r="G639" s="28">
        <v>0.42291666666666666</v>
      </c>
      <c r="H639" s="28">
        <v>0.42291666666666666</v>
      </c>
      <c r="I639">
        <v>0</v>
      </c>
      <c r="J639" t="s">
        <v>174</v>
      </c>
      <c r="K639">
        <v>0</v>
      </c>
      <c r="L639" t="s">
        <v>2268</v>
      </c>
      <c r="M639" t="s">
        <v>2269</v>
      </c>
      <c r="N639" t="s">
        <v>2270</v>
      </c>
      <c r="O639" t="s">
        <v>2271</v>
      </c>
      <c r="P639" t="s">
        <v>2272</v>
      </c>
    </row>
    <row r="640" spans="1:16" x14ac:dyDescent="0.35">
      <c r="A640" t="s">
        <v>94</v>
      </c>
      <c r="B640">
        <v>1322845165</v>
      </c>
      <c r="C640" t="s">
        <v>18</v>
      </c>
      <c r="D640" t="s">
        <v>20</v>
      </c>
      <c r="E640" s="29">
        <v>46204</v>
      </c>
      <c r="F640" t="s">
        <v>3</v>
      </c>
      <c r="G640" s="28">
        <v>0.42986111111111114</v>
      </c>
      <c r="H640" s="28">
        <v>0.42986111111111114</v>
      </c>
      <c r="I640">
        <v>0</v>
      </c>
      <c r="J640" t="s">
        <v>174</v>
      </c>
      <c r="K640">
        <v>0</v>
      </c>
      <c r="L640" t="s">
        <v>2273</v>
      </c>
      <c r="M640" t="s">
        <v>2249</v>
      </c>
      <c r="N640" t="s">
        <v>2250</v>
      </c>
      <c r="O640" t="s">
        <v>2251</v>
      </c>
      <c r="P640" t="s">
        <v>2252</v>
      </c>
    </row>
    <row r="641" spans="1:16" x14ac:dyDescent="0.35">
      <c r="A641" t="s">
        <v>94</v>
      </c>
      <c r="B641">
        <v>1322845165</v>
      </c>
      <c r="C641" t="s">
        <v>18</v>
      </c>
      <c r="D641" t="s">
        <v>20</v>
      </c>
      <c r="E641" s="29">
        <v>46204</v>
      </c>
      <c r="F641" t="s">
        <v>3</v>
      </c>
      <c r="G641" s="28">
        <v>0.43680555555555556</v>
      </c>
      <c r="H641" s="28">
        <v>0.43680555555555556</v>
      </c>
      <c r="I641">
        <v>0</v>
      </c>
      <c r="J641" t="s">
        <v>174</v>
      </c>
      <c r="K641">
        <v>0</v>
      </c>
      <c r="L641" t="s">
        <v>2274</v>
      </c>
      <c r="M641" t="s">
        <v>2275</v>
      </c>
      <c r="N641" t="s">
        <v>2276</v>
      </c>
      <c r="O641" t="s">
        <v>2277</v>
      </c>
      <c r="P641" t="s">
        <v>2278</v>
      </c>
    </row>
    <row r="642" spans="1:16" x14ac:dyDescent="0.35">
      <c r="A642" t="s">
        <v>94</v>
      </c>
      <c r="B642">
        <v>1322845165</v>
      </c>
      <c r="C642" t="s">
        <v>18</v>
      </c>
      <c r="D642" t="s">
        <v>20</v>
      </c>
      <c r="E642" s="29">
        <v>46204</v>
      </c>
      <c r="F642" t="s">
        <v>3</v>
      </c>
      <c r="G642" s="28">
        <v>0.44374999999999998</v>
      </c>
      <c r="H642" s="28">
        <v>0.45069444444444445</v>
      </c>
      <c r="I642">
        <v>0</v>
      </c>
      <c r="J642" t="s">
        <v>146</v>
      </c>
      <c r="K642">
        <v>1</v>
      </c>
      <c r="L642" t="s">
        <v>147</v>
      </c>
      <c r="M642" t="s">
        <v>2258</v>
      </c>
      <c r="N642" t="s">
        <v>2259</v>
      </c>
      <c r="O642" t="s">
        <v>2260</v>
      </c>
      <c r="P642" t="s">
        <v>2261</v>
      </c>
    </row>
    <row r="643" spans="1:16" x14ac:dyDescent="0.35">
      <c r="A643" t="s">
        <v>94</v>
      </c>
      <c r="B643">
        <v>1322845165</v>
      </c>
      <c r="C643" t="s">
        <v>18</v>
      </c>
      <c r="D643" t="s">
        <v>20</v>
      </c>
      <c r="E643" s="29">
        <v>46204</v>
      </c>
      <c r="F643" t="s">
        <v>3</v>
      </c>
      <c r="G643" s="28">
        <v>0.45763888888888887</v>
      </c>
      <c r="H643" s="28">
        <v>0.45763888888888887</v>
      </c>
      <c r="I643">
        <v>0</v>
      </c>
      <c r="J643" t="s">
        <v>174</v>
      </c>
      <c r="K643">
        <v>0</v>
      </c>
      <c r="L643" t="s">
        <v>2279</v>
      </c>
      <c r="M643" t="s">
        <v>2280</v>
      </c>
      <c r="N643" t="s">
        <v>2281</v>
      </c>
      <c r="O643" t="s">
        <v>2282</v>
      </c>
      <c r="P643" t="s">
        <v>2283</v>
      </c>
    </row>
    <row r="644" spans="1:16" x14ac:dyDescent="0.35">
      <c r="A644" t="s">
        <v>94</v>
      </c>
      <c r="B644">
        <v>1322845165</v>
      </c>
      <c r="C644" t="s">
        <v>18</v>
      </c>
      <c r="D644" t="s">
        <v>20</v>
      </c>
      <c r="E644" s="29">
        <v>46204</v>
      </c>
      <c r="F644" t="s">
        <v>3</v>
      </c>
      <c r="G644" s="28">
        <v>0.46458333333333335</v>
      </c>
      <c r="H644" s="28">
        <v>0.46458333333333335</v>
      </c>
      <c r="I644">
        <v>0</v>
      </c>
      <c r="J644" t="s">
        <v>174</v>
      </c>
      <c r="K644">
        <v>0</v>
      </c>
      <c r="L644" t="s">
        <v>1094</v>
      </c>
      <c r="M644" t="s">
        <v>2284</v>
      </c>
      <c r="N644" t="s">
        <v>2285</v>
      </c>
      <c r="O644" t="s">
        <v>2286</v>
      </c>
      <c r="P644" t="s">
        <v>2287</v>
      </c>
    </row>
    <row r="645" spans="1:16" x14ac:dyDescent="0.35">
      <c r="A645" t="s">
        <v>94</v>
      </c>
      <c r="B645">
        <v>1322845165</v>
      </c>
      <c r="C645" t="s">
        <v>18</v>
      </c>
      <c r="D645" t="s">
        <v>20</v>
      </c>
      <c r="E645" s="29">
        <v>46204</v>
      </c>
      <c r="F645" t="s">
        <v>3</v>
      </c>
      <c r="G645" s="28">
        <v>0.47152777777777777</v>
      </c>
      <c r="H645" s="28">
        <v>0.47152777777777777</v>
      </c>
      <c r="I645">
        <v>0</v>
      </c>
      <c r="J645" t="s">
        <v>174</v>
      </c>
      <c r="K645">
        <v>0</v>
      </c>
      <c r="L645" t="s">
        <v>245</v>
      </c>
      <c r="M645" t="s">
        <v>2288</v>
      </c>
      <c r="N645" t="s">
        <v>2289</v>
      </c>
      <c r="O645" t="s">
        <v>2290</v>
      </c>
      <c r="P645" t="s">
        <v>2291</v>
      </c>
    </row>
    <row r="646" spans="1:16" x14ac:dyDescent="0.35">
      <c r="A646" t="s">
        <v>94</v>
      </c>
      <c r="B646">
        <v>1322845165</v>
      </c>
      <c r="C646" t="s">
        <v>18</v>
      </c>
      <c r="D646" t="s">
        <v>20</v>
      </c>
      <c r="E646" s="29">
        <v>46204</v>
      </c>
      <c r="F646" t="s">
        <v>3</v>
      </c>
      <c r="G646" s="28">
        <v>0.47847222222222224</v>
      </c>
      <c r="H646" s="28">
        <v>0.47847222222222224</v>
      </c>
      <c r="I646">
        <v>0</v>
      </c>
      <c r="J646" t="s">
        <v>174</v>
      </c>
      <c r="K646">
        <v>0</v>
      </c>
      <c r="L646" t="s">
        <v>1164</v>
      </c>
      <c r="M646" t="s">
        <v>2292</v>
      </c>
      <c r="N646" t="s">
        <v>2293</v>
      </c>
      <c r="O646" t="s">
        <v>2294</v>
      </c>
      <c r="P646" t="s">
        <v>2295</v>
      </c>
    </row>
    <row r="647" spans="1:16" x14ac:dyDescent="0.35">
      <c r="A647" t="s">
        <v>94</v>
      </c>
      <c r="B647">
        <v>1322845165</v>
      </c>
      <c r="C647" t="s">
        <v>18</v>
      </c>
      <c r="D647" t="s">
        <v>20</v>
      </c>
      <c r="E647" s="29">
        <v>46204</v>
      </c>
      <c r="F647" t="s">
        <v>3</v>
      </c>
      <c r="G647" s="28">
        <v>0.48541666666666666</v>
      </c>
      <c r="H647" s="28">
        <v>0.48541666666666666</v>
      </c>
      <c r="I647">
        <v>0</v>
      </c>
      <c r="J647" t="s">
        <v>174</v>
      </c>
      <c r="K647">
        <v>0</v>
      </c>
      <c r="L647" t="s">
        <v>247</v>
      </c>
      <c r="M647" t="s">
        <v>2296</v>
      </c>
      <c r="N647" t="s">
        <v>2297</v>
      </c>
      <c r="O647" t="s">
        <v>2298</v>
      </c>
      <c r="P647" t="s">
        <v>2299</v>
      </c>
    </row>
    <row r="648" spans="1:16" x14ac:dyDescent="0.35">
      <c r="A648" t="s">
        <v>94</v>
      </c>
      <c r="B648">
        <v>1322845165</v>
      </c>
      <c r="C648" t="s">
        <v>18</v>
      </c>
      <c r="D648" t="s">
        <v>20</v>
      </c>
      <c r="E648" s="29">
        <v>46204</v>
      </c>
      <c r="F648" t="s">
        <v>3</v>
      </c>
      <c r="G648" s="28">
        <v>0.49236111111111114</v>
      </c>
      <c r="H648" s="28">
        <v>0.49236111111111114</v>
      </c>
      <c r="I648">
        <v>0</v>
      </c>
      <c r="J648" t="s">
        <v>174</v>
      </c>
      <c r="K648">
        <v>0</v>
      </c>
      <c r="L648" t="s">
        <v>2300</v>
      </c>
      <c r="M648" t="s">
        <v>2301</v>
      </c>
      <c r="N648" t="s">
        <v>2302</v>
      </c>
      <c r="O648" t="s">
        <v>2303</v>
      </c>
      <c r="P648" t="s">
        <v>2304</v>
      </c>
    </row>
    <row r="649" spans="1:16" x14ac:dyDescent="0.35">
      <c r="A649" t="s">
        <v>94</v>
      </c>
      <c r="B649">
        <v>1322845165</v>
      </c>
      <c r="C649" t="s">
        <v>18</v>
      </c>
      <c r="D649" t="s">
        <v>20</v>
      </c>
      <c r="E649" s="29">
        <v>46204</v>
      </c>
      <c r="F649" t="s">
        <v>3</v>
      </c>
      <c r="G649" s="28">
        <v>0.49930555555555556</v>
      </c>
      <c r="H649" s="28">
        <v>0.54097222222222219</v>
      </c>
      <c r="I649">
        <v>1</v>
      </c>
      <c r="J649" t="s">
        <v>146</v>
      </c>
      <c r="K649">
        <v>3</v>
      </c>
      <c r="L649" t="s">
        <v>147</v>
      </c>
      <c r="M649" t="s">
        <v>2305</v>
      </c>
      <c r="N649" t="s">
        <v>2306</v>
      </c>
      <c r="O649" t="s">
        <v>2307</v>
      </c>
      <c r="P649" t="s">
        <v>2308</v>
      </c>
    </row>
    <row r="650" spans="1:16" x14ac:dyDescent="0.35">
      <c r="A650" t="s">
        <v>94</v>
      </c>
      <c r="B650">
        <v>1322845165</v>
      </c>
      <c r="C650" t="s">
        <v>18</v>
      </c>
      <c r="D650" t="s">
        <v>20</v>
      </c>
      <c r="E650" s="29">
        <v>46204</v>
      </c>
      <c r="F650" t="s">
        <v>3</v>
      </c>
      <c r="G650" s="28">
        <v>0.54791666666666672</v>
      </c>
      <c r="H650" s="28">
        <v>0.54791666666666672</v>
      </c>
      <c r="I650">
        <v>0</v>
      </c>
      <c r="J650" t="s">
        <v>174</v>
      </c>
      <c r="K650">
        <v>0</v>
      </c>
      <c r="L650" t="s">
        <v>2309</v>
      </c>
      <c r="M650" t="s">
        <v>2310</v>
      </c>
      <c r="N650" t="s">
        <v>2311</v>
      </c>
      <c r="O650" t="s">
        <v>2312</v>
      </c>
      <c r="P650" t="s">
        <v>2313</v>
      </c>
    </row>
    <row r="651" spans="1:16" x14ac:dyDescent="0.35">
      <c r="A651" t="s">
        <v>94</v>
      </c>
      <c r="B651">
        <v>1322845165</v>
      </c>
      <c r="C651" t="s">
        <v>18</v>
      </c>
      <c r="D651" t="s">
        <v>20</v>
      </c>
      <c r="E651" s="29">
        <v>46204</v>
      </c>
      <c r="F651" t="s">
        <v>3</v>
      </c>
      <c r="G651" s="28">
        <v>0.55486111111111114</v>
      </c>
      <c r="H651" s="28">
        <v>0.55486111111111114</v>
      </c>
      <c r="I651">
        <v>0</v>
      </c>
      <c r="J651" t="s">
        <v>174</v>
      </c>
      <c r="K651">
        <v>0</v>
      </c>
      <c r="L651" t="s">
        <v>2309</v>
      </c>
      <c r="M651" t="s">
        <v>2314</v>
      </c>
      <c r="N651" t="s">
        <v>2315</v>
      </c>
      <c r="O651" t="s">
        <v>2316</v>
      </c>
      <c r="P651" t="s">
        <v>2317</v>
      </c>
    </row>
    <row r="652" spans="1:16" x14ac:dyDescent="0.35">
      <c r="A652" t="s">
        <v>94</v>
      </c>
      <c r="B652">
        <v>1322845165</v>
      </c>
      <c r="C652" t="s">
        <v>18</v>
      </c>
      <c r="D652" t="s">
        <v>20</v>
      </c>
      <c r="E652" s="29">
        <v>46204</v>
      </c>
      <c r="F652" t="s">
        <v>3</v>
      </c>
      <c r="G652" s="28">
        <v>0.56180555555555556</v>
      </c>
      <c r="H652" s="28">
        <v>0.5756944444444444</v>
      </c>
      <c r="I652">
        <v>0</v>
      </c>
      <c r="J652" t="s">
        <v>146</v>
      </c>
      <c r="K652">
        <v>1</v>
      </c>
      <c r="L652" t="s">
        <v>147</v>
      </c>
      <c r="M652" t="s">
        <v>2310</v>
      </c>
      <c r="N652" t="s">
        <v>2311</v>
      </c>
      <c r="O652" t="s">
        <v>2312</v>
      </c>
      <c r="P652" t="s">
        <v>2313</v>
      </c>
    </row>
    <row r="653" spans="1:16" x14ac:dyDescent="0.35">
      <c r="A653" t="s">
        <v>94</v>
      </c>
      <c r="B653">
        <v>1322845165</v>
      </c>
      <c r="C653" t="s">
        <v>18</v>
      </c>
      <c r="D653" t="s">
        <v>20</v>
      </c>
      <c r="E653" s="29">
        <v>46204</v>
      </c>
      <c r="F653" t="s">
        <v>3</v>
      </c>
      <c r="G653" s="28">
        <v>0.58333333333333337</v>
      </c>
      <c r="H653" s="28">
        <v>0.58333333333333337</v>
      </c>
      <c r="I653">
        <v>0</v>
      </c>
      <c r="J653" t="s">
        <v>174</v>
      </c>
      <c r="K653">
        <v>0</v>
      </c>
      <c r="L653" t="s">
        <v>2318</v>
      </c>
      <c r="M653" t="s">
        <v>2314</v>
      </c>
      <c r="N653" t="s">
        <v>2315</v>
      </c>
      <c r="O653" t="s">
        <v>2316</v>
      </c>
      <c r="P653" t="s">
        <v>2317</v>
      </c>
    </row>
    <row r="654" spans="1:16" x14ac:dyDescent="0.35">
      <c r="A654" t="s">
        <v>94</v>
      </c>
      <c r="B654">
        <v>1322845165</v>
      </c>
      <c r="C654" t="s">
        <v>18</v>
      </c>
      <c r="D654" t="s">
        <v>20</v>
      </c>
      <c r="E654" s="29">
        <v>46204</v>
      </c>
      <c r="F654" t="s">
        <v>3</v>
      </c>
      <c r="G654" s="28">
        <v>0.58958333333333335</v>
      </c>
      <c r="H654" s="28">
        <v>0.58958333333333335</v>
      </c>
      <c r="I654">
        <v>0</v>
      </c>
      <c r="J654" t="s">
        <v>174</v>
      </c>
      <c r="K654">
        <v>0</v>
      </c>
      <c r="L654" t="s">
        <v>222</v>
      </c>
      <c r="M654" t="s">
        <v>2319</v>
      </c>
      <c r="N654" t="s">
        <v>2320</v>
      </c>
      <c r="O654" t="s">
        <v>2321</v>
      </c>
      <c r="P654" t="s">
        <v>2322</v>
      </c>
    </row>
    <row r="655" spans="1:16" x14ac:dyDescent="0.35">
      <c r="A655" t="s">
        <v>94</v>
      </c>
      <c r="B655">
        <v>1322845165</v>
      </c>
      <c r="C655" t="s">
        <v>18</v>
      </c>
      <c r="D655" t="s">
        <v>20</v>
      </c>
      <c r="E655" s="29">
        <v>46204</v>
      </c>
      <c r="F655" t="s">
        <v>3</v>
      </c>
      <c r="G655" s="28">
        <v>0.59652777777777777</v>
      </c>
      <c r="H655" s="28">
        <v>0.62430555555555556</v>
      </c>
      <c r="I655">
        <v>1</v>
      </c>
      <c r="J655" t="s">
        <v>146</v>
      </c>
      <c r="K655">
        <v>2</v>
      </c>
      <c r="L655" t="s">
        <v>147</v>
      </c>
      <c r="M655" t="s">
        <v>2323</v>
      </c>
      <c r="N655" t="s">
        <v>2324</v>
      </c>
      <c r="O655" t="s">
        <v>2325</v>
      </c>
      <c r="P655" t="s">
        <v>2326</v>
      </c>
    </row>
    <row r="656" spans="1:16" x14ac:dyDescent="0.35">
      <c r="A656" t="s">
        <v>94</v>
      </c>
      <c r="B656">
        <v>1322845165</v>
      </c>
      <c r="C656" t="s">
        <v>18</v>
      </c>
      <c r="D656" t="s">
        <v>20</v>
      </c>
      <c r="E656" s="29">
        <v>46204</v>
      </c>
      <c r="F656" t="s">
        <v>3</v>
      </c>
      <c r="G656" s="28">
        <v>0.63124999999999998</v>
      </c>
      <c r="H656" s="28">
        <v>0.65902777777777777</v>
      </c>
      <c r="I656">
        <v>1</v>
      </c>
      <c r="J656" t="s">
        <v>146</v>
      </c>
      <c r="K656">
        <v>2</v>
      </c>
      <c r="L656" t="s">
        <v>147</v>
      </c>
      <c r="M656" t="s">
        <v>2327</v>
      </c>
      <c r="N656" t="s">
        <v>2328</v>
      </c>
      <c r="O656" t="s">
        <v>2329</v>
      </c>
      <c r="P656" t="s">
        <v>2330</v>
      </c>
    </row>
    <row r="657" spans="1:16" x14ac:dyDescent="0.35">
      <c r="A657" t="s">
        <v>94</v>
      </c>
      <c r="B657">
        <v>1322845165</v>
      </c>
      <c r="C657" t="s">
        <v>18</v>
      </c>
      <c r="D657" t="s">
        <v>20</v>
      </c>
      <c r="E657" s="29">
        <v>46204</v>
      </c>
      <c r="F657" t="s">
        <v>3</v>
      </c>
      <c r="G657" s="28">
        <v>0.66597222222222219</v>
      </c>
      <c r="H657" s="28">
        <v>0.66597222222222219</v>
      </c>
      <c r="I657">
        <v>0</v>
      </c>
      <c r="J657" t="s">
        <v>174</v>
      </c>
      <c r="K657">
        <v>0</v>
      </c>
      <c r="L657" t="s">
        <v>509</v>
      </c>
      <c r="M657" t="s">
        <v>2331</v>
      </c>
      <c r="N657" t="s">
        <v>2332</v>
      </c>
      <c r="O657" t="s">
        <v>2333</v>
      </c>
      <c r="P657" t="s">
        <v>2202</v>
      </c>
    </row>
    <row r="658" spans="1:16" x14ac:dyDescent="0.35">
      <c r="A658" t="s">
        <v>94</v>
      </c>
      <c r="B658">
        <v>1322845165</v>
      </c>
      <c r="C658" t="s">
        <v>18</v>
      </c>
      <c r="D658" t="s">
        <v>20</v>
      </c>
      <c r="E658" s="29">
        <v>46204</v>
      </c>
      <c r="F658" t="s">
        <v>3</v>
      </c>
      <c r="G658" s="28">
        <v>0.67291666666666672</v>
      </c>
      <c r="H658" s="28">
        <v>0.68680555555555556</v>
      </c>
      <c r="I658">
        <v>0</v>
      </c>
      <c r="J658" t="s">
        <v>146</v>
      </c>
      <c r="K658">
        <v>1</v>
      </c>
      <c r="L658" t="s">
        <v>147</v>
      </c>
      <c r="M658" t="s">
        <v>2327</v>
      </c>
      <c r="N658" t="s">
        <v>2328</v>
      </c>
      <c r="O658" t="s">
        <v>2329</v>
      </c>
      <c r="P658" t="s">
        <v>2330</v>
      </c>
    </row>
    <row r="659" spans="1:16" x14ac:dyDescent="0.35">
      <c r="A659" t="s">
        <v>94</v>
      </c>
      <c r="B659">
        <v>1322845165</v>
      </c>
      <c r="C659" t="s">
        <v>18</v>
      </c>
      <c r="D659" t="s">
        <v>20</v>
      </c>
      <c r="E659" s="29">
        <v>46204</v>
      </c>
      <c r="F659" t="s">
        <v>3</v>
      </c>
      <c r="G659" s="28">
        <v>0.69374999999999998</v>
      </c>
      <c r="H659" s="28">
        <v>0.69374999999999998</v>
      </c>
      <c r="I659">
        <v>0</v>
      </c>
      <c r="J659" t="s">
        <v>174</v>
      </c>
      <c r="K659">
        <v>0</v>
      </c>
      <c r="L659" t="s">
        <v>369</v>
      </c>
      <c r="M659" t="s">
        <v>2334</v>
      </c>
      <c r="N659" t="s">
        <v>2335</v>
      </c>
      <c r="O659" t="s">
        <v>2336</v>
      </c>
      <c r="P659" t="s">
        <v>2337</v>
      </c>
    </row>
    <row r="660" spans="1:16" x14ac:dyDescent="0.35">
      <c r="A660" t="s">
        <v>94</v>
      </c>
      <c r="B660">
        <v>1322845165</v>
      </c>
      <c r="C660" t="s">
        <v>18</v>
      </c>
      <c r="D660" t="s">
        <v>20</v>
      </c>
      <c r="E660" s="29">
        <v>46204</v>
      </c>
      <c r="F660" t="s">
        <v>3</v>
      </c>
      <c r="G660" s="28">
        <v>0.7006944444444444</v>
      </c>
      <c r="H660" s="28">
        <v>0.85347222222222219</v>
      </c>
      <c r="I660">
        <v>4</v>
      </c>
      <c r="J660" t="s">
        <v>146</v>
      </c>
      <c r="K660">
        <v>11</v>
      </c>
      <c r="L660" t="s">
        <v>147</v>
      </c>
      <c r="M660" t="s">
        <v>2338</v>
      </c>
      <c r="N660" t="s">
        <v>2339</v>
      </c>
      <c r="O660" t="s">
        <v>2340</v>
      </c>
      <c r="P660" t="s">
        <v>2341</v>
      </c>
    </row>
    <row r="661" spans="1:16" x14ac:dyDescent="0.35">
      <c r="A661" t="s">
        <v>94</v>
      </c>
      <c r="B661">
        <v>1322845165</v>
      </c>
      <c r="C661" t="s">
        <v>18</v>
      </c>
      <c r="D661" t="s">
        <v>20</v>
      </c>
      <c r="E661" s="29">
        <v>46205</v>
      </c>
      <c r="F661" t="s">
        <v>4</v>
      </c>
      <c r="G661" s="28">
        <v>0.38124999999999998</v>
      </c>
      <c r="H661" s="28">
        <v>0.39513888888888887</v>
      </c>
      <c r="I661">
        <v>0</v>
      </c>
      <c r="J661" t="s">
        <v>146</v>
      </c>
      <c r="K661">
        <v>1</v>
      </c>
      <c r="L661" t="s">
        <v>147</v>
      </c>
      <c r="M661" t="s">
        <v>2342</v>
      </c>
      <c r="N661" t="s">
        <v>2343</v>
      </c>
      <c r="O661" t="s">
        <v>2344</v>
      </c>
      <c r="P661" t="s">
        <v>2345</v>
      </c>
    </row>
    <row r="662" spans="1:16" x14ac:dyDescent="0.35">
      <c r="A662" t="s">
        <v>94</v>
      </c>
      <c r="B662">
        <v>1322845165</v>
      </c>
      <c r="C662" t="s">
        <v>18</v>
      </c>
      <c r="D662" t="s">
        <v>20</v>
      </c>
      <c r="E662" s="29">
        <v>46205</v>
      </c>
      <c r="F662" t="s">
        <v>4</v>
      </c>
      <c r="G662" s="28">
        <v>0.40208333333333335</v>
      </c>
      <c r="H662" s="28">
        <v>0.48541666666666666</v>
      </c>
      <c r="I662">
        <v>2</v>
      </c>
      <c r="J662" t="s">
        <v>146</v>
      </c>
      <c r="K662">
        <v>6</v>
      </c>
      <c r="L662" t="s">
        <v>147</v>
      </c>
      <c r="M662" t="s">
        <v>2346</v>
      </c>
      <c r="N662" t="s">
        <v>2347</v>
      </c>
      <c r="O662" t="s">
        <v>2348</v>
      </c>
      <c r="P662" t="s">
        <v>2349</v>
      </c>
    </row>
    <row r="663" spans="1:16" x14ac:dyDescent="0.35">
      <c r="A663" t="s">
        <v>94</v>
      </c>
      <c r="B663">
        <v>1322845165</v>
      </c>
      <c r="C663" t="s">
        <v>18</v>
      </c>
      <c r="D663" t="s">
        <v>20</v>
      </c>
      <c r="E663" s="29">
        <v>46205</v>
      </c>
      <c r="F663" t="s">
        <v>4</v>
      </c>
      <c r="G663" s="28">
        <v>0.49236111111111114</v>
      </c>
      <c r="H663" s="28">
        <v>0.54097222222222219</v>
      </c>
      <c r="I663">
        <v>1</v>
      </c>
      <c r="J663" t="s">
        <v>146</v>
      </c>
      <c r="K663">
        <v>4</v>
      </c>
      <c r="L663" t="s">
        <v>147</v>
      </c>
      <c r="M663" t="s">
        <v>2350</v>
      </c>
      <c r="N663" t="s">
        <v>2351</v>
      </c>
      <c r="O663" t="s">
        <v>2352</v>
      </c>
      <c r="P663" t="s">
        <v>2353</v>
      </c>
    </row>
    <row r="664" spans="1:16" x14ac:dyDescent="0.35">
      <c r="A664" t="s">
        <v>94</v>
      </c>
      <c r="B664">
        <v>1322845165</v>
      </c>
      <c r="C664" t="s">
        <v>18</v>
      </c>
      <c r="D664" t="s">
        <v>20</v>
      </c>
      <c r="E664" s="29">
        <v>46205</v>
      </c>
      <c r="F664" t="s">
        <v>4</v>
      </c>
      <c r="G664" s="28">
        <v>0.54791666666666672</v>
      </c>
      <c r="H664" s="28">
        <v>0.55486111111111114</v>
      </c>
      <c r="I664">
        <v>0</v>
      </c>
      <c r="J664" t="s">
        <v>146</v>
      </c>
      <c r="K664">
        <v>0</v>
      </c>
      <c r="L664" t="s">
        <v>147</v>
      </c>
      <c r="M664" t="s">
        <v>2354</v>
      </c>
      <c r="N664" t="s">
        <v>2355</v>
      </c>
      <c r="O664" t="s">
        <v>2356</v>
      </c>
      <c r="P664" t="s">
        <v>2357</v>
      </c>
    </row>
    <row r="665" spans="1:16" x14ac:dyDescent="0.35">
      <c r="A665" t="s">
        <v>94</v>
      </c>
      <c r="B665">
        <v>1322845165</v>
      </c>
      <c r="C665" t="s">
        <v>18</v>
      </c>
      <c r="D665" t="s">
        <v>20</v>
      </c>
      <c r="E665" s="29">
        <v>46205</v>
      </c>
      <c r="F665" t="s">
        <v>4</v>
      </c>
      <c r="G665" s="28">
        <v>0.56180555555555556</v>
      </c>
      <c r="H665" s="28">
        <v>0.56180555555555556</v>
      </c>
      <c r="I665">
        <v>0</v>
      </c>
      <c r="J665" t="s">
        <v>174</v>
      </c>
      <c r="K665">
        <v>0</v>
      </c>
      <c r="L665" t="s">
        <v>680</v>
      </c>
      <c r="M665" t="s">
        <v>2358</v>
      </c>
      <c r="N665" t="s">
        <v>2359</v>
      </c>
      <c r="O665" t="s">
        <v>2360</v>
      </c>
      <c r="P665" t="s">
        <v>2361</v>
      </c>
    </row>
    <row r="666" spans="1:16" x14ac:dyDescent="0.35">
      <c r="A666" t="s">
        <v>94</v>
      </c>
      <c r="B666">
        <v>1322845165</v>
      </c>
      <c r="C666" t="s">
        <v>18</v>
      </c>
      <c r="D666" t="s">
        <v>20</v>
      </c>
      <c r="E666" s="29">
        <v>46205</v>
      </c>
      <c r="F666" t="s">
        <v>4</v>
      </c>
      <c r="G666" s="28">
        <v>0.56874999999999998</v>
      </c>
      <c r="H666" s="28">
        <v>0.56874999999999998</v>
      </c>
      <c r="I666">
        <v>0</v>
      </c>
      <c r="J666" t="s">
        <v>174</v>
      </c>
      <c r="K666">
        <v>0</v>
      </c>
      <c r="L666" t="s">
        <v>2248</v>
      </c>
      <c r="M666" t="s">
        <v>2280</v>
      </c>
      <c r="N666" t="s">
        <v>2362</v>
      </c>
      <c r="O666" t="s">
        <v>2363</v>
      </c>
      <c r="P666" t="s">
        <v>2364</v>
      </c>
    </row>
    <row r="667" spans="1:16" x14ac:dyDescent="0.35">
      <c r="A667" t="s">
        <v>94</v>
      </c>
      <c r="B667">
        <v>1322845165</v>
      </c>
      <c r="C667" t="s">
        <v>18</v>
      </c>
      <c r="D667" t="s">
        <v>20</v>
      </c>
      <c r="E667" s="29">
        <v>46205</v>
      </c>
      <c r="F667" t="s">
        <v>4</v>
      </c>
      <c r="G667" s="28">
        <v>0.5756944444444444</v>
      </c>
      <c r="H667" s="28">
        <v>0.5756944444444444</v>
      </c>
      <c r="I667">
        <v>0</v>
      </c>
      <c r="J667" t="s">
        <v>174</v>
      </c>
      <c r="K667">
        <v>0</v>
      </c>
      <c r="L667" t="s">
        <v>1420</v>
      </c>
      <c r="M667" t="s">
        <v>2365</v>
      </c>
      <c r="N667" t="s">
        <v>2366</v>
      </c>
      <c r="O667" t="s">
        <v>2367</v>
      </c>
      <c r="P667" t="s">
        <v>2368</v>
      </c>
    </row>
    <row r="668" spans="1:16" x14ac:dyDescent="0.35">
      <c r="A668" t="s">
        <v>94</v>
      </c>
      <c r="B668">
        <v>1322845165</v>
      </c>
      <c r="C668" t="s">
        <v>18</v>
      </c>
      <c r="D668" t="s">
        <v>20</v>
      </c>
      <c r="E668" s="29">
        <v>46205</v>
      </c>
      <c r="F668" t="s">
        <v>4</v>
      </c>
      <c r="G668" s="28">
        <v>0.58263888888888893</v>
      </c>
      <c r="H668" s="28">
        <v>0.58263888888888893</v>
      </c>
      <c r="I668">
        <v>0</v>
      </c>
      <c r="J668" t="s">
        <v>174</v>
      </c>
      <c r="K668">
        <v>0</v>
      </c>
      <c r="L668" t="s">
        <v>257</v>
      </c>
      <c r="M668" t="s">
        <v>2369</v>
      </c>
      <c r="N668" t="s">
        <v>2370</v>
      </c>
      <c r="O668" t="s">
        <v>2371</v>
      </c>
      <c r="P668" t="s">
        <v>2372</v>
      </c>
    </row>
    <row r="669" spans="1:16" x14ac:dyDescent="0.35">
      <c r="A669" t="s">
        <v>94</v>
      </c>
      <c r="B669">
        <v>1322845165</v>
      </c>
      <c r="C669" t="s">
        <v>18</v>
      </c>
      <c r="D669" t="s">
        <v>20</v>
      </c>
      <c r="E669" s="29">
        <v>46205</v>
      </c>
      <c r="F669" t="s">
        <v>4</v>
      </c>
      <c r="G669" s="28">
        <v>0.58958333333333335</v>
      </c>
      <c r="H669" s="28">
        <v>0.58958333333333335</v>
      </c>
      <c r="I669">
        <v>0</v>
      </c>
      <c r="J669" t="s">
        <v>174</v>
      </c>
      <c r="K669">
        <v>0</v>
      </c>
      <c r="L669" t="s">
        <v>466</v>
      </c>
      <c r="M669" t="s">
        <v>2373</v>
      </c>
      <c r="N669" t="s">
        <v>2374</v>
      </c>
      <c r="O669" t="s">
        <v>2375</v>
      </c>
      <c r="P669" t="s">
        <v>2376</v>
      </c>
    </row>
    <row r="670" spans="1:16" x14ac:dyDescent="0.35">
      <c r="A670" t="s">
        <v>94</v>
      </c>
      <c r="B670">
        <v>1322845165</v>
      </c>
      <c r="C670" t="s">
        <v>18</v>
      </c>
      <c r="D670" t="s">
        <v>20</v>
      </c>
      <c r="E670" s="29">
        <v>46205</v>
      </c>
      <c r="F670" t="s">
        <v>4</v>
      </c>
      <c r="G670" s="28">
        <v>0.59652777777777777</v>
      </c>
      <c r="H670" s="28">
        <v>0.59652777777777777</v>
      </c>
      <c r="I670">
        <v>0</v>
      </c>
      <c r="J670" t="s">
        <v>174</v>
      </c>
      <c r="K670">
        <v>0</v>
      </c>
      <c r="L670" t="s">
        <v>466</v>
      </c>
      <c r="M670" t="s">
        <v>2377</v>
      </c>
      <c r="N670" t="s">
        <v>2378</v>
      </c>
      <c r="O670" t="s">
        <v>2379</v>
      </c>
      <c r="P670" t="s">
        <v>2380</v>
      </c>
    </row>
    <row r="671" spans="1:16" x14ac:dyDescent="0.35">
      <c r="A671" t="s">
        <v>94</v>
      </c>
      <c r="B671">
        <v>1322845165</v>
      </c>
      <c r="C671" t="s">
        <v>18</v>
      </c>
      <c r="D671" t="s">
        <v>20</v>
      </c>
      <c r="E671" s="29">
        <v>46205</v>
      </c>
      <c r="F671" t="s">
        <v>4</v>
      </c>
      <c r="G671" s="28">
        <v>0.60347222222222219</v>
      </c>
      <c r="H671" s="28">
        <v>0.60347222222222219</v>
      </c>
      <c r="I671">
        <v>0</v>
      </c>
      <c r="J671" t="s">
        <v>174</v>
      </c>
      <c r="K671">
        <v>0</v>
      </c>
      <c r="L671" t="s">
        <v>466</v>
      </c>
      <c r="M671" t="s">
        <v>2373</v>
      </c>
      <c r="N671" t="s">
        <v>2374</v>
      </c>
      <c r="O671" t="s">
        <v>2375</v>
      </c>
      <c r="P671" t="s">
        <v>2376</v>
      </c>
    </row>
    <row r="672" spans="1:16" x14ac:dyDescent="0.35">
      <c r="A672" t="s">
        <v>94</v>
      </c>
      <c r="B672">
        <v>1322845165</v>
      </c>
      <c r="C672" t="s">
        <v>18</v>
      </c>
      <c r="D672" t="s">
        <v>20</v>
      </c>
      <c r="E672" s="29">
        <v>46205</v>
      </c>
      <c r="F672" t="s">
        <v>4</v>
      </c>
      <c r="G672" s="28">
        <v>0.61041666666666672</v>
      </c>
      <c r="H672" s="28">
        <v>0.61041666666666672</v>
      </c>
      <c r="I672">
        <v>0</v>
      </c>
      <c r="J672" t="s">
        <v>174</v>
      </c>
      <c r="K672">
        <v>0</v>
      </c>
      <c r="L672" t="s">
        <v>466</v>
      </c>
      <c r="M672" t="s">
        <v>2377</v>
      </c>
      <c r="N672" t="s">
        <v>2378</v>
      </c>
      <c r="O672" t="s">
        <v>2379</v>
      </c>
      <c r="P672" t="s">
        <v>2380</v>
      </c>
    </row>
    <row r="673" spans="1:16" x14ac:dyDescent="0.35">
      <c r="A673" t="s">
        <v>94</v>
      </c>
      <c r="B673">
        <v>1322845165</v>
      </c>
      <c r="C673" t="s">
        <v>18</v>
      </c>
      <c r="D673" t="s">
        <v>20</v>
      </c>
      <c r="E673" s="29">
        <v>46205</v>
      </c>
      <c r="F673" t="s">
        <v>4</v>
      </c>
      <c r="G673" s="28">
        <v>0.61736111111111114</v>
      </c>
      <c r="H673" s="28">
        <v>0.61736111111111114</v>
      </c>
      <c r="I673">
        <v>0</v>
      </c>
      <c r="J673" t="s">
        <v>174</v>
      </c>
      <c r="K673">
        <v>0</v>
      </c>
      <c r="L673" t="s">
        <v>466</v>
      </c>
      <c r="M673" t="s">
        <v>2373</v>
      </c>
      <c r="N673" t="s">
        <v>2374</v>
      </c>
      <c r="O673" t="s">
        <v>2375</v>
      </c>
      <c r="P673" t="s">
        <v>2376</v>
      </c>
    </row>
    <row r="674" spans="1:16" x14ac:dyDescent="0.35">
      <c r="A674" t="s">
        <v>94</v>
      </c>
      <c r="B674">
        <v>1322845165</v>
      </c>
      <c r="C674" t="s">
        <v>18</v>
      </c>
      <c r="D674" t="s">
        <v>20</v>
      </c>
      <c r="E674" s="29">
        <v>46205</v>
      </c>
      <c r="F674" t="s">
        <v>4</v>
      </c>
      <c r="G674" s="28">
        <v>0.62430555555555556</v>
      </c>
      <c r="H674" s="28">
        <v>0.62430555555555556</v>
      </c>
      <c r="I674">
        <v>0</v>
      </c>
      <c r="J674" t="s">
        <v>174</v>
      </c>
      <c r="K674">
        <v>0</v>
      </c>
      <c r="L674" t="s">
        <v>2381</v>
      </c>
      <c r="M674" t="s">
        <v>2377</v>
      </c>
      <c r="N674" t="s">
        <v>2378</v>
      </c>
      <c r="O674" t="s">
        <v>2379</v>
      </c>
      <c r="P674" t="s">
        <v>2380</v>
      </c>
    </row>
    <row r="675" spans="1:16" x14ac:dyDescent="0.35">
      <c r="A675" t="s">
        <v>94</v>
      </c>
      <c r="B675">
        <v>1322845165</v>
      </c>
      <c r="C675" t="s">
        <v>18</v>
      </c>
      <c r="D675" t="s">
        <v>20</v>
      </c>
      <c r="E675" s="29">
        <v>46205</v>
      </c>
      <c r="F675" t="s">
        <v>4</v>
      </c>
      <c r="G675" s="28">
        <v>0.63124999999999998</v>
      </c>
      <c r="H675" s="28">
        <v>0.65208333333333335</v>
      </c>
      <c r="I675">
        <v>1</v>
      </c>
      <c r="J675" t="s">
        <v>146</v>
      </c>
      <c r="K675">
        <v>2</v>
      </c>
      <c r="L675" t="s">
        <v>147</v>
      </c>
      <c r="M675" t="s">
        <v>2382</v>
      </c>
      <c r="N675" t="s">
        <v>2383</v>
      </c>
      <c r="O675" t="s">
        <v>2384</v>
      </c>
      <c r="P675" t="s">
        <v>2385</v>
      </c>
    </row>
    <row r="676" spans="1:16" x14ac:dyDescent="0.35">
      <c r="A676" t="s">
        <v>94</v>
      </c>
      <c r="B676">
        <v>1322845165</v>
      </c>
      <c r="C676" t="s">
        <v>18</v>
      </c>
      <c r="D676" t="s">
        <v>20</v>
      </c>
      <c r="E676" s="29">
        <v>46205</v>
      </c>
      <c r="F676" t="s">
        <v>4</v>
      </c>
      <c r="G676" s="28">
        <v>0.67291666666666672</v>
      </c>
      <c r="H676" s="28">
        <v>0.67291666666666672</v>
      </c>
      <c r="I676">
        <v>0</v>
      </c>
      <c r="J676" t="s">
        <v>174</v>
      </c>
      <c r="K676">
        <v>0</v>
      </c>
      <c r="L676" t="s">
        <v>775</v>
      </c>
      <c r="M676" t="s">
        <v>2386</v>
      </c>
      <c r="N676" t="s">
        <v>2387</v>
      </c>
      <c r="O676" t="s">
        <v>2388</v>
      </c>
      <c r="P676" t="s">
        <v>2389</v>
      </c>
    </row>
    <row r="677" spans="1:16" x14ac:dyDescent="0.35">
      <c r="A677" t="s">
        <v>94</v>
      </c>
      <c r="B677">
        <v>1322845165</v>
      </c>
      <c r="C677" t="s">
        <v>18</v>
      </c>
      <c r="D677" t="s">
        <v>20</v>
      </c>
      <c r="E677" s="29">
        <v>46205</v>
      </c>
      <c r="F677" t="s">
        <v>4</v>
      </c>
      <c r="G677" s="28">
        <v>0.67986111111111114</v>
      </c>
      <c r="H677" s="28">
        <v>0.7006944444444444</v>
      </c>
      <c r="I677">
        <v>0</v>
      </c>
      <c r="J677" t="s">
        <v>146</v>
      </c>
      <c r="K677">
        <v>1</v>
      </c>
      <c r="L677" t="s">
        <v>147</v>
      </c>
      <c r="M677" t="s">
        <v>2382</v>
      </c>
      <c r="N677" t="s">
        <v>2383</v>
      </c>
      <c r="O677" t="s">
        <v>2384</v>
      </c>
      <c r="P677" t="s">
        <v>2385</v>
      </c>
    </row>
    <row r="678" spans="1:16" x14ac:dyDescent="0.35">
      <c r="A678" t="s">
        <v>94</v>
      </c>
      <c r="B678">
        <v>1322845165</v>
      </c>
      <c r="C678" t="s">
        <v>18</v>
      </c>
      <c r="D678" t="s">
        <v>20</v>
      </c>
      <c r="E678" s="29">
        <v>46205</v>
      </c>
      <c r="F678" t="s">
        <v>4</v>
      </c>
      <c r="G678" s="28">
        <v>0.70763888888888893</v>
      </c>
      <c r="H678" s="28">
        <v>0.72152777777777777</v>
      </c>
      <c r="I678">
        <v>0</v>
      </c>
      <c r="J678" t="s">
        <v>146</v>
      </c>
      <c r="K678">
        <v>1</v>
      </c>
      <c r="L678" t="s">
        <v>147</v>
      </c>
      <c r="M678" t="s">
        <v>2377</v>
      </c>
      <c r="N678" t="s">
        <v>2378</v>
      </c>
      <c r="O678" t="s">
        <v>2379</v>
      </c>
      <c r="P678" t="s">
        <v>2380</v>
      </c>
    </row>
    <row r="679" spans="1:16" x14ac:dyDescent="0.35">
      <c r="A679" t="s">
        <v>94</v>
      </c>
      <c r="B679">
        <v>1322845165</v>
      </c>
      <c r="C679" t="s">
        <v>18</v>
      </c>
      <c r="D679" t="s">
        <v>20</v>
      </c>
      <c r="E679" s="29">
        <v>46205</v>
      </c>
      <c r="F679" t="s">
        <v>4</v>
      </c>
      <c r="G679" s="28">
        <v>0.72847222222222219</v>
      </c>
      <c r="H679" s="28">
        <v>0.72847222222222219</v>
      </c>
      <c r="I679">
        <v>0</v>
      </c>
      <c r="J679" t="s">
        <v>174</v>
      </c>
      <c r="K679">
        <v>0</v>
      </c>
      <c r="L679" t="s">
        <v>2390</v>
      </c>
      <c r="M679" t="s">
        <v>2292</v>
      </c>
      <c r="N679" t="s">
        <v>2293</v>
      </c>
      <c r="O679" t="s">
        <v>2294</v>
      </c>
      <c r="P679" t="s">
        <v>2295</v>
      </c>
    </row>
    <row r="680" spans="1:16" x14ac:dyDescent="0.35">
      <c r="A680" t="s">
        <v>94</v>
      </c>
      <c r="B680">
        <v>1322845165</v>
      </c>
      <c r="C680" t="s">
        <v>18</v>
      </c>
      <c r="D680" t="s">
        <v>20</v>
      </c>
      <c r="E680" s="29">
        <v>46205</v>
      </c>
      <c r="F680" t="s">
        <v>4</v>
      </c>
      <c r="G680" s="28">
        <v>0.73541666666666672</v>
      </c>
      <c r="H680" s="28">
        <v>0.7631944444444444</v>
      </c>
      <c r="I680">
        <v>1</v>
      </c>
      <c r="J680" t="s">
        <v>146</v>
      </c>
      <c r="K680">
        <v>2</v>
      </c>
      <c r="L680" t="s">
        <v>147</v>
      </c>
      <c r="M680" t="s">
        <v>2382</v>
      </c>
      <c r="N680" t="s">
        <v>2391</v>
      </c>
      <c r="O680" t="s">
        <v>2392</v>
      </c>
      <c r="P680" t="s">
        <v>2393</v>
      </c>
    </row>
    <row r="681" spans="1:16" x14ac:dyDescent="0.35">
      <c r="A681" t="s">
        <v>94</v>
      </c>
      <c r="B681">
        <v>1322845165</v>
      </c>
      <c r="C681" t="s">
        <v>18</v>
      </c>
      <c r="D681" t="s">
        <v>20</v>
      </c>
      <c r="E681" s="29">
        <v>46205</v>
      </c>
      <c r="F681" t="s">
        <v>4</v>
      </c>
      <c r="G681" s="28">
        <v>0.77013888888888893</v>
      </c>
      <c r="H681" s="28">
        <v>0.77013888888888893</v>
      </c>
      <c r="I681">
        <v>0</v>
      </c>
      <c r="J681" t="s">
        <v>174</v>
      </c>
      <c r="K681">
        <v>0</v>
      </c>
      <c r="L681" t="s">
        <v>245</v>
      </c>
      <c r="M681" t="s">
        <v>2394</v>
      </c>
      <c r="N681" t="s">
        <v>2395</v>
      </c>
      <c r="O681" t="s">
        <v>2396</v>
      </c>
      <c r="P681" t="s">
        <v>2397</v>
      </c>
    </row>
    <row r="682" spans="1:16" x14ac:dyDescent="0.35">
      <c r="A682" t="s">
        <v>94</v>
      </c>
      <c r="B682">
        <v>1322845165</v>
      </c>
      <c r="C682" t="s">
        <v>18</v>
      </c>
      <c r="D682" t="s">
        <v>20</v>
      </c>
      <c r="E682" s="29">
        <v>46205</v>
      </c>
      <c r="F682" t="s">
        <v>4</v>
      </c>
      <c r="G682" s="28">
        <v>0.77708333333333335</v>
      </c>
      <c r="H682" s="28">
        <v>0.81874999999999998</v>
      </c>
      <c r="I682">
        <v>1</v>
      </c>
      <c r="J682" t="s">
        <v>146</v>
      </c>
      <c r="K682">
        <v>3</v>
      </c>
      <c r="L682" t="s">
        <v>147</v>
      </c>
      <c r="M682" t="s">
        <v>2382</v>
      </c>
      <c r="N682" t="s">
        <v>2391</v>
      </c>
      <c r="O682" t="s">
        <v>2392</v>
      </c>
      <c r="P682" t="s">
        <v>2393</v>
      </c>
    </row>
    <row r="683" spans="1:16" x14ac:dyDescent="0.35">
      <c r="A683" t="s">
        <v>94</v>
      </c>
      <c r="B683">
        <v>1322845165</v>
      </c>
      <c r="C683" t="s">
        <v>18</v>
      </c>
      <c r="D683" t="s">
        <v>20</v>
      </c>
      <c r="E683" s="29">
        <v>46207</v>
      </c>
      <c r="F683" t="s">
        <v>5</v>
      </c>
      <c r="G683" s="28">
        <v>0.40208333333333335</v>
      </c>
      <c r="H683" s="28">
        <v>0.40208333333333335</v>
      </c>
      <c r="I683">
        <v>0</v>
      </c>
      <c r="J683" t="s">
        <v>174</v>
      </c>
      <c r="K683">
        <v>0</v>
      </c>
      <c r="L683" t="s">
        <v>2398</v>
      </c>
      <c r="M683" t="s">
        <v>2399</v>
      </c>
      <c r="N683" t="s">
        <v>2400</v>
      </c>
      <c r="O683" t="s">
        <v>2401</v>
      </c>
      <c r="P683" t="s">
        <v>2402</v>
      </c>
    </row>
    <row r="684" spans="1:16" x14ac:dyDescent="0.35">
      <c r="A684" t="s">
        <v>94</v>
      </c>
      <c r="B684">
        <v>1322845165</v>
      </c>
      <c r="C684" t="s">
        <v>18</v>
      </c>
      <c r="D684" t="s">
        <v>20</v>
      </c>
      <c r="E684" s="29">
        <v>46207</v>
      </c>
      <c r="F684" t="s">
        <v>5</v>
      </c>
      <c r="G684" s="28">
        <v>0.40902777777777777</v>
      </c>
      <c r="H684" s="28">
        <v>0.40902777777777777</v>
      </c>
      <c r="I684">
        <v>0</v>
      </c>
      <c r="J684" t="s">
        <v>174</v>
      </c>
      <c r="K684">
        <v>0</v>
      </c>
      <c r="L684" t="s">
        <v>2262</v>
      </c>
      <c r="M684" t="s">
        <v>2249</v>
      </c>
      <c r="N684" t="s">
        <v>2250</v>
      </c>
      <c r="O684" t="s">
        <v>2251</v>
      </c>
      <c r="P684" t="s">
        <v>2252</v>
      </c>
    </row>
    <row r="685" spans="1:16" x14ac:dyDescent="0.35">
      <c r="A685" t="s">
        <v>94</v>
      </c>
      <c r="B685">
        <v>1322845165</v>
      </c>
      <c r="C685" t="s">
        <v>18</v>
      </c>
      <c r="D685" t="s">
        <v>20</v>
      </c>
      <c r="E685" s="29">
        <v>46207</v>
      </c>
      <c r="F685" t="s">
        <v>5</v>
      </c>
      <c r="G685" s="28">
        <v>0.41597222222222224</v>
      </c>
      <c r="H685" s="28">
        <v>0.41597222222222224</v>
      </c>
      <c r="I685">
        <v>0</v>
      </c>
      <c r="J685" t="s">
        <v>174</v>
      </c>
      <c r="K685">
        <v>0</v>
      </c>
      <c r="L685" t="s">
        <v>2403</v>
      </c>
      <c r="M685" t="s">
        <v>2264</v>
      </c>
      <c r="N685" t="s">
        <v>2265</v>
      </c>
      <c r="O685" t="s">
        <v>2266</v>
      </c>
      <c r="P685" t="s">
        <v>2267</v>
      </c>
    </row>
    <row r="686" spans="1:16" x14ac:dyDescent="0.35">
      <c r="A686" t="s">
        <v>94</v>
      </c>
      <c r="B686">
        <v>1322845165</v>
      </c>
      <c r="C686" t="s">
        <v>18</v>
      </c>
      <c r="D686" t="s">
        <v>20</v>
      </c>
      <c r="E686" s="29">
        <v>46207</v>
      </c>
      <c r="F686" t="s">
        <v>5</v>
      </c>
      <c r="G686" s="28">
        <v>0.42291666666666666</v>
      </c>
      <c r="H686" s="28">
        <v>0.43680555555555556</v>
      </c>
      <c r="I686">
        <v>0</v>
      </c>
      <c r="J686" t="s">
        <v>146</v>
      </c>
      <c r="K686">
        <v>1</v>
      </c>
      <c r="L686" t="s">
        <v>147</v>
      </c>
      <c r="M686" t="s">
        <v>2404</v>
      </c>
      <c r="N686" t="s">
        <v>2405</v>
      </c>
      <c r="O686" t="s">
        <v>2406</v>
      </c>
      <c r="P686" t="s">
        <v>2407</v>
      </c>
    </row>
    <row r="687" spans="1:16" x14ac:dyDescent="0.35">
      <c r="A687" t="s">
        <v>94</v>
      </c>
      <c r="B687">
        <v>1322845165</v>
      </c>
      <c r="C687" t="s">
        <v>18</v>
      </c>
      <c r="D687" t="s">
        <v>20</v>
      </c>
      <c r="E687" s="29">
        <v>46207</v>
      </c>
      <c r="F687" t="s">
        <v>5</v>
      </c>
      <c r="G687" s="28">
        <v>0.44374999999999998</v>
      </c>
      <c r="H687" s="28">
        <v>0.46458333333333335</v>
      </c>
      <c r="I687">
        <v>1</v>
      </c>
      <c r="J687" t="s">
        <v>146</v>
      </c>
      <c r="K687">
        <v>2</v>
      </c>
      <c r="L687" t="s">
        <v>147</v>
      </c>
      <c r="M687" t="s">
        <v>2408</v>
      </c>
      <c r="N687" t="s">
        <v>2409</v>
      </c>
      <c r="O687" t="s">
        <v>2410</v>
      </c>
      <c r="P687" t="s">
        <v>2411</v>
      </c>
    </row>
    <row r="688" spans="1:16" x14ac:dyDescent="0.35">
      <c r="A688" t="s">
        <v>94</v>
      </c>
      <c r="B688">
        <v>1322845165</v>
      </c>
      <c r="C688" t="s">
        <v>18</v>
      </c>
      <c r="D688" t="s">
        <v>20</v>
      </c>
      <c r="E688" s="29">
        <v>46207</v>
      </c>
      <c r="F688" t="s">
        <v>5</v>
      </c>
      <c r="G688" s="28">
        <v>0.47152777777777777</v>
      </c>
      <c r="H688" s="28">
        <v>0.47152777777777777</v>
      </c>
      <c r="I688">
        <v>0</v>
      </c>
      <c r="J688" t="s">
        <v>174</v>
      </c>
      <c r="K688">
        <v>0</v>
      </c>
      <c r="L688" t="s">
        <v>2412</v>
      </c>
      <c r="M688" t="s">
        <v>2413</v>
      </c>
      <c r="N688" t="s">
        <v>2414</v>
      </c>
      <c r="O688" t="s">
        <v>2415</v>
      </c>
      <c r="P688" t="s">
        <v>2402</v>
      </c>
    </row>
    <row r="689" spans="1:16" x14ac:dyDescent="0.35">
      <c r="A689" t="s">
        <v>94</v>
      </c>
      <c r="B689">
        <v>1322845165</v>
      </c>
      <c r="C689" t="s">
        <v>18</v>
      </c>
      <c r="D689" t="s">
        <v>20</v>
      </c>
      <c r="E689" s="29">
        <v>46207</v>
      </c>
      <c r="F689" t="s">
        <v>5</v>
      </c>
      <c r="G689" s="28">
        <v>0.47847222222222224</v>
      </c>
      <c r="H689" s="28">
        <v>0.47847222222222224</v>
      </c>
      <c r="I689">
        <v>0</v>
      </c>
      <c r="J689" t="s">
        <v>174</v>
      </c>
      <c r="K689">
        <v>0</v>
      </c>
      <c r="L689" t="s">
        <v>2416</v>
      </c>
      <c r="M689" t="s">
        <v>2417</v>
      </c>
      <c r="N689" t="s">
        <v>2418</v>
      </c>
      <c r="O689" t="s">
        <v>2419</v>
      </c>
      <c r="P689" t="s">
        <v>2420</v>
      </c>
    </row>
    <row r="690" spans="1:16" x14ac:dyDescent="0.35">
      <c r="A690" t="s">
        <v>94</v>
      </c>
      <c r="B690">
        <v>1322845165</v>
      </c>
      <c r="C690" t="s">
        <v>18</v>
      </c>
      <c r="D690" t="s">
        <v>20</v>
      </c>
      <c r="E690" s="29">
        <v>46207</v>
      </c>
      <c r="F690" t="s">
        <v>5</v>
      </c>
      <c r="G690" s="28">
        <v>0.48541666666666666</v>
      </c>
      <c r="H690" s="28">
        <v>0.48541666666666666</v>
      </c>
      <c r="I690">
        <v>0</v>
      </c>
      <c r="J690" t="s">
        <v>174</v>
      </c>
      <c r="K690">
        <v>0</v>
      </c>
      <c r="L690" t="s">
        <v>2416</v>
      </c>
      <c r="M690" t="s">
        <v>2421</v>
      </c>
      <c r="N690" t="s">
        <v>2422</v>
      </c>
      <c r="O690" t="s">
        <v>2423</v>
      </c>
      <c r="P690" t="s">
        <v>2424</v>
      </c>
    </row>
    <row r="691" spans="1:16" x14ac:dyDescent="0.35">
      <c r="A691" t="s">
        <v>94</v>
      </c>
      <c r="B691">
        <v>1322845165</v>
      </c>
      <c r="C691" t="s">
        <v>18</v>
      </c>
      <c r="D691" t="s">
        <v>20</v>
      </c>
      <c r="E691" s="29">
        <v>46207</v>
      </c>
      <c r="F691" t="s">
        <v>5</v>
      </c>
      <c r="G691" s="28">
        <v>0.49236111111111114</v>
      </c>
      <c r="H691" s="28">
        <v>0.49236111111111114</v>
      </c>
      <c r="I691">
        <v>0</v>
      </c>
      <c r="J691" t="s">
        <v>174</v>
      </c>
      <c r="K691">
        <v>0</v>
      </c>
      <c r="L691" t="s">
        <v>2416</v>
      </c>
      <c r="M691" t="s">
        <v>2417</v>
      </c>
      <c r="N691" t="s">
        <v>2418</v>
      </c>
      <c r="O691" t="s">
        <v>2419</v>
      </c>
      <c r="P691" t="s">
        <v>2420</v>
      </c>
    </row>
    <row r="692" spans="1:16" x14ac:dyDescent="0.35">
      <c r="A692" t="s">
        <v>94</v>
      </c>
      <c r="B692">
        <v>1322845165</v>
      </c>
      <c r="C692" t="s">
        <v>18</v>
      </c>
      <c r="D692" t="s">
        <v>20</v>
      </c>
      <c r="E692" s="29">
        <v>46207</v>
      </c>
      <c r="F692" t="s">
        <v>5</v>
      </c>
      <c r="G692" s="28">
        <v>0.49930555555555556</v>
      </c>
      <c r="H692" s="28">
        <v>0.49930555555555556</v>
      </c>
      <c r="I692">
        <v>0</v>
      </c>
      <c r="J692" t="s">
        <v>174</v>
      </c>
      <c r="K692">
        <v>0</v>
      </c>
      <c r="L692" t="s">
        <v>466</v>
      </c>
      <c r="M692" t="s">
        <v>2421</v>
      </c>
      <c r="N692" t="s">
        <v>2422</v>
      </c>
      <c r="O692" t="s">
        <v>2423</v>
      </c>
      <c r="P692" t="s">
        <v>2424</v>
      </c>
    </row>
    <row r="693" spans="1:16" x14ac:dyDescent="0.35">
      <c r="A693" t="s">
        <v>94</v>
      </c>
      <c r="B693">
        <v>1322845165</v>
      </c>
      <c r="C693" t="s">
        <v>18</v>
      </c>
      <c r="D693" t="s">
        <v>20</v>
      </c>
      <c r="E693" s="29">
        <v>46207</v>
      </c>
      <c r="F693" t="s">
        <v>5</v>
      </c>
      <c r="G693" s="28">
        <v>0.50624999999999998</v>
      </c>
      <c r="H693" s="28">
        <v>0.50624999999999998</v>
      </c>
      <c r="I693">
        <v>0</v>
      </c>
      <c r="J693" t="s">
        <v>174</v>
      </c>
      <c r="K693">
        <v>0</v>
      </c>
      <c r="L693" t="s">
        <v>2242</v>
      </c>
      <c r="M693" t="s">
        <v>2425</v>
      </c>
      <c r="N693" t="s">
        <v>2426</v>
      </c>
      <c r="O693" t="s">
        <v>2427</v>
      </c>
      <c r="P693" t="s">
        <v>373</v>
      </c>
    </row>
    <row r="694" spans="1:16" x14ac:dyDescent="0.35">
      <c r="A694" t="s">
        <v>94</v>
      </c>
      <c r="B694">
        <v>1322845165</v>
      </c>
      <c r="C694" t="s">
        <v>18</v>
      </c>
      <c r="D694" t="s">
        <v>20</v>
      </c>
      <c r="E694" s="29">
        <v>46207</v>
      </c>
      <c r="F694" t="s">
        <v>5</v>
      </c>
      <c r="G694" s="28">
        <v>0.5131944444444444</v>
      </c>
      <c r="H694" s="28">
        <v>0.5131944444444444</v>
      </c>
      <c r="I694">
        <v>0</v>
      </c>
      <c r="J694" t="s">
        <v>174</v>
      </c>
      <c r="K694">
        <v>0</v>
      </c>
      <c r="L694" t="s">
        <v>1037</v>
      </c>
      <c r="M694" t="s">
        <v>2428</v>
      </c>
      <c r="N694" t="s">
        <v>2429</v>
      </c>
      <c r="O694" t="s">
        <v>2430</v>
      </c>
      <c r="P694" t="s">
        <v>2420</v>
      </c>
    </row>
    <row r="695" spans="1:16" x14ac:dyDescent="0.35">
      <c r="A695" t="s">
        <v>94</v>
      </c>
      <c r="B695">
        <v>1322845165</v>
      </c>
      <c r="C695" t="s">
        <v>18</v>
      </c>
      <c r="D695" t="s">
        <v>20</v>
      </c>
      <c r="E695" s="29">
        <v>46207</v>
      </c>
      <c r="F695" t="s">
        <v>5</v>
      </c>
      <c r="G695" s="28">
        <v>0.52013888888888893</v>
      </c>
      <c r="H695" s="28">
        <v>0.52708333333333335</v>
      </c>
      <c r="I695">
        <v>0</v>
      </c>
      <c r="J695" t="s">
        <v>146</v>
      </c>
      <c r="K695">
        <v>0</v>
      </c>
      <c r="L695" t="s">
        <v>147</v>
      </c>
      <c r="M695" t="s">
        <v>2408</v>
      </c>
      <c r="N695" t="s">
        <v>2431</v>
      </c>
      <c r="O695" t="s">
        <v>2432</v>
      </c>
      <c r="P695" t="s">
        <v>2433</v>
      </c>
    </row>
    <row r="696" spans="1:16" x14ac:dyDescent="0.35">
      <c r="A696" t="s">
        <v>94</v>
      </c>
      <c r="B696">
        <v>1322845165</v>
      </c>
      <c r="C696" t="s">
        <v>18</v>
      </c>
      <c r="D696" t="s">
        <v>20</v>
      </c>
      <c r="E696" s="29">
        <v>46207</v>
      </c>
      <c r="F696" t="s">
        <v>5</v>
      </c>
      <c r="G696" s="28">
        <v>0.53402777777777777</v>
      </c>
      <c r="H696" s="28">
        <v>0.58958333333333335</v>
      </c>
      <c r="I696">
        <v>1</v>
      </c>
      <c r="J696" t="s">
        <v>146</v>
      </c>
      <c r="K696">
        <v>4</v>
      </c>
      <c r="L696" t="s">
        <v>147</v>
      </c>
      <c r="M696" t="s">
        <v>2428</v>
      </c>
      <c r="N696" t="s">
        <v>2429</v>
      </c>
      <c r="O696" t="s">
        <v>2430</v>
      </c>
      <c r="P696" t="s">
        <v>2420</v>
      </c>
    </row>
    <row r="697" spans="1:16" x14ac:dyDescent="0.35">
      <c r="A697" t="s">
        <v>94</v>
      </c>
      <c r="B697">
        <v>1322845165</v>
      </c>
      <c r="C697" t="s">
        <v>18</v>
      </c>
      <c r="D697" t="s">
        <v>20</v>
      </c>
      <c r="E697" s="29">
        <v>46207</v>
      </c>
      <c r="F697" t="s">
        <v>5</v>
      </c>
      <c r="G697" s="28">
        <v>0.59652777777777777</v>
      </c>
      <c r="H697" s="28">
        <v>0.64513888888888893</v>
      </c>
      <c r="I697">
        <v>1</v>
      </c>
      <c r="J697" t="s">
        <v>146</v>
      </c>
      <c r="K697">
        <v>4</v>
      </c>
      <c r="L697" t="s">
        <v>147</v>
      </c>
      <c r="M697" t="s">
        <v>2421</v>
      </c>
      <c r="N697" t="s">
        <v>2422</v>
      </c>
      <c r="O697" t="s">
        <v>2423</v>
      </c>
      <c r="P697" t="s">
        <v>2424</v>
      </c>
    </row>
    <row r="698" spans="1:16" x14ac:dyDescent="0.35">
      <c r="A698" t="s">
        <v>94</v>
      </c>
      <c r="B698">
        <v>1322845165</v>
      </c>
      <c r="C698" t="s">
        <v>18</v>
      </c>
      <c r="D698" t="s">
        <v>20</v>
      </c>
      <c r="E698" s="29">
        <v>46207</v>
      </c>
      <c r="F698" t="s">
        <v>5</v>
      </c>
      <c r="G698" s="28">
        <v>0.65208333333333335</v>
      </c>
      <c r="H698" s="28">
        <v>0.70763888888888893</v>
      </c>
      <c r="I698">
        <v>1</v>
      </c>
      <c r="J698" t="s">
        <v>146</v>
      </c>
      <c r="K698">
        <v>4</v>
      </c>
      <c r="L698" t="s">
        <v>147</v>
      </c>
      <c r="M698" t="s">
        <v>2417</v>
      </c>
      <c r="N698" t="s">
        <v>2434</v>
      </c>
      <c r="O698" t="s">
        <v>2435</v>
      </c>
      <c r="P698" t="s">
        <v>2436</v>
      </c>
    </row>
    <row r="699" spans="1:16" x14ac:dyDescent="0.35">
      <c r="A699" t="s">
        <v>94</v>
      </c>
      <c r="B699">
        <v>1322845165</v>
      </c>
      <c r="C699" t="s">
        <v>18</v>
      </c>
      <c r="D699" t="s">
        <v>20</v>
      </c>
      <c r="E699" s="29">
        <v>46207</v>
      </c>
      <c r="F699" t="s">
        <v>5</v>
      </c>
      <c r="G699" s="28">
        <v>0.71458333333333335</v>
      </c>
      <c r="H699" s="28">
        <v>0.71458333333333335</v>
      </c>
      <c r="I699">
        <v>0</v>
      </c>
      <c r="J699" t="s">
        <v>174</v>
      </c>
      <c r="K699">
        <v>0</v>
      </c>
      <c r="L699" t="s">
        <v>2398</v>
      </c>
      <c r="M699" t="s">
        <v>2437</v>
      </c>
      <c r="N699" t="s">
        <v>2438</v>
      </c>
      <c r="O699" t="s">
        <v>2439</v>
      </c>
      <c r="P699" t="s">
        <v>2440</v>
      </c>
    </row>
    <row r="700" spans="1:16" x14ac:dyDescent="0.35">
      <c r="A700" t="s">
        <v>94</v>
      </c>
      <c r="B700">
        <v>1322845165</v>
      </c>
      <c r="C700" t="s">
        <v>18</v>
      </c>
      <c r="D700" t="s">
        <v>20</v>
      </c>
      <c r="E700" s="29">
        <v>46207</v>
      </c>
      <c r="F700" t="s">
        <v>5</v>
      </c>
      <c r="G700" s="28">
        <v>0.72152777777777777</v>
      </c>
      <c r="H700" s="28">
        <v>0.72847222222222219</v>
      </c>
      <c r="I700">
        <v>0</v>
      </c>
      <c r="J700" t="s">
        <v>146</v>
      </c>
      <c r="K700">
        <v>0</v>
      </c>
      <c r="L700" t="s">
        <v>147</v>
      </c>
      <c r="M700" t="s">
        <v>2417</v>
      </c>
      <c r="N700" t="s">
        <v>2434</v>
      </c>
      <c r="O700" t="s">
        <v>2435</v>
      </c>
      <c r="P700" t="s">
        <v>2436</v>
      </c>
    </row>
    <row r="701" spans="1:16" x14ac:dyDescent="0.35">
      <c r="A701" t="s">
        <v>94</v>
      </c>
      <c r="B701">
        <v>1322845165</v>
      </c>
      <c r="C701" t="s">
        <v>18</v>
      </c>
      <c r="D701" t="s">
        <v>20</v>
      </c>
      <c r="E701" s="29">
        <v>46207</v>
      </c>
      <c r="F701" t="s">
        <v>5</v>
      </c>
      <c r="G701" s="28">
        <v>0.73541666666666672</v>
      </c>
      <c r="H701" s="28">
        <v>0.73541666666666672</v>
      </c>
      <c r="I701">
        <v>0</v>
      </c>
      <c r="J701" t="s">
        <v>174</v>
      </c>
      <c r="K701">
        <v>0</v>
      </c>
      <c r="L701" t="s">
        <v>1188</v>
      </c>
      <c r="M701" t="s">
        <v>2441</v>
      </c>
      <c r="N701" t="s">
        <v>2442</v>
      </c>
      <c r="O701" t="s">
        <v>2443</v>
      </c>
      <c r="P701" t="s">
        <v>2444</v>
      </c>
    </row>
    <row r="702" spans="1:16" x14ac:dyDescent="0.35">
      <c r="A702" t="s">
        <v>94</v>
      </c>
      <c r="B702">
        <v>1322845165</v>
      </c>
      <c r="C702" t="s">
        <v>18</v>
      </c>
      <c r="D702" t="s">
        <v>20</v>
      </c>
      <c r="E702" s="29">
        <v>46207</v>
      </c>
      <c r="F702" t="s">
        <v>5</v>
      </c>
      <c r="G702" s="28">
        <v>0.74236111111111114</v>
      </c>
      <c r="H702" s="28">
        <v>0.74236111111111114</v>
      </c>
      <c r="I702">
        <v>0</v>
      </c>
      <c r="J702" t="s">
        <v>174</v>
      </c>
      <c r="K702">
        <v>0</v>
      </c>
      <c r="L702" t="s">
        <v>579</v>
      </c>
      <c r="M702" t="s">
        <v>2445</v>
      </c>
      <c r="N702" t="s">
        <v>2446</v>
      </c>
      <c r="O702" t="s">
        <v>2447</v>
      </c>
      <c r="P702" t="s">
        <v>2448</v>
      </c>
    </row>
    <row r="703" spans="1:16" x14ac:dyDescent="0.35">
      <c r="A703" t="s">
        <v>94</v>
      </c>
      <c r="B703">
        <v>1322845165</v>
      </c>
      <c r="C703" t="s">
        <v>18</v>
      </c>
      <c r="D703" t="s">
        <v>20</v>
      </c>
      <c r="E703" s="29">
        <v>46207</v>
      </c>
      <c r="F703" t="s">
        <v>5</v>
      </c>
      <c r="G703" s="28">
        <v>0.74930555555555556</v>
      </c>
      <c r="H703" s="28">
        <v>0.75624999999999998</v>
      </c>
      <c r="I703">
        <v>0</v>
      </c>
      <c r="J703" t="s">
        <v>146</v>
      </c>
      <c r="K703">
        <v>0</v>
      </c>
      <c r="L703" t="s">
        <v>147</v>
      </c>
      <c r="M703" t="s">
        <v>2449</v>
      </c>
      <c r="N703" t="s">
        <v>2450</v>
      </c>
      <c r="O703" t="s">
        <v>2451</v>
      </c>
      <c r="P703" t="s">
        <v>2452</v>
      </c>
    </row>
    <row r="704" spans="1:16" x14ac:dyDescent="0.35">
      <c r="A704" t="s">
        <v>94</v>
      </c>
      <c r="B704">
        <v>1322845165</v>
      </c>
      <c r="C704" t="s">
        <v>18</v>
      </c>
      <c r="D704" t="s">
        <v>20</v>
      </c>
      <c r="E704" s="29">
        <v>46207</v>
      </c>
      <c r="F704" t="s">
        <v>5</v>
      </c>
      <c r="G704" s="28">
        <v>0.7631944444444444</v>
      </c>
      <c r="H704" s="28">
        <v>0.7631944444444444</v>
      </c>
      <c r="I704">
        <v>0</v>
      </c>
      <c r="J704" t="s">
        <v>174</v>
      </c>
      <c r="K704">
        <v>0</v>
      </c>
      <c r="L704" t="s">
        <v>579</v>
      </c>
      <c r="M704" t="s">
        <v>2445</v>
      </c>
      <c r="N704" t="s">
        <v>2446</v>
      </c>
      <c r="O704" t="s">
        <v>2447</v>
      </c>
      <c r="P704" t="s">
        <v>2448</v>
      </c>
    </row>
    <row r="705" spans="1:16" x14ac:dyDescent="0.35">
      <c r="A705" t="s">
        <v>94</v>
      </c>
      <c r="B705">
        <v>1322845165</v>
      </c>
      <c r="C705" t="s">
        <v>18</v>
      </c>
      <c r="D705" t="s">
        <v>20</v>
      </c>
      <c r="E705" s="29">
        <v>46207</v>
      </c>
      <c r="F705" t="s">
        <v>5</v>
      </c>
      <c r="G705" s="28">
        <v>0.77013888888888893</v>
      </c>
      <c r="H705" s="28">
        <v>0.77013888888888893</v>
      </c>
      <c r="I705">
        <v>0</v>
      </c>
      <c r="J705" t="s">
        <v>174</v>
      </c>
      <c r="K705">
        <v>0</v>
      </c>
      <c r="L705" t="s">
        <v>579</v>
      </c>
      <c r="M705" t="s">
        <v>2449</v>
      </c>
      <c r="N705" t="s">
        <v>2450</v>
      </c>
      <c r="O705" t="s">
        <v>2451</v>
      </c>
      <c r="P705" t="s">
        <v>2452</v>
      </c>
    </row>
    <row r="706" spans="1:16" x14ac:dyDescent="0.35">
      <c r="A706" t="s">
        <v>94</v>
      </c>
      <c r="B706">
        <v>1322845165</v>
      </c>
      <c r="C706" t="s">
        <v>18</v>
      </c>
      <c r="D706" t="s">
        <v>20</v>
      </c>
      <c r="E706" s="29">
        <v>46207</v>
      </c>
      <c r="F706" t="s">
        <v>5</v>
      </c>
      <c r="G706" s="28">
        <v>0.77708333333333335</v>
      </c>
      <c r="H706" s="28">
        <v>0.81874999999999998</v>
      </c>
      <c r="I706">
        <v>1</v>
      </c>
      <c r="J706" t="s">
        <v>146</v>
      </c>
      <c r="K706">
        <v>3</v>
      </c>
      <c r="L706" t="s">
        <v>147</v>
      </c>
      <c r="M706" t="s">
        <v>2445</v>
      </c>
      <c r="N706" t="s">
        <v>2446</v>
      </c>
      <c r="O706" t="s">
        <v>2447</v>
      </c>
      <c r="P706" t="s">
        <v>2448</v>
      </c>
    </row>
    <row r="707" spans="1:16" x14ac:dyDescent="0.35">
      <c r="A707" t="s">
        <v>94</v>
      </c>
      <c r="B707">
        <v>1322845165</v>
      </c>
      <c r="C707" t="s">
        <v>18</v>
      </c>
      <c r="D707" t="s">
        <v>20</v>
      </c>
      <c r="E707" s="29">
        <v>46208</v>
      </c>
      <c r="F707" t="s">
        <v>6</v>
      </c>
      <c r="G707" s="28">
        <v>0.38124999999999998</v>
      </c>
      <c r="H707" s="28">
        <v>0.38124999999999998</v>
      </c>
      <c r="I707">
        <v>0</v>
      </c>
      <c r="J707" t="s">
        <v>174</v>
      </c>
      <c r="K707">
        <v>0</v>
      </c>
      <c r="L707" t="s">
        <v>2128</v>
      </c>
      <c r="M707" t="s">
        <v>2253</v>
      </c>
      <c r="N707" t="s">
        <v>2254</v>
      </c>
      <c r="O707" t="s">
        <v>2255</v>
      </c>
      <c r="P707" t="s">
        <v>2256</v>
      </c>
    </row>
    <row r="708" spans="1:16" x14ac:dyDescent="0.35">
      <c r="A708" t="s">
        <v>94</v>
      </c>
      <c r="B708">
        <v>1322845165</v>
      </c>
      <c r="C708" t="s">
        <v>18</v>
      </c>
      <c r="D708" t="s">
        <v>20</v>
      </c>
      <c r="E708" s="29">
        <v>46208</v>
      </c>
      <c r="F708" t="s">
        <v>6</v>
      </c>
      <c r="G708" s="28">
        <v>0.38819444444444445</v>
      </c>
      <c r="H708" s="28">
        <v>0.38819444444444445</v>
      </c>
      <c r="I708">
        <v>0</v>
      </c>
      <c r="J708" t="s">
        <v>174</v>
      </c>
      <c r="K708">
        <v>0</v>
      </c>
      <c r="L708" t="s">
        <v>2453</v>
      </c>
      <c r="M708" t="s">
        <v>2275</v>
      </c>
      <c r="N708" t="s">
        <v>2276</v>
      </c>
      <c r="O708" t="s">
        <v>2277</v>
      </c>
      <c r="P708" t="s">
        <v>2278</v>
      </c>
    </row>
    <row r="709" spans="1:16" x14ac:dyDescent="0.35">
      <c r="A709" t="s">
        <v>94</v>
      </c>
      <c r="B709">
        <v>1322845165</v>
      </c>
      <c r="C709" t="s">
        <v>18</v>
      </c>
      <c r="D709" t="s">
        <v>20</v>
      </c>
      <c r="E709" s="29">
        <v>46208</v>
      </c>
      <c r="F709" t="s">
        <v>6</v>
      </c>
      <c r="G709" s="28">
        <v>0.39513888888888887</v>
      </c>
      <c r="H709" s="28">
        <v>0.40208333333333335</v>
      </c>
      <c r="I709">
        <v>0</v>
      </c>
      <c r="J709" t="s">
        <v>146</v>
      </c>
      <c r="K709">
        <v>1</v>
      </c>
      <c r="L709" t="s">
        <v>147</v>
      </c>
      <c r="M709" t="s">
        <v>2454</v>
      </c>
      <c r="N709" t="s">
        <v>2455</v>
      </c>
      <c r="O709" t="s">
        <v>435</v>
      </c>
      <c r="P709" t="s">
        <v>2456</v>
      </c>
    </row>
    <row r="710" spans="1:16" x14ac:dyDescent="0.35">
      <c r="A710" t="s">
        <v>94</v>
      </c>
      <c r="B710">
        <v>1322845165</v>
      </c>
      <c r="C710" t="s">
        <v>18</v>
      </c>
      <c r="D710" t="s">
        <v>20</v>
      </c>
      <c r="E710" s="29">
        <v>46208</v>
      </c>
      <c r="F710" t="s">
        <v>6</v>
      </c>
      <c r="G710" s="28">
        <v>0.40902777777777777</v>
      </c>
      <c r="H710" s="28">
        <v>0.41597222222222224</v>
      </c>
      <c r="I710">
        <v>0</v>
      </c>
      <c r="J710" t="s">
        <v>146</v>
      </c>
      <c r="K710">
        <v>1</v>
      </c>
      <c r="L710" t="s">
        <v>147</v>
      </c>
      <c r="M710" t="s">
        <v>2457</v>
      </c>
      <c r="N710" t="s">
        <v>2458</v>
      </c>
      <c r="O710" t="s">
        <v>2459</v>
      </c>
      <c r="P710" t="s">
        <v>2460</v>
      </c>
    </row>
    <row r="711" spans="1:16" x14ac:dyDescent="0.35">
      <c r="A711" t="s">
        <v>94</v>
      </c>
      <c r="B711">
        <v>1322845165</v>
      </c>
      <c r="C711" t="s">
        <v>18</v>
      </c>
      <c r="D711" t="s">
        <v>20</v>
      </c>
      <c r="E711" s="29">
        <v>46208</v>
      </c>
      <c r="F711" t="s">
        <v>6</v>
      </c>
      <c r="G711" s="28">
        <v>0.42291666666666666</v>
      </c>
      <c r="H711" s="28">
        <v>0.42291666666666666</v>
      </c>
      <c r="I711">
        <v>0</v>
      </c>
      <c r="J711" t="s">
        <v>174</v>
      </c>
      <c r="K711">
        <v>0</v>
      </c>
      <c r="L711" t="s">
        <v>2416</v>
      </c>
      <c r="M711" t="s">
        <v>2404</v>
      </c>
      <c r="N711" t="s">
        <v>2405</v>
      </c>
      <c r="O711" t="s">
        <v>2406</v>
      </c>
      <c r="P711" t="s">
        <v>2407</v>
      </c>
    </row>
    <row r="712" spans="1:16" x14ac:dyDescent="0.35">
      <c r="A712" t="s">
        <v>94</v>
      </c>
      <c r="B712">
        <v>1322845165</v>
      </c>
      <c r="C712" t="s">
        <v>18</v>
      </c>
      <c r="D712" t="s">
        <v>20</v>
      </c>
      <c r="E712" s="29">
        <v>46208</v>
      </c>
      <c r="F712" t="s">
        <v>6</v>
      </c>
      <c r="G712" s="28">
        <v>0.42986111111111114</v>
      </c>
      <c r="H712" s="28">
        <v>0.43680555555555556</v>
      </c>
      <c r="I712">
        <v>0</v>
      </c>
      <c r="J712" t="s">
        <v>146</v>
      </c>
      <c r="K712">
        <v>0</v>
      </c>
      <c r="L712" t="s">
        <v>147</v>
      </c>
      <c r="M712" t="s">
        <v>2408</v>
      </c>
      <c r="N712" t="s">
        <v>2409</v>
      </c>
      <c r="O712" t="s">
        <v>2410</v>
      </c>
      <c r="P712" t="s">
        <v>2411</v>
      </c>
    </row>
    <row r="713" spans="1:16" x14ac:dyDescent="0.35">
      <c r="A713" t="s">
        <v>94</v>
      </c>
      <c r="B713">
        <v>1322845165</v>
      </c>
      <c r="C713" t="s">
        <v>18</v>
      </c>
      <c r="D713" t="s">
        <v>20</v>
      </c>
      <c r="E713" s="29">
        <v>46208</v>
      </c>
      <c r="F713" t="s">
        <v>6</v>
      </c>
      <c r="G713" s="28">
        <v>0.44374999999999998</v>
      </c>
      <c r="H713" s="28">
        <v>0.44374999999999998</v>
      </c>
      <c r="I713">
        <v>0</v>
      </c>
      <c r="J713" t="s">
        <v>174</v>
      </c>
      <c r="K713">
        <v>0</v>
      </c>
      <c r="L713" t="s">
        <v>1201</v>
      </c>
      <c r="M713" t="s">
        <v>2461</v>
      </c>
      <c r="N713" t="s">
        <v>2462</v>
      </c>
      <c r="O713" t="s">
        <v>2463</v>
      </c>
      <c r="P713" t="s">
        <v>2464</v>
      </c>
    </row>
    <row r="714" spans="1:16" x14ac:dyDescent="0.35">
      <c r="A714" t="s">
        <v>94</v>
      </c>
      <c r="B714">
        <v>1322845165</v>
      </c>
      <c r="C714" t="s">
        <v>18</v>
      </c>
      <c r="D714" t="s">
        <v>20</v>
      </c>
      <c r="E714" s="29">
        <v>46208</v>
      </c>
      <c r="F714" t="s">
        <v>6</v>
      </c>
      <c r="G714" s="28">
        <v>0.45069444444444445</v>
      </c>
      <c r="H714" s="28">
        <v>0.45069444444444445</v>
      </c>
      <c r="I714">
        <v>0</v>
      </c>
      <c r="J714" t="s">
        <v>174</v>
      </c>
      <c r="K714">
        <v>0</v>
      </c>
      <c r="L714" t="s">
        <v>2465</v>
      </c>
      <c r="M714" t="s">
        <v>2408</v>
      </c>
      <c r="N714" t="s">
        <v>2431</v>
      </c>
      <c r="O714" t="s">
        <v>2432</v>
      </c>
      <c r="P714" t="s">
        <v>2433</v>
      </c>
    </row>
    <row r="715" spans="1:16" x14ac:dyDescent="0.35">
      <c r="A715" t="s">
        <v>94</v>
      </c>
      <c r="B715">
        <v>1322845165</v>
      </c>
      <c r="C715" t="s">
        <v>18</v>
      </c>
      <c r="D715" t="s">
        <v>20</v>
      </c>
      <c r="E715" s="29">
        <v>46208</v>
      </c>
      <c r="F715" t="s">
        <v>6</v>
      </c>
      <c r="G715" s="28">
        <v>0.45763888888888887</v>
      </c>
      <c r="H715" s="28">
        <v>0.45763888888888887</v>
      </c>
      <c r="I715">
        <v>0</v>
      </c>
      <c r="J715" t="s">
        <v>174</v>
      </c>
      <c r="K715">
        <v>0</v>
      </c>
      <c r="L715" t="s">
        <v>2466</v>
      </c>
      <c r="M715" t="s">
        <v>2467</v>
      </c>
      <c r="N715" t="s">
        <v>2468</v>
      </c>
      <c r="O715" t="s">
        <v>2469</v>
      </c>
      <c r="P715" t="s">
        <v>2470</v>
      </c>
    </row>
    <row r="716" spans="1:16" x14ac:dyDescent="0.35">
      <c r="A716" t="s">
        <v>94</v>
      </c>
      <c r="B716">
        <v>1322845165</v>
      </c>
      <c r="C716" t="s">
        <v>18</v>
      </c>
      <c r="D716" t="s">
        <v>20</v>
      </c>
      <c r="E716" s="29">
        <v>46208</v>
      </c>
      <c r="F716" t="s">
        <v>6</v>
      </c>
      <c r="G716" s="28">
        <v>0.46458333333333335</v>
      </c>
      <c r="H716" s="28">
        <v>0.46458333333333335</v>
      </c>
      <c r="I716">
        <v>0</v>
      </c>
      <c r="J716" t="s">
        <v>174</v>
      </c>
      <c r="K716">
        <v>0</v>
      </c>
      <c r="L716" t="s">
        <v>2471</v>
      </c>
      <c r="M716" t="s">
        <v>2472</v>
      </c>
      <c r="N716" t="s">
        <v>2473</v>
      </c>
      <c r="O716" t="s">
        <v>2474</v>
      </c>
      <c r="P716" t="s">
        <v>2475</v>
      </c>
    </row>
    <row r="717" spans="1:16" x14ac:dyDescent="0.35">
      <c r="A717" t="s">
        <v>94</v>
      </c>
      <c r="B717">
        <v>1322845165</v>
      </c>
      <c r="C717" t="s">
        <v>18</v>
      </c>
      <c r="D717" t="s">
        <v>20</v>
      </c>
      <c r="E717" s="29">
        <v>46208</v>
      </c>
      <c r="F717" t="s">
        <v>6</v>
      </c>
      <c r="G717" s="28">
        <v>0.47847222222222224</v>
      </c>
      <c r="H717" s="28">
        <v>0.47847222222222224</v>
      </c>
      <c r="I717">
        <v>0</v>
      </c>
      <c r="J717" t="s">
        <v>174</v>
      </c>
      <c r="K717">
        <v>0</v>
      </c>
      <c r="L717" t="s">
        <v>1037</v>
      </c>
      <c r="M717" t="s">
        <v>2476</v>
      </c>
      <c r="N717" t="s">
        <v>2477</v>
      </c>
      <c r="O717" t="s">
        <v>2478</v>
      </c>
      <c r="P717" t="s">
        <v>2479</v>
      </c>
    </row>
    <row r="718" spans="1:16" x14ac:dyDescent="0.35">
      <c r="A718" t="s">
        <v>94</v>
      </c>
      <c r="B718">
        <v>1322845165</v>
      </c>
      <c r="C718" t="s">
        <v>18</v>
      </c>
      <c r="D718" t="s">
        <v>20</v>
      </c>
      <c r="E718" s="29">
        <v>46208</v>
      </c>
      <c r="F718" t="s">
        <v>6</v>
      </c>
      <c r="G718" s="28">
        <v>0.48541666666666666</v>
      </c>
      <c r="H718" s="28">
        <v>0.50624999999999998</v>
      </c>
      <c r="I718">
        <v>0</v>
      </c>
      <c r="J718" t="s">
        <v>146</v>
      </c>
      <c r="K718">
        <v>2</v>
      </c>
      <c r="L718" t="s">
        <v>147</v>
      </c>
      <c r="M718" t="s">
        <v>2480</v>
      </c>
      <c r="N718" t="s">
        <v>2481</v>
      </c>
      <c r="O718" t="s">
        <v>2482</v>
      </c>
      <c r="P718" t="s">
        <v>2483</v>
      </c>
    </row>
    <row r="719" spans="1:16" x14ac:dyDescent="0.35">
      <c r="A719" t="s">
        <v>94</v>
      </c>
      <c r="B719">
        <v>1322845165</v>
      </c>
      <c r="C719" t="s">
        <v>18</v>
      </c>
      <c r="D719" t="s">
        <v>20</v>
      </c>
      <c r="E719" s="29">
        <v>46208</v>
      </c>
      <c r="F719" t="s">
        <v>6</v>
      </c>
      <c r="G719" s="28">
        <v>0.5131944444444444</v>
      </c>
      <c r="H719" s="28">
        <v>0.5131944444444444</v>
      </c>
      <c r="I719">
        <v>0</v>
      </c>
      <c r="J719" t="s">
        <v>174</v>
      </c>
      <c r="K719">
        <v>0</v>
      </c>
      <c r="L719" t="s">
        <v>579</v>
      </c>
      <c r="M719" t="s">
        <v>2417</v>
      </c>
      <c r="N719" t="s">
        <v>2484</v>
      </c>
      <c r="O719" t="s">
        <v>2485</v>
      </c>
      <c r="P719" t="s">
        <v>2486</v>
      </c>
    </row>
    <row r="720" spans="1:16" x14ac:dyDescent="0.35">
      <c r="A720" t="s">
        <v>94</v>
      </c>
      <c r="B720">
        <v>1322845165</v>
      </c>
      <c r="C720" t="s">
        <v>18</v>
      </c>
      <c r="D720" t="s">
        <v>20</v>
      </c>
      <c r="E720" s="29">
        <v>46208</v>
      </c>
      <c r="F720" t="s">
        <v>6</v>
      </c>
      <c r="G720" s="28">
        <v>0.52013888888888893</v>
      </c>
      <c r="H720" s="28">
        <v>0.54097222222222219</v>
      </c>
      <c r="I720">
        <v>0</v>
      </c>
      <c r="J720" t="s">
        <v>146</v>
      </c>
      <c r="K720">
        <v>1</v>
      </c>
      <c r="L720" t="s">
        <v>147</v>
      </c>
      <c r="M720" t="s">
        <v>2487</v>
      </c>
      <c r="N720" t="s">
        <v>2488</v>
      </c>
      <c r="O720" t="s">
        <v>2489</v>
      </c>
      <c r="P720" t="s">
        <v>2490</v>
      </c>
    </row>
    <row r="721" spans="1:16" x14ac:dyDescent="0.35">
      <c r="A721" t="s">
        <v>94</v>
      </c>
      <c r="B721">
        <v>1322845165</v>
      </c>
      <c r="C721" t="s">
        <v>18</v>
      </c>
      <c r="D721" t="s">
        <v>20</v>
      </c>
      <c r="E721" s="29">
        <v>46208</v>
      </c>
      <c r="F721" t="s">
        <v>6</v>
      </c>
      <c r="G721" s="28">
        <v>0.54791666666666672</v>
      </c>
      <c r="H721" s="28">
        <v>0.55486111111111114</v>
      </c>
      <c r="I721">
        <v>0</v>
      </c>
      <c r="J721" t="s">
        <v>146</v>
      </c>
      <c r="K721">
        <v>0</v>
      </c>
      <c r="L721" t="s">
        <v>147</v>
      </c>
      <c r="M721" t="s">
        <v>2417</v>
      </c>
      <c r="N721" t="s">
        <v>2491</v>
      </c>
      <c r="O721" t="s">
        <v>2492</v>
      </c>
      <c r="P721" t="s">
        <v>2493</v>
      </c>
    </row>
    <row r="722" spans="1:16" x14ac:dyDescent="0.35">
      <c r="A722" t="s">
        <v>94</v>
      </c>
      <c r="B722">
        <v>1322845165</v>
      </c>
      <c r="C722" t="s">
        <v>18</v>
      </c>
      <c r="D722" t="s">
        <v>20</v>
      </c>
      <c r="E722" s="29">
        <v>46208</v>
      </c>
      <c r="F722" t="s">
        <v>6</v>
      </c>
      <c r="G722" s="28">
        <v>0.56180555555555556</v>
      </c>
      <c r="H722" s="28">
        <v>0.56874999999999998</v>
      </c>
      <c r="I722">
        <v>0</v>
      </c>
      <c r="J722" t="s">
        <v>146</v>
      </c>
      <c r="K722">
        <v>0</v>
      </c>
      <c r="L722" t="s">
        <v>147</v>
      </c>
      <c r="M722" t="s">
        <v>2472</v>
      </c>
      <c r="N722" t="s">
        <v>2473</v>
      </c>
      <c r="O722" t="s">
        <v>2474</v>
      </c>
      <c r="P722" t="s">
        <v>2475</v>
      </c>
    </row>
    <row r="723" spans="1:16" x14ac:dyDescent="0.35">
      <c r="A723" t="s">
        <v>94</v>
      </c>
      <c r="B723">
        <v>1322845165</v>
      </c>
      <c r="C723" t="s">
        <v>18</v>
      </c>
      <c r="D723" t="s">
        <v>20</v>
      </c>
      <c r="E723" s="29">
        <v>46208</v>
      </c>
      <c r="F723" t="s">
        <v>6</v>
      </c>
      <c r="G723" s="28">
        <v>0.5756944444444444</v>
      </c>
      <c r="H723" s="28">
        <v>0.58958333333333335</v>
      </c>
      <c r="I723">
        <v>0</v>
      </c>
      <c r="J723" t="s">
        <v>146</v>
      </c>
      <c r="K723">
        <v>1</v>
      </c>
      <c r="L723" t="s">
        <v>147</v>
      </c>
      <c r="M723" t="s">
        <v>2487</v>
      </c>
      <c r="N723" t="s">
        <v>2488</v>
      </c>
      <c r="O723" t="s">
        <v>2489</v>
      </c>
      <c r="P723" t="s">
        <v>2490</v>
      </c>
    </row>
    <row r="724" spans="1:16" x14ac:dyDescent="0.35">
      <c r="A724" t="s">
        <v>94</v>
      </c>
      <c r="B724">
        <v>1322845165</v>
      </c>
      <c r="C724" t="s">
        <v>18</v>
      </c>
      <c r="D724" t="s">
        <v>20</v>
      </c>
      <c r="E724" s="29">
        <v>46208</v>
      </c>
      <c r="F724" t="s">
        <v>6</v>
      </c>
      <c r="G724" s="28">
        <v>0.59652777777777777</v>
      </c>
      <c r="H724" s="28">
        <v>0.6381944444444444</v>
      </c>
      <c r="I724">
        <v>1</v>
      </c>
      <c r="J724" t="s">
        <v>146</v>
      </c>
      <c r="K724">
        <v>3</v>
      </c>
      <c r="L724" t="s">
        <v>147</v>
      </c>
      <c r="M724" t="s">
        <v>2417</v>
      </c>
      <c r="N724" t="s">
        <v>2494</v>
      </c>
      <c r="O724" t="s">
        <v>2495</v>
      </c>
      <c r="P724" t="s">
        <v>2496</v>
      </c>
    </row>
    <row r="725" spans="1:16" x14ac:dyDescent="0.35">
      <c r="A725" t="s">
        <v>94</v>
      </c>
      <c r="B725">
        <v>1322845165</v>
      </c>
      <c r="C725" t="s">
        <v>18</v>
      </c>
      <c r="D725" t="s">
        <v>20</v>
      </c>
      <c r="E725" s="29">
        <v>46208</v>
      </c>
      <c r="F725" t="s">
        <v>6</v>
      </c>
      <c r="G725" s="28">
        <v>0.64513888888888893</v>
      </c>
      <c r="H725" s="28">
        <v>0.65208333333333335</v>
      </c>
      <c r="I725">
        <v>0</v>
      </c>
      <c r="J725" t="s">
        <v>146</v>
      </c>
      <c r="K725">
        <v>0</v>
      </c>
      <c r="L725" t="s">
        <v>147</v>
      </c>
      <c r="M725" t="s">
        <v>2497</v>
      </c>
      <c r="N725" t="s">
        <v>2498</v>
      </c>
      <c r="O725" t="s">
        <v>2499</v>
      </c>
      <c r="P725" t="s">
        <v>2500</v>
      </c>
    </row>
    <row r="726" spans="1:16" x14ac:dyDescent="0.35">
      <c r="A726" t="s">
        <v>94</v>
      </c>
      <c r="B726">
        <v>1322845165</v>
      </c>
      <c r="C726" t="s">
        <v>18</v>
      </c>
      <c r="D726" t="s">
        <v>20</v>
      </c>
      <c r="E726" s="29">
        <v>46208</v>
      </c>
      <c r="F726" t="s">
        <v>6</v>
      </c>
      <c r="G726" s="28">
        <v>0.65902777777777777</v>
      </c>
      <c r="H726" s="28">
        <v>0.66597222222222219</v>
      </c>
      <c r="I726">
        <v>0</v>
      </c>
      <c r="J726" t="s">
        <v>146</v>
      </c>
      <c r="K726">
        <v>0</v>
      </c>
      <c r="L726" t="s">
        <v>147</v>
      </c>
      <c r="M726" t="s">
        <v>2501</v>
      </c>
      <c r="N726" t="s">
        <v>2502</v>
      </c>
      <c r="O726" t="s">
        <v>2503</v>
      </c>
      <c r="P726" t="s">
        <v>2504</v>
      </c>
    </row>
    <row r="727" spans="1:16" x14ac:dyDescent="0.35">
      <c r="A727" t="s">
        <v>94</v>
      </c>
      <c r="B727">
        <v>1322845165</v>
      </c>
      <c r="C727" t="s">
        <v>18</v>
      </c>
      <c r="D727" t="s">
        <v>20</v>
      </c>
      <c r="E727" s="29">
        <v>46208</v>
      </c>
      <c r="F727" t="s">
        <v>6</v>
      </c>
      <c r="G727" s="28">
        <v>0.67291666666666672</v>
      </c>
      <c r="H727" s="28">
        <v>0.67986111111111114</v>
      </c>
      <c r="I727">
        <v>0</v>
      </c>
      <c r="J727" t="s">
        <v>146</v>
      </c>
      <c r="K727">
        <v>0</v>
      </c>
      <c r="L727" t="s">
        <v>147</v>
      </c>
      <c r="M727" t="s">
        <v>2497</v>
      </c>
      <c r="N727" t="s">
        <v>2498</v>
      </c>
      <c r="O727" t="s">
        <v>2499</v>
      </c>
      <c r="P727" t="s">
        <v>2500</v>
      </c>
    </row>
    <row r="728" spans="1:16" x14ac:dyDescent="0.35">
      <c r="A728" t="s">
        <v>94</v>
      </c>
      <c r="B728">
        <v>1322845165</v>
      </c>
      <c r="C728" t="s">
        <v>18</v>
      </c>
      <c r="D728" t="s">
        <v>20</v>
      </c>
      <c r="E728" s="29">
        <v>46208</v>
      </c>
      <c r="F728" t="s">
        <v>6</v>
      </c>
      <c r="G728" s="28">
        <v>0.68680555555555556</v>
      </c>
      <c r="H728" s="28">
        <v>0.69374999999999998</v>
      </c>
      <c r="I728">
        <v>0</v>
      </c>
      <c r="J728" t="s">
        <v>146</v>
      </c>
      <c r="K728">
        <v>0</v>
      </c>
      <c r="L728" t="s">
        <v>147</v>
      </c>
      <c r="M728" t="s">
        <v>2501</v>
      </c>
      <c r="N728" t="s">
        <v>2502</v>
      </c>
      <c r="O728" t="s">
        <v>2503</v>
      </c>
      <c r="P728" t="s">
        <v>2504</v>
      </c>
    </row>
    <row r="729" spans="1:16" x14ac:dyDescent="0.35">
      <c r="A729" t="s">
        <v>94</v>
      </c>
      <c r="B729">
        <v>1322845165</v>
      </c>
      <c r="C729" t="s">
        <v>18</v>
      </c>
      <c r="D729" t="s">
        <v>20</v>
      </c>
      <c r="E729" s="29">
        <v>46208</v>
      </c>
      <c r="F729" t="s">
        <v>6</v>
      </c>
      <c r="G729" s="28">
        <v>0.7006944444444444</v>
      </c>
      <c r="H729" s="28">
        <v>0.74236111111111114</v>
      </c>
      <c r="I729">
        <v>1</v>
      </c>
      <c r="J729" t="s">
        <v>146</v>
      </c>
      <c r="K729">
        <v>3</v>
      </c>
      <c r="L729" t="s">
        <v>147</v>
      </c>
      <c r="M729" t="s">
        <v>2505</v>
      </c>
      <c r="N729" t="s">
        <v>2506</v>
      </c>
      <c r="O729" t="s">
        <v>2507</v>
      </c>
      <c r="P729" t="s">
        <v>2508</v>
      </c>
    </row>
    <row r="730" spans="1:16" x14ac:dyDescent="0.35">
      <c r="A730" t="s">
        <v>94</v>
      </c>
      <c r="B730">
        <v>1322845165</v>
      </c>
      <c r="C730" t="s">
        <v>18</v>
      </c>
      <c r="D730" t="s">
        <v>20</v>
      </c>
      <c r="E730" s="29">
        <v>46208</v>
      </c>
      <c r="F730" t="s">
        <v>6</v>
      </c>
      <c r="G730" s="28">
        <v>0.74930555555555556</v>
      </c>
      <c r="H730" s="28">
        <v>0.75624999999999998</v>
      </c>
      <c r="I730">
        <v>0</v>
      </c>
      <c r="J730" t="s">
        <v>146</v>
      </c>
      <c r="K730">
        <v>0</v>
      </c>
      <c r="L730" t="s">
        <v>147</v>
      </c>
      <c r="M730" t="s">
        <v>2509</v>
      </c>
      <c r="N730" t="s">
        <v>2510</v>
      </c>
      <c r="O730" t="s">
        <v>2511</v>
      </c>
      <c r="P730" t="s">
        <v>2512</v>
      </c>
    </row>
    <row r="731" spans="1:16" x14ac:dyDescent="0.35">
      <c r="A731" t="s">
        <v>94</v>
      </c>
      <c r="B731">
        <v>1322845165</v>
      </c>
      <c r="C731" t="s">
        <v>18</v>
      </c>
      <c r="D731" t="s">
        <v>20</v>
      </c>
      <c r="E731" s="29">
        <v>46208</v>
      </c>
      <c r="F731" t="s">
        <v>6</v>
      </c>
      <c r="G731" s="28">
        <v>0.7631944444444444</v>
      </c>
      <c r="H731" s="28">
        <v>0.7631944444444444</v>
      </c>
      <c r="I731">
        <v>0</v>
      </c>
      <c r="J731" t="s">
        <v>174</v>
      </c>
      <c r="K731">
        <v>0</v>
      </c>
      <c r="L731" t="s">
        <v>252</v>
      </c>
      <c r="M731" t="s">
        <v>2513</v>
      </c>
      <c r="N731" t="s">
        <v>2514</v>
      </c>
      <c r="O731" t="s">
        <v>2515</v>
      </c>
      <c r="P731" t="s">
        <v>2516</v>
      </c>
    </row>
    <row r="732" spans="1:16" x14ac:dyDescent="0.35">
      <c r="A732" t="s">
        <v>94</v>
      </c>
      <c r="B732">
        <v>1322845165</v>
      </c>
      <c r="C732" t="s">
        <v>18</v>
      </c>
      <c r="D732" t="s">
        <v>20</v>
      </c>
      <c r="E732" s="29">
        <v>46208</v>
      </c>
      <c r="F732" t="s">
        <v>6</v>
      </c>
      <c r="G732" s="28">
        <v>0.77013888888888893</v>
      </c>
      <c r="H732" s="28">
        <v>0.77013888888888893</v>
      </c>
      <c r="I732">
        <v>0</v>
      </c>
      <c r="J732" t="s">
        <v>174</v>
      </c>
      <c r="K732">
        <v>0</v>
      </c>
      <c r="L732" t="s">
        <v>1170</v>
      </c>
      <c r="M732" t="s">
        <v>2517</v>
      </c>
      <c r="N732" t="s">
        <v>2518</v>
      </c>
      <c r="O732" t="s">
        <v>2519</v>
      </c>
      <c r="P732" t="s">
        <v>2520</v>
      </c>
    </row>
    <row r="733" spans="1:16" x14ac:dyDescent="0.35">
      <c r="A733" t="s">
        <v>94</v>
      </c>
      <c r="B733">
        <v>1322845165</v>
      </c>
      <c r="C733" t="s">
        <v>18</v>
      </c>
      <c r="D733" t="s">
        <v>20</v>
      </c>
      <c r="E733" s="29">
        <v>46208</v>
      </c>
      <c r="F733" t="s">
        <v>6</v>
      </c>
      <c r="G733" s="28">
        <v>0.77708333333333335</v>
      </c>
      <c r="H733" s="28">
        <v>0.78402777777777777</v>
      </c>
      <c r="I733">
        <v>0</v>
      </c>
      <c r="J733" t="s">
        <v>146</v>
      </c>
      <c r="K733">
        <v>0</v>
      </c>
      <c r="L733" t="s">
        <v>147</v>
      </c>
      <c r="M733" t="s">
        <v>2521</v>
      </c>
      <c r="N733" t="s">
        <v>2522</v>
      </c>
      <c r="O733" t="s">
        <v>2523</v>
      </c>
      <c r="P733" t="s">
        <v>2524</v>
      </c>
    </row>
    <row r="734" spans="1:16" x14ac:dyDescent="0.35">
      <c r="A734" t="s">
        <v>94</v>
      </c>
      <c r="B734">
        <v>1322845165</v>
      </c>
      <c r="C734" t="s">
        <v>18</v>
      </c>
      <c r="D734" t="s">
        <v>20</v>
      </c>
      <c r="E734" s="29">
        <v>46208</v>
      </c>
      <c r="F734" t="s">
        <v>6</v>
      </c>
      <c r="G734" s="28">
        <v>0.79097222222222219</v>
      </c>
      <c r="H734" s="28">
        <v>0.79791666666666672</v>
      </c>
      <c r="I734">
        <v>0</v>
      </c>
      <c r="J734" t="s">
        <v>146</v>
      </c>
      <c r="K734">
        <v>1</v>
      </c>
      <c r="L734" t="s">
        <v>147</v>
      </c>
      <c r="M734" t="s">
        <v>2525</v>
      </c>
      <c r="N734" t="s">
        <v>2526</v>
      </c>
      <c r="O734" t="s">
        <v>2527</v>
      </c>
      <c r="P734" t="s">
        <v>2528</v>
      </c>
    </row>
    <row r="735" spans="1:16" x14ac:dyDescent="0.35">
      <c r="A735" t="s">
        <v>130</v>
      </c>
      <c r="B735">
        <v>1748464976</v>
      </c>
      <c r="C735" t="s">
        <v>18</v>
      </c>
      <c r="D735" t="s">
        <v>21</v>
      </c>
      <c r="E735" s="29">
        <v>46204</v>
      </c>
      <c r="F735" t="s">
        <v>3</v>
      </c>
      <c r="G735" s="28">
        <v>0.40486111111111112</v>
      </c>
      <c r="H735" s="28">
        <v>0.40486111111111112</v>
      </c>
      <c r="I735">
        <v>0</v>
      </c>
      <c r="J735" t="s">
        <v>174</v>
      </c>
      <c r="K735">
        <v>0</v>
      </c>
      <c r="L735" t="s">
        <v>2529</v>
      </c>
      <c r="M735" t="s">
        <v>580</v>
      </c>
      <c r="N735" t="s">
        <v>581</v>
      </c>
      <c r="O735" t="s">
        <v>582</v>
      </c>
      <c r="P735" t="s">
        <v>2530</v>
      </c>
    </row>
    <row r="736" spans="1:16" x14ac:dyDescent="0.35">
      <c r="A736" t="s">
        <v>130</v>
      </c>
      <c r="B736">
        <v>1748464976</v>
      </c>
      <c r="C736" t="s">
        <v>18</v>
      </c>
      <c r="D736" t="s">
        <v>21</v>
      </c>
      <c r="E736" s="29">
        <v>46204</v>
      </c>
      <c r="F736" t="s">
        <v>3</v>
      </c>
      <c r="G736" s="28">
        <v>0.41180555555555554</v>
      </c>
      <c r="H736" s="28">
        <v>0.41180555555555554</v>
      </c>
      <c r="I736">
        <v>0</v>
      </c>
      <c r="J736" t="s">
        <v>174</v>
      </c>
      <c r="K736">
        <v>0</v>
      </c>
      <c r="L736" t="s">
        <v>1425</v>
      </c>
      <c r="M736" t="s">
        <v>2531</v>
      </c>
      <c r="N736" t="s">
        <v>2532</v>
      </c>
      <c r="O736" t="s">
        <v>2533</v>
      </c>
      <c r="P736" t="s">
        <v>2534</v>
      </c>
    </row>
    <row r="737" spans="1:16" x14ac:dyDescent="0.35">
      <c r="A737" t="s">
        <v>130</v>
      </c>
      <c r="B737">
        <v>1748464976</v>
      </c>
      <c r="C737" t="s">
        <v>18</v>
      </c>
      <c r="D737" t="s">
        <v>21</v>
      </c>
      <c r="E737" s="29">
        <v>46204</v>
      </c>
      <c r="F737" t="s">
        <v>3</v>
      </c>
      <c r="G737" s="28">
        <v>0.41875000000000001</v>
      </c>
      <c r="H737" s="28">
        <v>0.41875000000000001</v>
      </c>
      <c r="I737">
        <v>0</v>
      </c>
      <c r="J737" t="s">
        <v>174</v>
      </c>
      <c r="K737">
        <v>0</v>
      </c>
      <c r="L737" t="s">
        <v>629</v>
      </c>
      <c r="M737" t="s">
        <v>2535</v>
      </c>
      <c r="N737" t="s">
        <v>2536</v>
      </c>
      <c r="O737" t="s">
        <v>2537</v>
      </c>
      <c r="P737" t="s">
        <v>2538</v>
      </c>
    </row>
    <row r="738" spans="1:16" x14ac:dyDescent="0.35">
      <c r="A738" t="s">
        <v>130</v>
      </c>
      <c r="B738">
        <v>1748464976</v>
      </c>
      <c r="C738" t="s">
        <v>18</v>
      </c>
      <c r="D738" t="s">
        <v>21</v>
      </c>
      <c r="E738" s="29">
        <v>46204</v>
      </c>
      <c r="F738" t="s">
        <v>3</v>
      </c>
      <c r="G738" s="28">
        <v>0.42569444444444443</v>
      </c>
      <c r="H738" s="28">
        <v>0.42569444444444443</v>
      </c>
      <c r="I738">
        <v>0</v>
      </c>
      <c r="J738" t="s">
        <v>174</v>
      </c>
      <c r="K738">
        <v>0</v>
      </c>
      <c r="L738" t="s">
        <v>2539</v>
      </c>
      <c r="M738" t="s">
        <v>2540</v>
      </c>
      <c r="N738" t="s">
        <v>2541</v>
      </c>
      <c r="O738" t="s">
        <v>2542</v>
      </c>
      <c r="P738" t="s">
        <v>2543</v>
      </c>
    </row>
    <row r="739" spans="1:16" x14ac:dyDescent="0.35">
      <c r="A739" t="s">
        <v>130</v>
      </c>
      <c r="B739">
        <v>1748464976</v>
      </c>
      <c r="C739" t="s">
        <v>18</v>
      </c>
      <c r="D739" t="s">
        <v>21</v>
      </c>
      <c r="E739" s="29">
        <v>46204</v>
      </c>
      <c r="F739" t="s">
        <v>3</v>
      </c>
      <c r="G739" s="28">
        <v>0.43263888888888891</v>
      </c>
      <c r="H739" s="28">
        <v>0.43263888888888891</v>
      </c>
      <c r="I739">
        <v>0</v>
      </c>
      <c r="J739" t="s">
        <v>174</v>
      </c>
      <c r="K739">
        <v>0</v>
      </c>
      <c r="L739" t="s">
        <v>2544</v>
      </c>
      <c r="M739" t="s">
        <v>2545</v>
      </c>
      <c r="N739" t="s">
        <v>2546</v>
      </c>
      <c r="O739" t="s">
        <v>2547</v>
      </c>
      <c r="P739" t="s">
        <v>2548</v>
      </c>
    </row>
    <row r="740" spans="1:16" x14ac:dyDescent="0.35">
      <c r="A740" t="s">
        <v>130</v>
      </c>
      <c r="B740">
        <v>1748464976</v>
      </c>
      <c r="C740" t="s">
        <v>18</v>
      </c>
      <c r="D740" t="s">
        <v>21</v>
      </c>
      <c r="E740" s="29">
        <v>46204</v>
      </c>
      <c r="F740" t="s">
        <v>3</v>
      </c>
      <c r="G740" s="28">
        <v>0.43958333333333333</v>
      </c>
      <c r="H740" s="28">
        <v>0.43958333333333333</v>
      </c>
      <c r="I740">
        <v>0</v>
      </c>
      <c r="J740" t="s">
        <v>174</v>
      </c>
      <c r="K740">
        <v>0</v>
      </c>
      <c r="L740" t="s">
        <v>1742</v>
      </c>
      <c r="M740" t="s">
        <v>2549</v>
      </c>
      <c r="N740" t="s">
        <v>2550</v>
      </c>
      <c r="O740" t="s">
        <v>2551</v>
      </c>
      <c r="P740" t="s">
        <v>2552</v>
      </c>
    </row>
    <row r="741" spans="1:16" x14ac:dyDescent="0.35">
      <c r="A741" t="s">
        <v>130</v>
      </c>
      <c r="B741">
        <v>1748464976</v>
      </c>
      <c r="C741" t="s">
        <v>18</v>
      </c>
      <c r="D741" t="s">
        <v>21</v>
      </c>
      <c r="E741" s="29">
        <v>46204</v>
      </c>
      <c r="F741" t="s">
        <v>3</v>
      </c>
      <c r="G741" s="28">
        <v>0.45416666666666666</v>
      </c>
      <c r="H741" s="28">
        <v>0.45416666666666666</v>
      </c>
      <c r="I741">
        <v>0</v>
      </c>
      <c r="J741" t="s">
        <v>174</v>
      </c>
      <c r="K741">
        <v>0</v>
      </c>
      <c r="L741" t="s">
        <v>1742</v>
      </c>
      <c r="M741" t="s">
        <v>2553</v>
      </c>
      <c r="N741" t="s">
        <v>2554</v>
      </c>
      <c r="O741" t="s">
        <v>2555</v>
      </c>
      <c r="P741" t="s">
        <v>2556</v>
      </c>
    </row>
    <row r="742" spans="1:16" x14ac:dyDescent="0.35">
      <c r="A742" t="s">
        <v>130</v>
      </c>
      <c r="B742">
        <v>1748464976</v>
      </c>
      <c r="C742" t="s">
        <v>18</v>
      </c>
      <c r="D742" t="s">
        <v>21</v>
      </c>
      <c r="E742" s="29">
        <v>46204</v>
      </c>
      <c r="F742" t="s">
        <v>3</v>
      </c>
      <c r="G742" s="28">
        <v>0.48125000000000001</v>
      </c>
      <c r="H742" s="28">
        <v>0.48125000000000001</v>
      </c>
      <c r="I742">
        <v>0</v>
      </c>
      <c r="J742" t="s">
        <v>174</v>
      </c>
      <c r="K742">
        <v>0</v>
      </c>
      <c r="L742" t="s">
        <v>2557</v>
      </c>
      <c r="M742" t="s">
        <v>2549</v>
      </c>
      <c r="N742" t="s">
        <v>2550</v>
      </c>
      <c r="O742" t="s">
        <v>2551</v>
      </c>
      <c r="P742" t="s">
        <v>2552</v>
      </c>
    </row>
    <row r="743" spans="1:16" x14ac:dyDescent="0.35">
      <c r="A743" t="s">
        <v>130</v>
      </c>
      <c r="B743">
        <v>1748464976</v>
      </c>
      <c r="C743" t="s">
        <v>18</v>
      </c>
      <c r="D743" t="s">
        <v>21</v>
      </c>
      <c r="E743" s="29">
        <v>46204</v>
      </c>
      <c r="F743" t="s">
        <v>3</v>
      </c>
      <c r="G743" s="28">
        <v>0.49444444444444446</v>
      </c>
      <c r="H743" s="28">
        <v>0.49444444444444446</v>
      </c>
      <c r="I743">
        <v>0</v>
      </c>
      <c r="J743" t="s">
        <v>174</v>
      </c>
      <c r="K743">
        <v>0</v>
      </c>
      <c r="L743" t="s">
        <v>2557</v>
      </c>
      <c r="M743" t="s">
        <v>2558</v>
      </c>
      <c r="N743" t="s">
        <v>2559</v>
      </c>
      <c r="O743" t="s">
        <v>2560</v>
      </c>
      <c r="P743" t="s">
        <v>2561</v>
      </c>
    </row>
    <row r="744" spans="1:16" x14ac:dyDescent="0.35">
      <c r="A744" t="s">
        <v>130</v>
      </c>
      <c r="B744">
        <v>1748464976</v>
      </c>
      <c r="C744" t="s">
        <v>18</v>
      </c>
      <c r="D744" t="s">
        <v>21</v>
      </c>
      <c r="E744" s="29">
        <v>46204</v>
      </c>
      <c r="F744" t="s">
        <v>3</v>
      </c>
      <c r="G744" s="28">
        <v>0.50208333333333333</v>
      </c>
      <c r="H744" s="28">
        <v>0.67569444444444449</v>
      </c>
      <c r="I744">
        <v>4</v>
      </c>
      <c r="J744" t="s">
        <v>146</v>
      </c>
      <c r="K744">
        <v>12</v>
      </c>
      <c r="L744" t="s">
        <v>147</v>
      </c>
      <c r="M744" t="s">
        <v>2549</v>
      </c>
      <c r="N744" t="s">
        <v>2550</v>
      </c>
      <c r="O744" t="s">
        <v>2551</v>
      </c>
      <c r="P744" t="s">
        <v>2552</v>
      </c>
    </row>
    <row r="745" spans="1:16" x14ac:dyDescent="0.35">
      <c r="A745" t="s">
        <v>130</v>
      </c>
      <c r="B745">
        <v>1748464976</v>
      </c>
      <c r="C745" t="s">
        <v>18</v>
      </c>
      <c r="D745" t="s">
        <v>21</v>
      </c>
      <c r="E745" s="29">
        <v>46204</v>
      </c>
      <c r="F745" t="s">
        <v>3</v>
      </c>
      <c r="G745" s="28">
        <v>0.68263888888888891</v>
      </c>
      <c r="H745" s="28">
        <v>0.68263888888888891</v>
      </c>
      <c r="I745">
        <v>0</v>
      </c>
      <c r="J745" t="s">
        <v>174</v>
      </c>
      <c r="K745">
        <v>0</v>
      </c>
      <c r="L745" t="s">
        <v>2562</v>
      </c>
      <c r="M745" t="s">
        <v>2563</v>
      </c>
      <c r="N745" t="s">
        <v>2559</v>
      </c>
      <c r="O745" t="s">
        <v>2560</v>
      </c>
      <c r="P745" t="s">
        <v>2561</v>
      </c>
    </row>
    <row r="746" spans="1:16" x14ac:dyDescent="0.35">
      <c r="A746" t="s">
        <v>130</v>
      </c>
      <c r="B746">
        <v>1748464976</v>
      </c>
      <c r="C746" t="s">
        <v>18</v>
      </c>
      <c r="D746" t="s">
        <v>21</v>
      </c>
      <c r="E746" s="29">
        <v>46204</v>
      </c>
      <c r="F746" t="s">
        <v>3</v>
      </c>
      <c r="G746" s="28">
        <v>0.68958333333333333</v>
      </c>
      <c r="H746" s="28">
        <v>0.68958333333333333</v>
      </c>
      <c r="I746">
        <v>0</v>
      </c>
      <c r="J746" t="s">
        <v>174</v>
      </c>
      <c r="K746">
        <v>0</v>
      </c>
      <c r="L746" t="s">
        <v>2564</v>
      </c>
      <c r="M746" t="s">
        <v>2545</v>
      </c>
      <c r="N746" t="s">
        <v>2546</v>
      </c>
      <c r="O746" t="s">
        <v>2547</v>
      </c>
      <c r="P746" t="s">
        <v>2548</v>
      </c>
    </row>
    <row r="747" spans="1:16" x14ac:dyDescent="0.35">
      <c r="A747" t="s">
        <v>130</v>
      </c>
      <c r="B747">
        <v>1748464976</v>
      </c>
      <c r="C747" t="s">
        <v>18</v>
      </c>
      <c r="D747" t="s">
        <v>21</v>
      </c>
      <c r="E747" s="29">
        <v>46204</v>
      </c>
      <c r="F747" t="s">
        <v>3</v>
      </c>
      <c r="G747" s="28">
        <v>0.69652777777777775</v>
      </c>
      <c r="H747" s="28">
        <v>0.69652777777777775</v>
      </c>
      <c r="I747">
        <v>0</v>
      </c>
      <c r="J747" t="s">
        <v>174</v>
      </c>
      <c r="K747">
        <v>0</v>
      </c>
      <c r="L747" t="s">
        <v>2565</v>
      </c>
      <c r="M747" t="s">
        <v>2566</v>
      </c>
      <c r="N747" t="s">
        <v>2567</v>
      </c>
      <c r="O747" t="s">
        <v>2568</v>
      </c>
      <c r="P747" t="s">
        <v>2569</v>
      </c>
    </row>
    <row r="748" spans="1:16" x14ac:dyDescent="0.35">
      <c r="A748" t="s">
        <v>130</v>
      </c>
      <c r="B748">
        <v>1748464976</v>
      </c>
      <c r="C748" t="s">
        <v>18</v>
      </c>
      <c r="D748" t="s">
        <v>21</v>
      </c>
      <c r="E748" s="29">
        <v>46204</v>
      </c>
      <c r="F748" t="s">
        <v>3</v>
      </c>
      <c r="G748" s="28">
        <v>0.70347222222222228</v>
      </c>
      <c r="H748" s="28">
        <v>0.70347222222222228</v>
      </c>
      <c r="I748">
        <v>0</v>
      </c>
      <c r="J748" t="s">
        <v>174</v>
      </c>
      <c r="K748">
        <v>0</v>
      </c>
      <c r="L748" t="s">
        <v>2570</v>
      </c>
      <c r="M748" t="s">
        <v>2571</v>
      </c>
      <c r="N748" t="s">
        <v>2572</v>
      </c>
      <c r="O748" t="s">
        <v>2573</v>
      </c>
      <c r="P748" t="s">
        <v>2151</v>
      </c>
    </row>
    <row r="749" spans="1:16" x14ac:dyDescent="0.35">
      <c r="A749" t="s">
        <v>130</v>
      </c>
      <c r="B749">
        <v>1748464976</v>
      </c>
      <c r="C749" t="s">
        <v>18</v>
      </c>
      <c r="D749" t="s">
        <v>21</v>
      </c>
      <c r="E749" s="29">
        <v>46204</v>
      </c>
      <c r="F749" t="s">
        <v>3</v>
      </c>
      <c r="G749" s="28">
        <v>0.7104166666666667</v>
      </c>
      <c r="H749" s="28">
        <v>0.7104166666666667</v>
      </c>
      <c r="I749">
        <v>0</v>
      </c>
      <c r="J749" t="s">
        <v>174</v>
      </c>
      <c r="K749">
        <v>0</v>
      </c>
      <c r="L749" t="s">
        <v>2574</v>
      </c>
      <c r="M749" t="s">
        <v>2575</v>
      </c>
      <c r="N749" t="s">
        <v>2576</v>
      </c>
      <c r="O749" t="s">
        <v>2577</v>
      </c>
      <c r="P749" t="s">
        <v>518</v>
      </c>
    </row>
    <row r="750" spans="1:16" x14ac:dyDescent="0.35">
      <c r="A750" t="s">
        <v>130</v>
      </c>
      <c r="B750">
        <v>1748464976</v>
      </c>
      <c r="C750" t="s">
        <v>18</v>
      </c>
      <c r="D750" t="s">
        <v>21</v>
      </c>
      <c r="E750" s="29">
        <v>46204</v>
      </c>
      <c r="F750" t="s">
        <v>3</v>
      </c>
      <c r="G750" s="28">
        <v>0.71736111111111112</v>
      </c>
      <c r="H750" s="28">
        <v>0.71736111111111112</v>
      </c>
      <c r="I750">
        <v>0</v>
      </c>
      <c r="J750" t="s">
        <v>174</v>
      </c>
      <c r="K750">
        <v>0</v>
      </c>
      <c r="L750" t="s">
        <v>2578</v>
      </c>
      <c r="M750" t="s">
        <v>510</v>
      </c>
      <c r="N750" t="s">
        <v>511</v>
      </c>
      <c r="O750" t="s">
        <v>512</v>
      </c>
      <c r="P750" t="s">
        <v>2579</v>
      </c>
    </row>
    <row r="751" spans="1:16" x14ac:dyDescent="0.35">
      <c r="A751" t="s">
        <v>130</v>
      </c>
      <c r="B751">
        <v>1748464976</v>
      </c>
      <c r="C751" t="s">
        <v>18</v>
      </c>
      <c r="D751" t="s">
        <v>21</v>
      </c>
      <c r="E751" s="29">
        <v>46204</v>
      </c>
      <c r="F751" t="s">
        <v>3</v>
      </c>
      <c r="G751" s="28">
        <v>0.72430555555555554</v>
      </c>
      <c r="H751" s="28">
        <v>0.72430555555555554</v>
      </c>
      <c r="I751">
        <v>0</v>
      </c>
      <c r="J751" t="s">
        <v>174</v>
      </c>
      <c r="K751">
        <v>0</v>
      </c>
      <c r="L751" t="s">
        <v>2580</v>
      </c>
      <c r="M751" t="s">
        <v>2581</v>
      </c>
      <c r="N751" t="s">
        <v>2582</v>
      </c>
      <c r="O751" t="s">
        <v>2583</v>
      </c>
      <c r="P751" t="s">
        <v>2584</v>
      </c>
    </row>
    <row r="752" spans="1:16" x14ac:dyDescent="0.35">
      <c r="A752" t="s">
        <v>130</v>
      </c>
      <c r="B752">
        <v>1748464976</v>
      </c>
      <c r="C752" t="s">
        <v>18</v>
      </c>
      <c r="D752" t="s">
        <v>21</v>
      </c>
      <c r="E752" s="29">
        <v>46204</v>
      </c>
      <c r="F752" t="s">
        <v>3</v>
      </c>
      <c r="G752" s="28">
        <v>0.73124999999999996</v>
      </c>
      <c r="H752" s="28">
        <v>0.73124999999999996</v>
      </c>
      <c r="I752">
        <v>0</v>
      </c>
      <c r="J752" t="s">
        <v>174</v>
      </c>
      <c r="K752">
        <v>0</v>
      </c>
      <c r="L752" t="s">
        <v>2585</v>
      </c>
      <c r="M752" t="s">
        <v>2586</v>
      </c>
      <c r="N752" t="s">
        <v>2587</v>
      </c>
      <c r="O752" t="s">
        <v>2588</v>
      </c>
      <c r="P752" t="s">
        <v>2589</v>
      </c>
    </row>
    <row r="753" spans="1:16" x14ac:dyDescent="0.35">
      <c r="A753" t="s">
        <v>130</v>
      </c>
      <c r="B753">
        <v>1748464976</v>
      </c>
      <c r="C753" t="s">
        <v>18</v>
      </c>
      <c r="D753" t="s">
        <v>21</v>
      </c>
      <c r="E753" s="29">
        <v>46204</v>
      </c>
      <c r="F753" t="s">
        <v>3</v>
      </c>
      <c r="G753" s="28">
        <v>0.73819444444444449</v>
      </c>
      <c r="H753" s="28">
        <v>0.73819444444444449</v>
      </c>
      <c r="I753">
        <v>0</v>
      </c>
      <c r="J753" t="s">
        <v>174</v>
      </c>
      <c r="K753">
        <v>0</v>
      </c>
      <c r="L753" t="s">
        <v>246</v>
      </c>
      <c r="M753" t="s">
        <v>2590</v>
      </c>
      <c r="N753" t="s">
        <v>2591</v>
      </c>
      <c r="O753" t="s">
        <v>2511</v>
      </c>
      <c r="P753" t="s">
        <v>2592</v>
      </c>
    </row>
    <row r="754" spans="1:16" x14ac:dyDescent="0.35">
      <c r="A754" t="s">
        <v>130</v>
      </c>
      <c r="B754">
        <v>1748464976</v>
      </c>
      <c r="C754" t="s">
        <v>18</v>
      </c>
      <c r="D754" t="s">
        <v>21</v>
      </c>
      <c r="E754" s="29">
        <v>46204</v>
      </c>
      <c r="F754" t="s">
        <v>3</v>
      </c>
      <c r="G754" s="28">
        <v>0.74513888888888891</v>
      </c>
      <c r="H754" s="28">
        <v>0.74513888888888891</v>
      </c>
      <c r="I754">
        <v>0</v>
      </c>
      <c r="J754" t="s">
        <v>174</v>
      </c>
      <c r="K754">
        <v>0</v>
      </c>
      <c r="L754" t="s">
        <v>2593</v>
      </c>
      <c r="M754" t="s">
        <v>2594</v>
      </c>
      <c r="N754" t="s">
        <v>2595</v>
      </c>
      <c r="O754" t="s">
        <v>2596</v>
      </c>
      <c r="P754" t="s">
        <v>2597</v>
      </c>
    </row>
    <row r="755" spans="1:16" x14ac:dyDescent="0.35">
      <c r="A755" t="s">
        <v>130</v>
      </c>
      <c r="B755">
        <v>1748464976</v>
      </c>
      <c r="C755" t="s">
        <v>18</v>
      </c>
      <c r="D755" t="s">
        <v>21</v>
      </c>
      <c r="E755" s="29">
        <v>46204</v>
      </c>
      <c r="F755" t="s">
        <v>3</v>
      </c>
      <c r="G755" s="28">
        <v>0.75208333333333333</v>
      </c>
      <c r="H755" s="28">
        <v>0.75208333333333333</v>
      </c>
      <c r="I755">
        <v>0</v>
      </c>
      <c r="J755" t="s">
        <v>174</v>
      </c>
      <c r="K755">
        <v>0</v>
      </c>
      <c r="L755" t="s">
        <v>2598</v>
      </c>
      <c r="M755" t="s">
        <v>481</v>
      </c>
      <c r="N755" t="s">
        <v>482</v>
      </c>
      <c r="O755" t="s">
        <v>483</v>
      </c>
      <c r="P755" t="s">
        <v>2599</v>
      </c>
    </row>
    <row r="756" spans="1:16" x14ac:dyDescent="0.35">
      <c r="A756" t="s">
        <v>130</v>
      </c>
      <c r="B756">
        <v>1748464976</v>
      </c>
      <c r="C756" t="s">
        <v>18</v>
      </c>
      <c r="D756" t="s">
        <v>21</v>
      </c>
      <c r="E756" s="29">
        <v>46204</v>
      </c>
      <c r="F756" t="s">
        <v>3</v>
      </c>
      <c r="G756" s="28">
        <v>0.75902777777777775</v>
      </c>
      <c r="H756" s="28">
        <v>0.75902777777777775</v>
      </c>
      <c r="I756">
        <v>0</v>
      </c>
      <c r="J756" t="s">
        <v>174</v>
      </c>
      <c r="K756">
        <v>0</v>
      </c>
      <c r="L756" t="s">
        <v>2600</v>
      </c>
      <c r="M756" t="s">
        <v>2601</v>
      </c>
      <c r="N756" t="s">
        <v>2602</v>
      </c>
      <c r="O756" t="s">
        <v>2603</v>
      </c>
      <c r="P756" t="s">
        <v>2604</v>
      </c>
    </row>
    <row r="757" spans="1:16" x14ac:dyDescent="0.35">
      <c r="A757" t="s">
        <v>130</v>
      </c>
      <c r="B757">
        <v>1748464976</v>
      </c>
      <c r="C757" t="s">
        <v>18</v>
      </c>
      <c r="D757" t="s">
        <v>21</v>
      </c>
      <c r="E757" s="29">
        <v>46204</v>
      </c>
      <c r="F757" t="s">
        <v>3</v>
      </c>
      <c r="G757" s="28">
        <v>0.76597222222222228</v>
      </c>
      <c r="H757" s="28">
        <v>0.76597222222222228</v>
      </c>
      <c r="I757">
        <v>0</v>
      </c>
      <c r="J757" t="s">
        <v>174</v>
      </c>
      <c r="K757">
        <v>0</v>
      </c>
      <c r="L757" t="s">
        <v>2605</v>
      </c>
      <c r="M757" t="s">
        <v>2606</v>
      </c>
      <c r="N757" t="s">
        <v>2607</v>
      </c>
      <c r="O757" t="s">
        <v>2608</v>
      </c>
      <c r="P757" t="s">
        <v>2609</v>
      </c>
    </row>
    <row r="758" spans="1:16" x14ac:dyDescent="0.35">
      <c r="A758" t="s">
        <v>130</v>
      </c>
      <c r="B758">
        <v>1748464976</v>
      </c>
      <c r="C758" t="s">
        <v>18</v>
      </c>
      <c r="D758" t="s">
        <v>21</v>
      </c>
      <c r="E758" s="29">
        <v>46204</v>
      </c>
      <c r="F758" t="s">
        <v>3</v>
      </c>
      <c r="G758" s="28">
        <v>0.7729166666666667</v>
      </c>
      <c r="H758" s="28">
        <v>0.7729166666666667</v>
      </c>
      <c r="I758">
        <v>0</v>
      </c>
      <c r="J758" t="s">
        <v>174</v>
      </c>
      <c r="K758">
        <v>0</v>
      </c>
      <c r="L758" t="s">
        <v>2610</v>
      </c>
      <c r="M758" t="s">
        <v>2611</v>
      </c>
      <c r="N758" t="s">
        <v>2612</v>
      </c>
      <c r="O758" t="s">
        <v>2613</v>
      </c>
      <c r="P758" t="s">
        <v>2614</v>
      </c>
    </row>
    <row r="759" spans="1:16" x14ac:dyDescent="0.35">
      <c r="A759" t="s">
        <v>130</v>
      </c>
      <c r="B759">
        <v>1748464976</v>
      </c>
      <c r="C759" t="s">
        <v>18</v>
      </c>
      <c r="D759" t="s">
        <v>21</v>
      </c>
      <c r="E759" s="29">
        <v>46204</v>
      </c>
      <c r="F759" t="s">
        <v>3</v>
      </c>
      <c r="G759" s="28">
        <v>0.77986111111111112</v>
      </c>
      <c r="H759" s="28">
        <v>0.77986111111111112</v>
      </c>
      <c r="I759">
        <v>0</v>
      </c>
      <c r="J759" t="s">
        <v>174</v>
      </c>
      <c r="K759">
        <v>0</v>
      </c>
      <c r="L759" t="s">
        <v>2615</v>
      </c>
      <c r="M759" t="s">
        <v>2616</v>
      </c>
      <c r="N759" t="s">
        <v>2617</v>
      </c>
      <c r="O759" t="s">
        <v>2618</v>
      </c>
      <c r="P759" t="s">
        <v>2619</v>
      </c>
    </row>
    <row r="760" spans="1:16" x14ac:dyDescent="0.35">
      <c r="A760" t="s">
        <v>130</v>
      </c>
      <c r="B760">
        <v>1748464976</v>
      </c>
      <c r="C760" t="s">
        <v>18</v>
      </c>
      <c r="D760" t="s">
        <v>21</v>
      </c>
      <c r="E760" s="29">
        <v>46204</v>
      </c>
      <c r="F760" t="s">
        <v>3</v>
      </c>
      <c r="G760" s="28">
        <v>0.78680555555555554</v>
      </c>
      <c r="H760" s="28">
        <v>0.78680555555555554</v>
      </c>
      <c r="I760">
        <v>0</v>
      </c>
      <c r="J760" t="s">
        <v>174</v>
      </c>
      <c r="K760">
        <v>0</v>
      </c>
      <c r="L760" t="s">
        <v>1349</v>
      </c>
      <c r="M760" t="s">
        <v>424</v>
      </c>
      <c r="N760" t="s">
        <v>425</v>
      </c>
      <c r="O760" t="s">
        <v>426</v>
      </c>
      <c r="P760" t="s">
        <v>2620</v>
      </c>
    </row>
    <row r="761" spans="1:16" x14ac:dyDescent="0.35">
      <c r="A761" t="s">
        <v>130</v>
      </c>
      <c r="B761">
        <v>1748464976</v>
      </c>
      <c r="C761" t="s">
        <v>18</v>
      </c>
      <c r="D761" t="s">
        <v>21</v>
      </c>
      <c r="E761" s="29">
        <v>46205</v>
      </c>
      <c r="F761" t="s">
        <v>4</v>
      </c>
      <c r="G761" s="28">
        <v>0.37708333333333333</v>
      </c>
      <c r="H761" s="28">
        <v>0.3840277777777778</v>
      </c>
      <c r="I761">
        <v>0</v>
      </c>
      <c r="J761" t="s">
        <v>146</v>
      </c>
      <c r="K761">
        <v>1</v>
      </c>
      <c r="L761" t="s">
        <v>147</v>
      </c>
      <c r="M761" t="s">
        <v>2621</v>
      </c>
      <c r="N761" t="s">
        <v>381</v>
      </c>
      <c r="O761" t="s">
        <v>382</v>
      </c>
      <c r="P761" t="s">
        <v>2622</v>
      </c>
    </row>
    <row r="762" spans="1:16" x14ac:dyDescent="0.35">
      <c r="A762" t="s">
        <v>130</v>
      </c>
      <c r="B762">
        <v>1748464976</v>
      </c>
      <c r="C762" t="s">
        <v>18</v>
      </c>
      <c r="D762" t="s">
        <v>21</v>
      </c>
      <c r="E762" s="29">
        <v>46205</v>
      </c>
      <c r="F762" t="s">
        <v>4</v>
      </c>
      <c r="G762" s="28">
        <v>0.39097222222222222</v>
      </c>
      <c r="H762" s="28">
        <v>0.39791666666666664</v>
      </c>
      <c r="I762">
        <v>0</v>
      </c>
      <c r="J762" t="s">
        <v>146</v>
      </c>
      <c r="K762">
        <v>0</v>
      </c>
      <c r="L762" t="s">
        <v>147</v>
      </c>
      <c r="M762" t="s">
        <v>580</v>
      </c>
      <c r="N762" t="s">
        <v>581</v>
      </c>
      <c r="O762" t="s">
        <v>582</v>
      </c>
      <c r="P762" t="s">
        <v>2530</v>
      </c>
    </row>
    <row r="763" spans="1:16" x14ac:dyDescent="0.35">
      <c r="A763" t="s">
        <v>130</v>
      </c>
      <c r="B763">
        <v>1748464976</v>
      </c>
      <c r="C763" t="s">
        <v>18</v>
      </c>
      <c r="D763" t="s">
        <v>21</v>
      </c>
      <c r="E763" s="29">
        <v>46205</v>
      </c>
      <c r="F763" t="s">
        <v>4</v>
      </c>
      <c r="G763" s="28">
        <v>0.40486111111111112</v>
      </c>
      <c r="H763" s="28">
        <v>0.40486111111111112</v>
      </c>
      <c r="I763">
        <v>0</v>
      </c>
      <c r="J763" t="s">
        <v>174</v>
      </c>
      <c r="K763">
        <v>0</v>
      </c>
      <c r="L763" t="s">
        <v>2623</v>
      </c>
      <c r="M763" t="s">
        <v>2624</v>
      </c>
      <c r="N763" t="s">
        <v>2625</v>
      </c>
      <c r="O763" t="s">
        <v>2626</v>
      </c>
      <c r="P763" t="s">
        <v>2627</v>
      </c>
    </row>
    <row r="764" spans="1:16" x14ac:dyDescent="0.35">
      <c r="A764" t="s">
        <v>130</v>
      </c>
      <c r="B764">
        <v>1748464976</v>
      </c>
      <c r="C764" t="s">
        <v>18</v>
      </c>
      <c r="D764" t="s">
        <v>21</v>
      </c>
      <c r="E764" s="29">
        <v>46205</v>
      </c>
      <c r="F764" t="s">
        <v>4</v>
      </c>
      <c r="G764" s="28">
        <v>0.41180555555555554</v>
      </c>
      <c r="H764" s="28">
        <v>0.41180555555555554</v>
      </c>
      <c r="I764">
        <v>0</v>
      </c>
      <c r="J764" t="s">
        <v>174</v>
      </c>
      <c r="K764">
        <v>0</v>
      </c>
      <c r="L764" t="s">
        <v>222</v>
      </c>
      <c r="M764" t="s">
        <v>2628</v>
      </c>
      <c r="N764" t="s">
        <v>2629</v>
      </c>
      <c r="O764" t="s">
        <v>2630</v>
      </c>
      <c r="P764" t="s">
        <v>2631</v>
      </c>
    </row>
    <row r="765" spans="1:16" x14ac:dyDescent="0.35">
      <c r="A765" t="s">
        <v>130</v>
      </c>
      <c r="B765">
        <v>1748464976</v>
      </c>
      <c r="C765" t="s">
        <v>18</v>
      </c>
      <c r="D765" t="s">
        <v>21</v>
      </c>
      <c r="E765" s="29">
        <v>46205</v>
      </c>
      <c r="F765" t="s">
        <v>4</v>
      </c>
      <c r="G765" s="28">
        <v>0.41875000000000001</v>
      </c>
      <c r="H765" s="28">
        <v>0.41875000000000001</v>
      </c>
      <c r="I765">
        <v>0</v>
      </c>
      <c r="J765" t="s">
        <v>174</v>
      </c>
      <c r="K765">
        <v>0</v>
      </c>
      <c r="L765" t="s">
        <v>1022</v>
      </c>
      <c r="M765" t="s">
        <v>2632</v>
      </c>
      <c r="N765" t="s">
        <v>2633</v>
      </c>
      <c r="O765" t="s">
        <v>2634</v>
      </c>
      <c r="P765" t="s">
        <v>2635</v>
      </c>
    </row>
    <row r="766" spans="1:16" x14ac:dyDescent="0.35">
      <c r="A766" t="s">
        <v>130</v>
      </c>
      <c r="B766">
        <v>1748464976</v>
      </c>
      <c r="C766" t="s">
        <v>18</v>
      </c>
      <c r="D766" t="s">
        <v>21</v>
      </c>
      <c r="E766" s="29">
        <v>46205</v>
      </c>
      <c r="F766" t="s">
        <v>4</v>
      </c>
      <c r="G766" s="28">
        <v>0.42569444444444443</v>
      </c>
      <c r="H766" s="28">
        <v>0.42569444444444443</v>
      </c>
      <c r="I766">
        <v>0</v>
      </c>
      <c r="J766" t="s">
        <v>174</v>
      </c>
      <c r="K766">
        <v>0</v>
      </c>
      <c r="L766" t="s">
        <v>2636</v>
      </c>
      <c r="M766" t="s">
        <v>2540</v>
      </c>
      <c r="N766" t="s">
        <v>2541</v>
      </c>
      <c r="O766" t="s">
        <v>2542</v>
      </c>
      <c r="P766" t="s">
        <v>2543</v>
      </c>
    </row>
    <row r="767" spans="1:16" x14ac:dyDescent="0.35">
      <c r="A767" t="s">
        <v>130</v>
      </c>
      <c r="B767">
        <v>1748464976</v>
      </c>
      <c r="C767" t="s">
        <v>18</v>
      </c>
      <c r="D767" t="s">
        <v>21</v>
      </c>
      <c r="E767" s="29">
        <v>46205</v>
      </c>
      <c r="F767" t="s">
        <v>4</v>
      </c>
      <c r="G767" s="28">
        <v>0.43263888888888891</v>
      </c>
      <c r="H767" s="28">
        <v>0.43263888888888891</v>
      </c>
      <c r="I767">
        <v>0</v>
      </c>
      <c r="J767" t="s">
        <v>174</v>
      </c>
      <c r="K767">
        <v>0</v>
      </c>
      <c r="L767" t="s">
        <v>1170</v>
      </c>
      <c r="M767" t="s">
        <v>2637</v>
      </c>
      <c r="N767" t="s">
        <v>2638</v>
      </c>
      <c r="O767" t="s">
        <v>2639</v>
      </c>
      <c r="P767" t="s">
        <v>2640</v>
      </c>
    </row>
    <row r="768" spans="1:16" x14ac:dyDescent="0.35">
      <c r="A768" t="s">
        <v>130</v>
      </c>
      <c r="B768">
        <v>1748464976</v>
      </c>
      <c r="C768" t="s">
        <v>18</v>
      </c>
      <c r="D768" t="s">
        <v>21</v>
      </c>
      <c r="E768" s="29">
        <v>46205</v>
      </c>
      <c r="F768" t="s">
        <v>4</v>
      </c>
      <c r="G768" s="28">
        <v>0.43958333333333333</v>
      </c>
      <c r="H768" s="28">
        <v>0.43958333333333333</v>
      </c>
      <c r="I768">
        <v>0</v>
      </c>
      <c r="J768" t="s">
        <v>174</v>
      </c>
      <c r="K768">
        <v>0</v>
      </c>
      <c r="L768" t="s">
        <v>2641</v>
      </c>
      <c r="M768" t="s">
        <v>2642</v>
      </c>
      <c r="N768" t="s">
        <v>2643</v>
      </c>
      <c r="O768" t="s">
        <v>2644</v>
      </c>
      <c r="P768" t="s">
        <v>2645</v>
      </c>
    </row>
    <row r="769" spans="1:16" x14ac:dyDescent="0.35">
      <c r="A769" t="s">
        <v>130</v>
      </c>
      <c r="B769">
        <v>1748464976</v>
      </c>
      <c r="C769" t="s">
        <v>18</v>
      </c>
      <c r="D769" t="s">
        <v>21</v>
      </c>
      <c r="E769" s="29">
        <v>46205</v>
      </c>
      <c r="F769" t="s">
        <v>4</v>
      </c>
      <c r="G769" s="28">
        <v>0.4465277777777778</v>
      </c>
      <c r="H769" s="28">
        <v>0.4465277777777778</v>
      </c>
      <c r="I769">
        <v>0</v>
      </c>
      <c r="J769" t="s">
        <v>174</v>
      </c>
      <c r="K769">
        <v>0</v>
      </c>
      <c r="L769" t="s">
        <v>379</v>
      </c>
      <c r="M769" t="s">
        <v>2646</v>
      </c>
      <c r="N769" t="s">
        <v>2647</v>
      </c>
      <c r="O769" t="s">
        <v>2648</v>
      </c>
      <c r="P769" t="s">
        <v>2649</v>
      </c>
    </row>
    <row r="770" spans="1:16" x14ac:dyDescent="0.35">
      <c r="A770" t="s">
        <v>130</v>
      </c>
      <c r="B770">
        <v>1748464976</v>
      </c>
      <c r="C770" t="s">
        <v>18</v>
      </c>
      <c r="D770" t="s">
        <v>21</v>
      </c>
      <c r="E770" s="29">
        <v>46205</v>
      </c>
      <c r="F770" t="s">
        <v>4</v>
      </c>
      <c r="G770" s="28">
        <v>0.45347222222222222</v>
      </c>
      <c r="H770" s="28">
        <v>0.45347222222222222</v>
      </c>
      <c r="I770">
        <v>0</v>
      </c>
      <c r="J770" t="s">
        <v>174</v>
      </c>
      <c r="K770">
        <v>0</v>
      </c>
      <c r="L770" t="s">
        <v>558</v>
      </c>
      <c r="M770" t="s">
        <v>2650</v>
      </c>
      <c r="N770" t="s">
        <v>2651</v>
      </c>
      <c r="O770" t="s">
        <v>2652</v>
      </c>
      <c r="P770" t="s">
        <v>2653</v>
      </c>
    </row>
    <row r="771" spans="1:16" x14ac:dyDescent="0.35">
      <c r="A771" t="s">
        <v>130</v>
      </c>
      <c r="B771">
        <v>1748464976</v>
      </c>
      <c r="C771" t="s">
        <v>18</v>
      </c>
      <c r="D771" t="s">
        <v>21</v>
      </c>
      <c r="E771" s="29">
        <v>46205</v>
      </c>
      <c r="F771" t="s">
        <v>4</v>
      </c>
      <c r="G771" s="28">
        <v>0.46041666666666664</v>
      </c>
      <c r="H771" s="28">
        <v>0.46041666666666664</v>
      </c>
      <c r="I771">
        <v>0</v>
      </c>
      <c r="J771" t="s">
        <v>174</v>
      </c>
      <c r="K771">
        <v>0</v>
      </c>
      <c r="L771" t="s">
        <v>1851</v>
      </c>
      <c r="M771" t="s">
        <v>2654</v>
      </c>
      <c r="N771" t="s">
        <v>2655</v>
      </c>
      <c r="O771" t="s">
        <v>2656</v>
      </c>
      <c r="P771" t="s">
        <v>2657</v>
      </c>
    </row>
    <row r="772" spans="1:16" x14ac:dyDescent="0.35">
      <c r="A772" t="s">
        <v>130</v>
      </c>
      <c r="B772">
        <v>1748464976</v>
      </c>
      <c r="C772" t="s">
        <v>18</v>
      </c>
      <c r="D772" t="s">
        <v>21</v>
      </c>
      <c r="E772" s="29">
        <v>46205</v>
      </c>
      <c r="F772" t="s">
        <v>4</v>
      </c>
      <c r="G772" s="28">
        <v>0.46736111111111112</v>
      </c>
      <c r="H772" s="28">
        <v>0.47430555555555554</v>
      </c>
      <c r="I772">
        <v>0</v>
      </c>
      <c r="J772" t="s">
        <v>146</v>
      </c>
      <c r="K772">
        <v>0</v>
      </c>
      <c r="L772" t="s">
        <v>147</v>
      </c>
      <c r="M772" t="s">
        <v>2658</v>
      </c>
      <c r="N772" t="s">
        <v>2659</v>
      </c>
      <c r="O772" t="s">
        <v>2660</v>
      </c>
      <c r="P772" t="s">
        <v>2661</v>
      </c>
    </row>
    <row r="773" spans="1:16" x14ac:dyDescent="0.35">
      <c r="A773" t="s">
        <v>130</v>
      </c>
      <c r="B773">
        <v>1748464976</v>
      </c>
      <c r="C773" t="s">
        <v>18</v>
      </c>
      <c r="D773" t="s">
        <v>21</v>
      </c>
      <c r="E773" s="29">
        <v>46205</v>
      </c>
      <c r="F773" t="s">
        <v>4</v>
      </c>
      <c r="G773" s="28">
        <v>0.48125000000000001</v>
      </c>
      <c r="H773" s="28">
        <v>0.48125000000000001</v>
      </c>
      <c r="I773">
        <v>0</v>
      </c>
      <c r="J773" t="s">
        <v>174</v>
      </c>
      <c r="K773">
        <v>0</v>
      </c>
      <c r="L773" t="s">
        <v>2662</v>
      </c>
      <c r="M773" t="s">
        <v>2663</v>
      </c>
      <c r="N773" t="s">
        <v>2664</v>
      </c>
      <c r="O773" t="s">
        <v>2665</v>
      </c>
      <c r="P773" t="s">
        <v>2666</v>
      </c>
    </row>
    <row r="774" spans="1:16" x14ac:dyDescent="0.35">
      <c r="A774" t="s">
        <v>130</v>
      </c>
      <c r="B774">
        <v>1748464976</v>
      </c>
      <c r="C774" t="s">
        <v>18</v>
      </c>
      <c r="D774" t="s">
        <v>21</v>
      </c>
      <c r="E774" s="29">
        <v>46205</v>
      </c>
      <c r="F774" t="s">
        <v>4</v>
      </c>
      <c r="G774" s="28">
        <v>0.48819444444444443</v>
      </c>
      <c r="H774" s="28">
        <v>0.48819444444444443</v>
      </c>
      <c r="I774">
        <v>0</v>
      </c>
      <c r="J774" t="s">
        <v>174</v>
      </c>
      <c r="K774">
        <v>0</v>
      </c>
      <c r="L774" t="s">
        <v>2662</v>
      </c>
      <c r="M774" t="s">
        <v>2667</v>
      </c>
      <c r="N774" t="s">
        <v>2668</v>
      </c>
      <c r="O774" t="s">
        <v>2669</v>
      </c>
      <c r="P774" t="s">
        <v>2670</v>
      </c>
    </row>
    <row r="775" spans="1:16" x14ac:dyDescent="0.35">
      <c r="A775" t="s">
        <v>130</v>
      </c>
      <c r="B775">
        <v>1748464976</v>
      </c>
      <c r="C775" t="s">
        <v>18</v>
      </c>
      <c r="D775" t="s">
        <v>21</v>
      </c>
      <c r="E775" s="29">
        <v>46205</v>
      </c>
      <c r="F775" t="s">
        <v>4</v>
      </c>
      <c r="G775" s="28">
        <v>0.49513888888888891</v>
      </c>
      <c r="H775" s="28">
        <v>0.49513888888888891</v>
      </c>
      <c r="I775">
        <v>0</v>
      </c>
      <c r="J775" t="s">
        <v>174</v>
      </c>
      <c r="K775">
        <v>0</v>
      </c>
      <c r="L775" t="s">
        <v>2671</v>
      </c>
      <c r="M775" t="s">
        <v>2663</v>
      </c>
      <c r="N775" t="s">
        <v>2664</v>
      </c>
      <c r="O775" t="s">
        <v>2665</v>
      </c>
      <c r="P775" t="s">
        <v>2666</v>
      </c>
    </row>
    <row r="776" spans="1:16" x14ac:dyDescent="0.35">
      <c r="A776" t="s">
        <v>130</v>
      </c>
      <c r="B776">
        <v>1748464976</v>
      </c>
      <c r="C776" t="s">
        <v>18</v>
      </c>
      <c r="D776" t="s">
        <v>21</v>
      </c>
      <c r="E776" s="29">
        <v>46205</v>
      </c>
      <c r="F776" t="s">
        <v>4</v>
      </c>
      <c r="G776" s="28">
        <v>0.50208333333333333</v>
      </c>
      <c r="H776" s="28">
        <v>0.50208333333333333</v>
      </c>
      <c r="I776">
        <v>0</v>
      </c>
      <c r="J776" t="s">
        <v>174</v>
      </c>
      <c r="K776">
        <v>0</v>
      </c>
      <c r="L776" t="s">
        <v>2671</v>
      </c>
      <c r="M776" t="s">
        <v>2658</v>
      </c>
      <c r="N776" t="s">
        <v>2659</v>
      </c>
      <c r="O776" t="s">
        <v>2660</v>
      </c>
      <c r="P776" t="s">
        <v>2661</v>
      </c>
    </row>
    <row r="777" spans="1:16" x14ac:dyDescent="0.35">
      <c r="A777" t="s">
        <v>130</v>
      </c>
      <c r="B777">
        <v>1748464976</v>
      </c>
      <c r="C777" t="s">
        <v>18</v>
      </c>
      <c r="D777" t="s">
        <v>21</v>
      </c>
      <c r="E777" s="29">
        <v>46205</v>
      </c>
      <c r="F777" t="s">
        <v>4</v>
      </c>
      <c r="G777" s="28">
        <v>0.50902777777777775</v>
      </c>
      <c r="H777" s="28">
        <v>0.50902777777777775</v>
      </c>
      <c r="I777">
        <v>0</v>
      </c>
      <c r="J777" t="s">
        <v>174</v>
      </c>
      <c r="K777">
        <v>0</v>
      </c>
      <c r="L777" t="s">
        <v>2672</v>
      </c>
      <c r="M777" t="s">
        <v>2663</v>
      </c>
      <c r="N777" t="s">
        <v>2664</v>
      </c>
      <c r="O777" t="s">
        <v>2665</v>
      </c>
      <c r="P777" t="s">
        <v>2666</v>
      </c>
    </row>
    <row r="778" spans="1:16" x14ac:dyDescent="0.35">
      <c r="A778" t="s">
        <v>130</v>
      </c>
      <c r="B778">
        <v>1748464976</v>
      </c>
      <c r="C778" t="s">
        <v>18</v>
      </c>
      <c r="D778" t="s">
        <v>21</v>
      </c>
      <c r="E778" s="29">
        <v>46205</v>
      </c>
      <c r="F778" t="s">
        <v>4</v>
      </c>
      <c r="G778" s="28">
        <v>0.51597222222222228</v>
      </c>
      <c r="H778" s="28">
        <v>0.51597222222222228</v>
      </c>
      <c r="I778">
        <v>0</v>
      </c>
      <c r="J778" t="s">
        <v>174</v>
      </c>
      <c r="K778">
        <v>0</v>
      </c>
      <c r="L778" t="s">
        <v>1769</v>
      </c>
      <c r="M778" t="s">
        <v>2673</v>
      </c>
      <c r="N778" t="s">
        <v>2674</v>
      </c>
      <c r="O778" t="s">
        <v>2675</v>
      </c>
      <c r="P778" t="s">
        <v>2676</v>
      </c>
    </row>
    <row r="779" spans="1:16" x14ac:dyDescent="0.35">
      <c r="A779" t="s">
        <v>130</v>
      </c>
      <c r="B779">
        <v>1748464976</v>
      </c>
      <c r="C779" t="s">
        <v>18</v>
      </c>
      <c r="D779" t="s">
        <v>21</v>
      </c>
      <c r="E779" s="29">
        <v>46205</v>
      </c>
      <c r="F779" t="s">
        <v>4</v>
      </c>
      <c r="G779" s="28">
        <v>0.5229166666666667</v>
      </c>
      <c r="H779" s="28">
        <v>0.5229166666666667</v>
      </c>
      <c r="I779">
        <v>0</v>
      </c>
      <c r="J779" t="s">
        <v>174</v>
      </c>
      <c r="K779">
        <v>0</v>
      </c>
      <c r="L779" t="s">
        <v>2677</v>
      </c>
      <c r="M779" t="s">
        <v>2678</v>
      </c>
      <c r="N779" t="s">
        <v>2679</v>
      </c>
      <c r="O779" t="s">
        <v>2680</v>
      </c>
      <c r="P779" t="s">
        <v>2676</v>
      </c>
    </row>
    <row r="780" spans="1:16" x14ac:dyDescent="0.35">
      <c r="A780" t="s">
        <v>130</v>
      </c>
      <c r="B780">
        <v>1748464976</v>
      </c>
      <c r="C780" t="s">
        <v>18</v>
      </c>
      <c r="D780" t="s">
        <v>21</v>
      </c>
      <c r="E780" s="29">
        <v>46205</v>
      </c>
      <c r="F780" t="s">
        <v>4</v>
      </c>
      <c r="G780" s="28">
        <v>0.52986111111111112</v>
      </c>
      <c r="H780" s="28">
        <v>0.57152777777777775</v>
      </c>
      <c r="I780">
        <v>1</v>
      </c>
      <c r="J780" t="s">
        <v>146</v>
      </c>
      <c r="K780">
        <v>3</v>
      </c>
      <c r="L780" t="s">
        <v>147</v>
      </c>
      <c r="M780" t="s">
        <v>2681</v>
      </c>
      <c r="N780" t="s">
        <v>2682</v>
      </c>
      <c r="O780" t="s">
        <v>2683</v>
      </c>
      <c r="P780" t="s">
        <v>2684</v>
      </c>
    </row>
    <row r="781" spans="1:16" x14ac:dyDescent="0.35">
      <c r="A781" t="s">
        <v>130</v>
      </c>
      <c r="B781">
        <v>1748464976</v>
      </c>
      <c r="C781" t="s">
        <v>18</v>
      </c>
      <c r="D781" t="s">
        <v>21</v>
      </c>
      <c r="E781" s="29">
        <v>46205</v>
      </c>
      <c r="F781" t="s">
        <v>4</v>
      </c>
      <c r="G781" s="28">
        <v>0.57847222222222228</v>
      </c>
      <c r="H781" s="28">
        <v>0.59930555555555554</v>
      </c>
      <c r="I781">
        <v>0</v>
      </c>
      <c r="J781" t="s">
        <v>146</v>
      </c>
      <c r="K781">
        <v>1</v>
      </c>
      <c r="L781" t="s">
        <v>147</v>
      </c>
      <c r="M781" t="s">
        <v>2678</v>
      </c>
      <c r="N781" t="s">
        <v>2679</v>
      </c>
      <c r="O781" t="s">
        <v>2680</v>
      </c>
      <c r="P781" t="s">
        <v>2676</v>
      </c>
    </row>
    <row r="782" spans="1:16" x14ac:dyDescent="0.35">
      <c r="A782" t="s">
        <v>130</v>
      </c>
      <c r="B782">
        <v>1748464976</v>
      </c>
      <c r="C782" t="s">
        <v>18</v>
      </c>
      <c r="D782" t="s">
        <v>21</v>
      </c>
      <c r="E782" s="29">
        <v>46205</v>
      </c>
      <c r="F782" t="s">
        <v>4</v>
      </c>
      <c r="G782" s="28">
        <v>0.60624999999999996</v>
      </c>
      <c r="H782" s="28">
        <v>0.60624999999999996</v>
      </c>
      <c r="I782">
        <v>0</v>
      </c>
      <c r="J782" t="s">
        <v>174</v>
      </c>
      <c r="K782">
        <v>0</v>
      </c>
      <c r="L782" t="s">
        <v>1307</v>
      </c>
      <c r="M782" t="s">
        <v>2685</v>
      </c>
      <c r="N782" t="s">
        <v>2686</v>
      </c>
      <c r="O782" t="s">
        <v>2687</v>
      </c>
      <c r="P782" t="s">
        <v>2688</v>
      </c>
    </row>
    <row r="783" spans="1:16" x14ac:dyDescent="0.35">
      <c r="A783" t="s">
        <v>130</v>
      </c>
      <c r="B783">
        <v>1748464976</v>
      </c>
      <c r="C783" t="s">
        <v>18</v>
      </c>
      <c r="D783" t="s">
        <v>21</v>
      </c>
      <c r="E783" s="29">
        <v>46205</v>
      </c>
      <c r="F783" t="s">
        <v>4</v>
      </c>
      <c r="G783" s="28">
        <v>0.61319444444444449</v>
      </c>
      <c r="H783" s="28">
        <v>0.61319444444444449</v>
      </c>
      <c r="I783">
        <v>0</v>
      </c>
      <c r="J783" t="s">
        <v>174</v>
      </c>
      <c r="K783">
        <v>0</v>
      </c>
      <c r="L783" t="s">
        <v>2689</v>
      </c>
      <c r="M783" t="s">
        <v>2690</v>
      </c>
      <c r="N783" t="s">
        <v>2691</v>
      </c>
      <c r="O783" t="s">
        <v>2692</v>
      </c>
      <c r="P783" t="s">
        <v>2693</v>
      </c>
    </row>
    <row r="784" spans="1:16" x14ac:dyDescent="0.35">
      <c r="A784" t="s">
        <v>130</v>
      </c>
      <c r="B784">
        <v>1748464976</v>
      </c>
      <c r="C784" t="s">
        <v>18</v>
      </c>
      <c r="D784" t="s">
        <v>21</v>
      </c>
      <c r="E784" s="29">
        <v>46205</v>
      </c>
      <c r="F784" t="s">
        <v>4</v>
      </c>
      <c r="G784" s="28">
        <v>0.62013888888888891</v>
      </c>
      <c r="H784" s="28">
        <v>0.63402777777777775</v>
      </c>
      <c r="I784">
        <v>0</v>
      </c>
      <c r="J784" t="s">
        <v>146</v>
      </c>
      <c r="K784">
        <v>1</v>
      </c>
      <c r="L784" t="s">
        <v>147</v>
      </c>
      <c r="M784" t="s">
        <v>2694</v>
      </c>
      <c r="N784" t="s">
        <v>2695</v>
      </c>
      <c r="O784" t="s">
        <v>2696</v>
      </c>
      <c r="P784" t="s">
        <v>2697</v>
      </c>
    </row>
    <row r="785" spans="1:16" x14ac:dyDescent="0.35">
      <c r="A785" t="s">
        <v>130</v>
      </c>
      <c r="B785">
        <v>1748464976</v>
      </c>
      <c r="C785" t="s">
        <v>18</v>
      </c>
      <c r="D785" t="s">
        <v>21</v>
      </c>
      <c r="E785" s="29">
        <v>46205</v>
      </c>
      <c r="F785" t="s">
        <v>4</v>
      </c>
      <c r="G785" s="28">
        <v>0.64097222222222228</v>
      </c>
      <c r="H785" s="28">
        <v>0.65486111111111112</v>
      </c>
      <c r="I785">
        <v>0</v>
      </c>
      <c r="J785" t="s">
        <v>146</v>
      </c>
      <c r="K785">
        <v>1</v>
      </c>
      <c r="L785" t="s">
        <v>147</v>
      </c>
      <c r="M785" t="s">
        <v>2698</v>
      </c>
      <c r="N785" t="s">
        <v>2699</v>
      </c>
      <c r="O785" t="s">
        <v>2700</v>
      </c>
      <c r="P785" t="s">
        <v>2701</v>
      </c>
    </row>
    <row r="786" spans="1:16" x14ac:dyDescent="0.35">
      <c r="A786" t="s">
        <v>130</v>
      </c>
      <c r="B786">
        <v>1748464976</v>
      </c>
      <c r="C786" t="s">
        <v>18</v>
      </c>
      <c r="D786" t="s">
        <v>21</v>
      </c>
      <c r="E786" s="29">
        <v>46205</v>
      </c>
      <c r="F786" t="s">
        <v>4</v>
      </c>
      <c r="G786" s="28">
        <v>0.66180555555555554</v>
      </c>
      <c r="H786" s="28">
        <v>0.66180555555555554</v>
      </c>
      <c r="I786">
        <v>0</v>
      </c>
      <c r="J786" t="s">
        <v>174</v>
      </c>
      <c r="K786">
        <v>0</v>
      </c>
      <c r="L786" t="s">
        <v>2702</v>
      </c>
      <c r="M786" t="s">
        <v>2703</v>
      </c>
      <c r="N786" t="s">
        <v>2704</v>
      </c>
      <c r="O786" t="s">
        <v>2705</v>
      </c>
      <c r="P786" t="s">
        <v>2706</v>
      </c>
    </row>
    <row r="787" spans="1:16" x14ac:dyDescent="0.35">
      <c r="A787" t="s">
        <v>130</v>
      </c>
      <c r="B787">
        <v>1748464976</v>
      </c>
      <c r="C787" t="s">
        <v>18</v>
      </c>
      <c r="D787" t="s">
        <v>21</v>
      </c>
      <c r="E787" s="29">
        <v>46205</v>
      </c>
      <c r="F787" t="s">
        <v>4</v>
      </c>
      <c r="G787" s="28">
        <v>0.66874999999999996</v>
      </c>
      <c r="H787" s="28">
        <v>0.66874999999999996</v>
      </c>
      <c r="I787">
        <v>0</v>
      </c>
      <c r="J787" t="s">
        <v>174</v>
      </c>
      <c r="K787">
        <v>0</v>
      </c>
      <c r="L787" t="s">
        <v>2707</v>
      </c>
      <c r="M787" t="s">
        <v>2708</v>
      </c>
      <c r="N787" t="s">
        <v>2709</v>
      </c>
      <c r="O787" t="s">
        <v>2710</v>
      </c>
      <c r="P787" t="s">
        <v>2711</v>
      </c>
    </row>
    <row r="788" spans="1:16" x14ac:dyDescent="0.35">
      <c r="A788" t="s">
        <v>130</v>
      </c>
      <c r="B788">
        <v>1748464976</v>
      </c>
      <c r="C788" t="s">
        <v>18</v>
      </c>
      <c r="D788" t="s">
        <v>21</v>
      </c>
      <c r="E788" s="29">
        <v>46205</v>
      </c>
      <c r="F788" t="s">
        <v>4</v>
      </c>
      <c r="G788" s="28">
        <v>0.67569444444444449</v>
      </c>
      <c r="H788" s="28">
        <v>0.67569444444444449</v>
      </c>
      <c r="I788">
        <v>0</v>
      </c>
      <c r="J788" t="s">
        <v>174</v>
      </c>
      <c r="K788">
        <v>0</v>
      </c>
      <c r="L788" t="s">
        <v>359</v>
      </c>
      <c r="M788" t="s">
        <v>2712</v>
      </c>
      <c r="N788" t="s">
        <v>2713</v>
      </c>
      <c r="O788" t="s">
        <v>2714</v>
      </c>
      <c r="P788" t="s">
        <v>2715</v>
      </c>
    </row>
    <row r="789" spans="1:16" x14ac:dyDescent="0.35">
      <c r="A789" t="s">
        <v>130</v>
      </c>
      <c r="B789">
        <v>1748464976</v>
      </c>
      <c r="C789" t="s">
        <v>18</v>
      </c>
      <c r="D789" t="s">
        <v>21</v>
      </c>
      <c r="E789" s="29">
        <v>46205</v>
      </c>
      <c r="F789" t="s">
        <v>4</v>
      </c>
      <c r="G789" s="28">
        <v>0.68263888888888891</v>
      </c>
      <c r="H789" s="28">
        <v>0.68263888888888891</v>
      </c>
      <c r="I789">
        <v>0</v>
      </c>
      <c r="J789" t="s">
        <v>174</v>
      </c>
      <c r="K789">
        <v>0</v>
      </c>
      <c r="L789" t="s">
        <v>2716</v>
      </c>
      <c r="M789" t="s">
        <v>2717</v>
      </c>
      <c r="N789" t="s">
        <v>2718</v>
      </c>
      <c r="O789" t="s">
        <v>2719</v>
      </c>
      <c r="P789" t="s">
        <v>2720</v>
      </c>
    </row>
    <row r="790" spans="1:16" x14ac:dyDescent="0.35">
      <c r="A790" t="s">
        <v>130</v>
      </c>
      <c r="B790">
        <v>1748464976</v>
      </c>
      <c r="C790" t="s">
        <v>18</v>
      </c>
      <c r="D790" t="s">
        <v>21</v>
      </c>
      <c r="E790" s="29">
        <v>46205</v>
      </c>
      <c r="F790" t="s">
        <v>4</v>
      </c>
      <c r="G790" s="28">
        <v>0.68958333333333333</v>
      </c>
      <c r="H790" s="28">
        <v>0.68958333333333333</v>
      </c>
      <c r="I790">
        <v>0</v>
      </c>
      <c r="J790" t="s">
        <v>174</v>
      </c>
      <c r="K790">
        <v>0</v>
      </c>
      <c r="L790" t="s">
        <v>2218</v>
      </c>
      <c r="M790" t="s">
        <v>2721</v>
      </c>
      <c r="N790" t="s">
        <v>2722</v>
      </c>
      <c r="O790" t="s">
        <v>2723</v>
      </c>
      <c r="P790" t="s">
        <v>2724</v>
      </c>
    </row>
    <row r="791" spans="1:16" x14ac:dyDescent="0.35">
      <c r="A791" t="s">
        <v>130</v>
      </c>
      <c r="B791">
        <v>1748464976</v>
      </c>
      <c r="C791" t="s">
        <v>18</v>
      </c>
      <c r="D791" t="s">
        <v>21</v>
      </c>
      <c r="E791" s="29">
        <v>46205</v>
      </c>
      <c r="F791" t="s">
        <v>4</v>
      </c>
      <c r="G791" s="28">
        <v>0.69652777777777775</v>
      </c>
      <c r="H791" s="28">
        <v>0.69652777777777775</v>
      </c>
      <c r="I791">
        <v>0</v>
      </c>
      <c r="J791" t="s">
        <v>174</v>
      </c>
      <c r="K791">
        <v>0</v>
      </c>
      <c r="L791" t="s">
        <v>2725</v>
      </c>
      <c r="M791" t="s">
        <v>2726</v>
      </c>
      <c r="N791" t="s">
        <v>2727</v>
      </c>
      <c r="O791" t="s">
        <v>2728</v>
      </c>
      <c r="P791" t="s">
        <v>2729</v>
      </c>
    </row>
    <row r="792" spans="1:16" x14ac:dyDescent="0.35">
      <c r="A792" t="s">
        <v>130</v>
      </c>
      <c r="B792">
        <v>1748464976</v>
      </c>
      <c r="C792" t="s">
        <v>18</v>
      </c>
      <c r="D792" t="s">
        <v>21</v>
      </c>
      <c r="E792" s="29">
        <v>46205</v>
      </c>
      <c r="F792" t="s">
        <v>4</v>
      </c>
      <c r="G792" s="28">
        <v>0.70347222222222228</v>
      </c>
      <c r="H792" s="28">
        <v>0.70347222222222228</v>
      </c>
      <c r="I792">
        <v>0</v>
      </c>
      <c r="J792" t="s">
        <v>174</v>
      </c>
      <c r="K792">
        <v>0</v>
      </c>
      <c r="L792" t="s">
        <v>2730</v>
      </c>
      <c r="M792" t="s">
        <v>2731</v>
      </c>
      <c r="N792" t="s">
        <v>2732</v>
      </c>
      <c r="O792" t="s">
        <v>2733</v>
      </c>
      <c r="P792" t="s">
        <v>2734</v>
      </c>
    </row>
    <row r="793" spans="1:16" x14ac:dyDescent="0.35">
      <c r="A793" t="s">
        <v>130</v>
      </c>
      <c r="B793">
        <v>1748464976</v>
      </c>
      <c r="C793" t="s">
        <v>18</v>
      </c>
      <c r="D793" t="s">
        <v>21</v>
      </c>
      <c r="E793" s="29">
        <v>46205</v>
      </c>
      <c r="F793" t="s">
        <v>4</v>
      </c>
      <c r="G793" s="28">
        <v>0.7104166666666667</v>
      </c>
      <c r="H793" s="28">
        <v>0.7104166666666667</v>
      </c>
      <c r="I793">
        <v>0</v>
      </c>
      <c r="J793" t="s">
        <v>174</v>
      </c>
      <c r="K793">
        <v>0</v>
      </c>
      <c r="L793" t="s">
        <v>2735</v>
      </c>
      <c r="M793" t="s">
        <v>2736</v>
      </c>
      <c r="N793" t="s">
        <v>2737</v>
      </c>
      <c r="O793" t="s">
        <v>2738</v>
      </c>
      <c r="P793" t="s">
        <v>2739</v>
      </c>
    </row>
    <row r="794" spans="1:16" x14ac:dyDescent="0.35">
      <c r="A794" t="s">
        <v>130</v>
      </c>
      <c r="B794">
        <v>1748464976</v>
      </c>
      <c r="C794" t="s">
        <v>18</v>
      </c>
      <c r="D794" t="s">
        <v>21</v>
      </c>
      <c r="E794" s="29">
        <v>46205</v>
      </c>
      <c r="F794" t="s">
        <v>4</v>
      </c>
      <c r="G794" s="28">
        <v>0.71736111111111112</v>
      </c>
      <c r="H794" s="28">
        <v>0.71736111111111112</v>
      </c>
      <c r="I794">
        <v>0</v>
      </c>
      <c r="J794" t="s">
        <v>174</v>
      </c>
      <c r="K794">
        <v>0</v>
      </c>
      <c r="L794" t="s">
        <v>504</v>
      </c>
      <c r="M794" t="s">
        <v>510</v>
      </c>
      <c r="N794" t="s">
        <v>511</v>
      </c>
      <c r="O794" t="s">
        <v>512</v>
      </c>
      <c r="P794" t="s">
        <v>2579</v>
      </c>
    </row>
    <row r="795" spans="1:16" x14ac:dyDescent="0.35">
      <c r="A795" t="s">
        <v>130</v>
      </c>
      <c r="B795">
        <v>1748464976</v>
      </c>
      <c r="C795" t="s">
        <v>18</v>
      </c>
      <c r="D795" t="s">
        <v>21</v>
      </c>
      <c r="E795" s="29">
        <v>46205</v>
      </c>
      <c r="F795" t="s">
        <v>4</v>
      </c>
      <c r="G795" s="28">
        <v>0.72430555555555554</v>
      </c>
      <c r="H795" s="28">
        <v>0.72430555555555554</v>
      </c>
      <c r="I795">
        <v>0</v>
      </c>
      <c r="J795" t="s">
        <v>174</v>
      </c>
      <c r="K795">
        <v>0</v>
      </c>
      <c r="L795" t="s">
        <v>2398</v>
      </c>
      <c r="M795" t="s">
        <v>505</v>
      </c>
      <c r="N795" t="s">
        <v>506</v>
      </c>
      <c r="O795" t="s">
        <v>507</v>
      </c>
      <c r="P795" t="s">
        <v>2132</v>
      </c>
    </row>
    <row r="796" spans="1:16" x14ac:dyDescent="0.35">
      <c r="A796" t="s">
        <v>130</v>
      </c>
      <c r="B796">
        <v>1748464976</v>
      </c>
      <c r="C796" t="s">
        <v>18</v>
      </c>
      <c r="D796" t="s">
        <v>21</v>
      </c>
      <c r="E796" s="29">
        <v>46205</v>
      </c>
      <c r="F796" t="s">
        <v>4</v>
      </c>
      <c r="G796" s="28">
        <v>0.73124999999999996</v>
      </c>
      <c r="H796" s="28">
        <v>0.73124999999999996</v>
      </c>
      <c r="I796">
        <v>0</v>
      </c>
      <c r="J796" t="s">
        <v>174</v>
      </c>
      <c r="K796">
        <v>0</v>
      </c>
      <c r="L796" t="s">
        <v>2740</v>
      </c>
      <c r="M796" t="s">
        <v>2590</v>
      </c>
      <c r="N796" t="s">
        <v>2591</v>
      </c>
      <c r="O796" t="s">
        <v>2511</v>
      </c>
      <c r="P796" t="s">
        <v>2592</v>
      </c>
    </row>
    <row r="797" spans="1:16" x14ac:dyDescent="0.35">
      <c r="A797" t="s">
        <v>130</v>
      </c>
      <c r="B797">
        <v>1748464976</v>
      </c>
      <c r="C797" t="s">
        <v>18</v>
      </c>
      <c r="D797" t="s">
        <v>21</v>
      </c>
      <c r="E797" s="29">
        <v>46205</v>
      </c>
      <c r="F797" t="s">
        <v>4</v>
      </c>
      <c r="G797" s="28">
        <v>0.73819444444444449</v>
      </c>
      <c r="H797" s="28">
        <v>0.73819444444444449</v>
      </c>
      <c r="I797">
        <v>0</v>
      </c>
      <c r="J797" t="s">
        <v>174</v>
      </c>
      <c r="K797">
        <v>0</v>
      </c>
      <c r="L797" t="s">
        <v>2218</v>
      </c>
      <c r="M797" t="s">
        <v>2741</v>
      </c>
      <c r="N797" t="s">
        <v>2742</v>
      </c>
      <c r="O797" t="s">
        <v>2743</v>
      </c>
      <c r="P797" t="s">
        <v>2744</v>
      </c>
    </row>
    <row r="798" spans="1:16" x14ac:dyDescent="0.35">
      <c r="A798" t="s">
        <v>130</v>
      </c>
      <c r="B798">
        <v>1748464976</v>
      </c>
      <c r="C798" t="s">
        <v>18</v>
      </c>
      <c r="D798" t="s">
        <v>21</v>
      </c>
      <c r="E798" s="29">
        <v>46205</v>
      </c>
      <c r="F798" t="s">
        <v>4</v>
      </c>
      <c r="G798" s="28">
        <v>0.74513888888888891</v>
      </c>
      <c r="H798" s="28">
        <v>0.74513888888888891</v>
      </c>
      <c r="I798">
        <v>0</v>
      </c>
      <c r="J798" t="s">
        <v>174</v>
      </c>
      <c r="K798">
        <v>0</v>
      </c>
      <c r="L798" t="s">
        <v>2745</v>
      </c>
      <c r="M798" t="s">
        <v>486</v>
      </c>
      <c r="N798" t="s">
        <v>487</v>
      </c>
      <c r="O798" t="s">
        <v>488</v>
      </c>
      <c r="P798" t="s">
        <v>2746</v>
      </c>
    </row>
    <row r="799" spans="1:16" x14ac:dyDescent="0.35">
      <c r="A799" t="s">
        <v>130</v>
      </c>
      <c r="B799">
        <v>1748464976</v>
      </c>
      <c r="C799" t="s">
        <v>18</v>
      </c>
      <c r="D799" t="s">
        <v>21</v>
      </c>
      <c r="E799" s="29">
        <v>46205</v>
      </c>
      <c r="F799" t="s">
        <v>4</v>
      </c>
      <c r="G799" s="28">
        <v>0.75208333333333333</v>
      </c>
      <c r="H799" s="28">
        <v>0.75208333333333333</v>
      </c>
      <c r="I799">
        <v>0</v>
      </c>
      <c r="J799" t="s">
        <v>174</v>
      </c>
      <c r="K799">
        <v>0</v>
      </c>
      <c r="L799" t="s">
        <v>2747</v>
      </c>
      <c r="M799" t="s">
        <v>2748</v>
      </c>
      <c r="N799" t="s">
        <v>2749</v>
      </c>
      <c r="O799" t="s">
        <v>2750</v>
      </c>
      <c r="P799" t="s">
        <v>2751</v>
      </c>
    </row>
    <row r="800" spans="1:16" x14ac:dyDescent="0.35">
      <c r="A800" t="s">
        <v>130</v>
      </c>
      <c r="B800">
        <v>1748464976</v>
      </c>
      <c r="C800" t="s">
        <v>18</v>
      </c>
      <c r="D800" t="s">
        <v>21</v>
      </c>
      <c r="E800" s="29">
        <v>46205</v>
      </c>
      <c r="F800" t="s">
        <v>4</v>
      </c>
      <c r="G800" s="28">
        <v>0.75902777777777775</v>
      </c>
      <c r="H800" s="28">
        <v>0.75902777777777775</v>
      </c>
      <c r="I800">
        <v>0</v>
      </c>
      <c r="J800" t="s">
        <v>174</v>
      </c>
      <c r="K800">
        <v>0</v>
      </c>
      <c r="L800" t="s">
        <v>404</v>
      </c>
      <c r="M800" t="s">
        <v>405</v>
      </c>
      <c r="N800" t="s">
        <v>406</v>
      </c>
      <c r="O800" t="s">
        <v>407</v>
      </c>
      <c r="P800" t="s">
        <v>2752</v>
      </c>
    </row>
    <row r="801" spans="1:16" x14ac:dyDescent="0.35">
      <c r="A801" t="s">
        <v>130</v>
      </c>
      <c r="B801">
        <v>1748464976</v>
      </c>
      <c r="C801" t="s">
        <v>18</v>
      </c>
      <c r="D801" t="s">
        <v>21</v>
      </c>
      <c r="E801" s="29">
        <v>46205</v>
      </c>
      <c r="F801" t="s">
        <v>4</v>
      </c>
      <c r="G801" s="28">
        <v>0.76597222222222228</v>
      </c>
      <c r="H801" s="28">
        <v>0.7729166666666667</v>
      </c>
      <c r="I801">
        <v>0</v>
      </c>
      <c r="J801" t="s">
        <v>146</v>
      </c>
      <c r="K801">
        <v>0</v>
      </c>
      <c r="L801" t="s">
        <v>147</v>
      </c>
      <c r="M801" t="s">
        <v>410</v>
      </c>
      <c r="N801" t="s">
        <v>411</v>
      </c>
      <c r="O801" t="s">
        <v>412</v>
      </c>
      <c r="P801" t="s">
        <v>2044</v>
      </c>
    </row>
    <row r="802" spans="1:16" x14ac:dyDescent="0.35">
      <c r="A802" t="s">
        <v>130</v>
      </c>
      <c r="B802">
        <v>1748464976</v>
      </c>
      <c r="C802" t="s">
        <v>18</v>
      </c>
      <c r="D802" t="s">
        <v>21</v>
      </c>
      <c r="E802" s="29">
        <v>46205</v>
      </c>
      <c r="F802" t="s">
        <v>4</v>
      </c>
      <c r="G802" s="28">
        <v>0.77986111111111112</v>
      </c>
      <c r="H802" s="28">
        <v>0.77986111111111112</v>
      </c>
      <c r="I802">
        <v>0</v>
      </c>
      <c r="J802" t="s">
        <v>174</v>
      </c>
      <c r="K802">
        <v>0</v>
      </c>
      <c r="L802" t="s">
        <v>1395</v>
      </c>
      <c r="M802" t="s">
        <v>2753</v>
      </c>
      <c r="N802" t="s">
        <v>2754</v>
      </c>
      <c r="O802" t="s">
        <v>2755</v>
      </c>
      <c r="P802" t="s">
        <v>2756</v>
      </c>
    </row>
    <row r="803" spans="1:16" x14ac:dyDescent="0.35">
      <c r="A803" t="s">
        <v>130</v>
      </c>
      <c r="B803">
        <v>1748464976</v>
      </c>
      <c r="C803" t="s">
        <v>18</v>
      </c>
      <c r="D803" t="s">
        <v>21</v>
      </c>
      <c r="E803" s="29">
        <v>46205</v>
      </c>
      <c r="F803" t="s">
        <v>4</v>
      </c>
      <c r="G803" s="28">
        <v>0.78680555555555554</v>
      </c>
      <c r="H803" s="28">
        <v>0.78680555555555554</v>
      </c>
      <c r="I803">
        <v>0</v>
      </c>
      <c r="J803" t="s">
        <v>174</v>
      </c>
      <c r="K803">
        <v>0</v>
      </c>
      <c r="L803" t="s">
        <v>2757</v>
      </c>
      <c r="M803" t="s">
        <v>2758</v>
      </c>
      <c r="N803" t="s">
        <v>2759</v>
      </c>
      <c r="O803" t="s">
        <v>2760</v>
      </c>
      <c r="P803" t="s">
        <v>2761</v>
      </c>
    </row>
    <row r="804" spans="1:16" x14ac:dyDescent="0.35">
      <c r="A804" t="s">
        <v>130</v>
      </c>
      <c r="B804">
        <v>1748464976</v>
      </c>
      <c r="C804" t="s">
        <v>18</v>
      </c>
      <c r="D804" t="s">
        <v>21</v>
      </c>
      <c r="E804" s="29">
        <v>46207</v>
      </c>
      <c r="F804" t="s">
        <v>5</v>
      </c>
      <c r="G804" s="28">
        <v>0.37708333333333333</v>
      </c>
      <c r="H804" s="28">
        <v>0.37708333333333333</v>
      </c>
      <c r="I804">
        <v>0</v>
      </c>
      <c r="J804" t="s">
        <v>174</v>
      </c>
      <c r="K804">
        <v>0</v>
      </c>
      <c r="L804" t="s">
        <v>1500</v>
      </c>
      <c r="M804" t="s">
        <v>580</v>
      </c>
      <c r="N804" t="s">
        <v>581</v>
      </c>
      <c r="O804" t="s">
        <v>582</v>
      </c>
      <c r="P804" t="s">
        <v>2530</v>
      </c>
    </row>
    <row r="805" spans="1:16" x14ac:dyDescent="0.35">
      <c r="A805" t="s">
        <v>130</v>
      </c>
      <c r="B805">
        <v>1748464976</v>
      </c>
      <c r="C805" t="s">
        <v>18</v>
      </c>
      <c r="D805" t="s">
        <v>21</v>
      </c>
      <c r="E805" s="29">
        <v>46207</v>
      </c>
      <c r="F805" t="s">
        <v>5</v>
      </c>
      <c r="G805" s="28">
        <v>0.3840277777777778</v>
      </c>
      <c r="H805" s="28">
        <v>0.3840277777777778</v>
      </c>
      <c r="I805">
        <v>0</v>
      </c>
      <c r="J805" t="s">
        <v>174</v>
      </c>
      <c r="K805">
        <v>0</v>
      </c>
      <c r="L805" t="s">
        <v>2762</v>
      </c>
      <c r="M805" t="s">
        <v>2763</v>
      </c>
      <c r="N805" t="s">
        <v>2764</v>
      </c>
      <c r="O805" t="s">
        <v>2765</v>
      </c>
      <c r="P805" t="s">
        <v>2766</v>
      </c>
    </row>
    <row r="806" spans="1:16" x14ac:dyDescent="0.35">
      <c r="A806" t="s">
        <v>130</v>
      </c>
      <c r="B806">
        <v>1748464976</v>
      </c>
      <c r="C806" t="s">
        <v>18</v>
      </c>
      <c r="D806" t="s">
        <v>21</v>
      </c>
      <c r="E806" s="29">
        <v>46207</v>
      </c>
      <c r="F806" t="s">
        <v>5</v>
      </c>
      <c r="G806" s="28">
        <v>0.39097222222222222</v>
      </c>
      <c r="H806" s="28">
        <v>0.39097222222222222</v>
      </c>
      <c r="I806">
        <v>0</v>
      </c>
      <c r="J806" t="s">
        <v>174</v>
      </c>
      <c r="K806">
        <v>0</v>
      </c>
      <c r="L806" t="s">
        <v>2767</v>
      </c>
      <c r="M806" t="s">
        <v>2768</v>
      </c>
      <c r="N806" t="s">
        <v>2769</v>
      </c>
      <c r="O806" t="s">
        <v>2770</v>
      </c>
      <c r="P806" t="s">
        <v>2771</v>
      </c>
    </row>
    <row r="807" spans="1:16" x14ac:dyDescent="0.35">
      <c r="A807" t="s">
        <v>130</v>
      </c>
      <c r="B807">
        <v>1748464976</v>
      </c>
      <c r="C807" t="s">
        <v>18</v>
      </c>
      <c r="D807" t="s">
        <v>21</v>
      </c>
      <c r="E807" s="29">
        <v>46207</v>
      </c>
      <c r="F807" t="s">
        <v>5</v>
      </c>
      <c r="G807" s="28">
        <v>0.39791666666666664</v>
      </c>
      <c r="H807" s="28">
        <v>0.39791666666666664</v>
      </c>
      <c r="I807">
        <v>0</v>
      </c>
      <c r="J807" t="s">
        <v>174</v>
      </c>
      <c r="K807">
        <v>0</v>
      </c>
      <c r="L807" t="s">
        <v>2772</v>
      </c>
      <c r="M807" t="s">
        <v>2773</v>
      </c>
      <c r="N807" t="s">
        <v>2774</v>
      </c>
      <c r="O807" t="s">
        <v>2775</v>
      </c>
      <c r="P807" t="s">
        <v>2776</v>
      </c>
    </row>
    <row r="808" spans="1:16" x14ac:dyDescent="0.35">
      <c r="A808" t="s">
        <v>130</v>
      </c>
      <c r="B808">
        <v>1748464976</v>
      </c>
      <c r="C808" t="s">
        <v>18</v>
      </c>
      <c r="D808" t="s">
        <v>21</v>
      </c>
      <c r="E808" s="29">
        <v>46207</v>
      </c>
      <c r="F808" t="s">
        <v>5</v>
      </c>
      <c r="G808" s="28">
        <v>0.40486111111111112</v>
      </c>
      <c r="H808" s="28">
        <v>0.40486111111111112</v>
      </c>
      <c r="I808">
        <v>0</v>
      </c>
      <c r="J808" t="s">
        <v>174</v>
      </c>
      <c r="K808">
        <v>0</v>
      </c>
      <c r="L808" t="s">
        <v>2777</v>
      </c>
      <c r="M808" t="s">
        <v>2778</v>
      </c>
      <c r="N808" t="s">
        <v>2779</v>
      </c>
      <c r="O808" t="s">
        <v>2780</v>
      </c>
      <c r="P808" t="s">
        <v>2543</v>
      </c>
    </row>
    <row r="809" spans="1:16" x14ac:dyDescent="0.35">
      <c r="A809" t="s">
        <v>130</v>
      </c>
      <c r="B809">
        <v>1748464976</v>
      </c>
      <c r="C809" t="s">
        <v>18</v>
      </c>
      <c r="D809" t="s">
        <v>21</v>
      </c>
      <c r="E809" s="29">
        <v>46207</v>
      </c>
      <c r="F809" t="s">
        <v>5</v>
      </c>
      <c r="G809" s="28">
        <v>0.41180555555555554</v>
      </c>
      <c r="H809" s="28">
        <v>0.41875000000000001</v>
      </c>
      <c r="I809">
        <v>0</v>
      </c>
      <c r="J809" t="s">
        <v>146</v>
      </c>
      <c r="K809">
        <v>1</v>
      </c>
      <c r="L809" t="s">
        <v>147</v>
      </c>
      <c r="M809" t="s">
        <v>2781</v>
      </c>
      <c r="N809" t="s">
        <v>2782</v>
      </c>
      <c r="O809" t="s">
        <v>2783</v>
      </c>
      <c r="P809" t="s">
        <v>2784</v>
      </c>
    </row>
    <row r="810" spans="1:16" x14ac:dyDescent="0.35">
      <c r="A810" t="s">
        <v>130</v>
      </c>
      <c r="B810">
        <v>1748464976</v>
      </c>
      <c r="C810" t="s">
        <v>18</v>
      </c>
      <c r="D810" t="s">
        <v>21</v>
      </c>
      <c r="E810" s="29">
        <v>46207</v>
      </c>
      <c r="F810" t="s">
        <v>5</v>
      </c>
      <c r="G810" s="28">
        <v>0.42569444444444443</v>
      </c>
      <c r="H810" s="28">
        <v>0.42569444444444443</v>
      </c>
      <c r="I810">
        <v>0</v>
      </c>
      <c r="J810" t="s">
        <v>174</v>
      </c>
      <c r="K810">
        <v>0</v>
      </c>
      <c r="L810" t="s">
        <v>2785</v>
      </c>
      <c r="M810" t="s">
        <v>2731</v>
      </c>
      <c r="N810" t="s">
        <v>2732</v>
      </c>
      <c r="O810" t="s">
        <v>2733</v>
      </c>
      <c r="P810" t="s">
        <v>2734</v>
      </c>
    </row>
    <row r="811" spans="1:16" x14ac:dyDescent="0.35">
      <c r="A811" t="s">
        <v>130</v>
      </c>
      <c r="B811">
        <v>1748464976</v>
      </c>
      <c r="C811" t="s">
        <v>18</v>
      </c>
      <c r="D811" t="s">
        <v>21</v>
      </c>
      <c r="E811" s="29">
        <v>46207</v>
      </c>
      <c r="F811" t="s">
        <v>5</v>
      </c>
      <c r="G811" s="28">
        <v>0.43263888888888891</v>
      </c>
      <c r="H811" s="28">
        <v>0.43263888888888891</v>
      </c>
      <c r="I811">
        <v>0</v>
      </c>
      <c r="J811" t="s">
        <v>174</v>
      </c>
      <c r="K811">
        <v>0</v>
      </c>
      <c r="L811" t="s">
        <v>2786</v>
      </c>
      <c r="M811" t="s">
        <v>2642</v>
      </c>
      <c r="N811" t="s">
        <v>2787</v>
      </c>
      <c r="O811" t="s">
        <v>2788</v>
      </c>
      <c r="P811" t="s">
        <v>2789</v>
      </c>
    </row>
    <row r="812" spans="1:16" x14ac:dyDescent="0.35">
      <c r="A812" t="s">
        <v>130</v>
      </c>
      <c r="B812">
        <v>1748464976</v>
      </c>
      <c r="C812" t="s">
        <v>18</v>
      </c>
      <c r="D812" t="s">
        <v>21</v>
      </c>
      <c r="E812" s="29">
        <v>46207</v>
      </c>
      <c r="F812" t="s">
        <v>5</v>
      </c>
      <c r="G812" s="28">
        <v>0.43958333333333333</v>
      </c>
      <c r="H812" s="28">
        <v>0.4465277777777778</v>
      </c>
      <c r="I812">
        <v>0</v>
      </c>
      <c r="J812" t="s">
        <v>146</v>
      </c>
      <c r="K812">
        <v>1</v>
      </c>
      <c r="L812" t="s">
        <v>147</v>
      </c>
      <c r="M812" t="s">
        <v>2790</v>
      </c>
      <c r="N812" t="s">
        <v>2791</v>
      </c>
      <c r="O812" t="s">
        <v>2792</v>
      </c>
      <c r="P812" t="s">
        <v>2793</v>
      </c>
    </row>
    <row r="813" spans="1:16" x14ac:dyDescent="0.35">
      <c r="A813" t="s">
        <v>130</v>
      </c>
      <c r="B813">
        <v>1748464976</v>
      </c>
      <c r="C813" t="s">
        <v>18</v>
      </c>
      <c r="D813" t="s">
        <v>21</v>
      </c>
      <c r="E813" s="29">
        <v>46207</v>
      </c>
      <c r="F813" t="s">
        <v>5</v>
      </c>
      <c r="G813" s="28">
        <v>0.45347222222222222</v>
      </c>
      <c r="H813" s="28">
        <v>0.45347222222222222</v>
      </c>
      <c r="I813">
        <v>0</v>
      </c>
      <c r="J813" t="s">
        <v>174</v>
      </c>
      <c r="K813">
        <v>0</v>
      </c>
      <c r="L813" t="s">
        <v>2794</v>
      </c>
      <c r="M813" t="s">
        <v>2642</v>
      </c>
      <c r="N813" t="s">
        <v>2787</v>
      </c>
      <c r="O813" t="s">
        <v>2788</v>
      </c>
      <c r="P813" t="s">
        <v>2789</v>
      </c>
    </row>
    <row r="814" spans="1:16" x14ac:dyDescent="0.35">
      <c r="A814" t="s">
        <v>130</v>
      </c>
      <c r="B814">
        <v>1748464976</v>
      </c>
      <c r="C814" t="s">
        <v>18</v>
      </c>
      <c r="D814" t="s">
        <v>21</v>
      </c>
      <c r="E814" s="29">
        <v>46207</v>
      </c>
      <c r="F814" t="s">
        <v>5</v>
      </c>
      <c r="G814" s="28">
        <v>0.46041666666666664</v>
      </c>
      <c r="H814" s="28">
        <v>0.46041666666666664</v>
      </c>
      <c r="I814">
        <v>0</v>
      </c>
      <c r="J814" t="s">
        <v>174</v>
      </c>
      <c r="K814">
        <v>0</v>
      </c>
      <c r="L814" t="s">
        <v>600</v>
      </c>
      <c r="M814" t="s">
        <v>2717</v>
      </c>
      <c r="N814" t="s">
        <v>2718</v>
      </c>
      <c r="O814" t="s">
        <v>2719</v>
      </c>
      <c r="P814" t="s">
        <v>2720</v>
      </c>
    </row>
    <row r="815" spans="1:16" x14ac:dyDescent="0.35">
      <c r="A815" t="s">
        <v>130</v>
      </c>
      <c r="B815">
        <v>1748464976</v>
      </c>
      <c r="C815" t="s">
        <v>18</v>
      </c>
      <c r="D815" t="s">
        <v>21</v>
      </c>
      <c r="E815" s="29">
        <v>46207</v>
      </c>
      <c r="F815" t="s">
        <v>5</v>
      </c>
      <c r="G815" s="28">
        <v>0.46736111111111112</v>
      </c>
      <c r="H815" s="28">
        <v>0.46736111111111112</v>
      </c>
      <c r="I815">
        <v>0</v>
      </c>
      <c r="J815" t="s">
        <v>174</v>
      </c>
      <c r="K815">
        <v>0</v>
      </c>
      <c r="L815" t="s">
        <v>2309</v>
      </c>
      <c r="M815" t="s">
        <v>2795</v>
      </c>
      <c r="N815" t="s">
        <v>2796</v>
      </c>
      <c r="O815" t="s">
        <v>2797</v>
      </c>
      <c r="P815" t="s">
        <v>2798</v>
      </c>
    </row>
    <row r="816" spans="1:16" x14ac:dyDescent="0.35">
      <c r="A816" t="s">
        <v>130</v>
      </c>
      <c r="B816">
        <v>1748464976</v>
      </c>
      <c r="C816" t="s">
        <v>18</v>
      </c>
      <c r="D816" t="s">
        <v>21</v>
      </c>
      <c r="E816" s="29">
        <v>46207</v>
      </c>
      <c r="F816" t="s">
        <v>5</v>
      </c>
      <c r="G816" s="28">
        <v>0.48125000000000001</v>
      </c>
      <c r="H816" s="28">
        <v>0.54374999999999996</v>
      </c>
      <c r="I816">
        <v>2</v>
      </c>
      <c r="J816" t="s">
        <v>146</v>
      </c>
      <c r="K816">
        <v>4</v>
      </c>
      <c r="L816" t="s">
        <v>147</v>
      </c>
      <c r="M816" t="s">
        <v>2799</v>
      </c>
      <c r="N816" t="s">
        <v>2800</v>
      </c>
      <c r="O816" t="s">
        <v>2801</v>
      </c>
      <c r="P816" t="s">
        <v>2802</v>
      </c>
    </row>
    <row r="817" spans="1:16" x14ac:dyDescent="0.35">
      <c r="A817" t="s">
        <v>130</v>
      </c>
      <c r="B817">
        <v>1748464976</v>
      </c>
      <c r="C817" t="s">
        <v>18</v>
      </c>
      <c r="D817" t="s">
        <v>21</v>
      </c>
      <c r="E817" s="29">
        <v>46207</v>
      </c>
      <c r="F817" t="s">
        <v>5</v>
      </c>
      <c r="G817" s="28">
        <v>0.55069444444444449</v>
      </c>
      <c r="H817" s="28">
        <v>0.55069444444444449</v>
      </c>
      <c r="I817">
        <v>0</v>
      </c>
      <c r="J817" t="s">
        <v>174</v>
      </c>
      <c r="K817">
        <v>0</v>
      </c>
      <c r="L817" t="s">
        <v>2803</v>
      </c>
      <c r="M817" t="s">
        <v>2804</v>
      </c>
      <c r="N817" t="s">
        <v>2805</v>
      </c>
      <c r="O817" t="s">
        <v>2806</v>
      </c>
      <c r="P817" t="s">
        <v>2807</v>
      </c>
    </row>
    <row r="818" spans="1:16" x14ac:dyDescent="0.35">
      <c r="A818" t="s">
        <v>130</v>
      </c>
      <c r="B818">
        <v>1748464976</v>
      </c>
      <c r="C818" t="s">
        <v>18</v>
      </c>
      <c r="D818" t="s">
        <v>21</v>
      </c>
      <c r="E818" s="29">
        <v>46207</v>
      </c>
      <c r="F818" t="s">
        <v>5</v>
      </c>
      <c r="G818" s="28">
        <v>0.55763888888888891</v>
      </c>
      <c r="H818" s="28">
        <v>0.55763888888888891</v>
      </c>
      <c r="I818">
        <v>0</v>
      </c>
      <c r="J818" t="s">
        <v>174</v>
      </c>
      <c r="K818">
        <v>0</v>
      </c>
      <c r="L818" t="s">
        <v>2808</v>
      </c>
      <c r="M818" t="s">
        <v>2809</v>
      </c>
      <c r="N818" t="s">
        <v>2810</v>
      </c>
      <c r="O818" t="s">
        <v>2811</v>
      </c>
      <c r="P818" t="s">
        <v>2812</v>
      </c>
    </row>
    <row r="819" spans="1:16" x14ac:dyDescent="0.35">
      <c r="A819" t="s">
        <v>130</v>
      </c>
      <c r="B819">
        <v>1748464976</v>
      </c>
      <c r="C819" t="s">
        <v>18</v>
      </c>
      <c r="D819" t="s">
        <v>21</v>
      </c>
      <c r="E819" s="29">
        <v>46207</v>
      </c>
      <c r="F819" t="s">
        <v>5</v>
      </c>
      <c r="G819" s="28">
        <v>0.56458333333333333</v>
      </c>
      <c r="H819" s="28">
        <v>0.56458333333333333</v>
      </c>
      <c r="I819">
        <v>0</v>
      </c>
      <c r="J819" t="s">
        <v>174</v>
      </c>
      <c r="K819">
        <v>0</v>
      </c>
      <c r="L819" t="s">
        <v>2813</v>
      </c>
      <c r="M819" t="s">
        <v>2814</v>
      </c>
      <c r="N819" t="s">
        <v>2815</v>
      </c>
      <c r="O819" t="s">
        <v>2816</v>
      </c>
      <c r="P819" t="s">
        <v>2817</v>
      </c>
    </row>
    <row r="820" spans="1:16" x14ac:dyDescent="0.35">
      <c r="A820" t="s">
        <v>130</v>
      </c>
      <c r="B820">
        <v>1748464976</v>
      </c>
      <c r="C820" t="s">
        <v>18</v>
      </c>
      <c r="D820" t="s">
        <v>21</v>
      </c>
      <c r="E820" s="29">
        <v>46207</v>
      </c>
      <c r="F820" t="s">
        <v>5</v>
      </c>
      <c r="G820" s="28">
        <v>0.57152777777777775</v>
      </c>
      <c r="H820" s="28">
        <v>0.57152777777777775</v>
      </c>
      <c r="I820">
        <v>0</v>
      </c>
      <c r="J820" t="s">
        <v>174</v>
      </c>
      <c r="K820">
        <v>0</v>
      </c>
      <c r="L820" t="s">
        <v>2818</v>
      </c>
      <c r="M820" t="s">
        <v>2819</v>
      </c>
      <c r="N820" t="s">
        <v>2820</v>
      </c>
      <c r="O820" t="s">
        <v>2811</v>
      </c>
      <c r="P820" t="s">
        <v>2821</v>
      </c>
    </row>
    <row r="821" spans="1:16" x14ac:dyDescent="0.35">
      <c r="A821" t="s">
        <v>130</v>
      </c>
      <c r="B821">
        <v>1748464976</v>
      </c>
      <c r="C821" t="s">
        <v>18</v>
      </c>
      <c r="D821" t="s">
        <v>21</v>
      </c>
      <c r="E821" s="29">
        <v>46207</v>
      </c>
      <c r="F821" t="s">
        <v>5</v>
      </c>
      <c r="G821" s="28">
        <v>0.57847222222222228</v>
      </c>
      <c r="H821" s="28">
        <v>0.57847222222222228</v>
      </c>
      <c r="I821">
        <v>0</v>
      </c>
      <c r="J821" t="s">
        <v>174</v>
      </c>
      <c r="K821">
        <v>0</v>
      </c>
      <c r="L821" t="s">
        <v>247</v>
      </c>
      <c r="M821" t="s">
        <v>2822</v>
      </c>
      <c r="N821" t="s">
        <v>2823</v>
      </c>
      <c r="O821" t="s">
        <v>2824</v>
      </c>
      <c r="P821" t="s">
        <v>2825</v>
      </c>
    </row>
    <row r="822" spans="1:16" x14ac:dyDescent="0.35">
      <c r="A822" t="s">
        <v>130</v>
      </c>
      <c r="B822">
        <v>1748464976</v>
      </c>
      <c r="C822" t="s">
        <v>18</v>
      </c>
      <c r="D822" t="s">
        <v>21</v>
      </c>
      <c r="E822" s="29">
        <v>46207</v>
      </c>
      <c r="F822" t="s">
        <v>5</v>
      </c>
      <c r="G822" s="28">
        <v>0.5854166666666667</v>
      </c>
      <c r="H822" s="28">
        <v>0.5854166666666667</v>
      </c>
      <c r="I822">
        <v>0</v>
      </c>
      <c r="J822" t="s">
        <v>174</v>
      </c>
      <c r="K822">
        <v>0</v>
      </c>
      <c r="L822" t="s">
        <v>2826</v>
      </c>
      <c r="M822" t="s">
        <v>2827</v>
      </c>
      <c r="N822" t="s">
        <v>2828</v>
      </c>
      <c r="O822" t="s">
        <v>2829</v>
      </c>
      <c r="P822" t="s">
        <v>2830</v>
      </c>
    </row>
    <row r="823" spans="1:16" x14ac:dyDescent="0.35">
      <c r="A823" t="s">
        <v>130</v>
      </c>
      <c r="B823">
        <v>1748464976</v>
      </c>
      <c r="C823" t="s">
        <v>18</v>
      </c>
      <c r="D823" t="s">
        <v>21</v>
      </c>
      <c r="E823" s="29">
        <v>46207</v>
      </c>
      <c r="F823" t="s">
        <v>5</v>
      </c>
      <c r="G823" s="28">
        <v>0.59236111111111112</v>
      </c>
      <c r="H823" s="28">
        <v>0.61319444444444449</v>
      </c>
      <c r="I823">
        <v>1</v>
      </c>
      <c r="J823" t="s">
        <v>146</v>
      </c>
      <c r="K823">
        <v>2</v>
      </c>
      <c r="L823" t="s">
        <v>147</v>
      </c>
      <c r="M823" t="s">
        <v>2831</v>
      </c>
      <c r="N823" t="s">
        <v>2832</v>
      </c>
      <c r="O823" t="s">
        <v>2833</v>
      </c>
      <c r="P823" t="s">
        <v>2834</v>
      </c>
    </row>
    <row r="824" spans="1:16" x14ac:dyDescent="0.35">
      <c r="A824" t="s">
        <v>130</v>
      </c>
      <c r="B824">
        <v>1748464976</v>
      </c>
      <c r="C824" t="s">
        <v>18</v>
      </c>
      <c r="D824" t="s">
        <v>21</v>
      </c>
      <c r="E824" s="29">
        <v>46207</v>
      </c>
      <c r="F824" t="s">
        <v>5</v>
      </c>
      <c r="G824" s="28">
        <v>0.62013888888888891</v>
      </c>
      <c r="H824" s="28">
        <v>0.63402777777777775</v>
      </c>
      <c r="I824">
        <v>0</v>
      </c>
      <c r="J824" t="s">
        <v>146</v>
      </c>
      <c r="K824">
        <v>1</v>
      </c>
      <c r="L824" t="s">
        <v>147</v>
      </c>
      <c r="M824" t="s">
        <v>2835</v>
      </c>
      <c r="N824" t="s">
        <v>2836</v>
      </c>
      <c r="O824" t="s">
        <v>2837</v>
      </c>
      <c r="P824" t="s">
        <v>2720</v>
      </c>
    </row>
    <row r="825" spans="1:16" x14ac:dyDescent="0.35">
      <c r="A825" t="s">
        <v>130</v>
      </c>
      <c r="B825">
        <v>1748464976</v>
      </c>
      <c r="C825" t="s">
        <v>18</v>
      </c>
      <c r="D825" t="s">
        <v>21</v>
      </c>
      <c r="E825" s="29">
        <v>46207</v>
      </c>
      <c r="F825" t="s">
        <v>5</v>
      </c>
      <c r="G825" s="28">
        <v>0.64097222222222228</v>
      </c>
      <c r="H825" s="28">
        <v>0.6479166666666667</v>
      </c>
      <c r="I825">
        <v>0</v>
      </c>
      <c r="J825" t="s">
        <v>146</v>
      </c>
      <c r="K825">
        <v>0</v>
      </c>
      <c r="L825" t="s">
        <v>147</v>
      </c>
      <c r="M825" t="s">
        <v>2838</v>
      </c>
      <c r="N825" t="s">
        <v>2839</v>
      </c>
      <c r="O825" t="s">
        <v>2840</v>
      </c>
      <c r="P825" t="s">
        <v>2841</v>
      </c>
    </row>
    <row r="826" spans="1:16" x14ac:dyDescent="0.35">
      <c r="A826" t="s">
        <v>130</v>
      </c>
      <c r="B826">
        <v>1748464976</v>
      </c>
      <c r="C826" t="s">
        <v>18</v>
      </c>
      <c r="D826" t="s">
        <v>21</v>
      </c>
      <c r="E826" s="29">
        <v>46207</v>
      </c>
      <c r="F826" t="s">
        <v>5</v>
      </c>
      <c r="G826" s="28">
        <v>0.65486111111111112</v>
      </c>
      <c r="H826" s="28">
        <v>0.65486111111111112</v>
      </c>
      <c r="I826">
        <v>0</v>
      </c>
      <c r="J826" t="s">
        <v>174</v>
      </c>
      <c r="K826">
        <v>0</v>
      </c>
      <c r="L826" t="s">
        <v>2842</v>
      </c>
      <c r="M826" t="s">
        <v>2843</v>
      </c>
      <c r="N826" t="s">
        <v>2844</v>
      </c>
      <c r="O826" t="s">
        <v>2845</v>
      </c>
      <c r="P826" t="s">
        <v>2846</v>
      </c>
    </row>
    <row r="827" spans="1:16" x14ac:dyDescent="0.35">
      <c r="A827" t="s">
        <v>130</v>
      </c>
      <c r="B827">
        <v>1748464976</v>
      </c>
      <c r="C827" t="s">
        <v>18</v>
      </c>
      <c r="D827" t="s">
        <v>21</v>
      </c>
      <c r="E827" s="29">
        <v>46207</v>
      </c>
      <c r="F827" t="s">
        <v>5</v>
      </c>
      <c r="G827" s="28">
        <v>0.66180555555555554</v>
      </c>
      <c r="H827" s="28">
        <v>0.67569444444444449</v>
      </c>
      <c r="I827">
        <v>0</v>
      </c>
      <c r="J827" t="s">
        <v>146</v>
      </c>
      <c r="K827">
        <v>1</v>
      </c>
      <c r="L827" t="s">
        <v>147</v>
      </c>
      <c r="M827" t="s">
        <v>2847</v>
      </c>
      <c r="N827" t="s">
        <v>2848</v>
      </c>
      <c r="O827" t="s">
        <v>2849</v>
      </c>
      <c r="P827" t="s">
        <v>2850</v>
      </c>
    </row>
    <row r="828" spans="1:16" x14ac:dyDescent="0.35">
      <c r="A828" t="s">
        <v>130</v>
      </c>
      <c r="B828">
        <v>1748464976</v>
      </c>
      <c r="C828" t="s">
        <v>18</v>
      </c>
      <c r="D828" t="s">
        <v>21</v>
      </c>
      <c r="E828" s="29">
        <v>46207</v>
      </c>
      <c r="F828" t="s">
        <v>5</v>
      </c>
      <c r="G828" s="28">
        <v>0.68263888888888891</v>
      </c>
      <c r="H828" s="28">
        <v>0.68263888888888891</v>
      </c>
      <c r="I828">
        <v>0</v>
      </c>
      <c r="J828" t="s">
        <v>174</v>
      </c>
      <c r="K828">
        <v>0</v>
      </c>
      <c r="L828" t="s">
        <v>2851</v>
      </c>
      <c r="M828" t="s">
        <v>2852</v>
      </c>
      <c r="N828" t="s">
        <v>2853</v>
      </c>
      <c r="O828" t="s">
        <v>2277</v>
      </c>
      <c r="P828" t="s">
        <v>2854</v>
      </c>
    </row>
    <row r="829" spans="1:16" x14ac:dyDescent="0.35">
      <c r="A829" t="s">
        <v>130</v>
      </c>
      <c r="B829">
        <v>1748464976</v>
      </c>
      <c r="C829" t="s">
        <v>18</v>
      </c>
      <c r="D829" t="s">
        <v>21</v>
      </c>
      <c r="E829" s="29">
        <v>46207</v>
      </c>
      <c r="F829" t="s">
        <v>5</v>
      </c>
      <c r="G829" s="28">
        <v>0.68958333333333333</v>
      </c>
      <c r="H829" s="28">
        <v>0.68958333333333333</v>
      </c>
      <c r="I829">
        <v>0</v>
      </c>
      <c r="J829" t="s">
        <v>174</v>
      </c>
      <c r="K829">
        <v>0</v>
      </c>
      <c r="L829" t="s">
        <v>2855</v>
      </c>
      <c r="M829" t="s">
        <v>2731</v>
      </c>
      <c r="N829" t="s">
        <v>2732</v>
      </c>
      <c r="O829" t="s">
        <v>2733</v>
      </c>
      <c r="P829" t="s">
        <v>2734</v>
      </c>
    </row>
    <row r="830" spans="1:16" x14ac:dyDescent="0.35">
      <c r="A830" t="s">
        <v>130</v>
      </c>
      <c r="B830">
        <v>1748464976</v>
      </c>
      <c r="C830" t="s">
        <v>18</v>
      </c>
      <c r="D830" t="s">
        <v>21</v>
      </c>
      <c r="E830" s="29">
        <v>46207</v>
      </c>
      <c r="F830" t="s">
        <v>5</v>
      </c>
      <c r="G830" s="28">
        <v>0.69652777777777775</v>
      </c>
      <c r="H830" s="28">
        <v>0.69652777777777775</v>
      </c>
      <c r="I830">
        <v>0</v>
      </c>
      <c r="J830" t="s">
        <v>174</v>
      </c>
      <c r="K830">
        <v>0</v>
      </c>
      <c r="L830" t="s">
        <v>2856</v>
      </c>
      <c r="M830" t="s">
        <v>2857</v>
      </c>
      <c r="N830" t="s">
        <v>2858</v>
      </c>
      <c r="O830" t="s">
        <v>2859</v>
      </c>
      <c r="P830" t="s">
        <v>2552</v>
      </c>
    </row>
    <row r="831" spans="1:16" x14ac:dyDescent="0.35">
      <c r="A831" t="s">
        <v>130</v>
      </c>
      <c r="B831">
        <v>1748464976</v>
      </c>
      <c r="C831" t="s">
        <v>18</v>
      </c>
      <c r="D831" t="s">
        <v>21</v>
      </c>
      <c r="E831" s="29">
        <v>46207</v>
      </c>
      <c r="F831" t="s">
        <v>5</v>
      </c>
      <c r="G831" s="28">
        <v>0.70347222222222228</v>
      </c>
      <c r="H831" s="28">
        <v>0.70347222222222228</v>
      </c>
      <c r="I831">
        <v>0</v>
      </c>
      <c r="J831" t="s">
        <v>174</v>
      </c>
      <c r="K831">
        <v>0</v>
      </c>
      <c r="L831" t="s">
        <v>2860</v>
      </c>
      <c r="M831" t="s">
        <v>2575</v>
      </c>
      <c r="N831" t="s">
        <v>2576</v>
      </c>
      <c r="O831" t="s">
        <v>2577</v>
      </c>
      <c r="P831" t="s">
        <v>518</v>
      </c>
    </row>
    <row r="832" spans="1:16" x14ac:dyDescent="0.35">
      <c r="A832" t="s">
        <v>130</v>
      </c>
      <c r="B832">
        <v>1748464976</v>
      </c>
      <c r="C832" t="s">
        <v>18</v>
      </c>
      <c r="D832" t="s">
        <v>21</v>
      </c>
      <c r="E832" s="29">
        <v>46207</v>
      </c>
      <c r="F832" t="s">
        <v>5</v>
      </c>
      <c r="G832" s="28">
        <v>0.7104166666666667</v>
      </c>
      <c r="H832" s="28">
        <v>0.7104166666666667</v>
      </c>
      <c r="I832">
        <v>0</v>
      </c>
      <c r="J832" t="s">
        <v>174</v>
      </c>
      <c r="K832">
        <v>0</v>
      </c>
      <c r="L832" t="s">
        <v>2861</v>
      </c>
      <c r="M832" t="s">
        <v>2862</v>
      </c>
      <c r="N832" t="s">
        <v>2863</v>
      </c>
      <c r="O832" t="s">
        <v>2864</v>
      </c>
      <c r="P832" t="s">
        <v>2865</v>
      </c>
    </row>
    <row r="833" spans="1:16" x14ac:dyDescent="0.35">
      <c r="A833" t="s">
        <v>130</v>
      </c>
      <c r="B833">
        <v>1748464976</v>
      </c>
      <c r="C833" t="s">
        <v>18</v>
      </c>
      <c r="D833" t="s">
        <v>21</v>
      </c>
      <c r="E833" s="29">
        <v>46207</v>
      </c>
      <c r="F833" t="s">
        <v>5</v>
      </c>
      <c r="G833" s="28">
        <v>0.71736111111111112</v>
      </c>
      <c r="H833" s="28">
        <v>0.72430555555555554</v>
      </c>
      <c r="I833">
        <v>0</v>
      </c>
      <c r="J833" t="s">
        <v>146</v>
      </c>
      <c r="K833">
        <v>0</v>
      </c>
      <c r="L833" t="s">
        <v>147</v>
      </c>
      <c r="M833" t="s">
        <v>2778</v>
      </c>
      <c r="N833" t="s">
        <v>2779</v>
      </c>
      <c r="O833" t="s">
        <v>2780</v>
      </c>
      <c r="P833" t="s">
        <v>2543</v>
      </c>
    </row>
    <row r="834" spans="1:16" x14ac:dyDescent="0.35">
      <c r="A834" t="s">
        <v>130</v>
      </c>
      <c r="B834">
        <v>1748464976</v>
      </c>
      <c r="C834" t="s">
        <v>18</v>
      </c>
      <c r="D834" t="s">
        <v>21</v>
      </c>
      <c r="E834" s="29">
        <v>46207</v>
      </c>
      <c r="F834" t="s">
        <v>5</v>
      </c>
      <c r="G834" s="28">
        <v>0.73124999999999996</v>
      </c>
      <c r="H834" s="28">
        <v>0.73124999999999996</v>
      </c>
      <c r="I834">
        <v>0</v>
      </c>
      <c r="J834" t="s">
        <v>174</v>
      </c>
      <c r="K834">
        <v>0</v>
      </c>
      <c r="L834" t="s">
        <v>574</v>
      </c>
      <c r="M834" t="s">
        <v>2866</v>
      </c>
      <c r="N834" t="s">
        <v>2867</v>
      </c>
      <c r="O834" t="s">
        <v>2868</v>
      </c>
      <c r="P834" t="s">
        <v>2869</v>
      </c>
    </row>
    <row r="835" spans="1:16" x14ac:dyDescent="0.35">
      <c r="A835" t="s">
        <v>130</v>
      </c>
      <c r="B835">
        <v>1748464976</v>
      </c>
      <c r="C835" t="s">
        <v>18</v>
      </c>
      <c r="D835" t="s">
        <v>21</v>
      </c>
      <c r="E835" s="29">
        <v>46207</v>
      </c>
      <c r="F835" t="s">
        <v>5</v>
      </c>
      <c r="G835" s="28">
        <v>0.73819444444444449</v>
      </c>
      <c r="H835" s="28">
        <v>0.74513888888888891</v>
      </c>
      <c r="I835">
        <v>0</v>
      </c>
      <c r="J835" t="s">
        <v>146</v>
      </c>
      <c r="K835">
        <v>0</v>
      </c>
      <c r="L835" t="s">
        <v>147</v>
      </c>
      <c r="M835" t="s">
        <v>380</v>
      </c>
      <c r="N835" t="s">
        <v>381</v>
      </c>
      <c r="O835" t="s">
        <v>382</v>
      </c>
      <c r="P835" t="s">
        <v>2622</v>
      </c>
    </row>
    <row r="836" spans="1:16" x14ac:dyDescent="0.35">
      <c r="A836" t="s">
        <v>130</v>
      </c>
      <c r="B836">
        <v>1748464976</v>
      </c>
      <c r="C836" t="s">
        <v>18</v>
      </c>
      <c r="D836" t="s">
        <v>21</v>
      </c>
      <c r="E836" s="29">
        <v>46207</v>
      </c>
      <c r="F836" t="s">
        <v>5</v>
      </c>
      <c r="G836" s="28">
        <v>0.75208333333333333</v>
      </c>
      <c r="H836" s="28">
        <v>0.7729166666666667</v>
      </c>
      <c r="I836">
        <v>1</v>
      </c>
      <c r="J836" t="s">
        <v>146</v>
      </c>
      <c r="K836">
        <v>2</v>
      </c>
      <c r="L836" t="s">
        <v>147</v>
      </c>
      <c r="M836" t="s">
        <v>2870</v>
      </c>
      <c r="N836" t="s">
        <v>2871</v>
      </c>
      <c r="O836" t="s">
        <v>2872</v>
      </c>
      <c r="P836" t="s">
        <v>2873</v>
      </c>
    </row>
    <row r="837" spans="1:16" x14ac:dyDescent="0.35">
      <c r="A837" t="s">
        <v>130</v>
      </c>
      <c r="B837">
        <v>1748464976</v>
      </c>
      <c r="C837" t="s">
        <v>18</v>
      </c>
      <c r="D837" t="s">
        <v>21</v>
      </c>
      <c r="E837" s="29">
        <v>46207</v>
      </c>
      <c r="F837" t="s">
        <v>5</v>
      </c>
      <c r="G837" s="28">
        <v>0.77986111111111112</v>
      </c>
      <c r="H837" s="28">
        <v>0.77986111111111112</v>
      </c>
      <c r="I837">
        <v>0</v>
      </c>
      <c r="J837" t="s">
        <v>174</v>
      </c>
      <c r="K837">
        <v>0</v>
      </c>
      <c r="L837" t="s">
        <v>2874</v>
      </c>
      <c r="M837" t="s">
        <v>2875</v>
      </c>
      <c r="N837" t="s">
        <v>2876</v>
      </c>
      <c r="O837" t="s">
        <v>2877</v>
      </c>
      <c r="P837" t="s">
        <v>2878</v>
      </c>
    </row>
    <row r="838" spans="1:16" x14ac:dyDescent="0.35">
      <c r="A838" t="s">
        <v>130</v>
      </c>
      <c r="B838">
        <v>1748464976</v>
      </c>
      <c r="C838" t="s">
        <v>18</v>
      </c>
      <c r="D838" t="s">
        <v>21</v>
      </c>
      <c r="E838" s="29">
        <v>46207</v>
      </c>
      <c r="F838" t="s">
        <v>5</v>
      </c>
      <c r="G838" s="28">
        <v>0.78680555555555554</v>
      </c>
      <c r="H838" s="28">
        <v>0.79374999999999996</v>
      </c>
      <c r="I838">
        <v>0</v>
      </c>
      <c r="J838" t="s">
        <v>146</v>
      </c>
      <c r="K838">
        <v>0</v>
      </c>
      <c r="L838" t="s">
        <v>147</v>
      </c>
      <c r="M838" t="s">
        <v>2621</v>
      </c>
      <c r="N838" t="s">
        <v>581</v>
      </c>
      <c r="O838" t="s">
        <v>582</v>
      </c>
      <c r="P838" t="s">
        <v>2530</v>
      </c>
    </row>
    <row r="839" spans="1:16" x14ac:dyDescent="0.35">
      <c r="A839" t="s">
        <v>130</v>
      </c>
      <c r="B839">
        <v>1748464976</v>
      </c>
      <c r="C839" t="s">
        <v>18</v>
      </c>
      <c r="D839" t="s">
        <v>21</v>
      </c>
      <c r="E839" s="29">
        <v>46208</v>
      </c>
      <c r="F839" t="s">
        <v>6</v>
      </c>
      <c r="G839" s="28">
        <v>0.37708333333333333</v>
      </c>
      <c r="H839" s="28">
        <v>0.39097222222222222</v>
      </c>
      <c r="I839">
        <v>0</v>
      </c>
      <c r="J839" t="s">
        <v>146</v>
      </c>
      <c r="K839">
        <v>1</v>
      </c>
      <c r="L839" t="s">
        <v>147</v>
      </c>
      <c r="M839" t="s">
        <v>580</v>
      </c>
      <c r="N839" t="s">
        <v>581</v>
      </c>
      <c r="O839" t="s">
        <v>582</v>
      </c>
      <c r="P839" t="s">
        <v>2530</v>
      </c>
    </row>
    <row r="840" spans="1:16" x14ac:dyDescent="0.35">
      <c r="A840" t="s">
        <v>130</v>
      </c>
      <c r="B840">
        <v>1748464976</v>
      </c>
      <c r="C840" t="s">
        <v>18</v>
      </c>
      <c r="D840" t="s">
        <v>21</v>
      </c>
      <c r="E840" s="29">
        <v>46208</v>
      </c>
      <c r="F840" t="s">
        <v>6</v>
      </c>
      <c r="G840" s="28">
        <v>0.39791666666666664</v>
      </c>
      <c r="H840" s="28">
        <v>0.39791666666666664</v>
      </c>
      <c r="I840">
        <v>0</v>
      </c>
      <c r="J840" t="s">
        <v>174</v>
      </c>
      <c r="K840">
        <v>0</v>
      </c>
      <c r="L840" t="s">
        <v>2879</v>
      </c>
      <c r="M840" t="s">
        <v>2880</v>
      </c>
      <c r="N840" t="s">
        <v>2881</v>
      </c>
      <c r="O840" t="s">
        <v>2882</v>
      </c>
      <c r="P840" t="s">
        <v>2883</v>
      </c>
    </row>
    <row r="841" spans="1:16" x14ac:dyDescent="0.35">
      <c r="A841" t="s">
        <v>130</v>
      </c>
      <c r="B841">
        <v>1748464976</v>
      </c>
      <c r="C841" t="s">
        <v>18</v>
      </c>
      <c r="D841" t="s">
        <v>21</v>
      </c>
      <c r="E841" s="29">
        <v>46208</v>
      </c>
      <c r="F841" t="s">
        <v>6</v>
      </c>
      <c r="G841" s="28">
        <v>0.40486111111111112</v>
      </c>
      <c r="H841" s="28">
        <v>0.40486111111111112</v>
      </c>
      <c r="I841">
        <v>0</v>
      </c>
      <c r="J841" t="s">
        <v>174</v>
      </c>
      <c r="K841">
        <v>0</v>
      </c>
      <c r="L841" t="s">
        <v>2884</v>
      </c>
      <c r="M841" t="s">
        <v>2885</v>
      </c>
      <c r="N841" t="s">
        <v>2886</v>
      </c>
      <c r="O841" t="s">
        <v>2887</v>
      </c>
      <c r="P841" t="s">
        <v>2888</v>
      </c>
    </row>
    <row r="842" spans="1:16" x14ac:dyDescent="0.35">
      <c r="A842" t="s">
        <v>130</v>
      </c>
      <c r="B842">
        <v>1748464976</v>
      </c>
      <c r="C842" t="s">
        <v>18</v>
      </c>
      <c r="D842" t="s">
        <v>21</v>
      </c>
      <c r="E842" s="29">
        <v>46208</v>
      </c>
      <c r="F842" t="s">
        <v>6</v>
      </c>
      <c r="G842" s="28">
        <v>0.41180555555555554</v>
      </c>
      <c r="H842" s="28">
        <v>0.42569444444444443</v>
      </c>
      <c r="I842">
        <v>0</v>
      </c>
      <c r="J842" t="s">
        <v>146</v>
      </c>
      <c r="K842">
        <v>1</v>
      </c>
      <c r="L842" t="s">
        <v>147</v>
      </c>
      <c r="M842" t="s">
        <v>2889</v>
      </c>
      <c r="N842" t="s">
        <v>2890</v>
      </c>
      <c r="O842" t="s">
        <v>2891</v>
      </c>
      <c r="P842" t="s">
        <v>2892</v>
      </c>
    </row>
    <row r="843" spans="1:16" x14ac:dyDescent="0.35">
      <c r="A843" t="s">
        <v>130</v>
      </c>
      <c r="B843">
        <v>1748464976</v>
      </c>
      <c r="C843" t="s">
        <v>18</v>
      </c>
      <c r="D843" t="s">
        <v>21</v>
      </c>
      <c r="E843" s="29">
        <v>46208</v>
      </c>
      <c r="F843" t="s">
        <v>6</v>
      </c>
      <c r="G843" s="28">
        <v>0.43263888888888891</v>
      </c>
      <c r="H843" s="28">
        <v>0.46736111111111112</v>
      </c>
      <c r="I843">
        <v>1</v>
      </c>
      <c r="J843" t="s">
        <v>146</v>
      </c>
      <c r="K843">
        <v>2</v>
      </c>
      <c r="L843" t="s">
        <v>147</v>
      </c>
      <c r="M843" t="s">
        <v>2893</v>
      </c>
      <c r="N843" t="s">
        <v>2894</v>
      </c>
      <c r="O843" t="s">
        <v>2895</v>
      </c>
      <c r="P843" t="s">
        <v>2896</v>
      </c>
    </row>
    <row r="844" spans="1:16" x14ac:dyDescent="0.35">
      <c r="A844" t="s">
        <v>130</v>
      </c>
      <c r="B844">
        <v>1748464976</v>
      </c>
      <c r="C844" t="s">
        <v>18</v>
      </c>
      <c r="D844" t="s">
        <v>21</v>
      </c>
      <c r="E844" s="29">
        <v>46208</v>
      </c>
      <c r="F844" t="s">
        <v>6</v>
      </c>
      <c r="G844" s="28">
        <v>0.47430555555555554</v>
      </c>
      <c r="H844" s="28">
        <v>0.47430555555555554</v>
      </c>
      <c r="I844">
        <v>0</v>
      </c>
      <c r="J844" t="s">
        <v>174</v>
      </c>
      <c r="K844">
        <v>0</v>
      </c>
      <c r="L844" t="s">
        <v>1084</v>
      </c>
      <c r="M844" t="s">
        <v>2897</v>
      </c>
      <c r="N844" t="s">
        <v>2898</v>
      </c>
      <c r="O844" t="s">
        <v>2899</v>
      </c>
      <c r="P844" t="s">
        <v>2900</v>
      </c>
    </row>
    <row r="845" spans="1:16" x14ac:dyDescent="0.35">
      <c r="A845" t="s">
        <v>130</v>
      </c>
      <c r="B845">
        <v>1748464976</v>
      </c>
      <c r="C845" t="s">
        <v>18</v>
      </c>
      <c r="D845" t="s">
        <v>21</v>
      </c>
      <c r="E845" s="29">
        <v>46208</v>
      </c>
      <c r="F845" t="s">
        <v>6</v>
      </c>
      <c r="G845" s="28">
        <v>0.48125000000000001</v>
      </c>
      <c r="H845" s="28">
        <v>0.48125000000000001</v>
      </c>
      <c r="I845">
        <v>0</v>
      </c>
      <c r="J845" t="s">
        <v>174</v>
      </c>
      <c r="K845">
        <v>0</v>
      </c>
      <c r="L845" t="s">
        <v>1271</v>
      </c>
      <c r="M845" t="s">
        <v>2901</v>
      </c>
      <c r="N845" t="s">
        <v>2902</v>
      </c>
      <c r="O845" t="s">
        <v>2903</v>
      </c>
      <c r="P845" t="s">
        <v>2720</v>
      </c>
    </row>
    <row r="846" spans="1:16" x14ac:dyDescent="0.35">
      <c r="A846" t="s">
        <v>130</v>
      </c>
      <c r="B846">
        <v>1748464976</v>
      </c>
      <c r="C846" t="s">
        <v>18</v>
      </c>
      <c r="D846" t="s">
        <v>21</v>
      </c>
      <c r="E846" s="29">
        <v>46208</v>
      </c>
      <c r="F846" t="s">
        <v>6</v>
      </c>
      <c r="G846" s="28">
        <v>0.48819444444444443</v>
      </c>
      <c r="H846" s="28">
        <v>0.48819444444444443</v>
      </c>
      <c r="I846">
        <v>0</v>
      </c>
      <c r="J846" t="s">
        <v>174</v>
      </c>
      <c r="K846">
        <v>0</v>
      </c>
      <c r="L846" t="s">
        <v>2904</v>
      </c>
      <c r="M846" t="s">
        <v>2905</v>
      </c>
      <c r="N846" t="s">
        <v>2906</v>
      </c>
      <c r="O846" t="s">
        <v>2907</v>
      </c>
      <c r="P846" t="s">
        <v>2908</v>
      </c>
    </row>
    <row r="847" spans="1:16" x14ac:dyDescent="0.35">
      <c r="A847" t="s">
        <v>130</v>
      </c>
      <c r="B847">
        <v>1748464976</v>
      </c>
      <c r="C847" t="s">
        <v>18</v>
      </c>
      <c r="D847" t="s">
        <v>21</v>
      </c>
      <c r="E847" s="29">
        <v>46208</v>
      </c>
      <c r="F847" t="s">
        <v>6</v>
      </c>
      <c r="G847" s="28">
        <v>0.49513888888888891</v>
      </c>
      <c r="H847" s="28">
        <v>0.51597222222222228</v>
      </c>
      <c r="I847">
        <v>1</v>
      </c>
      <c r="J847" t="s">
        <v>146</v>
      </c>
      <c r="K847">
        <v>2</v>
      </c>
      <c r="L847" t="s">
        <v>147</v>
      </c>
      <c r="M847" t="s">
        <v>2893</v>
      </c>
      <c r="N847" t="s">
        <v>2894</v>
      </c>
      <c r="O847" t="s">
        <v>2895</v>
      </c>
      <c r="P847" t="s">
        <v>2896</v>
      </c>
    </row>
    <row r="848" spans="1:16" x14ac:dyDescent="0.35">
      <c r="A848" t="s">
        <v>130</v>
      </c>
      <c r="B848">
        <v>1748464976</v>
      </c>
      <c r="C848" t="s">
        <v>18</v>
      </c>
      <c r="D848" t="s">
        <v>21</v>
      </c>
      <c r="E848" s="29">
        <v>46208</v>
      </c>
      <c r="F848" t="s">
        <v>6</v>
      </c>
      <c r="G848" s="28">
        <v>0.5229166666666667</v>
      </c>
      <c r="H848" s="28">
        <v>0.5229166666666667</v>
      </c>
      <c r="I848">
        <v>0</v>
      </c>
      <c r="J848" t="s">
        <v>174</v>
      </c>
      <c r="K848">
        <v>0</v>
      </c>
      <c r="L848" t="s">
        <v>2909</v>
      </c>
      <c r="M848" t="s">
        <v>2910</v>
      </c>
      <c r="N848" t="s">
        <v>2911</v>
      </c>
      <c r="O848" t="s">
        <v>2912</v>
      </c>
      <c r="P848" t="s">
        <v>2913</v>
      </c>
    </row>
    <row r="849" spans="1:16" x14ac:dyDescent="0.35">
      <c r="A849" t="s">
        <v>130</v>
      </c>
      <c r="B849">
        <v>1748464976</v>
      </c>
      <c r="C849" t="s">
        <v>18</v>
      </c>
      <c r="D849" t="s">
        <v>21</v>
      </c>
      <c r="E849" s="29">
        <v>46208</v>
      </c>
      <c r="F849" t="s">
        <v>6</v>
      </c>
      <c r="G849" s="28">
        <v>0.52986111111111112</v>
      </c>
      <c r="H849" s="28">
        <v>0.56458333333333333</v>
      </c>
      <c r="I849">
        <v>1</v>
      </c>
      <c r="J849" t="s">
        <v>146</v>
      </c>
      <c r="K849">
        <v>2</v>
      </c>
      <c r="L849" t="s">
        <v>147</v>
      </c>
      <c r="M849" t="s">
        <v>2914</v>
      </c>
      <c r="N849" t="s">
        <v>2915</v>
      </c>
      <c r="O849" t="s">
        <v>2916</v>
      </c>
      <c r="P849" t="s">
        <v>2917</v>
      </c>
    </row>
    <row r="850" spans="1:16" x14ac:dyDescent="0.35">
      <c r="A850" t="s">
        <v>130</v>
      </c>
      <c r="B850">
        <v>1748464976</v>
      </c>
      <c r="C850" t="s">
        <v>18</v>
      </c>
      <c r="D850" t="s">
        <v>21</v>
      </c>
      <c r="E850" s="29">
        <v>46208</v>
      </c>
      <c r="F850" t="s">
        <v>6</v>
      </c>
      <c r="G850" s="28">
        <v>0.57152777777777775</v>
      </c>
      <c r="H850" s="28">
        <v>0.57152777777777775</v>
      </c>
      <c r="I850">
        <v>0</v>
      </c>
      <c r="J850" t="s">
        <v>174</v>
      </c>
      <c r="K850">
        <v>0</v>
      </c>
      <c r="L850" t="s">
        <v>2123</v>
      </c>
      <c r="M850" t="s">
        <v>2889</v>
      </c>
      <c r="N850" t="s">
        <v>2890</v>
      </c>
      <c r="O850" t="s">
        <v>2891</v>
      </c>
      <c r="P850" t="s">
        <v>2892</v>
      </c>
    </row>
    <row r="851" spans="1:16" x14ac:dyDescent="0.35">
      <c r="A851" t="s">
        <v>130</v>
      </c>
      <c r="B851">
        <v>1748464976</v>
      </c>
      <c r="C851" t="s">
        <v>18</v>
      </c>
      <c r="D851" t="s">
        <v>21</v>
      </c>
      <c r="E851" s="29">
        <v>46208</v>
      </c>
      <c r="F851" t="s">
        <v>6</v>
      </c>
      <c r="G851" s="28">
        <v>0.57847222222222228</v>
      </c>
      <c r="H851" s="28">
        <v>0.59236111111111112</v>
      </c>
      <c r="I851">
        <v>0</v>
      </c>
      <c r="J851" t="s">
        <v>146</v>
      </c>
      <c r="K851">
        <v>1</v>
      </c>
      <c r="L851" t="s">
        <v>147</v>
      </c>
      <c r="M851" t="s">
        <v>2880</v>
      </c>
      <c r="N851" t="s">
        <v>2881</v>
      </c>
      <c r="O851" t="s">
        <v>2882</v>
      </c>
      <c r="P851" t="s">
        <v>2883</v>
      </c>
    </row>
    <row r="852" spans="1:16" x14ac:dyDescent="0.35">
      <c r="A852" t="s">
        <v>130</v>
      </c>
      <c r="B852">
        <v>1748464976</v>
      </c>
      <c r="C852" t="s">
        <v>18</v>
      </c>
      <c r="D852" t="s">
        <v>21</v>
      </c>
      <c r="E852" s="29">
        <v>46208</v>
      </c>
      <c r="F852" t="s">
        <v>6</v>
      </c>
      <c r="G852" s="28">
        <v>0.59930555555555554</v>
      </c>
      <c r="H852" s="28">
        <v>0.59930555555555554</v>
      </c>
      <c r="I852">
        <v>0</v>
      </c>
      <c r="J852" t="s">
        <v>174</v>
      </c>
      <c r="K852">
        <v>0</v>
      </c>
      <c r="L852" t="s">
        <v>2918</v>
      </c>
      <c r="M852" t="s">
        <v>2919</v>
      </c>
      <c r="N852" t="s">
        <v>2920</v>
      </c>
      <c r="O852" t="s">
        <v>2921</v>
      </c>
      <c r="P852" t="s">
        <v>2922</v>
      </c>
    </row>
    <row r="853" spans="1:16" x14ac:dyDescent="0.35">
      <c r="A853" t="s">
        <v>130</v>
      </c>
      <c r="B853">
        <v>1748464976</v>
      </c>
      <c r="C853" t="s">
        <v>18</v>
      </c>
      <c r="D853" t="s">
        <v>21</v>
      </c>
      <c r="E853" s="29">
        <v>46208</v>
      </c>
      <c r="F853" t="s">
        <v>6</v>
      </c>
      <c r="G853" s="28">
        <v>0.60624999999999996</v>
      </c>
      <c r="H853" s="28">
        <v>0.60624999999999996</v>
      </c>
      <c r="I853">
        <v>0</v>
      </c>
      <c r="J853" t="s">
        <v>174</v>
      </c>
      <c r="K853">
        <v>0</v>
      </c>
      <c r="L853" t="s">
        <v>399</v>
      </c>
      <c r="M853" t="s">
        <v>580</v>
      </c>
      <c r="N853" t="s">
        <v>581</v>
      </c>
      <c r="O853" t="s">
        <v>582</v>
      </c>
      <c r="P853" t="s">
        <v>2530</v>
      </c>
    </row>
    <row r="854" spans="1:16" x14ac:dyDescent="0.35">
      <c r="A854" t="s">
        <v>130</v>
      </c>
      <c r="B854">
        <v>1748464976</v>
      </c>
      <c r="C854" t="s">
        <v>18</v>
      </c>
      <c r="D854" t="s">
        <v>21</v>
      </c>
      <c r="E854" s="29">
        <v>46208</v>
      </c>
      <c r="F854" t="s">
        <v>6</v>
      </c>
      <c r="G854" s="28">
        <v>0.61319444444444449</v>
      </c>
      <c r="H854" s="28">
        <v>0.70347222222222228</v>
      </c>
      <c r="I854">
        <v>2</v>
      </c>
      <c r="J854" t="s">
        <v>146</v>
      </c>
      <c r="K854">
        <v>6</v>
      </c>
      <c r="L854" t="s">
        <v>147</v>
      </c>
      <c r="M854" t="s">
        <v>2870</v>
      </c>
      <c r="N854" t="s">
        <v>2871</v>
      </c>
      <c r="O854" t="s">
        <v>2872</v>
      </c>
      <c r="P854" t="s">
        <v>2873</v>
      </c>
    </row>
    <row r="855" spans="1:16" x14ac:dyDescent="0.35">
      <c r="A855" t="s">
        <v>130</v>
      </c>
      <c r="B855">
        <v>1748464976</v>
      </c>
      <c r="C855" t="s">
        <v>18</v>
      </c>
      <c r="D855" t="s">
        <v>21</v>
      </c>
      <c r="E855" s="29">
        <v>46208</v>
      </c>
      <c r="F855" t="s">
        <v>6</v>
      </c>
      <c r="G855" s="28">
        <v>0.7104166666666667</v>
      </c>
      <c r="H855" s="28">
        <v>0.73819444444444449</v>
      </c>
      <c r="I855">
        <v>1</v>
      </c>
      <c r="J855" t="s">
        <v>146</v>
      </c>
      <c r="K855">
        <v>2</v>
      </c>
      <c r="L855" t="s">
        <v>147</v>
      </c>
      <c r="M855" t="s">
        <v>2923</v>
      </c>
      <c r="N855" t="s">
        <v>2924</v>
      </c>
      <c r="O855" t="s">
        <v>2925</v>
      </c>
      <c r="P855" t="s">
        <v>2926</v>
      </c>
    </row>
    <row r="856" spans="1:16" x14ac:dyDescent="0.35">
      <c r="A856" t="s">
        <v>130</v>
      </c>
      <c r="B856">
        <v>1748464976</v>
      </c>
      <c r="C856" t="s">
        <v>18</v>
      </c>
      <c r="D856" t="s">
        <v>21</v>
      </c>
      <c r="E856" s="29">
        <v>46208</v>
      </c>
      <c r="F856" t="s">
        <v>6</v>
      </c>
      <c r="G856" s="28">
        <v>0.74513888888888891</v>
      </c>
      <c r="H856" s="28">
        <v>0.80763888888888891</v>
      </c>
      <c r="I856">
        <v>2</v>
      </c>
      <c r="J856" t="s">
        <v>146</v>
      </c>
      <c r="K856">
        <v>4</v>
      </c>
      <c r="L856" t="s">
        <v>147</v>
      </c>
      <c r="M856" t="s">
        <v>2870</v>
      </c>
      <c r="N856" t="s">
        <v>2871</v>
      </c>
      <c r="O856" t="s">
        <v>2872</v>
      </c>
      <c r="P856" t="s">
        <v>2873</v>
      </c>
    </row>
    <row r="857" spans="1:16" x14ac:dyDescent="0.35">
      <c r="A857" t="s">
        <v>125</v>
      </c>
      <c r="B857">
        <v>1704123809</v>
      </c>
      <c r="C857" t="s">
        <v>18</v>
      </c>
      <c r="D857" t="s">
        <v>21</v>
      </c>
      <c r="E857" s="29">
        <v>46204</v>
      </c>
      <c r="F857" t="s">
        <v>3</v>
      </c>
      <c r="G857" s="28">
        <v>0.38333333333333336</v>
      </c>
      <c r="H857" s="28">
        <v>0.38333333333333336</v>
      </c>
      <c r="I857">
        <v>0</v>
      </c>
      <c r="J857" t="s">
        <v>174</v>
      </c>
      <c r="K857">
        <v>0</v>
      </c>
      <c r="L857" t="s">
        <v>2309</v>
      </c>
      <c r="M857" t="s">
        <v>2927</v>
      </c>
      <c r="N857" t="s">
        <v>2928</v>
      </c>
      <c r="O857" t="s">
        <v>2929</v>
      </c>
      <c r="P857" t="s">
        <v>2930</v>
      </c>
    </row>
    <row r="858" spans="1:16" x14ac:dyDescent="0.35">
      <c r="A858" t="s">
        <v>125</v>
      </c>
      <c r="B858">
        <v>1704123809</v>
      </c>
      <c r="C858" t="s">
        <v>18</v>
      </c>
      <c r="D858" t="s">
        <v>21</v>
      </c>
      <c r="E858" s="29">
        <v>46204</v>
      </c>
      <c r="F858" t="s">
        <v>3</v>
      </c>
      <c r="G858" s="28">
        <v>0.39027777777777778</v>
      </c>
      <c r="H858" s="28">
        <v>0.39027777777777778</v>
      </c>
      <c r="I858">
        <v>0</v>
      </c>
      <c r="J858" t="s">
        <v>174</v>
      </c>
      <c r="K858">
        <v>0</v>
      </c>
      <c r="L858" t="s">
        <v>2931</v>
      </c>
      <c r="M858" t="s">
        <v>2932</v>
      </c>
      <c r="N858" t="s">
        <v>2933</v>
      </c>
      <c r="O858" t="s">
        <v>2934</v>
      </c>
      <c r="P858" t="s">
        <v>2935</v>
      </c>
    </row>
    <row r="859" spans="1:16" x14ac:dyDescent="0.35">
      <c r="A859" t="s">
        <v>125</v>
      </c>
      <c r="B859">
        <v>1704123809</v>
      </c>
      <c r="C859" t="s">
        <v>18</v>
      </c>
      <c r="D859" t="s">
        <v>21</v>
      </c>
      <c r="E859" s="29">
        <v>46204</v>
      </c>
      <c r="F859" t="s">
        <v>3</v>
      </c>
      <c r="G859" s="28">
        <v>0.3972222222222222</v>
      </c>
      <c r="H859" s="28">
        <v>0.3972222222222222</v>
      </c>
      <c r="I859">
        <v>0</v>
      </c>
      <c r="J859" t="s">
        <v>174</v>
      </c>
      <c r="K859">
        <v>0</v>
      </c>
      <c r="L859" t="s">
        <v>574</v>
      </c>
      <c r="M859" t="s">
        <v>2936</v>
      </c>
      <c r="N859" t="s">
        <v>2937</v>
      </c>
      <c r="O859" t="s">
        <v>2938</v>
      </c>
      <c r="P859" t="s">
        <v>2939</v>
      </c>
    </row>
    <row r="860" spans="1:16" x14ac:dyDescent="0.35">
      <c r="A860" t="s">
        <v>125</v>
      </c>
      <c r="B860">
        <v>1704123809</v>
      </c>
      <c r="C860" t="s">
        <v>18</v>
      </c>
      <c r="D860" t="s">
        <v>21</v>
      </c>
      <c r="E860" s="29">
        <v>46204</v>
      </c>
      <c r="F860" t="s">
        <v>3</v>
      </c>
      <c r="G860" s="28">
        <v>0.40416666666666667</v>
      </c>
      <c r="H860" s="28">
        <v>0.40416666666666667</v>
      </c>
      <c r="I860">
        <v>0</v>
      </c>
      <c r="J860" t="s">
        <v>174</v>
      </c>
      <c r="K860">
        <v>0</v>
      </c>
      <c r="L860" t="s">
        <v>2940</v>
      </c>
      <c r="M860" t="s">
        <v>2941</v>
      </c>
      <c r="N860" t="s">
        <v>2942</v>
      </c>
      <c r="O860" t="s">
        <v>2943</v>
      </c>
      <c r="P860" t="s">
        <v>2944</v>
      </c>
    </row>
    <row r="861" spans="1:16" x14ac:dyDescent="0.35">
      <c r="A861" t="s">
        <v>125</v>
      </c>
      <c r="B861">
        <v>1704123809</v>
      </c>
      <c r="C861" t="s">
        <v>18</v>
      </c>
      <c r="D861" t="s">
        <v>21</v>
      </c>
      <c r="E861" s="29">
        <v>46204</v>
      </c>
      <c r="F861" t="s">
        <v>3</v>
      </c>
      <c r="G861" s="28">
        <v>0.41111111111111109</v>
      </c>
      <c r="H861" s="28">
        <v>0.41805555555555557</v>
      </c>
      <c r="I861">
        <v>0</v>
      </c>
      <c r="J861" t="s">
        <v>146</v>
      </c>
      <c r="K861">
        <v>1</v>
      </c>
      <c r="L861" t="s">
        <v>147</v>
      </c>
      <c r="M861" t="s">
        <v>2945</v>
      </c>
      <c r="N861" t="s">
        <v>2946</v>
      </c>
      <c r="O861" t="s">
        <v>2947</v>
      </c>
      <c r="P861" t="s">
        <v>2948</v>
      </c>
    </row>
    <row r="862" spans="1:16" x14ac:dyDescent="0.35">
      <c r="A862" t="s">
        <v>125</v>
      </c>
      <c r="B862">
        <v>1704123809</v>
      </c>
      <c r="C862" t="s">
        <v>18</v>
      </c>
      <c r="D862" t="s">
        <v>21</v>
      </c>
      <c r="E862" s="29">
        <v>46204</v>
      </c>
      <c r="F862" t="s">
        <v>3</v>
      </c>
      <c r="G862" s="28">
        <v>0.42499999999999999</v>
      </c>
      <c r="H862" s="28">
        <v>0.44583333333333336</v>
      </c>
      <c r="I862">
        <v>1</v>
      </c>
      <c r="J862" t="s">
        <v>146</v>
      </c>
      <c r="K862">
        <v>2</v>
      </c>
      <c r="L862" t="s">
        <v>147</v>
      </c>
      <c r="M862" t="s">
        <v>2949</v>
      </c>
      <c r="N862" t="s">
        <v>2950</v>
      </c>
      <c r="O862" t="s">
        <v>2951</v>
      </c>
      <c r="P862" t="s">
        <v>2952</v>
      </c>
    </row>
    <row r="863" spans="1:16" x14ac:dyDescent="0.35">
      <c r="A863" t="s">
        <v>125</v>
      </c>
      <c r="B863">
        <v>1704123809</v>
      </c>
      <c r="C863" t="s">
        <v>18</v>
      </c>
      <c r="D863" t="s">
        <v>21</v>
      </c>
      <c r="E863" s="29">
        <v>46204</v>
      </c>
      <c r="F863" t="s">
        <v>3</v>
      </c>
      <c r="G863" s="28">
        <v>0.45277777777777778</v>
      </c>
      <c r="H863" s="28">
        <v>0.45277777777777778</v>
      </c>
      <c r="I863">
        <v>0</v>
      </c>
      <c r="J863" t="s">
        <v>174</v>
      </c>
      <c r="K863">
        <v>0</v>
      </c>
      <c r="L863" t="s">
        <v>2953</v>
      </c>
      <c r="M863" t="s">
        <v>2954</v>
      </c>
      <c r="N863" t="s">
        <v>2955</v>
      </c>
      <c r="O863" t="s">
        <v>2956</v>
      </c>
      <c r="P863" t="s">
        <v>2957</v>
      </c>
    </row>
    <row r="864" spans="1:16" x14ac:dyDescent="0.35">
      <c r="A864" t="s">
        <v>125</v>
      </c>
      <c r="B864">
        <v>1704123809</v>
      </c>
      <c r="C864" t="s">
        <v>18</v>
      </c>
      <c r="D864" t="s">
        <v>21</v>
      </c>
      <c r="E864" s="29">
        <v>46204</v>
      </c>
      <c r="F864" t="s">
        <v>3</v>
      </c>
      <c r="G864" s="28">
        <v>0.4597222222222222</v>
      </c>
      <c r="H864" s="28">
        <v>0.4597222222222222</v>
      </c>
      <c r="I864">
        <v>0</v>
      </c>
      <c r="J864" t="s">
        <v>174</v>
      </c>
      <c r="K864">
        <v>0</v>
      </c>
      <c r="L864" t="s">
        <v>1440</v>
      </c>
      <c r="M864" t="s">
        <v>2958</v>
      </c>
      <c r="N864" t="s">
        <v>2959</v>
      </c>
      <c r="O864" t="s">
        <v>2960</v>
      </c>
      <c r="P864" t="s">
        <v>2961</v>
      </c>
    </row>
    <row r="865" spans="1:16" x14ac:dyDescent="0.35">
      <c r="A865" t="s">
        <v>125</v>
      </c>
      <c r="B865">
        <v>1704123809</v>
      </c>
      <c r="C865" t="s">
        <v>18</v>
      </c>
      <c r="D865" t="s">
        <v>21</v>
      </c>
      <c r="E865" s="29">
        <v>46204</v>
      </c>
      <c r="F865" t="s">
        <v>3</v>
      </c>
      <c r="G865" s="28">
        <v>0.46666666666666667</v>
      </c>
      <c r="H865" s="28">
        <v>0.46666666666666667</v>
      </c>
      <c r="I865">
        <v>0</v>
      </c>
      <c r="J865" t="s">
        <v>174</v>
      </c>
      <c r="K865">
        <v>0</v>
      </c>
      <c r="L865" t="s">
        <v>2962</v>
      </c>
      <c r="M865" t="s">
        <v>2963</v>
      </c>
      <c r="N865" t="s">
        <v>2964</v>
      </c>
      <c r="O865" t="s">
        <v>2965</v>
      </c>
      <c r="P865" t="s">
        <v>2966</v>
      </c>
    </row>
    <row r="866" spans="1:16" x14ac:dyDescent="0.35">
      <c r="A866" t="s">
        <v>125</v>
      </c>
      <c r="B866">
        <v>1704123809</v>
      </c>
      <c r="C866" t="s">
        <v>18</v>
      </c>
      <c r="D866" t="s">
        <v>21</v>
      </c>
      <c r="E866" s="29">
        <v>46204</v>
      </c>
      <c r="F866" t="s">
        <v>3</v>
      </c>
      <c r="G866" s="28">
        <v>0.47361111111111109</v>
      </c>
      <c r="H866" s="28">
        <v>0.47361111111111109</v>
      </c>
      <c r="I866">
        <v>0</v>
      </c>
      <c r="J866" t="s">
        <v>174</v>
      </c>
      <c r="K866">
        <v>0</v>
      </c>
      <c r="L866" t="s">
        <v>293</v>
      </c>
      <c r="M866" t="s">
        <v>2967</v>
      </c>
      <c r="N866" t="s">
        <v>2968</v>
      </c>
      <c r="O866" t="s">
        <v>2969</v>
      </c>
      <c r="P866" t="s">
        <v>2970</v>
      </c>
    </row>
    <row r="867" spans="1:16" x14ac:dyDescent="0.35">
      <c r="A867" t="s">
        <v>125</v>
      </c>
      <c r="B867">
        <v>1704123809</v>
      </c>
      <c r="C867" t="s">
        <v>18</v>
      </c>
      <c r="D867" t="s">
        <v>21</v>
      </c>
      <c r="E867" s="29">
        <v>46204</v>
      </c>
      <c r="F867" t="s">
        <v>3</v>
      </c>
      <c r="G867" s="28">
        <v>0.48055555555555557</v>
      </c>
      <c r="H867" s="28">
        <v>0.48055555555555557</v>
      </c>
      <c r="I867">
        <v>0</v>
      </c>
      <c r="J867" t="s">
        <v>174</v>
      </c>
      <c r="K867">
        <v>0</v>
      </c>
      <c r="L867" t="s">
        <v>2971</v>
      </c>
      <c r="M867" t="s">
        <v>2972</v>
      </c>
      <c r="N867" t="s">
        <v>2973</v>
      </c>
      <c r="O867" t="s">
        <v>2974</v>
      </c>
      <c r="P867" t="s">
        <v>2975</v>
      </c>
    </row>
    <row r="868" spans="1:16" x14ac:dyDescent="0.35">
      <c r="A868" t="s">
        <v>125</v>
      </c>
      <c r="B868">
        <v>1704123809</v>
      </c>
      <c r="C868" t="s">
        <v>18</v>
      </c>
      <c r="D868" t="s">
        <v>21</v>
      </c>
      <c r="E868" s="29">
        <v>46204</v>
      </c>
      <c r="F868" t="s">
        <v>3</v>
      </c>
      <c r="G868" s="28">
        <v>0.48749999999999999</v>
      </c>
      <c r="H868" s="28">
        <v>0.49444444444444446</v>
      </c>
      <c r="I868">
        <v>0</v>
      </c>
      <c r="J868" t="s">
        <v>146</v>
      </c>
      <c r="K868">
        <v>1</v>
      </c>
      <c r="L868" t="s">
        <v>147</v>
      </c>
      <c r="M868" t="s">
        <v>150</v>
      </c>
      <c r="N868" t="s">
        <v>160</v>
      </c>
      <c r="O868" t="s">
        <v>161</v>
      </c>
      <c r="P868" t="s">
        <v>151</v>
      </c>
    </row>
    <row r="869" spans="1:16" x14ac:dyDescent="0.35">
      <c r="A869" t="s">
        <v>125</v>
      </c>
      <c r="B869">
        <v>1704123809</v>
      </c>
      <c r="C869" t="s">
        <v>18</v>
      </c>
      <c r="D869" t="s">
        <v>21</v>
      </c>
      <c r="E869" s="29">
        <v>46204</v>
      </c>
      <c r="F869" t="s">
        <v>3</v>
      </c>
      <c r="G869" s="28">
        <v>0.50138888888888888</v>
      </c>
      <c r="H869" s="28">
        <v>0.51527777777777772</v>
      </c>
      <c r="I869">
        <v>0</v>
      </c>
      <c r="J869" t="s">
        <v>146</v>
      </c>
      <c r="K869">
        <v>1</v>
      </c>
      <c r="L869" t="s">
        <v>147</v>
      </c>
      <c r="M869" t="s">
        <v>2976</v>
      </c>
      <c r="N869" t="s">
        <v>2977</v>
      </c>
      <c r="O869" t="s">
        <v>2978</v>
      </c>
      <c r="P869" t="s">
        <v>2979</v>
      </c>
    </row>
    <row r="870" spans="1:16" x14ac:dyDescent="0.35">
      <c r="A870" t="s">
        <v>125</v>
      </c>
      <c r="B870">
        <v>1704123809</v>
      </c>
      <c r="C870" t="s">
        <v>18</v>
      </c>
      <c r="D870" t="s">
        <v>21</v>
      </c>
      <c r="E870" s="29">
        <v>46204</v>
      </c>
      <c r="F870" t="s">
        <v>3</v>
      </c>
      <c r="G870" s="28">
        <v>0.52222222222222225</v>
      </c>
      <c r="H870" s="28">
        <v>0.52222222222222225</v>
      </c>
      <c r="I870">
        <v>0</v>
      </c>
      <c r="J870" t="s">
        <v>174</v>
      </c>
      <c r="K870">
        <v>0</v>
      </c>
      <c r="L870" t="s">
        <v>2980</v>
      </c>
      <c r="M870" t="s">
        <v>2981</v>
      </c>
      <c r="N870" t="s">
        <v>2982</v>
      </c>
      <c r="O870" t="s">
        <v>2983</v>
      </c>
      <c r="P870" t="s">
        <v>2984</v>
      </c>
    </row>
    <row r="871" spans="1:16" x14ac:dyDescent="0.35">
      <c r="A871" t="s">
        <v>125</v>
      </c>
      <c r="B871">
        <v>1704123809</v>
      </c>
      <c r="C871" t="s">
        <v>18</v>
      </c>
      <c r="D871" t="s">
        <v>21</v>
      </c>
      <c r="E871" s="29">
        <v>46204</v>
      </c>
      <c r="F871" t="s">
        <v>3</v>
      </c>
      <c r="G871" s="28">
        <v>0.52916666666666667</v>
      </c>
      <c r="H871" s="28">
        <v>0.52916666666666667</v>
      </c>
      <c r="I871">
        <v>0</v>
      </c>
      <c r="J871" t="s">
        <v>174</v>
      </c>
      <c r="K871">
        <v>0</v>
      </c>
      <c r="L871" t="s">
        <v>2194</v>
      </c>
      <c r="M871" t="s">
        <v>2958</v>
      </c>
      <c r="N871" t="s">
        <v>2959</v>
      </c>
      <c r="O871" t="s">
        <v>2960</v>
      </c>
      <c r="P871" t="s">
        <v>2961</v>
      </c>
    </row>
    <row r="872" spans="1:16" x14ac:dyDescent="0.35">
      <c r="A872" t="s">
        <v>125</v>
      </c>
      <c r="B872">
        <v>1704123809</v>
      </c>
      <c r="C872" t="s">
        <v>18</v>
      </c>
      <c r="D872" t="s">
        <v>21</v>
      </c>
      <c r="E872" s="29">
        <v>46204</v>
      </c>
      <c r="F872" t="s">
        <v>3</v>
      </c>
      <c r="G872" s="28">
        <v>0.53611111111111109</v>
      </c>
      <c r="H872" s="28">
        <v>0.53611111111111109</v>
      </c>
      <c r="I872">
        <v>0</v>
      </c>
      <c r="J872" t="s">
        <v>174</v>
      </c>
      <c r="K872">
        <v>0</v>
      </c>
      <c r="L872" t="s">
        <v>2194</v>
      </c>
      <c r="M872" t="s">
        <v>2941</v>
      </c>
      <c r="N872" t="s">
        <v>2942</v>
      </c>
      <c r="O872" t="s">
        <v>2943</v>
      </c>
      <c r="P872" t="s">
        <v>2944</v>
      </c>
    </row>
    <row r="873" spans="1:16" x14ac:dyDescent="0.35">
      <c r="A873" t="s">
        <v>125</v>
      </c>
      <c r="B873">
        <v>1704123809</v>
      </c>
      <c r="C873" t="s">
        <v>18</v>
      </c>
      <c r="D873" t="s">
        <v>21</v>
      </c>
      <c r="E873" s="29">
        <v>46204</v>
      </c>
      <c r="F873" t="s">
        <v>3</v>
      </c>
      <c r="G873" s="28">
        <v>0.54305555555555551</v>
      </c>
      <c r="H873" s="28">
        <v>0.54305555555555551</v>
      </c>
      <c r="I873">
        <v>0</v>
      </c>
      <c r="J873" t="s">
        <v>174</v>
      </c>
      <c r="K873">
        <v>0</v>
      </c>
      <c r="L873" t="s">
        <v>1125</v>
      </c>
      <c r="M873" t="s">
        <v>2958</v>
      </c>
      <c r="N873" t="s">
        <v>2959</v>
      </c>
      <c r="O873" t="s">
        <v>2960</v>
      </c>
      <c r="P873" t="s">
        <v>2961</v>
      </c>
    </row>
    <row r="874" spans="1:16" x14ac:dyDescent="0.35">
      <c r="A874" t="s">
        <v>125</v>
      </c>
      <c r="B874">
        <v>1704123809</v>
      </c>
      <c r="C874" t="s">
        <v>18</v>
      </c>
      <c r="D874" t="s">
        <v>21</v>
      </c>
      <c r="E874" s="29">
        <v>46204</v>
      </c>
      <c r="F874" t="s">
        <v>3</v>
      </c>
      <c r="G874" s="28">
        <v>0.59166666666666667</v>
      </c>
      <c r="H874" s="28">
        <v>0.59166666666666667</v>
      </c>
      <c r="I874">
        <v>0</v>
      </c>
      <c r="J874" t="s">
        <v>174</v>
      </c>
      <c r="K874">
        <v>0</v>
      </c>
      <c r="L874" t="s">
        <v>2884</v>
      </c>
      <c r="M874" t="s">
        <v>2985</v>
      </c>
      <c r="N874" t="s">
        <v>2986</v>
      </c>
      <c r="O874" t="s">
        <v>2987</v>
      </c>
      <c r="P874" t="s">
        <v>2988</v>
      </c>
    </row>
    <row r="875" spans="1:16" x14ac:dyDescent="0.35">
      <c r="A875" t="s">
        <v>125</v>
      </c>
      <c r="B875">
        <v>1704123809</v>
      </c>
      <c r="C875" t="s">
        <v>18</v>
      </c>
      <c r="D875" t="s">
        <v>21</v>
      </c>
      <c r="E875" s="29">
        <v>46204</v>
      </c>
      <c r="F875" t="s">
        <v>3</v>
      </c>
      <c r="G875" s="28">
        <v>0.59861111111111109</v>
      </c>
      <c r="H875" s="28">
        <v>0.59861111111111109</v>
      </c>
      <c r="I875">
        <v>0</v>
      </c>
      <c r="J875" t="s">
        <v>174</v>
      </c>
      <c r="K875">
        <v>0</v>
      </c>
      <c r="L875" t="s">
        <v>2218</v>
      </c>
      <c r="M875" t="s">
        <v>2989</v>
      </c>
      <c r="N875" t="s">
        <v>2990</v>
      </c>
      <c r="O875" t="s">
        <v>2991</v>
      </c>
      <c r="P875" t="s">
        <v>2992</v>
      </c>
    </row>
    <row r="876" spans="1:16" x14ac:dyDescent="0.35">
      <c r="A876" t="s">
        <v>125</v>
      </c>
      <c r="B876">
        <v>1704123809</v>
      </c>
      <c r="C876" t="s">
        <v>18</v>
      </c>
      <c r="D876" t="s">
        <v>21</v>
      </c>
      <c r="E876" s="29">
        <v>46204</v>
      </c>
      <c r="F876" t="s">
        <v>3</v>
      </c>
      <c r="G876" s="28">
        <v>0.60555555555555551</v>
      </c>
      <c r="H876" s="28">
        <v>0.60555555555555551</v>
      </c>
      <c r="I876">
        <v>0</v>
      </c>
      <c r="J876" t="s">
        <v>174</v>
      </c>
      <c r="K876">
        <v>0</v>
      </c>
      <c r="L876" t="s">
        <v>2218</v>
      </c>
      <c r="M876" t="s">
        <v>2993</v>
      </c>
      <c r="N876" t="s">
        <v>2994</v>
      </c>
      <c r="O876" t="s">
        <v>2995</v>
      </c>
      <c r="P876" t="s">
        <v>2996</v>
      </c>
    </row>
    <row r="877" spans="1:16" x14ac:dyDescent="0.35">
      <c r="A877" t="s">
        <v>125</v>
      </c>
      <c r="B877">
        <v>1704123809</v>
      </c>
      <c r="C877" t="s">
        <v>18</v>
      </c>
      <c r="D877" t="s">
        <v>21</v>
      </c>
      <c r="E877" s="29">
        <v>46204</v>
      </c>
      <c r="F877" t="s">
        <v>3</v>
      </c>
      <c r="G877" s="28">
        <v>0.61250000000000004</v>
      </c>
      <c r="H877" s="28">
        <v>0.61250000000000004</v>
      </c>
      <c r="I877">
        <v>0</v>
      </c>
      <c r="J877" t="s">
        <v>174</v>
      </c>
      <c r="K877">
        <v>0</v>
      </c>
      <c r="L877" t="s">
        <v>2997</v>
      </c>
      <c r="M877" t="s">
        <v>2989</v>
      </c>
      <c r="N877" t="s">
        <v>2990</v>
      </c>
      <c r="O877" t="s">
        <v>2991</v>
      </c>
      <c r="P877" t="s">
        <v>2992</v>
      </c>
    </row>
    <row r="878" spans="1:16" x14ac:dyDescent="0.35">
      <c r="A878" t="s">
        <v>125</v>
      </c>
      <c r="B878">
        <v>1704123809</v>
      </c>
      <c r="C878" t="s">
        <v>18</v>
      </c>
      <c r="D878" t="s">
        <v>21</v>
      </c>
      <c r="E878" s="29">
        <v>46204</v>
      </c>
      <c r="F878" t="s">
        <v>3</v>
      </c>
      <c r="G878" s="28">
        <v>0.61944444444444446</v>
      </c>
      <c r="H878" s="28">
        <v>0.6333333333333333</v>
      </c>
      <c r="I878">
        <v>0</v>
      </c>
      <c r="J878" t="s">
        <v>146</v>
      </c>
      <c r="K878">
        <v>1</v>
      </c>
      <c r="L878" t="s">
        <v>147</v>
      </c>
      <c r="M878" t="s">
        <v>2936</v>
      </c>
      <c r="N878" t="s">
        <v>2973</v>
      </c>
      <c r="O878" t="s">
        <v>2974</v>
      </c>
      <c r="P878" t="s">
        <v>2975</v>
      </c>
    </row>
    <row r="879" spans="1:16" x14ac:dyDescent="0.35">
      <c r="A879" t="s">
        <v>125</v>
      </c>
      <c r="B879">
        <v>1704123809</v>
      </c>
      <c r="C879" t="s">
        <v>18</v>
      </c>
      <c r="D879" t="s">
        <v>21</v>
      </c>
      <c r="E879" s="29">
        <v>46204</v>
      </c>
      <c r="F879" t="s">
        <v>3</v>
      </c>
      <c r="G879" s="28">
        <v>0.64027777777777772</v>
      </c>
      <c r="H879" s="28">
        <v>0.64027777777777772</v>
      </c>
      <c r="I879">
        <v>0</v>
      </c>
      <c r="J879" t="s">
        <v>174</v>
      </c>
      <c r="K879">
        <v>0</v>
      </c>
      <c r="L879" t="s">
        <v>1159</v>
      </c>
      <c r="M879" t="s">
        <v>2998</v>
      </c>
      <c r="N879" t="s">
        <v>2999</v>
      </c>
      <c r="O879" t="s">
        <v>3000</v>
      </c>
      <c r="P879" t="s">
        <v>3001</v>
      </c>
    </row>
    <row r="880" spans="1:16" x14ac:dyDescent="0.35">
      <c r="A880" t="s">
        <v>125</v>
      </c>
      <c r="B880">
        <v>1704123809</v>
      </c>
      <c r="C880" t="s">
        <v>18</v>
      </c>
      <c r="D880" t="s">
        <v>21</v>
      </c>
      <c r="E880" s="29">
        <v>46204</v>
      </c>
      <c r="F880" t="s">
        <v>3</v>
      </c>
      <c r="G880" s="28">
        <v>0.64722222222222225</v>
      </c>
      <c r="H880" s="28">
        <v>0.66805555555555551</v>
      </c>
      <c r="I880">
        <v>0</v>
      </c>
      <c r="J880" t="s">
        <v>146</v>
      </c>
      <c r="K880">
        <v>1</v>
      </c>
      <c r="L880" t="s">
        <v>147</v>
      </c>
      <c r="M880" t="s">
        <v>2972</v>
      </c>
      <c r="N880" t="s">
        <v>2973</v>
      </c>
      <c r="O880" t="s">
        <v>2974</v>
      </c>
      <c r="P880" t="s">
        <v>2975</v>
      </c>
    </row>
    <row r="881" spans="1:16" x14ac:dyDescent="0.35">
      <c r="A881" t="s">
        <v>125</v>
      </c>
      <c r="B881">
        <v>1704123809</v>
      </c>
      <c r="C881" t="s">
        <v>18</v>
      </c>
      <c r="D881" t="s">
        <v>21</v>
      </c>
      <c r="E881" s="29">
        <v>46204</v>
      </c>
      <c r="F881" t="s">
        <v>3</v>
      </c>
      <c r="G881" s="28">
        <v>0.67500000000000004</v>
      </c>
      <c r="H881" s="28">
        <v>0.67500000000000004</v>
      </c>
      <c r="I881">
        <v>0</v>
      </c>
      <c r="J881" t="s">
        <v>174</v>
      </c>
      <c r="K881">
        <v>0</v>
      </c>
      <c r="L881" t="s">
        <v>3002</v>
      </c>
      <c r="M881" t="s">
        <v>3003</v>
      </c>
      <c r="N881" t="s">
        <v>3004</v>
      </c>
      <c r="O881" t="s">
        <v>3005</v>
      </c>
      <c r="P881" t="s">
        <v>3006</v>
      </c>
    </row>
    <row r="882" spans="1:16" x14ac:dyDescent="0.35">
      <c r="A882" t="s">
        <v>125</v>
      </c>
      <c r="B882">
        <v>1704123809</v>
      </c>
      <c r="C882" t="s">
        <v>18</v>
      </c>
      <c r="D882" t="s">
        <v>21</v>
      </c>
      <c r="E882" s="29">
        <v>46204</v>
      </c>
      <c r="F882" t="s">
        <v>3</v>
      </c>
      <c r="G882" s="28">
        <v>0.68194444444444446</v>
      </c>
      <c r="H882" s="28">
        <v>0.68888888888888888</v>
      </c>
      <c r="I882">
        <v>0</v>
      </c>
      <c r="J882" t="s">
        <v>146</v>
      </c>
      <c r="K882">
        <v>0</v>
      </c>
      <c r="L882" t="s">
        <v>147</v>
      </c>
      <c r="M882" t="s">
        <v>2998</v>
      </c>
      <c r="N882" t="s">
        <v>3007</v>
      </c>
      <c r="O882" t="s">
        <v>3008</v>
      </c>
      <c r="P882" t="s">
        <v>3001</v>
      </c>
    </row>
    <row r="883" spans="1:16" x14ac:dyDescent="0.35">
      <c r="A883" t="s">
        <v>125</v>
      </c>
      <c r="B883">
        <v>1704123809</v>
      </c>
      <c r="C883" t="s">
        <v>18</v>
      </c>
      <c r="D883" t="s">
        <v>21</v>
      </c>
      <c r="E883" s="29">
        <v>46204</v>
      </c>
      <c r="F883" t="s">
        <v>3</v>
      </c>
      <c r="G883" s="28">
        <v>0.6958333333333333</v>
      </c>
      <c r="H883" s="28">
        <v>0.6958333333333333</v>
      </c>
      <c r="I883">
        <v>0</v>
      </c>
      <c r="J883" t="s">
        <v>174</v>
      </c>
      <c r="K883">
        <v>0</v>
      </c>
      <c r="L883" t="s">
        <v>1195</v>
      </c>
      <c r="M883" t="s">
        <v>3009</v>
      </c>
      <c r="N883" t="s">
        <v>3010</v>
      </c>
      <c r="O883" t="s">
        <v>3011</v>
      </c>
      <c r="P883" t="s">
        <v>3012</v>
      </c>
    </row>
    <row r="884" spans="1:16" x14ac:dyDescent="0.35">
      <c r="A884" t="s">
        <v>125</v>
      </c>
      <c r="B884">
        <v>1704123809</v>
      </c>
      <c r="C884" t="s">
        <v>18</v>
      </c>
      <c r="D884" t="s">
        <v>21</v>
      </c>
      <c r="E884" s="29">
        <v>46204</v>
      </c>
      <c r="F884" t="s">
        <v>3</v>
      </c>
      <c r="G884" s="28">
        <v>0.70277777777777772</v>
      </c>
      <c r="H884" s="28">
        <v>0.77222222222222225</v>
      </c>
      <c r="I884">
        <v>2</v>
      </c>
      <c r="J884" t="s">
        <v>146</v>
      </c>
      <c r="K884">
        <v>5</v>
      </c>
      <c r="L884" t="s">
        <v>147</v>
      </c>
      <c r="M884" t="s">
        <v>2976</v>
      </c>
      <c r="N884" t="s">
        <v>2977</v>
      </c>
      <c r="O884" t="s">
        <v>2978</v>
      </c>
      <c r="P884" t="s">
        <v>2979</v>
      </c>
    </row>
    <row r="885" spans="1:16" x14ac:dyDescent="0.35">
      <c r="A885" t="s">
        <v>125</v>
      </c>
      <c r="B885">
        <v>1704123809</v>
      </c>
      <c r="C885" t="s">
        <v>18</v>
      </c>
      <c r="D885" t="s">
        <v>21</v>
      </c>
      <c r="E885" s="29">
        <v>46204</v>
      </c>
      <c r="F885" t="s">
        <v>3</v>
      </c>
      <c r="G885" s="28">
        <v>0.77916666666666667</v>
      </c>
      <c r="H885" s="28">
        <v>0.77916666666666667</v>
      </c>
      <c r="I885">
        <v>0</v>
      </c>
      <c r="J885" t="s">
        <v>174</v>
      </c>
      <c r="K885">
        <v>0</v>
      </c>
      <c r="L885" t="s">
        <v>3013</v>
      </c>
      <c r="M885" t="s">
        <v>2998</v>
      </c>
      <c r="N885" t="s">
        <v>3014</v>
      </c>
      <c r="O885" t="s">
        <v>3015</v>
      </c>
      <c r="P885" t="s">
        <v>3016</v>
      </c>
    </row>
    <row r="886" spans="1:16" x14ac:dyDescent="0.35">
      <c r="A886" t="s">
        <v>125</v>
      </c>
      <c r="B886">
        <v>1704123809</v>
      </c>
      <c r="C886" t="s">
        <v>18</v>
      </c>
      <c r="D886" t="s">
        <v>21</v>
      </c>
      <c r="E886" s="29">
        <v>46204</v>
      </c>
      <c r="F886" t="s">
        <v>3</v>
      </c>
      <c r="G886" s="28">
        <v>0.78611111111111109</v>
      </c>
      <c r="H886" s="28">
        <v>0.78611111111111109</v>
      </c>
      <c r="I886">
        <v>0</v>
      </c>
      <c r="J886" t="s">
        <v>174</v>
      </c>
      <c r="K886">
        <v>0</v>
      </c>
      <c r="L886" t="s">
        <v>394</v>
      </c>
      <c r="M886" t="s">
        <v>2976</v>
      </c>
      <c r="N886" t="s">
        <v>2977</v>
      </c>
      <c r="O886" t="s">
        <v>2978</v>
      </c>
      <c r="P886" t="s">
        <v>2979</v>
      </c>
    </row>
    <row r="887" spans="1:16" x14ac:dyDescent="0.35">
      <c r="A887" t="s">
        <v>125</v>
      </c>
      <c r="B887">
        <v>1704123809</v>
      </c>
      <c r="C887" t="s">
        <v>18</v>
      </c>
      <c r="D887" t="s">
        <v>21</v>
      </c>
      <c r="E887" s="29">
        <v>46205</v>
      </c>
      <c r="F887" t="s">
        <v>4</v>
      </c>
      <c r="G887" s="28">
        <v>0.37638888888888888</v>
      </c>
      <c r="H887" s="28">
        <v>0.37638888888888888</v>
      </c>
      <c r="I887">
        <v>0</v>
      </c>
      <c r="J887" t="s">
        <v>174</v>
      </c>
      <c r="K887">
        <v>0</v>
      </c>
      <c r="L887" t="s">
        <v>399</v>
      </c>
      <c r="M887" t="s">
        <v>3017</v>
      </c>
      <c r="N887" t="s">
        <v>3018</v>
      </c>
      <c r="O887" t="s">
        <v>3019</v>
      </c>
      <c r="P887" t="s">
        <v>3020</v>
      </c>
    </row>
    <row r="888" spans="1:16" x14ac:dyDescent="0.35">
      <c r="A888" t="s">
        <v>125</v>
      </c>
      <c r="B888">
        <v>1704123809</v>
      </c>
      <c r="C888" t="s">
        <v>18</v>
      </c>
      <c r="D888" t="s">
        <v>21</v>
      </c>
      <c r="E888" s="29">
        <v>46205</v>
      </c>
      <c r="F888" t="s">
        <v>4</v>
      </c>
      <c r="G888" s="28">
        <v>0.38333333333333336</v>
      </c>
      <c r="H888" s="28">
        <v>0.41111111111111109</v>
      </c>
      <c r="I888">
        <v>1</v>
      </c>
      <c r="J888" t="s">
        <v>146</v>
      </c>
      <c r="K888">
        <v>2</v>
      </c>
      <c r="L888" t="s">
        <v>147</v>
      </c>
      <c r="M888" t="s">
        <v>150</v>
      </c>
      <c r="N888" t="s">
        <v>160</v>
      </c>
      <c r="O888" t="s">
        <v>161</v>
      </c>
      <c r="P888" t="s">
        <v>151</v>
      </c>
    </row>
    <row r="889" spans="1:16" x14ac:dyDescent="0.35">
      <c r="A889" t="s">
        <v>125</v>
      </c>
      <c r="B889">
        <v>1704123809</v>
      </c>
      <c r="C889" t="s">
        <v>18</v>
      </c>
      <c r="D889" t="s">
        <v>21</v>
      </c>
      <c r="E889" s="29">
        <v>46205</v>
      </c>
      <c r="F889" t="s">
        <v>4</v>
      </c>
      <c r="G889" s="28">
        <v>0.41805555555555557</v>
      </c>
      <c r="H889" s="28">
        <v>0.41805555555555557</v>
      </c>
      <c r="I889">
        <v>0</v>
      </c>
      <c r="J889" t="s">
        <v>174</v>
      </c>
      <c r="K889">
        <v>0</v>
      </c>
      <c r="L889" t="s">
        <v>3021</v>
      </c>
      <c r="M889" t="s">
        <v>2981</v>
      </c>
      <c r="N889" t="s">
        <v>3022</v>
      </c>
      <c r="O889" t="s">
        <v>3023</v>
      </c>
      <c r="P889" t="s">
        <v>3024</v>
      </c>
    </row>
    <row r="890" spans="1:16" x14ac:dyDescent="0.35">
      <c r="A890" t="s">
        <v>125</v>
      </c>
      <c r="B890">
        <v>1704123809</v>
      </c>
      <c r="C890" t="s">
        <v>18</v>
      </c>
      <c r="D890" t="s">
        <v>21</v>
      </c>
      <c r="E890" s="29">
        <v>46205</v>
      </c>
      <c r="F890" t="s">
        <v>4</v>
      </c>
      <c r="G890" s="28">
        <v>0.42499999999999999</v>
      </c>
      <c r="H890" s="28">
        <v>0.42499999999999999</v>
      </c>
      <c r="I890">
        <v>0</v>
      </c>
      <c r="J890" t="s">
        <v>174</v>
      </c>
      <c r="K890">
        <v>0</v>
      </c>
      <c r="L890" t="s">
        <v>3025</v>
      </c>
      <c r="M890" t="s">
        <v>150</v>
      </c>
      <c r="N890" t="s">
        <v>160</v>
      </c>
      <c r="O890" t="s">
        <v>161</v>
      </c>
      <c r="P890" t="s">
        <v>151</v>
      </c>
    </row>
    <row r="891" spans="1:16" x14ac:dyDescent="0.35">
      <c r="A891" t="s">
        <v>125</v>
      </c>
      <c r="B891">
        <v>1704123809</v>
      </c>
      <c r="C891" t="s">
        <v>18</v>
      </c>
      <c r="D891" t="s">
        <v>21</v>
      </c>
      <c r="E891" s="29">
        <v>46205</v>
      </c>
      <c r="F891" t="s">
        <v>4</v>
      </c>
      <c r="G891" s="28">
        <v>0.43194444444444446</v>
      </c>
      <c r="H891" s="28">
        <v>0.43888888888888888</v>
      </c>
      <c r="I891">
        <v>0</v>
      </c>
      <c r="J891" t="s">
        <v>146</v>
      </c>
      <c r="K891">
        <v>0</v>
      </c>
      <c r="L891" t="s">
        <v>147</v>
      </c>
      <c r="M891" t="s">
        <v>2998</v>
      </c>
      <c r="N891" t="s">
        <v>3026</v>
      </c>
      <c r="O891" t="s">
        <v>3027</v>
      </c>
      <c r="P891" t="s">
        <v>3028</v>
      </c>
    </row>
    <row r="892" spans="1:16" x14ac:dyDescent="0.35">
      <c r="A892" t="s">
        <v>125</v>
      </c>
      <c r="B892">
        <v>1704123809</v>
      </c>
      <c r="C892" t="s">
        <v>18</v>
      </c>
      <c r="D892" t="s">
        <v>21</v>
      </c>
      <c r="E892" s="29">
        <v>46205</v>
      </c>
      <c r="F892" t="s">
        <v>4</v>
      </c>
      <c r="G892" s="28">
        <v>0.44583333333333336</v>
      </c>
      <c r="H892" s="28">
        <v>0.47361111111111109</v>
      </c>
      <c r="I892">
        <v>1</v>
      </c>
      <c r="J892" t="s">
        <v>146</v>
      </c>
      <c r="K892">
        <v>2</v>
      </c>
      <c r="L892" t="s">
        <v>147</v>
      </c>
      <c r="M892" t="s">
        <v>150</v>
      </c>
      <c r="N892" t="s">
        <v>160</v>
      </c>
      <c r="O892" t="s">
        <v>161</v>
      </c>
      <c r="P892" t="s">
        <v>151</v>
      </c>
    </row>
    <row r="893" spans="1:16" x14ac:dyDescent="0.35">
      <c r="A893" t="s">
        <v>125</v>
      </c>
      <c r="B893">
        <v>1704123809</v>
      </c>
      <c r="C893" t="s">
        <v>18</v>
      </c>
      <c r="D893" t="s">
        <v>21</v>
      </c>
      <c r="E893" s="29">
        <v>46205</v>
      </c>
      <c r="F893" t="s">
        <v>4</v>
      </c>
      <c r="G893" s="28">
        <v>0.48055555555555557</v>
      </c>
      <c r="H893" s="28">
        <v>0.49444444444444446</v>
      </c>
      <c r="I893">
        <v>0</v>
      </c>
      <c r="J893" t="s">
        <v>146</v>
      </c>
      <c r="K893">
        <v>1</v>
      </c>
      <c r="L893" t="s">
        <v>147</v>
      </c>
      <c r="M893" t="s">
        <v>3017</v>
      </c>
      <c r="N893" t="s">
        <v>3018</v>
      </c>
      <c r="O893" t="s">
        <v>3019</v>
      </c>
      <c r="P893" t="s">
        <v>3020</v>
      </c>
    </row>
    <row r="894" spans="1:16" x14ac:dyDescent="0.35">
      <c r="A894" t="s">
        <v>125</v>
      </c>
      <c r="B894">
        <v>1704123809</v>
      </c>
      <c r="C894" t="s">
        <v>18</v>
      </c>
      <c r="D894" t="s">
        <v>21</v>
      </c>
      <c r="E894" s="29">
        <v>46205</v>
      </c>
      <c r="F894" t="s">
        <v>4</v>
      </c>
      <c r="G894" s="28">
        <v>0.50138888888888888</v>
      </c>
      <c r="H894" s="28">
        <v>0.58472222222222225</v>
      </c>
      <c r="I894">
        <v>2</v>
      </c>
      <c r="J894" t="s">
        <v>146</v>
      </c>
      <c r="K894">
        <v>6</v>
      </c>
      <c r="L894" t="s">
        <v>147</v>
      </c>
      <c r="M894" t="s">
        <v>150</v>
      </c>
      <c r="N894" t="s">
        <v>160</v>
      </c>
      <c r="O894" t="s">
        <v>161</v>
      </c>
      <c r="P894" t="s">
        <v>151</v>
      </c>
    </row>
    <row r="895" spans="1:16" x14ac:dyDescent="0.35">
      <c r="A895" t="s">
        <v>125</v>
      </c>
      <c r="B895">
        <v>1704123809</v>
      </c>
      <c r="C895" t="s">
        <v>18</v>
      </c>
      <c r="D895" t="s">
        <v>21</v>
      </c>
      <c r="E895" s="29">
        <v>46205</v>
      </c>
      <c r="F895" t="s">
        <v>4</v>
      </c>
      <c r="G895" s="28">
        <v>0.59166666666666667</v>
      </c>
      <c r="H895" s="28">
        <v>0.59166666666666667</v>
      </c>
      <c r="I895">
        <v>0</v>
      </c>
      <c r="J895" t="s">
        <v>174</v>
      </c>
      <c r="K895">
        <v>0</v>
      </c>
      <c r="L895" t="s">
        <v>3029</v>
      </c>
      <c r="M895" t="s">
        <v>3030</v>
      </c>
      <c r="N895" t="s">
        <v>3031</v>
      </c>
      <c r="O895" t="s">
        <v>3032</v>
      </c>
      <c r="P895" t="s">
        <v>3033</v>
      </c>
    </row>
    <row r="896" spans="1:16" x14ac:dyDescent="0.35">
      <c r="A896" t="s">
        <v>125</v>
      </c>
      <c r="B896">
        <v>1704123809</v>
      </c>
      <c r="C896" t="s">
        <v>18</v>
      </c>
      <c r="D896" t="s">
        <v>21</v>
      </c>
      <c r="E896" s="29">
        <v>46205</v>
      </c>
      <c r="F896" t="s">
        <v>4</v>
      </c>
      <c r="G896" s="28">
        <v>0.59861111111111109</v>
      </c>
      <c r="H896" s="28">
        <v>0.59861111111111109</v>
      </c>
      <c r="I896">
        <v>0</v>
      </c>
      <c r="J896" t="s">
        <v>174</v>
      </c>
      <c r="K896">
        <v>0</v>
      </c>
      <c r="L896" t="s">
        <v>394</v>
      </c>
      <c r="M896" t="s">
        <v>2976</v>
      </c>
      <c r="N896" t="s">
        <v>2977</v>
      </c>
      <c r="O896" t="s">
        <v>2978</v>
      </c>
      <c r="P896" t="s">
        <v>2979</v>
      </c>
    </row>
    <row r="897" spans="1:16" x14ac:dyDescent="0.35">
      <c r="A897" t="s">
        <v>125</v>
      </c>
      <c r="B897">
        <v>1704123809</v>
      </c>
      <c r="C897" t="s">
        <v>18</v>
      </c>
      <c r="D897" t="s">
        <v>21</v>
      </c>
      <c r="E897" s="29">
        <v>46205</v>
      </c>
      <c r="F897" t="s">
        <v>4</v>
      </c>
      <c r="G897" s="28">
        <v>0.60555555555555551</v>
      </c>
      <c r="H897" s="28">
        <v>0.61250000000000004</v>
      </c>
      <c r="I897">
        <v>0</v>
      </c>
      <c r="J897" t="s">
        <v>146</v>
      </c>
      <c r="K897">
        <v>1</v>
      </c>
      <c r="L897" t="s">
        <v>147</v>
      </c>
      <c r="M897" t="s">
        <v>2936</v>
      </c>
      <c r="N897" t="s">
        <v>2937</v>
      </c>
      <c r="O897" t="s">
        <v>2938</v>
      </c>
      <c r="P897" t="s">
        <v>2939</v>
      </c>
    </row>
    <row r="898" spans="1:16" x14ac:dyDescent="0.35">
      <c r="A898" t="s">
        <v>125</v>
      </c>
      <c r="B898">
        <v>1704123809</v>
      </c>
      <c r="C898" t="s">
        <v>18</v>
      </c>
      <c r="D898" t="s">
        <v>21</v>
      </c>
      <c r="E898" s="29">
        <v>46205</v>
      </c>
      <c r="F898" t="s">
        <v>4</v>
      </c>
      <c r="G898" s="28">
        <v>0.61944444444444446</v>
      </c>
      <c r="H898" s="28">
        <v>0.61944444444444446</v>
      </c>
      <c r="I898">
        <v>0</v>
      </c>
      <c r="J898" t="s">
        <v>174</v>
      </c>
      <c r="K898">
        <v>0</v>
      </c>
      <c r="L898" t="s">
        <v>394</v>
      </c>
      <c r="M898" t="s">
        <v>2976</v>
      </c>
      <c r="N898" t="s">
        <v>2977</v>
      </c>
      <c r="O898" t="s">
        <v>2978</v>
      </c>
      <c r="P898" t="s">
        <v>2979</v>
      </c>
    </row>
    <row r="899" spans="1:16" x14ac:dyDescent="0.35">
      <c r="A899" t="s">
        <v>125</v>
      </c>
      <c r="B899">
        <v>1704123809</v>
      </c>
      <c r="C899" t="s">
        <v>18</v>
      </c>
      <c r="D899" t="s">
        <v>21</v>
      </c>
      <c r="E899" s="29">
        <v>46205</v>
      </c>
      <c r="F899" t="s">
        <v>4</v>
      </c>
      <c r="G899" s="28">
        <v>0.62638888888888888</v>
      </c>
      <c r="H899" s="28">
        <v>0.65416666666666667</v>
      </c>
      <c r="I899">
        <v>1</v>
      </c>
      <c r="J899" t="s">
        <v>146</v>
      </c>
      <c r="K899">
        <v>2</v>
      </c>
      <c r="L899" t="s">
        <v>147</v>
      </c>
      <c r="M899" t="s">
        <v>2936</v>
      </c>
      <c r="N899" t="s">
        <v>2937</v>
      </c>
      <c r="O899" t="s">
        <v>2938</v>
      </c>
      <c r="P899" t="s">
        <v>2939</v>
      </c>
    </row>
    <row r="900" spans="1:16" x14ac:dyDescent="0.35">
      <c r="A900" t="s">
        <v>125</v>
      </c>
      <c r="B900">
        <v>1704123809</v>
      </c>
      <c r="C900" t="s">
        <v>18</v>
      </c>
      <c r="D900" t="s">
        <v>21</v>
      </c>
      <c r="E900" s="29">
        <v>46205</v>
      </c>
      <c r="F900" t="s">
        <v>4</v>
      </c>
      <c r="G900" s="28">
        <v>0.66111111111111109</v>
      </c>
      <c r="H900" s="28">
        <v>0.66111111111111109</v>
      </c>
      <c r="I900">
        <v>0</v>
      </c>
      <c r="J900" t="s">
        <v>174</v>
      </c>
      <c r="K900">
        <v>0</v>
      </c>
      <c r="L900" t="s">
        <v>2757</v>
      </c>
      <c r="M900" t="s">
        <v>2976</v>
      </c>
      <c r="N900" t="s">
        <v>2977</v>
      </c>
      <c r="O900" t="s">
        <v>2978</v>
      </c>
      <c r="P900" t="s">
        <v>2979</v>
      </c>
    </row>
    <row r="901" spans="1:16" x14ac:dyDescent="0.35">
      <c r="A901" t="s">
        <v>125</v>
      </c>
      <c r="B901">
        <v>1704123809</v>
      </c>
      <c r="C901" t="s">
        <v>18</v>
      </c>
      <c r="D901" t="s">
        <v>21</v>
      </c>
      <c r="E901" s="29">
        <v>46205</v>
      </c>
      <c r="F901" t="s">
        <v>4</v>
      </c>
      <c r="G901" s="28">
        <v>0.66805555555555551</v>
      </c>
      <c r="H901" s="28">
        <v>0.66805555555555551</v>
      </c>
      <c r="I901">
        <v>0</v>
      </c>
      <c r="J901" t="s">
        <v>174</v>
      </c>
      <c r="K901">
        <v>0</v>
      </c>
      <c r="L901" t="s">
        <v>1017</v>
      </c>
      <c r="M901" t="s">
        <v>3034</v>
      </c>
      <c r="N901" t="s">
        <v>3035</v>
      </c>
      <c r="O901" t="s">
        <v>3036</v>
      </c>
      <c r="P901" t="s">
        <v>3037</v>
      </c>
    </row>
    <row r="902" spans="1:16" x14ac:dyDescent="0.35">
      <c r="A902" t="s">
        <v>125</v>
      </c>
      <c r="B902">
        <v>1704123809</v>
      </c>
      <c r="C902" t="s">
        <v>18</v>
      </c>
      <c r="D902" t="s">
        <v>21</v>
      </c>
      <c r="E902" s="29">
        <v>46205</v>
      </c>
      <c r="F902" t="s">
        <v>4</v>
      </c>
      <c r="G902" s="28">
        <v>0.67500000000000004</v>
      </c>
      <c r="H902" s="28">
        <v>0.67500000000000004</v>
      </c>
      <c r="I902">
        <v>0</v>
      </c>
      <c r="J902" t="s">
        <v>174</v>
      </c>
      <c r="K902">
        <v>0</v>
      </c>
      <c r="L902" t="s">
        <v>399</v>
      </c>
      <c r="M902" t="s">
        <v>150</v>
      </c>
      <c r="N902" t="s">
        <v>160</v>
      </c>
      <c r="O902" t="s">
        <v>161</v>
      </c>
      <c r="P902" t="s">
        <v>151</v>
      </c>
    </row>
    <row r="903" spans="1:16" x14ac:dyDescent="0.35">
      <c r="A903" t="s">
        <v>125</v>
      </c>
      <c r="B903">
        <v>1704123809</v>
      </c>
      <c r="C903" t="s">
        <v>18</v>
      </c>
      <c r="D903" t="s">
        <v>21</v>
      </c>
      <c r="E903" s="29">
        <v>46205</v>
      </c>
      <c r="F903" t="s">
        <v>4</v>
      </c>
      <c r="G903" s="28">
        <v>0.68194444444444446</v>
      </c>
      <c r="H903" s="28">
        <v>0.68194444444444446</v>
      </c>
      <c r="I903">
        <v>0</v>
      </c>
      <c r="J903" t="s">
        <v>174</v>
      </c>
      <c r="K903">
        <v>0</v>
      </c>
      <c r="L903" t="s">
        <v>399</v>
      </c>
      <c r="M903" t="s">
        <v>3017</v>
      </c>
      <c r="N903" t="s">
        <v>3018</v>
      </c>
      <c r="O903" t="s">
        <v>3019</v>
      </c>
      <c r="P903" t="s">
        <v>3020</v>
      </c>
    </row>
    <row r="904" spans="1:16" x14ac:dyDescent="0.35">
      <c r="A904" t="s">
        <v>125</v>
      </c>
      <c r="B904">
        <v>1704123809</v>
      </c>
      <c r="C904" t="s">
        <v>18</v>
      </c>
      <c r="D904" t="s">
        <v>21</v>
      </c>
      <c r="E904" s="29">
        <v>46205</v>
      </c>
      <c r="F904" t="s">
        <v>4</v>
      </c>
      <c r="G904" s="28">
        <v>0.68888888888888888</v>
      </c>
      <c r="H904" s="28">
        <v>0.75138888888888888</v>
      </c>
      <c r="I904">
        <v>2</v>
      </c>
      <c r="J904" t="s">
        <v>146</v>
      </c>
      <c r="K904">
        <v>4</v>
      </c>
      <c r="L904" t="s">
        <v>147</v>
      </c>
      <c r="M904" t="s">
        <v>150</v>
      </c>
      <c r="N904" t="s">
        <v>160</v>
      </c>
      <c r="O904" t="s">
        <v>161</v>
      </c>
      <c r="P904" t="s">
        <v>151</v>
      </c>
    </row>
    <row r="905" spans="1:16" x14ac:dyDescent="0.35">
      <c r="A905" t="s">
        <v>125</v>
      </c>
      <c r="B905">
        <v>1704123809</v>
      </c>
      <c r="C905" t="s">
        <v>18</v>
      </c>
      <c r="D905" t="s">
        <v>21</v>
      </c>
      <c r="E905" s="29">
        <v>46205</v>
      </c>
      <c r="F905" t="s">
        <v>4</v>
      </c>
      <c r="G905" s="28">
        <v>0.7583333333333333</v>
      </c>
      <c r="H905" s="28">
        <v>0.7583333333333333</v>
      </c>
      <c r="I905">
        <v>0</v>
      </c>
      <c r="J905" t="s">
        <v>174</v>
      </c>
      <c r="K905">
        <v>0</v>
      </c>
      <c r="L905" t="s">
        <v>399</v>
      </c>
      <c r="M905" t="s">
        <v>3017</v>
      </c>
      <c r="N905" t="s">
        <v>3018</v>
      </c>
      <c r="O905" t="s">
        <v>3019</v>
      </c>
      <c r="P905" t="s">
        <v>3020</v>
      </c>
    </row>
    <row r="906" spans="1:16" x14ac:dyDescent="0.35">
      <c r="A906" t="s">
        <v>125</v>
      </c>
      <c r="B906">
        <v>1704123809</v>
      </c>
      <c r="C906" t="s">
        <v>18</v>
      </c>
      <c r="D906" t="s">
        <v>21</v>
      </c>
      <c r="E906" s="29">
        <v>46205</v>
      </c>
      <c r="F906" t="s">
        <v>4</v>
      </c>
      <c r="G906" s="28">
        <v>0.76527777777777772</v>
      </c>
      <c r="H906" s="28">
        <v>0.99444444444444446</v>
      </c>
      <c r="I906">
        <v>6</v>
      </c>
      <c r="J906" t="s">
        <v>146</v>
      </c>
      <c r="K906">
        <v>16</v>
      </c>
      <c r="L906" t="s">
        <v>147</v>
      </c>
      <c r="M906" t="s">
        <v>150</v>
      </c>
      <c r="N906" t="s">
        <v>160</v>
      </c>
      <c r="O906" t="s">
        <v>161</v>
      </c>
      <c r="P906" t="s">
        <v>151</v>
      </c>
    </row>
    <row r="907" spans="1:16" x14ac:dyDescent="0.35">
      <c r="A907" t="s">
        <v>125</v>
      </c>
      <c r="B907">
        <v>1704123809</v>
      </c>
      <c r="C907" t="s">
        <v>18</v>
      </c>
      <c r="D907" t="s">
        <v>21</v>
      </c>
      <c r="E907" s="29">
        <v>46207</v>
      </c>
      <c r="F907" t="s">
        <v>5</v>
      </c>
      <c r="G907" s="28">
        <v>0.42499999999999999</v>
      </c>
      <c r="H907" s="28">
        <v>0.42499999999999999</v>
      </c>
      <c r="I907">
        <v>0</v>
      </c>
      <c r="J907" t="s">
        <v>174</v>
      </c>
      <c r="K907">
        <v>0</v>
      </c>
      <c r="L907" t="s">
        <v>1677</v>
      </c>
      <c r="M907" t="s">
        <v>2998</v>
      </c>
      <c r="N907" t="s">
        <v>2999</v>
      </c>
      <c r="O907" t="s">
        <v>3000</v>
      </c>
      <c r="P907" t="s">
        <v>3001</v>
      </c>
    </row>
    <row r="908" spans="1:16" x14ac:dyDescent="0.35">
      <c r="A908" t="s">
        <v>125</v>
      </c>
      <c r="B908">
        <v>1704123809</v>
      </c>
      <c r="C908" t="s">
        <v>18</v>
      </c>
      <c r="D908" t="s">
        <v>21</v>
      </c>
      <c r="E908" s="29">
        <v>46207</v>
      </c>
      <c r="F908" t="s">
        <v>5</v>
      </c>
      <c r="G908" s="28">
        <v>0.43194444444444446</v>
      </c>
      <c r="H908" s="28">
        <v>0.43194444444444446</v>
      </c>
      <c r="I908">
        <v>0</v>
      </c>
      <c r="J908" t="s">
        <v>174</v>
      </c>
      <c r="K908">
        <v>0</v>
      </c>
      <c r="L908" t="s">
        <v>1696</v>
      </c>
      <c r="M908" t="s">
        <v>3038</v>
      </c>
      <c r="N908" t="s">
        <v>3039</v>
      </c>
      <c r="O908" t="s">
        <v>3040</v>
      </c>
      <c r="P908" t="s">
        <v>3041</v>
      </c>
    </row>
    <row r="909" spans="1:16" x14ac:dyDescent="0.35">
      <c r="A909" t="s">
        <v>125</v>
      </c>
      <c r="B909">
        <v>1704123809</v>
      </c>
      <c r="C909" t="s">
        <v>18</v>
      </c>
      <c r="D909" t="s">
        <v>21</v>
      </c>
      <c r="E909" s="29">
        <v>46207</v>
      </c>
      <c r="F909" t="s">
        <v>5</v>
      </c>
      <c r="G909" s="28">
        <v>0.43888888888888888</v>
      </c>
      <c r="H909" s="28">
        <v>0.43888888888888888</v>
      </c>
      <c r="I909">
        <v>0</v>
      </c>
      <c r="J909" t="s">
        <v>174</v>
      </c>
      <c r="K909">
        <v>0</v>
      </c>
      <c r="L909" t="s">
        <v>1271</v>
      </c>
      <c r="M909" t="s">
        <v>3042</v>
      </c>
      <c r="N909" t="s">
        <v>3043</v>
      </c>
      <c r="O909" t="s">
        <v>3044</v>
      </c>
      <c r="P909" t="s">
        <v>3045</v>
      </c>
    </row>
    <row r="910" spans="1:16" x14ac:dyDescent="0.35">
      <c r="A910" t="s">
        <v>125</v>
      </c>
      <c r="B910">
        <v>1704123809</v>
      </c>
      <c r="C910" t="s">
        <v>18</v>
      </c>
      <c r="D910" t="s">
        <v>21</v>
      </c>
      <c r="E910" s="29">
        <v>46207</v>
      </c>
      <c r="F910" t="s">
        <v>5</v>
      </c>
      <c r="G910" s="28">
        <v>0.44583333333333336</v>
      </c>
      <c r="H910" s="28">
        <v>0.44583333333333336</v>
      </c>
      <c r="I910">
        <v>0</v>
      </c>
      <c r="J910" t="s">
        <v>174</v>
      </c>
      <c r="K910">
        <v>0</v>
      </c>
      <c r="L910" t="s">
        <v>399</v>
      </c>
      <c r="M910" t="s">
        <v>3046</v>
      </c>
      <c r="N910" t="s">
        <v>3047</v>
      </c>
      <c r="O910" t="s">
        <v>3048</v>
      </c>
      <c r="P910" t="s">
        <v>3049</v>
      </c>
    </row>
    <row r="911" spans="1:16" x14ac:dyDescent="0.35">
      <c r="A911" t="s">
        <v>125</v>
      </c>
      <c r="B911">
        <v>1704123809</v>
      </c>
      <c r="C911" t="s">
        <v>18</v>
      </c>
      <c r="D911" t="s">
        <v>21</v>
      </c>
      <c r="E911" s="29">
        <v>46207</v>
      </c>
      <c r="F911" t="s">
        <v>5</v>
      </c>
      <c r="G911" s="28">
        <v>0.45277777777777778</v>
      </c>
      <c r="H911" s="28">
        <v>0.47361111111111109</v>
      </c>
      <c r="I911">
        <v>0</v>
      </c>
      <c r="J911" t="s">
        <v>146</v>
      </c>
      <c r="K911">
        <v>2</v>
      </c>
      <c r="L911" t="s">
        <v>147</v>
      </c>
      <c r="M911" t="s">
        <v>3050</v>
      </c>
      <c r="N911" t="s">
        <v>3051</v>
      </c>
      <c r="O911" t="s">
        <v>3052</v>
      </c>
      <c r="P911" t="s">
        <v>3053</v>
      </c>
    </row>
    <row r="912" spans="1:16" x14ac:dyDescent="0.35">
      <c r="A912" t="s">
        <v>125</v>
      </c>
      <c r="B912">
        <v>1704123809</v>
      </c>
      <c r="C912" t="s">
        <v>18</v>
      </c>
      <c r="D912" t="s">
        <v>21</v>
      </c>
      <c r="E912" s="29">
        <v>46207</v>
      </c>
      <c r="F912" t="s">
        <v>5</v>
      </c>
      <c r="G912" s="28">
        <v>0.48055555555555557</v>
      </c>
      <c r="H912" s="28">
        <v>0.48055555555555557</v>
      </c>
      <c r="I912">
        <v>0</v>
      </c>
      <c r="J912" t="s">
        <v>174</v>
      </c>
      <c r="K912">
        <v>0</v>
      </c>
      <c r="L912" t="s">
        <v>2466</v>
      </c>
      <c r="M912" t="s">
        <v>3054</v>
      </c>
      <c r="N912" t="s">
        <v>3047</v>
      </c>
      <c r="O912" t="s">
        <v>3048</v>
      </c>
      <c r="P912" t="s">
        <v>3049</v>
      </c>
    </row>
    <row r="913" spans="1:16" x14ac:dyDescent="0.35">
      <c r="A913" t="s">
        <v>125</v>
      </c>
      <c r="B913">
        <v>1704123809</v>
      </c>
      <c r="C913" t="s">
        <v>18</v>
      </c>
      <c r="D913" t="s">
        <v>21</v>
      </c>
      <c r="E913" s="29">
        <v>46207</v>
      </c>
      <c r="F913" t="s">
        <v>5</v>
      </c>
      <c r="G913" s="28">
        <v>0.48749999999999999</v>
      </c>
      <c r="H913" s="28">
        <v>0.48749999999999999</v>
      </c>
      <c r="I913">
        <v>0</v>
      </c>
      <c r="J913" t="s">
        <v>174</v>
      </c>
      <c r="K913">
        <v>0</v>
      </c>
      <c r="L913" t="s">
        <v>1783</v>
      </c>
      <c r="M913" t="s">
        <v>3055</v>
      </c>
      <c r="N913" t="s">
        <v>3056</v>
      </c>
      <c r="O913" t="s">
        <v>3057</v>
      </c>
      <c r="P913" t="s">
        <v>3058</v>
      </c>
    </row>
    <row r="914" spans="1:16" x14ac:dyDescent="0.35">
      <c r="A914" t="s">
        <v>125</v>
      </c>
      <c r="B914">
        <v>1704123809</v>
      </c>
      <c r="C914" t="s">
        <v>18</v>
      </c>
      <c r="D914" t="s">
        <v>21</v>
      </c>
      <c r="E914" s="29">
        <v>46207</v>
      </c>
      <c r="F914" t="s">
        <v>5</v>
      </c>
      <c r="G914" s="28">
        <v>0.49444444444444446</v>
      </c>
      <c r="H914" s="28">
        <v>0.53611111111111109</v>
      </c>
      <c r="I914">
        <v>1</v>
      </c>
      <c r="J914" t="s">
        <v>146</v>
      </c>
      <c r="K914">
        <v>3</v>
      </c>
      <c r="L914" t="s">
        <v>147</v>
      </c>
      <c r="M914" t="s">
        <v>3059</v>
      </c>
      <c r="N914" t="s">
        <v>3060</v>
      </c>
      <c r="O914" t="s">
        <v>3061</v>
      </c>
      <c r="P914" t="s">
        <v>3062</v>
      </c>
    </row>
    <row r="915" spans="1:16" x14ac:dyDescent="0.35">
      <c r="A915" t="s">
        <v>125</v>
      </c>
      <c r="B915">
        <v>1704123809</v>
      </c>
      <c r="C915" t="s">
        <v>18</v>
      </c>
      <c r="D915" t="s">
        <v>21</v>
      </c>
      <c r="E915" s="29">
        <v>46207</v>
      </c>
      <c r="F915" t="s">
        <v>5</v>
      </c>
      <c r="G915" s="28">
        <v>0.54305555555555551</v>
      </c>
      <c r="H915" s="28">
        <v>0.54305555555555551</v>
      </c>
      <c r="I915">
        <v>0</v>
      </c>
      <c r="J915" t="s">
        <v>174</v>
      </c>
      <c r="K915">
        <v>0</v>
      </c>
      <c r="L915" t="s">
        <v>1307</v>
      </c>
      <c r="M915" t="s">
        <v>3063</v>
      </c>
      <c r="N915" t="s">
        <v>3064</v>
      </c>
      <c r="O915" t="s">
        <v>3065</v>
      </c>
      <c r="P915" t="s">
        <v>3066</v>
      </c>
    </row>
    <row r="916" spans="1:16" x14ac:dyDescent="0.35">
      <c r="A916" t="s">
        <v>125</v>
      </c>
      <c r="B916">
        <v>1704123809</v>
      </c>
      <c r="C916" t="s">
        <v>18</v>
      </c>
      <c r="D916" t="s">
        <v>21</v>
      </c>
      <c r="E916" s="29">
        <v>46207</v>
      </c>
      <c r="F916" t="s">
        <v>5</v>
      </c>
      <c r="G916" s="28">
        <v>0.55000000000000004</v>
      </c>
      <c r="H916" s="28">
        <v>0.55000000000000004</v>
      </c>
      <c r="I916">
        <v>0</v>
      </c>
      <c r="J916" t="s">
        <v>174</v>
      </c>
      <c r="K916">
        <v>0</v>
      </c>
      <c r="L916" t="s">
        <v>3067</v>
      </c>
      <c r="M916" t="s">
        <v>3068</v>
      </c>
      <c r="N916" t="s">
        <v>3069</v>
      </c>
      <c r="O916" t="s">
        <v>2459</v>
      </c>
      <c r="P916" t="s">
        <v>3070</v>
      </c>
    </row>
    <row r="917" spans="1:16" x14ac:dyDescent="0.35">
      <c r="A917" t="s">
        <v>125</v>
      </c>
      <c r="B917">
        <v>1704123809</v>
      </c>
      <c r="C917" t="s">
        <v>18</v>
      </c>
      <c r="D917" t="s">
        <v>21</v>
      </c>
      <c r="E917" s="29">
        <v>46207</v>
      </c>
      <c r="F917" t="s">
        <v>5</v>
      </c>
      <c r="G917" s="28">
        <v>0.55694444444444446</v>
      </c>
      <c r="H917" s="28">
        <v>0.77916666666666667</v>
      </c>
      <c r="I917">
        <v>5</v>
      </c>
      <c r="J917" t="s">
        <v>146</v>
      </c>
      <c r="K917">
        <v>16</v>
      </c>
      <c r="L917" t="s">
        <v>147</v>
      </c>
      <c r="M917" t="s">
        <v>3071</v>
      </c>
      <c r="N917" t="s">
        <v>3072</v>
      </c>
      <c r="O917" t="s">
        <v>3073</v>
      </c>
      <c r="P917" t="s">
        <v>3074</v>
      </c>
    </row>
    <row r="918" spans="1:16" x14ac:dyDescent="0.35">
      <c r="A918" t="s">
        <v>125</v>
      </c>
      <c r="B918">
        <v>1704123809</v>
      </c>
      <c r="C918" t="s">
        <v>18</v>
      </c>
      <c r="D918" t="s">
        <v>21</v>
      </c>
      <c r="E918" s="29">
        <v>46207</v>
      </c>
      <c r="F918" t="s">
        <v>5</v>
      </c>
      <c r="G918" s="28">
        <v>0.78611111111111109</v>
      </c>
      <c r="H918" s="28">
        <v>0.80694444444444446</v>
      </c>
      <c r="I918">
        <v>1</v>
      </c>
      <c r="J918" t="s">
        <v>146</v>
      </c>
      <c r="K918">
        <v>2</v>
      </c>
      <c r="L918" t="s">
        <v>147</v>
      </c>
      <c r="M918" t="s">
        <v>3059</v>
      </c>
      <c r="N918" t="s">
        <v>3060</v>
      </c>
      <c r="O918" t="s">
        <v>3061</v>
      </c>
      <c r="P918" t="s">
        <v>3062</v>
      </c>
    </row>
    <row r="919" spans="1:16" x14ac:dyDescent="0.35">
      <c r="A919" t="s">
        <v>125</v>
      </c>
      <c r="B919">
        <v>1704123809</v>
      </c>
      <c r="C919" t="s">
        <v>18</v>
      </c>
      <c r="D919" t="s">
        <v>21</v>
      </c>
      <c r="E919" s="29">
        <v>46208</v>
      </c>
      <c r="F919" t="s">
        <v>6</v>
      </c>
      <c r="G919" s="28">
        <v>0.37638888888888888</v>
      </c>
      <c r="H919" s="28">
        <v>0.37638888888888888</v>
      </c>
      <c r="I919">
        <v>0</v>
      </c>
      <c r="J919" t="s">
        <v>174</v>
      </c>
      <c r="K919">
        <v>0</v>
      </c>
      <c r="L919" t="s">
        <v>278</v>
      </c>
      <c r="M919" t="s">
        <v>3042</v>
      </c>
      <c r="N919" t="s">
        <v>3075</v>
      </c>
      <c r="O919" t="s">
        <v>3076</v>
      </c>
      <c r="P919" t="s">
        <v>3077</v>
      </c>
    </row>
    <row r="920" spans="1:16" x14ac:dyDescent="0.35">
      <c r="A920" t="s">
        <v>125</v>
      </c>
      <c r="B920">
        <v>1704123809</v>
      </c>
      <c r="C920" t="s">
        <v>18</v>
      </c>
      <c r="D920" t="s">
        <v>21</v>
      </c>
      <c r="E920" s="29">
        <v>46208</v>
      </c>
      <c r="F920" t="s">
        <v>6</v>
      </c>
      <c r="G920" s="28">
        <v>0.38333333333333336</v>
      </c>
      <c r="H920" s="28">
        <v>0.38333333333333336</v>
      </c>
      <c r="I920">
        <v>0</v>
      </c>
      <c r="J920" t="s">
        <v>174</v>
      </c>
      <c r="K920">
        <v>0</v>
      </c>
      <c r="L920" t="s">
        <v>368</v>
      </c>
      <c r="M920" t="s">
        <v>3078</v>
      </c>
      <c r="N920" t="s">
        <v>3079</v>
      </c>
      <c r="O920" t="s">
        <v>3080</v>
      </c>
      <c r="P920" t="s">
        <v>3081</v>
      </c>
    </row>
    <row r="921" spans="1:16" x14ac:dyDescent="0.35">
      <c r="A921" t="s">
        <v>125</v>
      </c>
      <c r="B921">
        <v>1704123809</v>
      </c>
      <c r="C921" t="s">
        <v>18</v>
      </c>
      <c r="D921" t="s">
        <v>21</v>
      </c>
      <c r="E921" s="29">
        <v>46208</v>
      </c>
      <c r="F921" t="s">
        <v>6</v>
      </c>
      <c r="G921" s="28">
        <v>0.39027777777777778</v>
      </c>
      <c r="H921" s="28">
        <v>0.39027777777777778</v>
      </c>
      <c r="I921">
        <v>0</v>
      </c>
      <c r="J921" t="s">
        <v>174</v>
      </c>
      <c r="K921">
        <v>0</v>
      </c>
      <c r="L921" t="s">
        <v>3082</v>
      </c>
      <c r="M921" t="s">
        <v>3083</v>
      </c>
      <c r="N921" t="s">
        <v>3084</v>
      </c>
      <c r="O921" t="s">
        <v>3085</v>
      </c>
      <c r="P921" t="s">
        <v>3086</v>
      </c>
    </row>
    <row r="922" spans="1:16" x14ac:dyDescent="0.35">
      <c r="A922" t="s">
        <v>125</v>
      </c>
      <c r="B922">
        <v>1704123809</v>
      </c>
      <c r="C922" t="s">
        <v>18</v>
      </c>
      <c r="D922" t="s">
        <v>21</v>
      </c>
      <c r="E922" s="29">
        <v>46208</v>
      </c>
      <c r="F922" t="s">
        <v>6</v>
      </c>
      <c r="G922" s="28">
        <v>0.3972222222222222</v>
      </c>
      <c r="H922" s="28">
        <v>0.3972222222222222</v>
      </c>
      <c r="I922">
        <v>0</v>
      </c>
      <c r="J922" t="s">
        <v>174</v>
      </c>
      <c r="K922">
        <v>0</v>
      </c>
      <c r="L922" t="s">
        <v>888</v>
      </c>
      <c r="M922" t="s">
        <v>3087</v>
      </c>
      <c r="N922" t="s">
        <v>3088</v>
      </c>
      <c r="O922" t="s">
        <v>3089</v>
      </c>
      <c r="P922" t="s">
        <v>3090</v>
      </c>
    </row>
    <row r="923" spans="1:16" x14ac:dyDescent="0.35">
      <c r="A923" t="s">
        <v>125</v>
      </c>
      <c r="B923">
        <v>1704123809</v>
      </c>
      <c r="C923" t="s">
        <v>18</v>
      </c>
      <c r="D923" t="s">
        <v>21</v>
      </c>
      <c r="E923" s="29">
        <v>46208</v>
      </c>
      <c r="F923" t="s">
        <v>6</v>
      </c>
      <c r="G923" s="28">
        <v>0.40416666666666667</v>
      </c>
      <c r="H923" s="28">
        <v>0.40416666666666667</v>
      </c>
      <c r="I923">
        <v>0</v>
      </c>
      <c r="J923" t="s">
        <v>174</v>
      </c>
      <c r="K923">
        <v>0</v>
      </c>
      <c r="L923" t="s">
        <v>3091</v>
      </c>
      <c r="M923" t="s">
        <v>3092</v>
      </c>
      <c r="N923" t="s">
        <v>3093</v>
      </c>
      <c r="O923" t="s">
        <v>3094</v>
      </c>
      <c r="P923" t="s">
        <v>3095</v>
      </c>
    </row>
    <row r="924" spans="1:16" x14ac:dyDescent="0.35">
      <c r="A924" t="s">
        <v>125</v>
      </c>
      <c r="B924">
        <v>1704123809</v>
      </c>
      <c r="C924" t="s">
        <v>18</v>
      </c>
      <c r="D924" t="s">
        <v>21</v>
      </c>
      <c r="E924" s="29">
        <v>46208</v>
      </c>
      <c r="F924" t="s">
        <v>6</v>
      </c>
      <c r="G924" s="28">
        <v>0.41111111111111109</v>
      </c>
      <c r="H924" s="28">
        <v>0.41111111111111109</v>
      </c>
      <c r="I924">
        <v>0</v>
      </c>
      <c r="J924" t="s">
        <v>174</v>
      </c>
      <c r="K924">
        <v>0</v>
      </c>
      <c r="L924" t="s">
        <v>3096</v>
      </c>
      <c r="M924" t="s">
        <v>3097</v>
      </c>
      <c r="N924" t="s">
        <v>3098</v>
      </c>
      <c r="O924" t="s">
        <v>3099</v>
      </c>
      <c r="P924" t="s">
        <v>3100</v>
      </c>
    </row>
    <row r="925" spans="1:16" x14ac:dyDescent="0.35">
      <c r="A925" t="s">
        <v>125</v>
      </c>
      <c r="B925">
        <v>1704123809</v>
      </c>
      <c r="C925" t="s">
        <v>18</v>
      </c>
      <c r="D925" t="s">
        <v>21</v>
      </c>
      <c r="E925" s="29">
        <v>46208</v>
      </c>
      <c r="F925" t="s">
        <v>6</v>
      </c>
      <c r="G925" s="28">
        <v>0.41805555555555557</v>
      </c>
      <c r="H925" s="28">
        <v>0.41805555555555557</v>
      </c>
      <c r="I925">
        <v>0</v>
      </c>
      <c r="J925" t="s">
        <v>174</v>
      </c>
      <c r="K925">
        <v>0</v>
      </c>
      <c r="L925" t="s">
        <v>3101</v>
      </c>
      <c r="M925" t="s">
        <v>3102</v>
      </c>
      <c r="N925" t="s">
        <v>3103</v>
      </c>
      <c r="O925" t="s">
        <v>3104</v>
      </c>
      <c r="P925" t="s">
        <v>3105</v>
      </c>
    </row>
    <row r="926" spans="1:16" x14ac:dyDescent="0.35">
      <c r="A926" t="s">
        <v>125</v>
      </c>
      <c r="B926">
        <v>1704123809</v>
      </c>
      <c r="C926" t="s">
        <v>18</v>
      </c>
      <c r="D926" t="s">
        <v>21</v>
      </c>
      <c r="E926" s="29">
        <v>46208</v>
      </c>
      <c r="F926" t="s">
        <v>6</v>
      </c>
      <c r="G926" s="28">
        <v>0.42499999999999999</v>
      </c>
      <c r="H926" s="28">
        <v>0.43194444444444446</v>
      </c>
      <c r="I926">
        <v>0</v>
      </c>
      <c r="J926" t="s">
        <v>146</v>
      </c>
      <c r="K926">
        <v>1</v>
      </c>
      <c r="L926" t="s">
        <v>147</v>
      </c>
      <c r="M926" t="s">
        <v>3106</v>
      </c>
      <c r="N926" t="s">
        <v>3107</v>
      </c>
      <c r="O926" t="s">
        <v>3108</v>
      </c>
      <c r="P926" t="s">
        <v>3109</v>
      </c>
    </row>
    <row r="927" spans="1:16" x14ac:dyDescent="0.35">
      <c r="A927" t="s">
        <v>125</v>
      </c>
      <c r="B927">
        <v>1704123809</v>
      </c>
      <c r="C927" t="s">
        <v>18</v>
      </c>
      <c r="D927" t="s">
        <v>21</v>
      </c>
      <c r="E927" s="29">
        <v>46208</v>
      </c>
      <c r="F927" t="s">
        <v>6</v>
      </c>
      <c r="G927" s="28">
        <v>0.43888888888888888</v>
      </c>
      <c r="H927" s="28">
        <v>0.43888888888888888</v>
      </c>
      <c r="I927">
        <v>0</v>
      </c>
      <c r="J927" t="s">
        <v>174</v>
      </c>
      <c r="K927">
        <v>0</v>
      </c>
      <c r="L927" t="s">
        <v>3110</v>
      </c>
      <c r="M927" t="s">
        <v>3111</v>
      </c>
      <c r="N927" t="s">
        <v>3112</v>
      </c>
      <c r="O927" t="s">
        <v>3113</v>
      </c>
      <c r="P927" t="s">
        <v>3114</v>
      </c>
    </row>
    <row r="928" spans="1:16" x14ac:dyDescent="0.35">
      <c r="A928" t="s">
        <v>125</v>
      </c>
      <c r="B928">
        <v>1704123809</v>
      </c>
      <c r="C928" t="s">
        <v>18</v>
      </c>
      <c r="D928" t="s">
        <v>21</v>
      </c>
      <c r="E928" s="29">
        <v>46208</v>
      </c>
      <c r="F928" t="s">
        <v>6</v>
      </c>
      <c r="G928" s="28">
        <v>0.44583333333333336</v>
      </c>
      <c r="H928" s="28">
        <v>0.44583333333333336</v>
      </c>
      <c r="I928">
        <v>0</v>
      </c>
      <c r="J928" t="s">
        <v>174</v>
      </c>
      <c r="K928">
        <v>0</v>
      </c>
      <c r="L928" t="s">
        <v>3115</v>
      </c>
      <c r="M928" t="s">
        <v>3116</v>
      </c>
      <c r="N928" t="s">
        <v>3117</v>
      </c>
      <c r="O928" t="s">
        <v>3118</v>
      </c>
      <c r="P928" t="s">
        <v>3119</v>
      </c>
    </row>
    <row r="929" spans="1:16" x14ac:dyDescent="0.35">
      <c r="A929" t="s">
        <v>125</v>
      </c>
      <c r="B929">
        <v>1704123809</v>
      </c>
      <c r="C929" t="s">
        <v>18</v>
      </c>
      <c r="D929" t="s">
        <v>21</v>
      </c>
      <c r="E929" s="29">
        <v>46208</v>
      </c>
      <c r="F929" t="s">
        <v>6</v>
      </c>
      <c r="G929" s="28">
        <v>0.45277777777777778</v>
      </c>
      <c r="H929" s="28">
        <v>0.45277777777777778</v>
      </c>
      <c r="I929">
        <v>0</v>
      </c>
      <c r="J929" t="s">
        <v>174</v>
      </c>
      <c r="K929">
        <v>0</v>
      </c>
      <c r="L929" t="s">
        <v>3120</v>
      </c>
      <c r="M929" t="s">
        <v>3121</v>
      </c>
      <c r="N929" t="s">
        <v>3122</v>
      </c>
      <c r="O929" t="s">
        <v>3123</v>
      </c>
      <c r="P929" t="s">
        <v>3124</v>
      </c>
    </row>
    <row r="930" spans="1:16" x14ac:dyDescent="0.35">
      <c r="A930" t="s">
        <v>125</v>
      </c>
      <c r="B930">
        <v>1704123809</v>
      </c>
      <c r="C930" t="s">
        <v>18</v>
      </c>
      <c r="D930" t="s">
        <v>21</v>
      </c>
      <c r="E930" s="29">
        <v>46208</v>
      </c>
      <c r="F930" t="s">
        <v>6</v>
      </c>
      <c r="G930" s="28">
        <v>0.4597222222222222</v>
      </c>
      <c r="H930" s="28">
        <v>0.4597222222222222</v>
      </c>
      <c r="I930">
        <v>0</v>
      </c>
      <c r="J930" t="s">
        <v>174</v>
      </c>
      <c r="K930">
        <v>0</v>
      </c>
      <c r="L930" t="s">
        <v>3125</v>
      </c>
      <c r="M930" t="s">
        <v>3126</v>
      </c>
      <c r="N930" t="s">
        <v>3127</v>
      </c>
      <c r="O930" t="s">
        <v>3128</v>
      </c>
      <c r="P930" t="s">
        <v>3129</v>
      </c>
    </row>
    <row r="931" spans="1:16" x14ac:dyDescent="0.35">
      <c r="A931" t="s">
        <v>125</v>
      </c>
      <c r="B931">
        <v>1704123809</v>
      </c>
      <c r="C931" t="s">
        <v>18</v>
      </c>
      <c r="D931" t="s">
        <v>21</v>
      </c>
      <c r="E931" s="29">
        <v>46208</v>
      </c>
      <c r="F931" t="s">
        <v>6</v>
      </c>
      <c r="G931" s="28">
        <v>0.46666666666666667</v>
      </c>
      <c r="H931" s="28">
        <v>0.46666666666666667</v>
      </c>
      <c r="I931">
        <v>0</v>
      </c>
      <c r="J931" t="s">
        <v>174</v>
      </c>
      <c r="K931">
        <v>0</v>
      </c>
      <c r="L931" t="s">
        <v>349</v>
      </c>
      <c r="M931" t="s">
        <v>3130</v>
      </c>
      <c r="N931" t="s">
        <v>3131</v>
      </c>
      <c r="O931" t="s">
        <v>3132</v>
      </c>
      <c r="P931" t="s">
        <v>3133</v>
      </c>
    </row>
    <row r="932" spans="1:16" x14ac:dyDescent="0.35">
      <c r="A932" t="s">
        <v>125</v>
      </c>
      <c r="B932">
        <v>1704123809</v>
      </c>
      <c r="C932" t="s">
        <v>18</v>
      </c>
      <c r="D932" t="s">
        <v>21</v>
      </c>
      <c r="E932" s="29">
        <v>46208</v>
      </c>
      <c r="F932" t="s">
        <v>6</v>
      </c>
      <c r="G932" s="28">
        <v>0.47361111111111109</v>
      </c>
      <c r="H932" s="28">
        <v>0.47361111111111109</v>
      </c>
      <c r="I932">
        <v>0</v>
      </c>
      <c r="J932" t="s">
        <v>174</v>
      </c>
      <c r="K932">
        <v>0</v>
      </c>
      <c r="L932" t="s">
        <v>1440</v>
      </c>
      <c r="M932" t="s">
        <v>3134</v>
      </c>
      <c r="N932" t="s">
        <v>3135</v>
      </c>
      <c r="O932" t="s">
        <v>3136</v>
      </c>
      <c r="P932" t="s">
        <v>3137</v>
      </c>
    </row>
    <row r="933" spans="1:16" x14ac:dyDescent="0.35">
      <c r="A933" t="s">
        <v>125</v>
      </c>
      <c r="B933">
        <v>1704123809</v>
      </c>
      <c r="C933" t="s">
        <v>18</v>
      </c>
      <c r="D933" t="s">
        <v>21</v>
      </c>
      <c r="E933" s="29">
        <v>46208</v>
      </c>
      <c r="F933" t="s">
        <v>6</v>
      </c>
      <c r="G933" s="28">
        <v>0.48055555555555557</v>
      </c>
      <c r="H933" s="28">
        <v>0.48749999999999999</v>
      </c>
      <c r="I933">
        <v>0</v>
      </c>
      <c r="J933" t="s">
        <v>146</v>
      </c>
      <c r="K933">
        <v>0</v>
      </c>
      <c r="L933" t="s">
        <v>147</v>
      </c>
      <c r="M933" t="s">
        <v>3138</v>
      </c>
      <c r="N933" t="s">
        <v>3139</v>
      </c>
      <c r="O933" t="s">
        <v>3140</v>
      </c>
      <c r="P933" t="s">
        <v>3141</v>
      </c>
    </row>
    <row r="934" spans="1:16" x14ac:dyDescent="0.35">
      <c r="A934" t="s">
        <v>125</v>
      </c>
      <c r="B934">
        <v>1704123809</v>
      </c>
      <c r="C934" t="s">
        <v>18</v>
      </c>
      <c r="D934" t="s">
        <v>21</v>
      </c>
      <c r="E934" s="29">
        <v>46208</v>
      </c>
      <c r="F934" t="s">
        <v>6</v>
      </c>
      <c r="G934" s="28">
        <v>0.49444444444444446</v>
      </c>
      <c r="H934" s="28">
        <v>0.61250000000000004</v>
      </c>
      <c r="I934">
        <v>3</v>
      </c>
      <c r="J934" t="s">
        <v>146</v>
      </c>
      <c r="K934">
        <v>8</v>
      </c>
      <c r="L934" t="s">
        <v>147</v>
      </c>
      <c r="M934" t="s">
        <v>3142</v>
      </c>
      <c r="N934" t="s">
        <v>3143</v>
      </c>
      <c r="O934" t="s">
        <v>3144</v>
      </c>
      <c r="P934" t="s">
        <v>3145</v>
      </c>
    </row>
    <row r="935" spans="1:16" x14ac:dyDescent="0.35">
      <c r="A935" t="s">
        <v>125</v>
      </c>
      <c r="B935">
        <v>1704123809</v>
      </c>
      <c r="C935" t="s">
        <v>18</v>
      </c>
      <c r="D935" t="s">
        <v>21</v>
      </c>
      <c r="E935" s="29">
        <v>46208</v>
      </c>
      <c r="F935" t="s">
        <v>6</v>
      </c>
      <c r="G935" s="28">
        <v>0.61944444444444446</v>
      </c>
      <c r="H935" s="28">
        <v>0.61944444444444446</v>
      </c>
      <c r="I935">
        <v>0</v>
      </c>
      <c r="J935" t="s">
        <v>174</v>
      </c>
      <c r="K935">
        <v>0</v>
      </c>
      <c r="L935" t="s">
        <v>1855</v>
      </c>
      <c r="M935" t="s">
        <v>3146</v>
      </c>
      <c r="N935" t="s">
        <v>3139</v>
      </c>
      <c r="O935" t="s">
        <v>3140</v>
      </c>
      <c r="P935" t="s">
        <v>3141</v>
      </c>
    </row>
    <row r="936" spans="1:16" x14ac:dyDescent="0.35">
      <c r="A936" t="s">
        <v>125</v>
      </c>
      <c r="B936">
        <v>1704123809</v>
      </c>
      <c r="C936" t="s">
        <v>18</v>
      </c>
      <c r="D936" t="s">
        <v>21</v>
      </c>
      <c r="E936" s="29">
        <v>46208</v>
      </c>
      <c r="F936" t="s">
        <v>6</v>
      </c>
      <c r="G936" s="28">
        <v>0.62638888888888888</v>
      </c>
      <c r="H936" s="28">
        <v>0.66805555555555551</v>
      </c>
      <c r="I936">
        <v>1</v>
      </c>
      <c r="J936" t="s">
        <v>146</v>
      </c>
      <c r="K936">
        <v>3</v>
      </c>
      <c r="L936" t="s">
        <v>147</v>
      </c>
      <c r="M936" t="s">
        <v>3147</v>
      </c>
      <c r="N936" t="s">
        <v>3148</v>
      </c>
      <c r="O936" t="s">
        <v>3149</v>
      </c>
      <c r="P936" t="s">
        <v>3150</v>
      </c>
    </row>
    <row r="937" spans="1:16" x14ac:dyDescent="0.35">
      <c r="A937" t="s">
        <v>125</v>
      </c>
      <c r="B937">
        <v>1704123809</v>
      </c>
      <c r="C937" t="s">
        <v>18</v>
      </c>
      <c r="D937" t="s">
        <v>21</v>
      </c>
      <c r="E937" s="29">
        <v>46208</v>
      </c>
      <c r="F937" t="s">
        <v>6</v>
      </c>
      <c r="G937" s="28">
        <v>0.67500000000000004</v>
      </c>
      <c r="H937" s="28">
        <v>0.67500000000000004</v>
      </c>
      <c r="I937">
        <v>0</v>
      </c>
      <c r="J937" t="s">
        <v>174</v>
      </c>
      <c r="K937">
        <v>0</v>
      </c>
      <c r="L937" t="s">
        <v>3151</v>
      </c>
      <c r="M937" t="s">
        <v>3152</v>
      </c>
      <c r="N937" t="s">
        <v>3153</v>
      </c>
      <c r="O937" t="s">
        <v>3154</v>
      </c>
      <c r="P937" t="s">
        <v>3155</v>
      </c>
    </row>
    <row r="938" spans="1:16" x14ac:dyDescent="0.35">
      <c r="A938" t="s">
        <v>125</v>
      </c>
      <c r="B938">
        <v>1704123809</v>
      </c>
      <c r="C938" t="s">
        <v>18</v>
      </c>
      <c r="D938" t="s">
        <v>21</v>
      </c>
      <c r="E938" s="29">
        <v>46208</v>
      </c>
      <c r="F938" t="s">
        <v>6</v>
      </c>
      <c r="G938" s="28">
        <v>0.68194444444444446</v>
      </c>
      <c r="H938" s="28">
        <v>0.68194444444444446</v>
      </c>
      <c r="I938">
        <v>0</v>
      </c>
      <c r="J938" t="s">
        <v>174</v>
      </c>
      <c r="K938">
        <v>0</v>
      </c>
      <c r="L938" t="s">
        <v>2194</v>
      </c>
      <c r="M938" t="s">
        <v>3147</v>
      </c>
      <c r="N938" t="s">
        <v>3148</v>
      </c>
      <c r="O938" t="s">
        <v>3149</v>
      </c>
      <c r="P938" t="s">
        <v>3150</v>
      </c>
    </row>
    <row r="939" spans="1:16" x14ac:dyDescent="0.35">
      <c r="A939" t="s">
        <v>125</v>
      </c>
      <c r="B939">
        <v>1704123809</v>
      </c>
      <c r="C939" t="s">
        <v>18</v>
      </c>
      <c r="D939" t="s">
        <v>21</v>
      </c>
      <c r="E939" s="29">
        <v>46208</v>
      </c>
      <c r="F939" t="s">
        <v>6</v>
      </c>
      <c r="G939" s="28">
        <v>0.68888888888888888</v>
      </c>
      <c r="H939" s="28">
        <v>0.70277777777777772</v>
      </c>
      <c r="I939">
        <v>0</v>
      </c>
      <c r="J939" t="s">
        <v>146</v>
      </c>
      <c r="K939">
        <v>1</v>
      </c>
      <c r="L939" t="s">
        <v>147</v>
      </c>
      <c r="M939" t="s">
        <v>3156</v>
      </c>
      <c r="N939" t="s">
        <v>3157</v>
      </c>
      <c r="O939" t="s">
        <v>3158</v>
      </c>
      <c r="P939" t="s">
        <v>3159</v>
      </c>
    </row>
    <row r="940" spans="1:16" x14ac:dyDescent="0.35">
      <c r="A940" t="s">
        <v>125</v>
      </c>
      <c r="B940">
        <v>1704123809</v>
      </c>
      <c r="C940" t="s">
        <v>18</v>
      </c>
      <c r="D940" t="s">
        <v>21</v>
      </c>
      <c r="E940" s="29">
        <v>46208</v>
      </c>
      <c r="F940" t="s">
        <v>6</v>
      </c>
      <c r="G940" s="28">
        <v>0.70972222222222225</v>
      </c>
      <c r="H940" s="28">
        <v>0.70972222222222225</v>
      </c>
      <c r="I940">
        <v>0</v>
      </c>
      <c r="J940" t="s">
        <v>174</v>
      </c>
      <c r="K940">
        <v>0</v>
      </c>
      <c r="L940" t="s">
        <v>3160</v>
      </c>
      <c r="M940" t="s">
        <v>3161</v>
      </c>
      <c r="N940" t="s">
        <v>3162</v>
      </c>
      <c r="O940" t="s">
        <v>3163</v>
      </c>
      <c r="P940" t="s">
        <v>3164</v>
      </c>
    </row>
    <row r="941" spans="1:16" x14ac:dyDescent="0.35">
      <c r="A941" t="s">
        <v>125</v>
      </c>
      <c r="B941">
        <v>1704123809</v>
      </c>
      <c r="C941" t="s">
        <v>18</v>
      </c>
      <c r="D941" t="s">
        <v>21</v>
      </c>
      <c r="E941" s="29">
        <v>46208</v>
      </c>
      <c r="F941" t="s">
        <v>6</v>
      </c>
      <c r="G941" s="28">
        <v>0.71666666666666667</v>
      </c>
      <c r="H941" s="28">
        <v>0.71666666666666667</v>
      </c>
      <c r="I941">
        <v>0</v>
      </c>
      <c r="J941" t="s">
        <v>174</v>
      </c>
      <c r="K941">
        <v>0</v>
      </c>
      <c r="L941" t="s">
        <v>1901</v>
      </c>
      <c r="M941" t="s">
        <v>3165</v>
      </c>
      <c r="N941" t="s">
        <v>3166</v>
      </c>
      <c r="O941" t="s">
        <v>3167</v>
      </c>
      <c r="P941" t="s">
        <v>3168</v>
      </c>
    </row>
    <row r="942" spans="1:16" x14ac:dyDescent="0.35">
      <c r="A942" t="s">
        <v>125</v>
      </c>
      <c r="B942">
        <v>1704123809</v>
      </c>
      <c r="C942" t="s">
        <v>18</v>
      </c>
      <c r="D942" t="s">
        <v>21</v>
      </c>
      <c r="E942" s="29">
        <v>46208</v>
      </c>
      <c r="F942" t="s">
        <v>6</v>
      </c>
      <c r="G942" s="28">
        <v>0.72361111111111109</v>
      </c>
      <c r="H942" s="28">
        <v>0.72361111111111109</v>
      </c>
      <c r="I942">
        <v>0</v>
      </c>
      <c r="J942" t="s">
        <v>174</v>
      </c>
      <c r="K942">
        <v>0</v>
      </c>
      <c r="L942" t="s">
        <v>3169</v>
      </c>
      <c r="M942" t="s">
        <v>3170</v>
      </c>
      <c r="N942" t="s">
        <v>3171</v>
      </c>
      <c r="O942" t="s">
        <v>3172</v>
      </c>
      <c r="P942" t="s">
        <v>3173</v>
      </c>
    </row>
    <row r="943" spans="1:16" x14ac:dyDescent="0.35">
      <c r="A943" t="s">
        <v>125</v>
      </c>
      <c r="B943">
        <v>1704123809</v>
      </c>
      <c r="C943" t="s">
        <v>18</v>
      </c>
      <c r="D943" t="s">
        <v>21</v>
      </c>
      <c r="E943" s="29">
        <v>46208</v>
      </c>
      <c r="F943" t="s">
        <v>6</v>
      </c>
      <c r="G943" s="28">
        <v>0.73055555555555551</v>
      </c>
      <c r="H943" s="28">
        <v>0.73055555555555551</v>
      </c>
      <c r="I943">
        <v>0</v>
      </c>
      <c r="J943" t="s">
        <v>174</v>
      </c>
      <c r="K943">
        <v>0</v>
      </c>
      <c r="L943" t="s">
        <v>293</v>
      </c>
      <c r="M943" t="s">
        <v>3174</v>
      </c>
      <c r="N943" t="s">
        <v>3175</v>
      </c>
      <c r="O943" t="s">
        <v>3176</v>
      </c>
      <c r="P943" t="s">
        <v>3177</v>
      </c>
    </row>
    <row r="944" spans="1:16" x14ac:dyDescent="0.35">
      <c r="A944" t="s">
        <v>125</v>
      </c>
      <c r="B944">
        <v>1704123809</v>
      </c>
      <c r="C944" t="s">
        <v>18</v>
      </c>
      <c r="D944" t="s">
        <v>21</v>
      </c>
      <c r="E944" s="29">
        <v>46208</v>
      </c>
      <c r="F944" t="s">
        <v>6</v>
      </c>
      <c r="G944" s="28">
        <v>0.73750000000000004</v>
      </c>
      <c r="H944" s="28">
        <v>0.73750000000000004</v>
      </c>
      <c r="I944">
        <v>0</v>
      </c>
      <c r="J944" t="s">
        <v>174</v>
      </c>
      <c r="K944">
        <v>0</v>
      </c>
      <c r="L944" t="s">
        <v>3178</v>
      </c>
      <c r="M944" t="s">
        <v>3106</v>
      </c>
      <c r="N944" t="s">
        <v>3107</v>
      </c>
      <c r="O944" t="s">
        <v>3108</v>
      </c>
      <c r="P944" t="s">
        <v>3109</v>
      </c>
    </row>
    <row r="945" spans="1:16" x14ac:dyDescent="0.35">
      <c r="A945" t="s">
        <v>125</v>
      </c>
      <c r="B945">
        <v>1704123809</v>
      </c>
      <c r="C945" t="s">
        <v>18</v>
      </c>
      <c r="D945" t="s">
        <v>21</v>
      </c>
      <c r="E945" s="29">
        <v>46208</v>
      </c>
      <c r="F945" t="s">
        <v>6</v>
      </c>
      <c r="G945" s="28">
        <v>0.74444444444444446</v>
      </c>
      <c r="H945" s="28">
        <v>0.74444444444444446</v>
      </c>
      <c r="I945">
        <v>0</v>
      </c>
      <c r="J945" t="s">
        <v>174</v>
      </c>
      <c r="K945">
        <v>0</v>
      </c>
      <c r="L945" t="s">
        <v>3179</v>
      </c>
      <c r="M945" t="s">
        <v>3180</v>
      </c>
      <c r="N945" t="s">
        <v>3181</v>
      </c>
      <c r="O945" t="s">
        <v>3182</v>
      </c>
      <c r="P945" t="s">
        <v>3183</v>
      </c>
    </row>
    <row r="946" spans="1:16" x14ac:dyDescent="0.35">
      <c r="A946" t="s">
        <v>125</v>
      </c>
      <c r="B946">
        <v>1704123809</v>
      </c>
      <c r="C946" t="s">
        <v>18</v>
      </c>
      <c r="D946" t="s">
        <v>21</v>
      </c>
      <c r="E946" s="29">
        <v>46208</v>
      </c>
      <c r="F946" t="s">
        <v>6</v>
      </c>
      <c r="G946" s="28">
        <v>0.75138888888888888</v>
      </c>
      <c r="H946" s="28">
        <v>0.75138888888888888</v>
      </c>
      <c r="I946">
        <v>0</v>
      </c>
      <c r="J946" t="s">
        <v>174</v>
      </c>
      <c r="K946">
        <v>0</v>
      </c>
      <c r="L946" t="s">
        <v>586</v>
      </c>
      <c r="M946" t="s">
        <v>3184</v>
      </c>
      <c r="N946" t="s">
        <v>3185</v>
      </c>
      <c r="O946" t="s">
        <v>3186</v>
      </c>
      <c r="P946" t="s">
        <v>3187</v>
      </c>
    </row>
    <row r="947" spans="1:16" x14ac:dyDescent="0.35">
      <c r="A947" t="s">
        <v>125</v>
      </c>
      <c r="B947">
        <v>1704123809</v>
      </c>
      <c r="C947" t="s">
        <v>18</v>
      </c>
      <c r="D947" t="s">
        <v>21</v>
      </c>
      <c r="E947" s="29">
        <v>46208</v>
      </c>
      <c r="F947" t="s">
        <v>6</v>
      </c>
      <c r="G947" s="28">
        <v>0.7583333333333333</v>
      </c>
      <c r="H947" s="28">
        <v>0.7583333333333333</v>
      </c>
      <c r="I947">
        <v>0</v>
      </c>
      <c r="J947" t="s">
        <v>174</v>
      </c>
      <c r="K947">
        <v>0</v>
      </c>
      <c r="L947" t="s">
        <v>3188</v>
      </c>
      <c r="M947" t="s">
        <v>3189</v>
      </c>
      <c r="N947" t="s">
        <v>3190</v>
      </c>
      <c r="O947" t="s">
        <v>3191</v>
      </c>
      <c r="P947" t="s">
        <v>3192</v>
      </c>
    </row>
    <row r="948" spans="1:16" x14ac:dyDescent="0.35">
      <c r="A948" t="s">
        <v>125</v>
      </c>
      <c r="B948">
        <v>1704123809</v>
      </c>
      <c r="C948" t="s">
        <v>18</v>
      </c>
      <c r="D948" t="s">
        <v>21</v>
      </c>
      <c r="E948" s="29">
        <v>46208</v>
      </c>
      <c r="F948" t="s">
        <v>6</v>
      </c>
      <c r="G948" s="28">
        <v>0.76527777777777772</v>
      </c>
      <c r="H948" s="28">
        <v>0.76527777777777772</v>
      </c>
      <c r="I948">
        <v>0</v>
      </c>
      <c r="J948" t="s">
        <v>174</v>
      </c>
      <c r="K948">
        <v>0</v>
      </c>
      <c r="L948" t="s">
        <v>3193</v>
      </c>
      <c r="M948" t="s">
        <v>3194</v>
      </c>
      <c r="N948" t="s">
        <v>3195</v>
      </c>
      <c r="O948" t="s">
        <v>3196</v>
      </c>
      <c r="P948" t="s">
        <v>3197</v>
      </c>
    </row>
    <row r="949" spans="1:16" x14ac:dyDescent="0.35">
      <c r="A949" t="s">
        <v>125</v>
      </c>
      <c r="B949">
        <v>1704123809</v>
      </c>
      <c r="C949" t="s">
        <v>18</v>
      </c>
      <c r="D949" t="s">
        <v>21</v>
      </c>
      <c r="E949" s="29">
        <v>46208</v>
      </c>
      <c r="F949" t="s">
        <v>6</v>
      </c>
      <c r="G949" s="28">
        <v>0.77222222222222225</v>
      </c>
      <c r="H949" s="28">
        <v>0.77222222222222225</v>
      </c>
      <c r="I949">
        <v>0</v>
      </c>
      <c r="J949" t="s">
        <v>174</v>
      </c>
      <c r="K949">
        <v>0</v>
      </c>
      <c r="L949" t="s">
        <v>1881</v>
      </c>
      <c r="M949" t="s">
        <v>3198</v>
      </c>
      <c r="N949" t="s">
        <v>3199</v>
      </c>
      <c r="O949" t="s">
        <v>3200</v>
      </c>
      <c r="P949" t="s">
        <v>3201</v>
      </c>
    </row>
    <row r="950" spans="1:16" x14ac:dyDescent="0.35">
      <c r="A950" t="s">
        <v>125</v>
      </c>
      <c r="B950">
        <v>1704123809</v>
      </c>
      <c r="C950" t="s">
        <v>18</v>
      </c>
      <c r="D950" t="s">
        <v>21</v>
      </c>
      <c r="E950" s="29">
        <v>46208</v>
      </c>
      <c r="F950" t="s">
        <v>6</v>
      </c>
      <c r="G950" s="28">
        <v>0.77916666666666667</v>
      </c>
      <c r="H950" s="28">
        <v>0.77916666666666667</v>
      </c>
      <c r="I950">
        <v>0</v>
      </c>
      <c r="J950" t="s">
        <v>174</v>
      </c>
      <c r="K950">
        <v>0</v>
      </c>
      <c r="L950" t="s">
        <v>1369</v>
      </c>
      <c r="M950" t="s">
        <v>3087</v>
      </c>
      <c r="N950" t="s">
        <v>3202</v>
      </c>
      <c r="O950" t="s">
        <v>3203</v>
      </c>
      <c r="P950" t="s">
        <v>3204</v>
      </c>
    </row>
    <row r="951" spans="1:16" x14ac:dyDescent="0.35">
      <c r="A951" t="s">
        <v>125</v>
      </c>
      <c r="B951">
        <v>1704123809</v>
      </c>
      <c r="C951" t="s">
        <v>18</v>
      </c>
      <c r="D951" t="s">
        <v>21</v>
      </c>
      <c r="E951" s="29">
        <v>46208</v>
      </c>
      <c r="F951" t="s">
        <v>6</v>
      </c>
      <c r="G951" s="28">
        <v>0.78611111111111109</v>
      </c>
      <c r="H951" s="28">
        <v>0.78611111111111109</v>
      </c>
      <c r="I951">
        <v>0</v>
      </c>
      <c r="J951" t="s">
        <v>174</v>
      </c>
      <c r="K951">
        <v>0</v>
      </c>
      <c r="L951" t="s">
        <v>1672</v>
      </c>
      <c r="M951" t="s">
        <v>3083</v>
      </c>
      <c r="N951" t="s">
        <v>3084</v>
      </c>
      <c r="O951" t="s">
        <v>3085</v>
      </c>
      <c r="P951" t="s">
        <v>3086</v>
      </c>
    </row>
    <row r="952" spans="1:16" x14ac:dyDescent="0.35">
      <c r="A952" t="s">
        <v>95</v>
      </c>
      <c r="B952">
        <v>1322845166</v>
      </c>
      <c r="C952" t="s">
        <v>18</v>
      </c>
      <c r="D952" t="s">
        <v>20</v>
      </c>
      <c r="E952" s="29">
        <v>46205</v>
      </c>
      <c r="F952" t="s">
        <v>4</v>
      </c>
      <c r="G952" s="28">
        <v>0.41249999999999998</v>
      </c>
      <c r="H952" s="28">
        <v>0.41249999999999998</v>
      </c>
      <c r="I952">
        <v>0</v>
      </c>
      <c r="J952" t="s">
        <v>174</v>
      </c>
      <c r="K952">
        <v>0</v>
      </c>
      <c r="L952" t="s">
        <v>3205</v>
      </c>
      <c r="M952" t="s">
        <v>3206</v>
      </c>
      <c r="N952" t="s">
        <v>3207</v>
      </c>
      <c r="O952" t="s">
        <v>3208</v>
      </c>
      <c r="P952" t="s">
        <v>3209</v>
      </c>
    </row>
    <row r="953" spans="1:16" x14ac:dyDescent="0.35">
      <c r="A953" t="s">
        <v>95</v>
      </c>
      <c r="B953">
        <v>1322845166</v>
      </c>
      <c r="C953" t="s">
        <v>18</v>
      </c>
      <c r="D953" t="s">
        <v>20</v>
      </c>
      <c r="E953" s="29">
        <v>46205</v>
      </c>
      <c r="F953" t="s">
        <v>4</v>
      </c>
      <c r="G953" s="28">
        <v>0.41875000000000001</v>
      </c>
      <c r="H953" s="28">
        <v>0.41875000000000001</v>
      </c>
      <c r="I953">
        <v>0</v>
      </c>
      <c r="J953" t="s">
        <v>174</v>
      </c>
      <c r="K953">
        <v>0</v>
      </c>
      <c r="L953" t="s">
        <v>3210</v>
      </c>
      <c r="M953" t="s">
        <v>3211</v>
      </c>
      <c r="N953" t="s">
        <v>3212</v>
      </c>
      <c r="O953" t="s">
        <v>3213</v>
      </c>
      <c r="P953" t="s">
        <v>3214</v>
      </c>
    </row>
    <row r="954" spans="1:16" x14ac:dyDescent="0.35">
      <c r="A954" t="s">
        <v>95</v>
      </c>
      <c r="B954">
        <v>1322845166</v>
      </c>
      <c r="C954" t="s">
        <v>18</v>
      </c>
      <c r="D954" t="s">
        <v>20</v>
      </c>
      <c r="E954" s="29">
        <v>46205</v>
      </c>
      <c r="F954" t="s">
        <v>4</v>
      </c>
      <c r="G954" s="28">
        <v>0.42569444444444443</v>
      </c>
      <c r="H954" s="28">
        <v>0.50902777777777775</v>
      </c>
      <c r="I954">
        <v>2</v>
      </c>
      <c r="J954" t="s">
        <v>146</v>
      </c>
      <c r="K954">
        <v>6</v>
      </c>
      <c r="L954" t="s">
        <v>147</v>
      </c>
      <c r="M954" t="s">
        <v>3215</v>
      </c>
      <c r="N954" t="s">
        <v>3216</v>
      </c>
      <c r="O954" t="s">
        <v>3217</v>
      </c>
      <c r="P954" t="s">
        <v>3218</v>
      </c>
    </row>
    <row r="955" spans="1:16" x14ac:dyDescent="0.35">
      <c r="A955" t="s">
        <v>95</v>
      </c>
      <c r="B955">
        <v>1322845166</v>
      </c>
      <c r="C955" t="s">
        <v>18</v>
      </c>
      <c r="D955" t="s">
        <v>20</v>
      </c>
      <c r="E955" s="29">
        <v>46205</v>
      </c>
      <c r="F955" t="s">
        <v>4</v>
      </c>
      <c r="G955" s="28">
        <v>0.51597222222222228</v>
      </c>
      <c r="H955" s="28">
        <v>0.52986111111111112</v>
      </c>
      <c r="I955">
        <v>0</v>
      </c>
      <c r="J955" t="s">
        <v>146</v>
      </c>
      <c r="K955">
        <v>1</v>
      </c>
      <c r="L955" t="s">
        <v>147</v>
      </c>
      <c r="M955" t="s">
        <v>3219</v>
      </c>
      <c r="N955" t="s">
        <v>3220</v>
      </c>
      <c r="O955" t="s">
        <v>3221</v>
      </c>
      <c r="P955" t="s">
        <v>3222</v>
      </c>
    </row>
    <row r="956" spans="1:16" x14ac:dyDescent="0.35">
      <c r="A956" t="s">
        <v>95</v>
      </c>
      <c r="B956">
        <v>1322845166</v>
      </c>
      <c r="C956" t="s">
        <v>18</v>
      </c>
      <c r="D956" t="s">
        <v>20</v>
      </c>
      <c r="E956" s="29">
        <v>46205</v>
      </c>
      <c r="F956" t="s">
        <v>4</v>
      </c>
      <c r="G956" s="28">
        <v>0.53680555555555554</v>
      </c>
      <c r="H956" s="28">
        <v>0.60624999999999996</v>
      </c>
      <c r="I956">
        <v>2</v>
      </c>
      <c r="J956" t="s">
        <v>146</v>
      </c>
      <c r="K956">
        <v>5</v>
      </c>
      <c r="L956" t="s">
        <v>147</v>
      </c>
      <c r="M956" t="s">
        <v>3215</v>
      </c>
      <c r="N956" t="s">
        <v>3216</v>
      </c>
      <c r="O956" t="s">
        <v>3217</v>
      </c>
      <c r="P956" t="s">
        <v>3218</v>
      </c>
    </row>
    <row r="957" spans="1:16" x14ac:dyDescent="0.35">
      <c r="A957" t="s">
        <v>95</v>
      </c>
      <c r="B957">
        <v>1322845166</v>
      </c>
      <c r="C957" t="s">
        <v>18</v>
      </c>
      <c r="D957" t="s">
        <v>20</v>
      </c>
      <c r="E957" s="29">
        <v>46205</v>
      </c>
      <c r="F957" t="s">
        <v>4</v>
      </c>
      <c r="G957" s="28">
        <v>0.61319444444444449</v>
      </c>
      <c r="H957" s="28">
        <v>0.61319444444444449</v>
      </c>
      <c r="I957">
        <v>0</v>
      </c>
      <c r="J957" t="s">
        <v>174</v>
      </c>
      <c r="K957">
        <v>0</v>
      </c>
      <c r="L957" t="s">
        <v>3223</v>
      </c>
      <c r="M957" t="s">
        <v>3224</v>
      </c>
      <c r="N957" t="s">
        <v>3225</v>
      </c>
      <c r="O957" t="s">
        <v>3226</v>
      </c>
      <c r="P957" t="s">
        <v>3227</v>
      </c>
    </row>
    <row r="958" spans="1:16" x14ac:dyDescent="0.35">
      <c r="A958" t="s">
        <v>95</v>
      </c>
      <c r="B958">
        <v>1322845166</v>
      </c>
      <c r="C958" t="s">
        <v>18</v>
      </c>
      <c r="D958" t="s">
        <v>20</v>
      </c>
      <c r="E958" s="29">
        <v>46205</v>
      </c>
      <c r="F958" t="s">
        <v>4</v>
      </c>
      <c r="G958" s="28">
        <v>0.62013888888888891</v>
      </c>
      <c r="H958" s="28">
        <v>0.62013888888888891</v>
      </c>
      <c r="I958">
        <v>0</v>
      </c>
      <c r="J958" t="s">
        <v>174</v>
      </c>
      <c r="K958">
        <v>0</v>
      </c>
      <c r="L958" t="s">
        <v>323</v>
      </c>
      <c r="M958" t="s">
        <v>3228</v>
      </c>
      <c r="N958" t="s">
        <v>3229</v>
      </c>
      <c r="O958" t="s">
        <v>3230</v>
      </c>
      <c r="P958" t="s">
        <v>3231</v>
      </c>
    </row>
    <row r="959" spans="1:16" x14ac:dyDescent="0.35">
      <c r="A959" t="s">
        <v>95</v>
      </c>
      <c r="B959">
        <v>1322845166</v>
      </c>
      <c r="C959" t="s">
        <v>18</v>
      </c>
      <c r="D959" t="s">
        <v>20</v>
      </c>
      <c r="E959" s="29">
        <v>46205</v>
      </c>
      <c r="F959" t="s">
        <v>4</v>
      </c>
      <c r="G959" s="28">
        <v>0.62708333333333333</v>
      </c>
      <c r="H959" s="28">
        <v>0.7104166666666667</v>
      </c>
      <c r="I959">
        <v>2</v>
      </c>
      <c r="J959" t="s">
        <v>146</v>
      </c>
      <c r="K959">
        <v>6</v>
      </c>
      <c r="L959" t="s">
        <v>147</v>
      </c>
      <c r="M959" t="s">
        <v>3215</v>
      </c>
      <c r="N959" t="s">
        <v>3216</v>
      </c>
      <c r="O959" t="s">
        <v>3217</v>
      </c>
      <c r="P959" t="s">
        <v>3218</v>
      </c>
    </row>
    <row r="960" spans="1:16" x14ac:dyDescent="0.35">
      <c r="A960" t="s">
        <v>95</v>
      </c>
      <c r="B960">
        <v>1322845166</v>
      </c>
      <c r="C960" t="s">
        <v>18</v>
      </c>
      <c r="D960" t="s">
        <v>20</v>
      </c>
      <c r="E960" s="29">
        <v>46205</v>
      </c>
      <c r="F960" t="s">
        <v>4</v>
      </c>
      <c r="G960" s="28">
        <v>0.71736111111111112</v>
      </c>
      <c r="H960" s="28">
        <v>0.71736111111111112</v>
      </c>
      <c r="I960">
        <v>0</v>
      </c>
      <c r="J960" t="s">
        <v>174</v>
      </c>
      <c r="K960">
        <v>0</v>
      </c>
      <c r="L960" t="s">
        <v>509</v>
      </c>
      <c r="M960" t="s">
        <v>3232</v>
      </c>
      <c r="N960" t="s">
        <v>3233</v>
      </c>
      <c r="O960" t="s">
        <v>3234</v>
      </c>
      <c r="P960" t="s">
        <v>3235</v>
      </c>
    </row>
    <row r="961" spans="1:16" x14ac:dyDescent="0.35">
      <c r="A961" t="s">
        <v>95</v>
      </c>
      <c r="B961">
        <v>1322845166</v>
      </c>
      <c r="C961" t="s">
        <v>18</v>
      </c>
      <c r="D961" t="s">
        <v>20</v>
      </c>
      <c r="E961" s="29">
        <v>46205</v>
      </c>
      <c r="F961" t="s">
        <v>4</v>
      </c>
      <c r="G961" s="28">
        <v>0.72430555555555554</v>
      </c>
      <c r="H961" s="28">
        <v>0.72430555555555554</v>
      </c>
      <c r="I961">
        <v>0</v>
      </c>
      <c r="J961" t="s">
        <v>174</v>
      </c>
      <c r="K961">
        <v>0</v>
      </c>
      <c r="L961" t="s">
        <v>509</v>
      </c>
      <c r="M961" t="s">
        <v>3236</v>
      </c>
      <c r="N961" t="s">
        <v>3237</v>
      </c>
      <c r="O961" t="s">
        <v>3238</v>
      </c>
      <c r="P961" t="s">
        <v>3239</v>
      </c>
    </row>
    <row r="962" spans="1:16" x14ac:dyDescent="0.35">
      <c r="A962" t="s">
        <v>95</v>
      </c>
      <c r="B962">
        <v>1322845166</v>
      </c>
      <c r="C962" t="s">
        <v>18</v>
      </c>
      <c r="D962" t="s">
        <v>20</v>
      </c>
      <c r="E962" s="29">
        <v>46205</v>
      </c>
      <c r="F962" t="s">
        <v>4</v>
      </c>
      <c r="G962" s="28">
        <v>0.73124999999999996</v>
      </c>
      <c r="H962" s="28">
        <v>0.73124999999999996</v>
      </c>
      <c r="I962">
        <v>0</v>
      </c>
      <c r="J962" t="s">
        <v>174</v>
      </c>
      <c r="K962">
        <v>0</v>
      </c>
      <c r="L962" t="s">
        <v>3240</v>
      </c>
      <c r="M962" t="s">
        <v>3232</v>
      </c>
      <c r="N962" t="s">
        <v>3233</v>
      </c>
      <c r="O962" t="s">
        <v>3234</v>
      </c>
      <c r="P962" t="s">
        <v>3235</v>
      </c>
    </row>
    <row r="963" spans="1:16" x14ac:dyDescent="0.35">
      <c r="A963" t="s">
        <v>95</v>
      </c>
      <c r="B963">
        <v>1322845166</v>
      </c>
      <c r="C963" t="s">
        <v>18</v>
      </c>
      <c r="D963" t="s">
        <v>20</v>
      </c>
      <c r="E963" s="29">
        <v>46205</v>
      </c>
      <c r="F963" t="s">
        <v>4</v>
      </c>
      <c r="G963" s="28">
        <v>0.73819444444444449</v>
      </c>
      <c r="H963" s="28">
        <v>0.73819444444444449</v>
      </c>
      <c r="I963">
        <v>0</v>
      </c>
      <c r="J963" t="s">
        <v>174</v>
      </c>
      <c r="K963">
        <v>0</v>
      </c>
      <c r="L963" t="s">
        <v>2398</v>
      </c>
      <c r="M963" t="s">
        <v>3224</v>
      </c>
      <c r="N963" t="s">
        <v>3225</v>
      </c>
      <c r="O963" t="s">
        <v>3226</v>
      </c>
      <c r="P963" t="s">
        <v>3227</v>
      </c>
    </row>
    <row r="964" spans="1:16" x14ac:dyDescent="0.35">
      <c r="A964" t="s">
        <v>95</v>
      </c>
      <c r="B964">
        <v>1322845166</v>
      </c>
      <c r="C964" t="s">
        <v>18</v>
      </c>
      <c r="D964" t="s">
        <v>20</v>
      </c>
      <c r="E964" s="29">
        <v>46205</v>
      </c>
      <c r="F964" t="s">
        <v>4</v>
      </c>
      <c r="G964" s="28">
        <v>0.74513888888888891</v>
      </c>
      <c r="H964" s="28">
        <v>0.74513888888888891</v>
      </c>
      <c r="I964">
        <v>0</v>
      </c>
      <c r="J964" t="s">
        <v>174</v>
      </c>
      <c r="K964">
        <v>0</v>
      </c>
      <c r="L964" t="s">
        <v>3241</v>
      </c>
      <c r="M964" t="s">
        <v>3242</v>
      </c>
      <c r="N964" t="s">
        <v>3243</v>
      </c>
      <c r="O964" t="s">
        <v>3244</v>
      </c>
      <c r="P964" t="s">
        <v>3239</v>
      </c>
    </row>
    <row r="965" spans="1:16" x14ac:dyDescent="0.35">
      <c r="A965" t="s">
        <v>95</v>
      </c>
      <c r="B965">
        <v>1322845166</v>
      </c>
      <c r="C965" t="s">
        <v>18</v>
      </c>
      <c r="D965" t="s">
        <v>20</v>
      </c>
      <c r="E965" s="29">
        <v>46205</v>
      </c>
      <c r="F965" t="s">
        <v>4</v>
      </c>
      <c r="G965" s="28">
        <v>0.75208333333333333</v>
      </c>
      <c r="H965" s="28">
        <v>0.75208333333333333</v>
      </c>
      <c r="I965">
        <v>0</v>
      </c>
      <c r="J965" t="s">
        <v>174</v>
      </c>
      <c r="K965">
        <v>0</v>
      </c>
      <c r="L965" t="s">
        <v>3245</v>
      </c>
      <c r="M965" t="s">
        <v>3211</v>
      </c>
      <c r="N965" t="s">
        <v>3212</v>
      </c>
      <c r="O965" t="s">
        <v>3213</v>
      </c>
      <c r="P965" t="s">
        <v>3214</v>
      </c>
    </row>
    <row r="966" spans="1:16" x14ac:dyDescent="0.35">
      <c r="A966" t="s">
        <v>95</v>
      </c>
      <c r="B966">
        <v>1322845166</v>
      </c>
      <c r="C966" t="s">
        <v>18</v>
      </c>
      <c r="D966" t="s">
        <v>20</v>
      </c>
      <c r="E966" s="29">
        <v>46205</v>
      </c>
      <c r="F966" t="s">
        <v>4</v>
      </c>
      <c r="G966" s="28">
        <v>0.75902777777777775</v>
      </c>
      <c r="H966" s="28">
        <v>0.75902777777777775</v>
      </c>
      <c r="I966">
        <v>0</v>
      </c>
      <c r="J966" t="s">
        <v>174</v>
      </c>
      <c r="K966">
        <v>0</v>
      </c>
      <c r="L966" t="s">
        <v>1331</v>
      </c>
      <c r="M966" t="s">
        <v>3219</v>
      </c>
      <c r="N966" t="s">
        <v>3220</v>
      </c>
      <c r="O966" t="s">
        <v>3221</v>
      </c>
      <c r="P966" t="s">
        <v>3222</v>
      </c>
    </row>
    <row r="967" spans="1:16" x14ac:dyDescent="0.35">
      <c r="A967" t="s">
        <v>95</v>
      </c>
      <c r="B967">
        <v>1322845166</v>
      </c>
      <c r="C967" t="s">
        <v>18</v>
      </c>
      <c r="D967" t="s">
        <v>20</v>
      </c>
      <c r="E967" s="29">
        <v>46205</v>
      </c>
      <c r="F967" t="s">
        <v>4</v>
      </c>
      <c r="G967" s="28">
        <v>0.76597222222222228</v>
      </c>
      <c r="H967" s="28">
        <v>0.76597222222222228</v>
      </c>
      <c r="I967">
        <v>0</v>
      </c>
      <c r="J967" t="s">
        <v>174</v>
      </c>
      <c r="K967">
        <v>0</v>
      </c>
      <c r="L967" t="s">
        <v>394</v>
      </c>
      <c r="M967" t="s">
        <v>3246</v>
      </c>
      <c r="N967" t="s">
        <v>3247</v>
      </c>
      <c r="O967" t="s">
        <v>3248</v>
      </c>
      <c r="P967" t="s">
        <v>3249</v>
      </c>
    </row>
    <row r="968" spans="1:16" x14ac:dyDescent="0.35">
      <c r="A968" t="s">
        <v>95</v>
      </c>
      <c r="B968">
        <v>1322845166</v>
      </c>
      <c r="C968" t="s">
        <v>18</v>
      </c>
      <c r="D968" t="s">
        <v>20</v>
      </c>
      <c r="E968" s="29">
        <v>46205</v>
      </c>
      <c r="F968" t="s">
        <v>4</v>
      </c>
      <c r="G968" s="28">
        <v>0.7729166666666667</v>
      </c>
      <c r="H968" s="28">
        <v>0.7729166666666667</v>
      </c>
      <c r="I968">
        <v>0</v>
      </c>
      <c r="J968" t="s">
        <v>174</v>
      </c>
      <c r="K968">
        <v>0</v>
      </c>
      <c r="L968" t="s">
        <v>3245</v>
      </c>
      <c r="M968" t="s">
        <v>3211</v>
      </c>
      <c r="N968" t="s">
        <v>3212</v>
      </c>
      <c r="O968" t="s">
        <v>3213</v>
      </c>
      <c r="P968" t="s">
        <v>3214</v>
      </c>
    </row>
    <row r="969" spans="1:16" x14ac:dyDescent="0.35">
      <c r="A969" t="s">
        <v>95</v>
      </c>
      <c r="B969">
        <v>1322845166</v>
      </c>
      <c r="C969" t="s">
        <v>18</v>
      </c>
      <c r="D969" t="s">
        <v>20</v>
      </c>
      <c r="E969" s="29">
        <v>46205</v>
      </c>
      <c r="F969" t="s">
        <v>4</v>
      </c>
      <c r="G969" s="28">
        <v>0.77986111111111112</v>
      </c>
      <c r="H969" s="28">
        <v>0.81458333333333333</v>
      </c>
      <c r="I969">
        <v>1</v>
      </c>
      <c r="J969" t="s">
        <v>146</v>
      </c>
      <c r="K969">
        <v>2</v>
      </c>
      <c r="L969" t="s">
        <v>147</v>
      </c>
      <c r="M969" t="s">
        <v>3219</v>
      </c>
      <c r="N969" t="s">
        <v>3220</v>
      </c>
      <c r="O969" t="s">
        <v>3221</v>
      </c>
      <c r="P969" t="s">
        <v>3222</v>
      </c>
    </row>
    <row r="970" spans="1:16" x14ac:dyDescent="0.35">
      <c r="A970" t="s">
        <v>95</v>
      </c>
      <c r="B970">
        <v>1322845166</v>
      </c>
      <c r="C970" t="s">
        <v>18</v>
      </c>
      <c r="D970" t="s">
        <v>20</v>
      </c>
      <c r="E970" s="29">
        <v>46207</v>
      </c>
      <c r="F970" t="s">
        <v>5</v>
      </c>
      <c r="G970" s="28">
        <v>0.39166666666666666</v>
      </c>
      <c r="H970" s="28">
        <v>0.39166666666666666</v>
      </c>
      <c r="I970">
        <v>0</v>
      </c>
      <c r="J970" t="s">
        <v>174</v>
      </c>
      <c r="K970">
        <v>0</v>
      </c>
      <c r="L970" t="s">
        <v>3205</v>
      </c>
      <c r="M970" t="s">
        <v>3206</v>
      </c>
      <c r="N970" t="s">
        <v>3207</v>
      </c>
      <c r="O970" t="s">
        <v>3208</v>
      </c>
      <c r="P970" t="s">
        <v>3209</v>
      </c>
    </row>
    <row r="971" spans="1:16" x14ac:dyDescent="0.35">
      <c r="A971" t="s">
        <v>95</v>
      </c>
      <c r="B971">
        <v>1322845166</v>
      </c>
      <c r="C971" t="s">
        <v>18</v>
      </c>
      <c r="D971" t="s">
        <v>20</v>
      </c>
      <c r="E971" s="29">
        <v>46207</v>
      </c>
      <c r="F971" t="s">
        <v>5</v>
      </c>
      <c r="G971" s="28">
        <v>0.39791666666666664</v>
      </c>
      <c r="H971" s="28">
        <v>0.39791666666666664</v>
      </c>
      <c r="I971">
        <v>0</v>
      </c>
      <c r="J971" t="s">
        <v>174</v>
      </c>
      <c r="K971">
        <v>0</v>
      </c>
      <c r="L971" t="s">
        <v>595</v>
      </c>
      <c r="M971" t="s">
        <v>3211</v>
      </c>
      <c r="N971" t="s">
        <v>3212</v>
      </c>
      <c r="O971" t="s">
        <v>3213</v>
      </c>
      <c r="P971" t="s">
        <v>3214</v>
      </c>
    </row>
    <row r="972" spans="1:16" x14ac:dyDescent="0.35">
      <c r="A972" t="s">
        <v>95</v>
      </c>
      <c r="B972">
        <v>1322845166</v>
      </c>
      <c r="C972" t="s">
        <v>18</v>
      </c>
      <c r="D972" t="s">
        <v>20</v>
      </c>
      <c r="E972" s="29">
        <v>46207</v>
      </c>
      <c r="F972" t="s">
        <v>5</v>
      </c>
      <c r="G972" s="28">
        <v>0.41180555555555554</v>
      </c>
      <c r="H972" s="28">
        <v>0.41180555555555554</v>
      </c>
      <c r="I972">
        <v>0</v>
      </c>
      <c r="J972" t="s">
        <v>174</v>
      </c>
      <c r="K972">
        <v>0</v>
      </c>
      <c r="L972" t="s">
        <v>3250</v>
      </c>
      <c r="M972" t="s">
        <v>3251</v>
      </c>
      <c r="N972" t="s">
        <v>3252</v>
      </c>
      <c r="O972" t="s">
        <v>3253</v>
      </c>
      <c r="P972" t="s">
        <v>3254</v>
      </c>
    </row>
    <row r="973" spans="1:16" x14ac:dyDescent="0.35">
      <c r="A973" t="s">
        <v>95</v>
      </c>
      <c r="B973">
        <v>1322845166</v>
      </c>
      <c r="C973" t="s">
        <v>18</v>
      </c>
      <c r="D973" t="s">
        <v>20</v>
      </c>
      <c r="E973" s="29">
        <v>46207</v>
      </c>
      <c r="F973" t="s">
        <v>5</v>
      </c>
      <c r="G973" s="28">
        <v>0.41875000000000001</v>
      </c>
      <c r="H973" s="28">
        <v>0.47430555555555554</v>
      </c>
      <c r="I973">
        <v>1</v>
      </c>
      <c r="J973" t="s">
        <v>146</v>
      </c>
      <c r="K973">
        <v>4</v>
      </c>
      <c r="L973" t="s">
        <v>147</v>
      </c>
      <c r="M973" t="s">
        <v>3215</v>
      </c>
      <c r="N973" t="s">
        <v>3216</v>
      </c>
      <c r="O973" t="s">
        <v>3217</v>
      </c>
      <c r="P973" t="s">
        <v>3218</v>
      </c>
    </row>
    <row r="974" spans="1:16" x14ac:dyDescent="0.35">
      <c r="A974" t="s">
        <v>95</v>
      </c>
      <c r="B974">
        <v>1322845166</v>
      </c>
      <c r="C974" t="s">
        <v>18</v>
      </c>
      <c r="D974" t="s">
        <v>20</v>
      </c>
      <c r="E974" s="29">
        <v>46207</v>
      </c>
      <c r="F974" t="s">
        <v>5</v>
      </c>
      <c r="G974" s="28">
        <v>0.48194444444444445</v>
      </c>
      <c r="H974" s="28">
        <v>0.48194444444444445</v>
      </c>
      <c r="I974">
        <v>0</v>
      </c>
      <c r="J974" t="s">
        <v>174</v>
      </c>
      <c r="K974">
        <v>0</v>
      </c>
      <c r="L974" t="s">
        <v>848</v>
      </c>
      <c r="M974" t="s">
        <v>3255</v>
      </c>
      <c r="N974" t="s">
        <v>3256</v>
      </c>
      <c r="O974" t="s">
        <v>3238</v>
      </c>
      <c r="P974" t="s">
        <v>3231</v>
      </c>
    </row>
    <row r="975" spans="1:16" x14ac:dyDescent="0.35">
      <c r="A975" t="s">
        <v>95</v>
      </c>
      <c r="B975">
        <v>1322845166</v>
      </c>
      <c r="C975" t="s">
        <v>18</v>
      </c>
      <c r="D975" t="s">
        <v>20</v>
      </c>
      <c r="E975" s="29">
        <v>46207</v>
      </c>
      <c r="F975" t="s">
        <v>5</v>
      </c>
      <c r="G975" s="28">
        <v>0.48819444444444443</v>
      </c>
      <c r="H975" s="28">
        <v>0.48819444444444443</v>
      </c>
      <c r="I975">
        <v>0</v>
      </c>
      <c r="J975" t="s">
        <v>174</v>
      </c>
      <c r="K975">
        <v>0</v>
      </c>
      <c r="L975" t="s">
        <v>3257</v>
      </c>
      <c r="M975" t="s">
        <v>3258</v>
      </c>
      <c r="N975" t="s">
        <v>3259</v>
      </c>
      <c r="O975" t="s">
        <v>3260</v>
      </c>
      <c r="P975" t="s">
        <v>3261</v>
      </c>
    </row>
    <row r="976" spans="1:16" x14ac:dyDescent="0.35">
      <c r="A976" t="s">
        <v>95</v>
      </c>
      <c r="B976">
        <v>1322845166</v>
      </c>
      <c r="C976" t="s">
        <v>18</v>
      </c>
      <c r="D976" t="s">
        <v>20</v>
      </c>
      <c r="E976" s="29">
        <v>46207</v>
      </c>
      <c r="F976" t="s">
        <v>5</v>
      </c>
      <c r="G976" s="28">
        <v>0.49513888888888891</v>
      </c>
      <c r="H976" s="28">
        <v>0.49513888888888891</v>
      </c>
      <c r="I976">
        <v>0</v>
      </c>
      <c r="J976" t="s">
        <v>174</v>
      </c>
      <c r="K976">
        <v>0</v>
      </c>
      <c r="L976" t="s">
        <v>1901</v>
      </c>
      <c r="M976" t="s">
        <v>3262</v>
      </c>
      <c r="N976" t="s">
        <v>3263</v>
      </c>
      <c r="O976" t="s">
        <v>3264</v>
      </c>
      <c r="P976" t="s">
        <v>3265</v>
      </c>
    </row>
    <row r="977" spans="1:16" x14ac:dyDescent="0.35">
      <c r="A977" t="s">
        <v>95</v>
      </c>
      <c r="B977">
        <v>1322845166</v>
      </c>
      <c r="C977" t="s">
        <v>18</v>
      </c>
      <c r="D977" t="s">
        <v>20</v>
      </c>
      <c r="E977" s="29">
        <v>46207</v>
      </c>
      <c r="F977" t="s">
        <v>5</v>
      </c>
      <c r="G977" s="28">
        <v>0.50277777777777777</v>
      </c>
      <c r="H977" s="28">
        <v>0.50277777777777777</v>
      </c>
      <c r="I977">
        <v>0</v>
      </c>
      <c r="J977" t="s">
        <v>174</v>
      </c>
      <c r="K977">
        <v>0</v>
      </c>
      <c r="L977" t="s">
        <v>175</v>
      </c>
      <c r="M977" t="s">
        <v>3266</v>
      </c>
      <c r="N977" t="s">
        <v>3267</v>
      </c>
      <c r="O977" t="s">
        <v>3268</v>
      </c>
      <c r="P977" t="s">
        <v>3269</v>
      </c>
    </row>
    <row r="978" spans="1:16" x14ac:dyDescent="0.35">
      <c r="A978" t="s">
        <v>95</v>
      </c>
      <c r="B978">
        <v>1322845166</v>
      </c>
      <c r="C978" t="s">
        <v>18</v>
      </c>
      <c r="D978" t="s">
        <v>20</v>
      </c>
      <c r="E978" s="29">
        <v>46207</v>
      </c>
      <c r="F978" t="s">
        <v>5</v>
      </c>
      <c r="G978" s="28">
        <v>0.50902777777777775</v>
      </c>
      <c r="H978" s="28">
        <v>0.52361111111111114</v>
      </c>
      <c r="I978">
        <v>0</v>
      </c>
      <c r="J978" t="s">
        <v>146</v>
      </c>
      <c r="K978">
        <v>1</v>
      </c>
      <c r="L978" t="s">
        <v>147</v>
      </c>
      <c r="M978" t="s">
        <v>3270</v>
      </c>
      <c r="N978" t="s">
        <v>3271</v>
      </c>
      <c r="O978" t="s">
        <v>3272</v>
      </c>
      <c r="P978" t="s">
        <v>3273</v>
      </c>
    </row>
    <row r="979" spans="1:16" x14ac:dyDescent="0.35">
      <c r="A979" t="s">
        <v>95</v>
      </c>
      <c r="B979">
        <v>1322845166</v>
      </c>
      <c r="C979" t="s">
        <v>18</v>
      </c>
      <c r="D979" t="s">
        <v>20</v>
      </c>
      <c r="E979" s="29">
        <v>46207</v>
      </c>
      <c r="F979" t="s">
        <v>5</v>
      </c>
      <c r="G979" s="28">
        <v>0.53055555555555556</v>
      </c>
      <c r="H979" s="28">
        <v>0.53055555555555556</v>
      </c>
      <c r="I979">
        <v>0</v>
      </c>
      <c r="J979" t="s">
        <v>174</v>
      </c>
      <c r="K979">
        <v>0</v>
      </c>
      <c r="L979" t="s">
        <v>3274</v>
      </c>
      <c r="M979" t="s">
        <v>3275</v>
      </c>
      <c r="N979" t="s">
        <v>3276</v>
      </c>
      <c r="O979" t="s">
        <v>3277</v>
      </c>
      <c r="P979" t="s">
        <v>3278</v>
      </c>
    </row>
    <row r="980" spans="1:16" x14ac:dyDescent="0.35">
      <c r="A980" t="s">
        <v>95</v>
      </c>
      <c r="B980">
        <v>1322845166</v>
      </c>
      <c r="C980" t="s">
        <v>18</v>
      </c>
      <c r="D980" t="s">
        <v>20</v>
      </c>
      <c r="E980" s="29">
        <v>46207</v>
      </c>
      <c r="F980" t="s">
        <v>5</v>
      </c>
      <c r="G980" s="28">
        <v>0.54374999999999996</v>
      </c>
      <c r="H980" s="28">
        <v>0.62708333333333333</v>
      </c>
      <c r="I980">
        <v>2</v>
      </c>
      <c r="J980" t="s">
        <v>146</v>
      </c>
      <c r="K980">
        <v>6</v>
      </c>
      <c r="L980" t="s">
        <v>147</v>
      </c>
      <c r="M980" t="s">
        <v>3270</v>
      </c>
      <c r="N980" t="s">
        <v>3271</v>
      </c>
      <c r="O980" t="s">
        <v>3272</v>
      </c>
      <c r="P980" t="s">
        <v>3273</v>
      </c>
    </row>
    <row r="981" spans="1:16" x14ac:dyDescent="0.35">
      <c r="A981" t="s">
        <v>95</v>
      </c>
      <c r="B981">
        <v>1322845166</v>
      </c>
      <c r="C981" t="s">
        <v>18</v>
      </c>
      <c r="D981" t="s">
        <v>20</v>
      </c>
      <c r="E981" s="29">
        <v>46207</v>
      </c>
      <c r="F981" t="s">
        <v>5</v>
      </c>
      <c r="G981" s="28">
        <v>0.63472222222222219</v>
      </c>
      <c r="H981" s="28">
        <v>0.63472222222222219</v>
      </c>
      <c r="I981">
        <v>0</v>
      </c>
      <c r="J981" t="s">
        <v>174</v>
      </c>
      <c r="K981">
        <v>0</v>
      </c>
      <c r="L981" t="s">
        <v>3274</v>
      </c>
      <c r="M981" t="s">
        <v>3275</v>
      </c>
      <c r="N981" t="s">
        <v>3276</v>
      </c>
      <c r="O981" t="s">
        <v>3277</v>
      </c>
      <c r="P981" t="s">
        <v>3278</v>
      </c>
    </row>
    <row r="982" spans="1:16" x14ac:dyDescent="0.35">
      <c r="A982" t="s">
        <v>95</v>
      </c>
      <c r="B982">
        <v>1322845166</v>
      </c>
      <c r="C982" t="s">
        <v>18</v>
      </c>
      <c r="D982" t="s">
        <v>20</v>
      </c>
      <c r="E982" s="29">
        <v>46207</v>
      </c>
      <c r="F982" t="s">
        <v>5</v>
      </c>
      <c r="G982" s="28">
        <v>0.64097222222222228</v>
      </c>
      <c r="H982" s="28">
        <v>0.6479166666666667</v>
      </c>
      <c r="I982">
        <v>0</v>
      </c>
      <c r="J982" t="s">
        <v>146</v>
      </c>
      <c r="K982">
        <v>0</v>
      </c>
      <c r="L982" t="s">
        <v>147</v>
      </c>
      <c r="M982" t="s">
        <v>3270</v>
      </c>
      <c r="N982" t="s">
        <v>3271</v>
      </c>
      <c r="O982" t="s">
        <v>3272</v>
      </c>
      <c r="P982" t="s">
        <v>3273</v>
      </c>
    </row>
    <row r="983" spans="1:16" x14ac:dyDescent="0.35">
      <c r="A983" t="s">
        <v>95</v>
      </c>
      <c r="B983">
        <v>1322845166</v>
      </c>
      <c r="C983" t="s">
        <v>18</v>
      </c>
      <c r="D983" t="s">
        <v>20</v>
      </c>
      <c r="E983" s="29">
        <v>46207</v>
      </c>
      <c r="F983" t="s">
        <v>5</v>
      </c>
      <c r="G983" s="28">
        <v>0.65486111111111112</v>
      </c>
      <c r="H983" s="28">
        <v>0.65486111111111112</v>
      </c>
      <c r="I983">
        <v>0</v>
      </c>
      <c r="J983" t="s">
        <v>174</v>
      </c>
      <c r="K983">
        <v>0</v>
      </c>
      <c r="L983" t="s">
        <v>3279</v>
      </c>
      <c r="M983" t="s">
        <v>3280</v>
      </c>
      <c r="N983" t="s">
        <v>3281</v>
      </c>
      <c r="O983" t="s">
        <v>3282</v>
      </c>
      <c r="P983" t="s">
        <v>3283</v>
      </c>
    </row>
    <row r="984" spans="1:16" x14ac:dyDescent="0.35">
      <c r="A984" t="s">
        <v>95</v>
      </c>
      <c r="B984">
        <v>1322845166</v>
      </c>
      <c r="C984" t="s">
        <v>18</v>
      </c>
      <c r="D984" t="s">
        <v>20</v>
      </c>
      <c r="E984" s="29">
        <v>46207</v>
      </c>
      <c r="F984" t="s">
        <v>5</v>
      </c>
      <c r="G984" s="28">
        <v>0.66180555555555554</v>
      </c>
      <c r="H984" s="28">
        <v>0.66180555555555554</v>
      </c>
      <c r="I984">
        <v>0</v>
      </c>
      <c r="J984" t="s">
        <v>174</v>
      </c>
      <c r="K984">
        <v>0</v>
      </c>
      <c r="L984" t="s">
        <v>1369</v>
      </c>
      <c r="M984" t="s">
        <v>3284</v>
      </c>
      <c r="N984" t="s">
        <v>3285</v>
      </c>
      <c r="O984" t="s">
        <v>3286</v>
      </c>
      <c r="P984" t="s">
        <v>3287</v>
      </c>
    </row>
    <row r="985" spans="1:16" x14ac:dyDescent="0.35">
      <c r="A985" t="s">
        <v>95</v>
      </c>
      <c r="B985">
        <v>1322845166</v>
      </c>
      <c r="C985" t="s">
        <v>18</v>
      </c>
      <c r="D985" t="s">
        <v>20</v>
      </c>
      <c r="E985" s="29">
        <v>46207</v>
      </c>
      <c r="F985" t="s">
        <v>5</v>
      </c>
      <c r="G985" s="28">
        <v>0.66874999999999996</v>
      </c>
      <c r="H985" s="28">
        <v>0.66874999999999996</v>
      </c>
      <c r="I985">
        <v>0</v>
      </c>
      <c r="J985" t="s">
        <v>174</v>
      </c>
      <c r="K985">
        <v>0</v>
      </c>
      <c r="L985" t="s">
        <v>3288</v>
      </c>
      <c r="M985" t="s">
        <v>3289</v>
      </c>
      <c r="N985" t="s">
        <v>3290</v>
      </c>
      <c r="O985" t="s">
        <v>3291</v>
      </c>
      <c r="P985" t="s">
        <v>3292</v>
      </c>
    </row>
    <row r="986" spans="1:16" x14ac:dyDescent="0.35">
      <c r="A986" t="s">
        <v>95</v>
      </c>
      <c r="B986">
        <v>1322845166</v>
      </c>
      <c r="C986" t="s">
        <v>18</v>
      </c>
      <c r="D986" t="s">
        <v>20</v>
      </c>
      <c r="E986" s="29">
        <v>46207</v>
      </c>
      <c r="F986" t="s">
        <v>5</v>
      </c>
      <c r="G986" s="28">
        <v>0.67569444444444449</v>
      </c>
      <c r="H986" s="28">
        <v>0.67569444444444449</v>
      </c>
      <c r="I986">
        <v>0</v>
      </c>
      <c r="J986" t="s">
        <v>174</v>
      </c>
      <c r="K986">
        <v>0</v>
      </c>
      <c r="L986" t="s">
        <v>1682</v>
      </c>
      <c r="M986" t="s">
        <v>3293</v>
      </c>
      <c r="N986" t="s">
        <v>3294</v>
      </c>
      <c r="O986" t="s">
        <v>3295</v>
      </c>
      <c r="P986" t="s">
        <v>3296</v>
      </c>
    </row>
    <row r="987" spans="1:16" x14ac:dyDescent="0.35">
      <c r="A987" t="s">
        <v>95</v>
      </c>
      <c r="B987">
        <v>1322845166</v>
      </c>
      <c r="C987" t="s">
        <v>18</v>
      </c>
      <c r="D987" t="s">
        <v>20</v>
      </c>
      <c r="E987" s="29">
        <v>46207</v>
      </c>
      <c r="F987" t="s">
        <v>5</v>
      </c>
      <c r="G987" s="28">
        <v>0.68263888888888891</v>
      </c>
      <c r="H987" s="28">
        <v>0.68263888888888891</v>
      </c>
      <c r="I987">
        <v>0</v>
      </c>
      <c r="J987" t="s">
        <v>174</v>
      </c>
      <c r="K987">
        <v>0</v>
      </c>
      <c r="L987" t="s">
        <v>3297</v>
      </c>
      <c r="M987" t="s">
        <v>3298</v>
      </c>
      <c r="N987" t="s">
        <v>3299</v>
      </c>
      <c r="O987" t="s">
        <v>3300</v>
      </c>
      <c r="P987" t="s">
        <v>3301</v>
      </c>
    </row>
    <row r="988" spans="1:16" x14ac:dyDescent="0.35">
      <c r="A988" t="s">
        <v>95</v>
      </c>
      <c r="B988">
        <v>1322845166</v>
      </c>
      <c r="C988" t="s">
        <v>18</v>
      </c>
      <c r="D988" t="s">
        <v>20</v>
      </c>
      <c r="E988" s="29">
        <v>46207</v>
      </c>
      <c r="F988" t="s">
        <v>5</v>
      </c>
      <c r="G988" s="28">
        <v>0.68958333333333333</v>
      </c>
      <c r="H988" s="28">
        <v>0.68958333333333333</v>
      </c>
      <c r="I988">
        <v>0</v>
      </c>
      <c r="J988" t="s">
        <v>174</v>
      </c>
      <c r="K988">
        <v>0</v>
      </c>
      <c r="L988" t="s">
        <v>584</v>
      </c>
      <c r="M988" t="s">
        <v>3302</v>
      </c>
      <c r="N988" t="s">
        <v>3303</v>
      </c>
      <c r="O988" t="s">
        <v>3304</v>
      </c>
      <c r="P988" t="s">
        <v>3305</v>
      </c>
    </row>
    <row r="989" spans="1:16" x14ac:dyDescent="0.35">
      <c r="A989" t="s">
        <v>95</v>
      </c>
      <c r="B989">
        <v>1322845166</v>
      </c>
      <c r="C989" t="s">
        <v>18</v>
      </c>
      <c r="D989" t="s">
        <v>20</v>
      </c>
      <c r="E989" s="29">
        <v>46207</v>
      </c>
      <c r="F989" t="s">
        <v>5</v>
      </c>
      <c r="G989" s="28">
        <v>0.69652777777777775</v>
      </c>
      <c r="H989" s="28">
        <v>0.69652777777777775</v>
      </c>
      <c r="I989">
        <v>0</v>
      </c>
      <c r="J989" t="s">
        <v>174</v>
      </c>
      <c r="K989">
        <v>0</v>
      </c>
      <c r="L989" t="s">
        <v>3245</v>
      </c>
      <c r="M989" t="s">
        <v>3219</v>
      </c>
      <c r="N989" t="s">
        <v>3220</v>
      </c>
      <c r="O989" t="s">
        <v>3221</v>
      </c>
      <c r="P989" t="s">
        <v>3222</v>
      </c>
    </row>
    <row r="990" spans="1:16" x14ac:dyDescent="0.35">
      <c r="A990" t="s">
        <v>95</v>
      </c>
      <c r="B990">
        <v>1322845166</v>
      </c>
      <c r="C990" t="s">
        <v>18</v>
      </c>
      <c r="D990" t="s">
        <v>20</v>
      </c>
      <c r="E990" s="29">
        <v>46207</v>
      </c>
      <c r="F990" t="s">
        <v>5</v>
      </c>
      <c r="G990" s="28">
        <v>0.70347222222222228</v>
      </c>
      <c r="H990" s="28">
        <v>0.70347222222222228</v>
      </c>
      <c r="I990">
        <v>0</v>
      </c>
      <c r="J990" t="s">
        <v>174</v>
      </c>
      <c r="K990">
        <v>0</v>
      </c>
      <c r="L990" t="s">
        <v>595</v>
      </c>
      <c r="M990" t="s">
        <v>3211</v>
      </c>
      <c r="N990" t="s">
        <v>3212</v>
      </c>
      <c r="O990" t="s">
        <v>3213</v>
      </c>
      <c r="P990" t="s">
        <v>3214</v>
      </c>
    </row>
    <row r="991" spans="1:16" x14ac:dyDescent="0.35">
      <c r="A991" t="s">
        <v>95</v>
      </c>
      <c r="B991">
        <v>1322845166</v>
      </c>
      <c r="C991" t="s">
        <v>18</v>
      </c>
      <c r="D991" t="s">
        <v>20</v>
      </c>
      <c r="E991" s="29">
        <v>46207</v>
      </c>
      <c r="F991" t="s">
        <v>5</v>
      </c>
      <c r="G991" s="28">
        <v>0.7104166666666667</v>
      </c>
      <c r="H991" s="28">
        <v>0.7104166666666667</v>
      </c>
      <c r="I991">
        <v>0</v>
      </c>
      <c r="J991" t="s">
        <v>174</v>
      </c>
      <c r="K991">
        <v>0</v>
      </c>
      <c r="L991" t="s">
        <v>2772</v>
      </c>
      <c r="M991" t="s">
        <v>3251</v>
      </c>
      <c r="N991" t="s">
        <v>3252</v>
      </c>
      <c r="O991" t="s">
        <v>3253</v>
      </c>
      <c r="P991" t="s">
        <v>3254</v>
      </c>
    </row>
    <row r="992" spans="1:16" x14ac:dyDescent="0.35">
      <c r="A992" t="s">
        <v>95</v>
      </c>
      <c r="B992">
        <v>1322845166</v>
      </c>
      <c r="C992" t="s">
        <v>18</v>
      </c>
      <c r="D992" t="s">
        <v>20</v>
      </c>
      <c r="E992" s="29">
        <v>46207</v>
      </c>
      <c r="F992" t="s">
        <v>5</v>
      </c>
      <c r="G992" s="28">
        <v>0.71805555555555556</v>
      </c>
      <c r="H992" s="28">
        <v>0.71805555555555556</v>
      </c>
      <c r="I992">
        <v>0</v>
      </c>
      <c r="J992" t="s">
        <v>174</v>
      </c>
      <c r="K992">
        <v>0</v>
      </c>
      <c r="L992" t="s">
        <v>2757</v>
      </c>
      <c r="M992" t="s">
        <v>3306</v>
      </c>
      <c r="N992" t="s">
        <v>3307</v>
      </c>
      <c r="O992" t="s">
        <v>3308</v>
      </c>
      <c r="P992" t="s">
        <v>3309</v>
      </c>
    </row>
    <row r="993" spans="1:16" x14ac:dyDescent="0.35">
      <c r="A993" t="s">
        <v>95</v>
      </c>
      <c r="B993">
        <v>1322845166</v>
      </c>
      <c r="C993" t="s">
        <v>18</v>
      </c>
      <c r="D993" t="s">
        <v>20</v>
      </c>
      <c r="E993" s="29">
        <v>46207</v>
      </c>
      <c r="F993" t="s">
        <v>5</v>
      </c>
      <c r="G993" s="28">
        <v>0.72430555555555554</v>
      </c>
      <c r="H993" s="28">
        <v>0.72430555555555554</v>
      </c>
      <c r="I993">
        <v>0</v>
      </c>
      <c r="J993" t="s">
        <v>174</v>
      </c>
      <c r="K993">
        <v>0</v>
      </c>
      <c r="L993" t="s">
        <v>323</v>
      </c>
      <c r="M993" t="s">
        <v>3215</v>
      </c>
      <c r="N993" t="s">
        <v>3216</v>
      </c>
      <c r="O993" t="s">
        <v>3217</v>
      </c>
      <c r="P993" t="s">
        <v>3218</v>
      </c>
    </row>
    <row r="994" spans="1:16" x14ac:dyDescent="0.35">
      <c r="A994" t="s">
        <v>95</v>
      </c>
      <c r="B994">
        <v>1322845166</v>
      </c>
      <c r="C994" t="s">
        <v>18</v>
      </c>
      <c r="D994" t="s">
        <v>20</v>
      </c>
      <c r="E994" s="29">
        <v>46207</v>
      </c>
      <c r="F994" t="s">
        <v>5</v>
      </c>
      <c r="G994" s="28">
        <v>0.7319444444444444</v>
      </c>
      <c r="H994" s="28">
        <v>0.73819444444444449</v>
      </c>
      <c r="I994">
        <v>0</v>
      </c>
      <c r="J994" t="s">
        <v>146</v>
      </c>
      <c r="K994">
        <v>0</v>
      </c>
      <c r="L994" t="s">
        <v>147</v>
      </c>
      <c r="M994" t="s">
        <v>3228</v>
      </c>
      <c r="N994" t="s">
        <v>3229</v>
      </c>
      <c r="O994" t="s">
        <v>3230</v>
      </c>
      <c r="P994" t="s">
        <v>3231</v>
      </c>
    </row>
    <row r="995" spans="1:16" x14ac:dyDescent="0.35">
      <c r="A995" t="s">
        <v>95</v>
      </c>
      <c r="B995">
        <v>1322845166</v>
      </c>
      <c r="C995" t="s">
        <v>18</v>
      </c>
      <c r="D995" t="s">
        <v>20</v>
      </c>
      <c r="E995" s="29">
        <v>46207</v>
      </c>
      <c r="F995" t="s">
        <v>5</v>
      </c>
      <c r="G995" s="28">
        <v>0.74583333333333335</v>
      </c>
      <c r="H995" s="28">
        <v>0.74583333333333335</v>
      </c>
      <c r="I995">
        <v>0</v>
      </c>
      <c r="J995" t="s">
        <v>174</v>
      </c>
      <c r="K995">
        <v>0</v>
      </c>
      <c r="L995" t="s">
        <v>3310</v>
      </c>
      <c r="M995" t="s">
        <v>3306</v>
      </c>
      <c r="N995" t="s">
        <v>3307</v>
      </c>
      <c r="O995" t="s">
        <v>3308</v>
      </c>
      <c r="P995" t="s">
        <v>3309</v>
      </c>
    </row>
    <row r="996" spans="1:16" x14ac:dyDescent="0.35">
      <c r="A996" t="s">
        <v>95</v>
      </c>
      <c r="B996">
        <v>1322845166</v>
      </c>
      <c r="C996" t="s">
        <v>18</v>
      </c>
      <c r="D996" t="s">
        <v>20</v>
      </c>
      <c r="E996" s="29">
        <v>46207</v>
      </c>
      <c r="F996" t="s">
        <v>5</v>
      </c>
      <c r="G996" s="28">
        <v>0.75208333333333333</v>
      </c>
      <c r="H996" s="28">
        <v>0.76597222222222228</v>
      </c>
      <c r="I996">
        <v>0</v>
      </c>
      <c r="J996" t="s">
        <v>146</v>
      </c>
      <c r="K996">
        <v>1</v>
      </c>
      <c r="L996" t="s">
        <v>147</v>
      </c>
      <c r="M996" t="s">
        <v>3228</v>
      </c>
      <c r="N996" t="s">
        <v>3229</v>
      </c>
      <c r="O996" t="s">
        <v>3230</v>
      </c>
      <c r="P996" t="s">
        <v>3231</v>
      </c>
    </row>
    <row r="997" spans="1:16" x14ac:dyDescent="0.35">
      <c r="A997" t="s">
        <v>95</v>
      </c>
      <c r="B997">
        <v>1322845166</v>
      </c>
      <c r="C997" t="s">
        <v>18</v>
      </c>
      <c r="D997" t="s">
        <v>20</v>
      </c>
      <c r="E997" s="29">
        <v>46207</v>
      </c>
      <c r="F997" t="s">
        <v>5</v>
      </c>
      <c r="G997" s="28">
        <v>0.7729166666666667</v>
      </c>
      <c r="H997" s="28">
        <v>0.78680555555555554</v>
      </c>
      <c r="I997">
        <v>0</v>
      </c>
      <c r="J997" t="s">
        <v>146</v>
      </c>
      <c r="K997">
        <v>1</v>
      </c>
      <c r="L997" t="s">
        <v>147</v>
      </c>
      <c r="M997" t="s">
        <v>3215</v>
      </c>
      <c r="N997" t="s">
        <v>3216</v>
      </c>
      <c r="O997" t="s">
        <v>3217</v>
      </c>
      <c r="P997" t="s">
        <v>3218</v>
      </c>
    </row>
    <row r="998" spans="1:16" x14ac:dyDescent="0.35">
      <c r="A998" t="s">
        <v>95</v>
      </c>
      <c r="B998">
        <v>1322845166</v>
      </c>
      <c r="C998" t="s">
        <v>18</v>
      </c>
      <c r="D998" t="s">
        <v>20</v>
      </c>
      <c r="E998" s="29">
        <v>46208</v>
      </c>
      <c r="F998" t="s">
        <v>6</v>
      </c>
      <c r="G998" s="28">
        <v>0.44027777777777777</v>
      </c>
      <c r="H998" s="28">
        <v>0.44027777777777777</v>
      </c>
      <c r="I998">
        <v>0</v>
      </c>
      <c r="J998" t="s">
        <v>174</v>
      </c>
      <c r="K998">
        <v>0</v>
      </c>
      <c r="L998" t="s">
        <v>1811</v>
      </c>
      <c r="M998" t="s">
        <v>3206</v>
      </c>
      <c r="N998" t="s">
        <v>3207</v>
      </c>
      <c r="O998" t="s">
        <v>3208</v>
      </c>
      <c r="P998" t="s">
        <v>3209</v>
      </c>
    </row>
    <row r="999" spans="1:16" x14ac:dyDescent="0.35">
      <c r="A999" t="s">
        <v>95</v>
      </c>
      <c r="B999">
        <v>1322845166</v>
      </c>
      <c r="C999" t="s">
        <v>18</v>
      </c>
      <c r="D999" t="s">
        <v>20</v>
      </c>
      <c r="E999" s="29">
        <v>46208</v>
      </c>
      <c r="F999" t="s">
        <v>6</v>
      </c>
      <c r="G999" s="28">
        <v>0.4465277777777778</v>
      </c>
      <c r="H999" s="28">
        <v>0.45347222222222222</v>
      </c>
      <c r="I999">
        <v>0</v>
      </c>
      <c r="J999" t="s">
        <v>146</v>
      </c>
      <c r="K999">
        <v>0</v>
      </c>
      <c r="L999" t="s">
        <v>147</v>
      </c>
      <c r="M999" t="s">
        <v>3251</v>
      </c>
      <c r="N999" t="s">
        <v>3252</v>
      </c>
      <c r="O999" t="s">
        <v>3253</v>
      </c>
      <c r="P999" t="s">
        <v>3254</v>
      </c>
    </row>
    <row r="1000" spans="1:16" x14ac:dyDescent="0.35">
      <c r="A1000" t="s">
        <v>95</v>
      </c>
      <c r="B1000">
        <v>1322845166</v>
      </c>
      <c r="C1000" t="s">
        <v>18</v>
      </c>
      <c r="D1000" t="s">
        <v>20</v>
      </c>
      <c r="E1000" s="29">
        <v>46208</v>
      </c>
      <c r="F1000" t="s">
        <v>6</v>
      </c>
      <c r="G1000" s="28">
        <v>0.46041666666666664</v>
      </c>
      <c r="H1000" s="28">
        <v>0.46041666666666664</v>
      </c>
      <c r="I1000">
        <v>0</v>
      </c>
      <c r="J1000" t="s">
        <v>174</v>
      </c>
      <c r="K1000">
        <v>0</v>
      </c>
      <c r="L1000" t="s">
        <v>3311</v>
      </c>
      <c r="M1000" t="s">
        <v>3211</v>
      </c>
      <c r="N1000" t="s">
        <v>3212</v>
      </c>
      <c r="O1000" t="s">
        <v>3213</v>
      </c>
      <c r="P1000" t="s">
        <v>3214</v>
      </c>
    </row>
    <row r="1001" spans="1:16" x14ac:dyDescent="0.35">
      <c r="A1001" t="s">
        <v>95</v>
      </c>
      <c r="B1001">
        <v>1322845166</v>
      </c>
      <c r="C1001" t="s">
        <v>18</v>
      </c>
      <c r="D1001" t="s">
        <v>20</v>
      </c>
      <c r="E1001" s="29">
        <v>46208</v>
      </c>
      <c r="F1001" t="s">
        <v>6</v>
      </c>
      <c r="G1001" s="28">
        <v>0.46736111111111112</v>
      </c>
      <c r="H1001" s="28">
        <v>0.46736111111111112</v>
      </c>
      <c r="I1001">
        <v>0</v>
      </c>
      <c r="J1001" t="s">
        <v>174</v>
      </c>
      <c r="K1001">
        <v>0</v>
      </c>
      <c r="L1001" t="s">
        <v>278</v>
      </c>
      <c r="M1001" t="s">
        <v>3312</v>
      </c>
      <c r="N1001" t="s">
        <v>3313</v>
      </c>
      <c r="O1001" t="s">
        <v>3314</v>
      </c>
      <c r="P1001" t="s">
        <v>3315</v>
      </c>
    </row>
    <row r="1002" spans="1:16" x14ac:dyDescent="0.35">
      <c r="A1002" t="s">
        <v>95</v>
      </c>
      <c r="B1002">
        <v>1322845166</v>
      </c>
      <c r="C1002" t="s">
        <v>18</v>
      </c>
      <c r="D1002" t="s">
        <v>20</v>
      </c>
      <c r="E1002" s="29">
        <v>46208</v>
      </c>
      <c r="F1002" t="s">
        <v>6</v>
      </c>
      <c r="G1002" s="28">
        <v>0.47430555555555554</v>
      </c>
      <c r="H1002" s="28">
        <v>0.47430555555555554</v>
      </c>
      <c r="I1002">
        <v>0</v>
      </c>
      <c r="J1002" t="s">
        <v>174</v>
      </c>
      <c r="K1002">
        <v>0</v>
      </c>
      <c r="L1002" t="s">
        <v>3316</v>
      </c>
      <c r="M1002" t="s">
        <v>3317</v>
      </c>
      <c r="N1002" t="s">
        <v>3318</v>
      </c>
      <c r="O1002" t="s">
        <v>3319</v>
      </c>
      <c r="P1002" t="s">
        <v>3320</v>
      </c>
    </row>
    <row r="1003" spans="1:16" x14ac:dyDescent="0.35">
      <c r="A1003" t="s">
        <v>95</v>
      </c>
      <c r="B1003">
        <v>1322845166</v>
      </c>
      <c r="C1003" t="s">
        <v>18</v>
      </c>
      <c r="D1003" t="s">
        <v>20</v>
      </c>
      <c r="E1003" s="29">
        <v>46208</v>
      </c>
      <c r="F1003" t="s">
        <v>6</v>
      </c>
      <c r="G1003" s="28">
        <v>0.48125000000000001</v>
      </c>
      <c r="H1003" s="28">
        <v>0.48125000000000001</v>
      </c>
      <c r="I1003">
        <v>0</v>
      </c>
      <c r="J1003" t="s">
        <v>174</v>
      </c>
      <c r="K1003">
        <v>0</v>
      </c>
      <c r="L1003" t="s">
        <v>1989</v>
      </c>
      <c r="M1003" t="s">
        <v>3321</v>
      </c>
      <c r="N1003" t="s">
        <v>3322</v>
      </c>
      <c r="O1003" t="s">
        <v>3323</v>
      </c>
      <c r="P1003" t="s">
        <v>3324</v>
      </c>
    </row>
    <row r="1004" spans="1:16" x14ac:dyDescent="0.35">
      <c r="A1004" t="s">
        <v>95</v>
      </c>
      <c r="B1004">
        <v>1322845166</v>
      </c>
      <c r="C1004" t="s">
        <v>18</v>
      </c>
      <c r="D1004" t="s">
        <v>20</v>
      </c>
      <c r="E1004" s="29">
        <v>46208</v>
      </c>
      <c r="F1004" t="s">
        <v>6</v>
      </c>
      <c r="G1004" s="28">
        <v>0.48819444444444443</v>
      </c>
      <c r="H1004" s="28">
        <v>0.48819444444444443</v>
      </c>
      <c r="I1004">
        <v>0</v>
      </c>
      <c r="J1004" t="s">
        <v>174</v>
      </c>
      <c r="K1004">
        <v>0</v>
      </c>
      <c r="L1004" t="s">
        <v>3325</v>
      </c>
      <c r="M1004" t="s">
        <v>3326</v>
      </c>
      <c r="N1004" t="s">
        <v>3327</v>
      </c>
      <c r="O1004" t="s">
        <v>3328</v>
      </c>
      <c r="P1004" t="s">
        <v>3329</v>
      </c>
    </row>
    <row r="1005" spans="1:16" x14ac:dyDescent="0.35">
      <c r="A1005" t="s">
        <v>95</v>
      </c>
      <c r="B1005">
        <v>1322845166</v>
      </c>
      <c r="C1005" t="s">
        <v>18</v>
      </c>
      <c r="D1005" t="s">
        <v>20</v>
      </c>
      <c r="E1005" s="29">
        <v>46208</v>
      </c>
      <c r="F1005" t="s">
        <v>6</v>
      </c>
      <c r="G1005" s="28">
        <v>0.49513888888888891</v>
      </c>
      <c r="H1005" s="28">
        <v>0.49513888888888891</v>
      </c>
      <c r="I1005">
        <v>0</v>
      </c>
      <c r="J1005" t="s">
        <v>174</v>
      </c>
      <c r="K1005">
        <v>0</v>
      </c>
      <c r="L1005" t="s">
        <v>480</v>
      </c>
      <c r="M1005" t="s">
        <v>3330</v>
      </c>
      <c r="N1005" t="s">
        <v>3331</v>
      </c>
      <c r="O1005" t="s">
        <v>3332</v>
      </c>
      <c r="P1005" t="s">
        <v>3333</v>
      </c>
    </row>
    <row r="1006" spans="1:16" x14ac:dyDescent="0.35">
      <c r="A1006" t="s">
        <v>95</v>
      </c>
      <c r="B1006">
        <v>1322845166</v>
      </c>
      <c r="C1006" t="s">
        <v>18</v>
      </c>
      <c r="D1006" t="s">
        <v>20</v>
      </c>
      <c r="E1006" s="29">
        <v>46208</v>
      </c>
      <c r="F1006" t="s">
        <v>6</v>
      </c>
      <c r="G1006" s="28">
        <v>0.50208333333333333</v>
      </c>
      <c r="H1006" s="28">
        <v>0.52986111111111112</v>
      </c>
      <c r="I1006">
        <v>1</v>
      </c>
      <c r="J1006" t="s">
        <v>146</v>
      </c>
      <c r="K1006">
        <v>2</v>
      </c>
      <c r="L1006" t="s">
        <v>147</v>
      </c>
      <c r="M1006" t="s">
        <v>3334</v>
      </c>
      <c r="N1006" t="s">
        <v>3335</v>
      </c>
      <c r="O1006" t="s">
        <v>3336</v>
      </c>
      <c r="P1006" t="s">
        <v>3337</v>
      </c>
    </row>
    <row r="1007" spans="1:16" x14ac:dyDescent="0.35">
      <c r="A1007" t="s">
        <v>95</v>
      </c>
      <c r="B1007">
        <v>1322845166</v>
      </c>
      <c r="C1007" t="s">
        <v>18</v>
      </c>
      <c r="D1007" t="s">
        <v>20</v>
      </c>
      <c r="E1007" s="29">
        <v>46208</v>
      </c>
      <c r="F1007" t="s">
        <v>6</v>
      </c>
      <c r="G1007" s="28">
        <v>0.53749999999999998</v>
      </c>
      <c r="H1007" s="28">
        <v>0.53749999999999998</v>
      </c>
      <c r="I1007">
        <v>0</v>
      </c>
      <c r="J1007" t="s">
        <v>174</v>
      </c>
      <c r="K1007">
        <v>0</v>
      </c>
      <c r="L1007" t="s">
        <v>3338</v>
      </c>
      <c r="M1007" t="s">
        <v>3339</v>
      </c>
      <c r="N1007" t="s">
        <v>3340</v>
      </c>
      <c r="O1007" t="s">
        <v>3341</v>
      </c>
      <c r="P1007" t="s">
        <v>3342</v>
      </c>
    </row>
    <row r="1008" spans="1:16" x14ac:dyDescent="0.35">
      <c r="A1008" t="s">
        <v>95</v>
      </c>
      <c r="B1008">
        <v>1322845166</v>
      </c>
      <c r="C1008" t="s">
        <v>18</v>
      </c>
      <c r="D1008" t="s">
        <v>20</v>
      </c>
      <c r="E1008" s="29">
        <v>46208</v>
      </c>
      <c r="F1008" t="s">
        <v>6</v>
      </c>
      <c r="G1008" s="28">
        <v>0.54374999999999996</v>
      </c>
      <c r="H1008" s="28">
        <v>0.55069444444444449</v>
      </c>
      <c r="I1008">
        <v>0</v>
      </c>
      <c r="J1008" t="s">
        <v>146</v>
      </c>
      <c r="K1008">
        <v>1</v>
      </c>
      <c r="L1008" t="s">
        <v>147</v>
      </c>
      <c r="M1008" t="s">
        <v>3334</v>
      </c>
      <c r="N1008" t="s">
        <v>3335</v>
      </c>
      <c r="O1008" t="s">
        <v>3336</v>
      </c>
      <c r="P1008" t="s">
        <v>3337</v>
      </c>
    </row>
    <row r="1009" spans="1:16" x14ac:dyDescent="0.35">
      <c r="A1009" t="s">
        <v>95</v>
      </c>
      <c r="B1009">
        <v>1322845166</v>
      </c>
      <c r="C1009" t="s">
        <v>18</v>
      </c>
      <c r="D1009" t="s">
        <v>20</v>
      </c>
      <c r="E1009" s="29">
        <v>46208</v>
      </c>
      <c r="F1009" t="s">
        <v>6</v>
      </c>
      <c r="G1009" s="28">
        <v>0.55763888888888891</v>
      </c>
      <c r="H1009" s="28">
        <v>0.55763888888888891</v>
      </c>
      <c r="I1009">
        <v>0</v>
      </c>
      <c r="J1009" t="s">
        <v>174</v>
      </c>
      <c r="K1009">
        <v>0</v>
      </c>
      <c r="L1009" t="s">
        <v>1183</v>
      </c>
      <c r="M1009" t="s">
        <v>3343</v>
      </c>
      <c r="N1009" t="s">
        <v>3344</v>
      </c>
      <c r="O1009" t="s">
        <v>3345</v>
      </c>
      <c r="P1009" t="s">
        <v>3346</v>
      </c>
    </row>
    <row r="1010" spans="1:16" x14ac:dyDescent="0.35">
      <c r="A1010" t="s">
        <v>95</v>
      </c>
      <c r="B1010">
        <v>1322845166</v>
      </c>
      <c r="C1010" t="s">
        <v>18</v>
      </c>
      <c r="D1010" t="s">
        <v>20</v>
      </c>
      <c r="E1010" s="29">
        <v>46208</v>
      </c>
      <c r="F1010" t="s">
        <v>6</v>
      </c>
      <c r="G1010" s="28">
        <v>0.56458333333333333</v>
      </c>
      <c r="H1010" s="28">
        <v>0.64097222222222228</v>
      </c>
      <c r="I1010">
        <v>2</v>
      </c>
      <c r="J1010" t="s">
        <v>146</v>
      </c>
      <c r="K1010">
        <v>6</v>
      </c>
      <c r="L1010" t="s">
        <v>147</v>
      </c>
      <c r="M1010" t="s">
        <v>3347</v>
      </c>
      <c r="N1010" t="s">
        <v>3348</v>
      </c>
      <c r="O1010" t="s">
        <v>3349</v>
      </c>
      <c r="P1010" t="s">
        <v>3350</v>
      </c>
    </row>
    <row r="1011" spans="1:16" x14ac:dyDescent="0.35">
      <c r="A1011" t="s">
        <v>95</v>
      </c>
      <c r="B1011">
        <v>1322845166</v>
      </c>
      <c r="C1011" t="s">
        <v>18</v>
      </c>
      <c r="D1011" t="s">
        <v>20</v>
      </c>
      <c r="E1011" s="29">
        <v>46208</v>
      </c>
      <c r="F1011" t="s">
        <v>6</v>
      </c>
      <c r="G1011" s="28">
        <v>0.6479166666666667</v>
      </c>
      <c r="H1011" s="28">
        <v>0.6479166666666667</v>
      </c>
      <c r="I1011">
        <v>0</v>
      </c>
      <c r="J1011" t="s">
        <v>174</v>
      </c>
      <c r="K1011">
        <v>0</v>
      </c>
      <c r="L1011" t="s">
        <v>1261</v>
      </c>
      <c r="M1011" t="s">
        <v>3343</v>
      </c>
      <c r="N1011" t="s">
        <v>3344</v>
      </c>
      <c r="O1011" t="s">
        <v>3345</v>
      </c>
      <c r="P1011" t="s">
        <v>3346</v>
      </c>
    </row>
    <row r="1012" spans="1:16" x14ac:dyDescent="0.35">
      <c r="A1012" t="s">
        <v>95</v>
      </c>
      <c r="B1012">
        <v>1322845166</v>
      </c>
      <c r="C1012" t="s">
        <v>18</v>
      </c>
      <c r="D1012" t="s">
        <v>20</v>
      </c>
      <c r="E1012" s="29">
        <v>46208</v>
      </c>
      <c r="F1012" t="s">
        <v>6</v>
      </c>
      <c r="G1012" s="28">
        <v>0.65486111111111112</v>
      </c>
      <c r="H1012" s="28">
        <v>0.70347222222222228</v>
      </c>
      <c r="I1012">
        <v>1</v>
      </c>
      <c r="J1012" t="s">
        <v>146</v>
      </c>
      <c r="K1012">
        <v>4</v>
      </c>
      <c r="L1012" t="s">
        <v>147</v>
      </c>
      <c r="M1012" t="s">
        <v>3334</v>
      </c>
      <c r="N1012" t="s">
        <v>3335</v>
      </c>
      <c r="O1012" t="s">
        <v>3336</v>
      </c>
      <c r="P1012" t="s">
        <v>3337</v>
      </c>
    </row>
    <row r="1013" spans="1:16" x14ac:dyDescent="0.35">
      <c r="A1013" t="s">
        <v>95</v>
      </c>
      <c r="B1013">
        <v>1322845166</v>
      </c>
      <c r="C1013" t="s">
        <v>18</v>
      </c>
      <c r="D1013" t="s">
        <v>20</v>
      </c>
      <c r="E1013" s="29">
        <v>46208</v>
      </c>
      <c r="F1013" t="s">
        <v>6</v>
      </c>
      <c r="G1013" s="28">
        <v>0.7104166666666667</v>
      </c>
      <c r="H1013" s="28">
        <v>0.7104166666666667</v>
      </c>
      <c r="I1013">
        <v>0</v>
      </c>
      <c r="J1013" t="s">
        <v>174</v>
      </c>
      <c r="K1013">
        <v>0</v>
      </c>
      <c r="L1013" t="s">
        <v>574</v>
      </c>
      <c r="M1013" t="s">
        <v>3351</v>
      </c>
      <c r="N1013" t="s">
        <v>3352</v>
      </c>
      <c r="O1013" t="s">
        <v>3353</v>
      </c>
      <c r="P1013" t="s">
        <v>3354</v>
      </c>
    </row>
    <row r="1014" spans="1:16" x14ac:dyDescent="0.35">
      <c r="A1014" t="s">
        <v>95</v>
      </c>
      <c r="B1014">
        <v>1322845166</v>
      </c>
      <c r="C1014" t="s">
        <v>18</v>
      </c>
      <c r="D1014" t="s">
        <v>20</v>
      </c>
      <c r="E1014" s="29">
        <v>46208</v>
      </c>
      <c r="F1014" t="s">
        <v>6</v>
      </c>
      <c r="G1014" s="28">
        <v>0.71805555555555556</v>
      </c>
      <c r="H1014" s="28">
        <v>0.71805555555555556</v>
      </c>
      <c r="I1014">
        <v>0</v>
      </c>
      <c r="J1014" t="s">
        <v>174</v>
      </c>
      <c r="K1014">
        <v>0</v>
      </c>
      <c r="L1014" t="s">
        <v>2879</v>
      </c>
      <c r="M1014" t="s">
        <v>3355</v>
      </c>
      <c r="N1014" t="s">
        <v>3356</v>
      </c>
      <c r="O1014" t="s">
        <v>3357</v>
      </c>
      <c r="P1014" t="s">
        <v>3358</v>
      </c>
    </row>
    <row r="1015" spans="1:16" x14ac:dyDescent="0.35">
      <c r="A1015" t="s">
        <v>95</v>
      </c>
      <c r="B1015">
        <v>1322845166</v>
      </c>
      <c r="C1015" t="s">
        <v>18</v>
      </c>
      <c r="D1015" t="s">
        <v>20</v>
      </c>
      <c r="E1015" s="29">
        <v>46208</v>
      </c>
      <c r="F1015" t="s">
        <v>6</v>
      </c>
      <c r="G1015" s="28">
        <v>0.72430555555555554</v>
      </c>
      <c r="H1015" s="28">
        <v>0.72430555555555554</v>
      </c>
      <c r="I1015">
        <v>0</v>
      </c>
      <c r="J1015" t="s">
        <v>174</v>
      </c>
      <c r="K1015">
        <v>0</v>
      </c>
      <c r="L1015" t="s">
        <v>1886</v>
      </c>
      <c r="M1015" t="s">
        <v>3359</v>
      </c>
      <c r="N1015" t="s">
        <v>3360</v>
      </c>
      <c r="O1015" t="s">
        <v>3361</v>
      </c>
      <c r="P1015" t="s">
        <v>3362</v>
      </c>
    </row>
    <row r="1016" spans="1:16" x14ac:dyDescent="0.35">
      <c r="A1016" t="s">
        <v>95</v>
      </c>
      <c r="B1016">
        <v>1322845166</v>
      </c>
      <c r="C1016" t="s">
        <v>18</v>
      </c>
      <c r="D1016" t="s">
        <v>20</v>
      </c>
      <c r="E1016" s="29">
        <v>46208</v>
      </c>
      <c r="F1016" t="s">
        <v>6</v>
      </c>
      <c r="G1016" s="28">
        <v>0.73124999999999996</v>
      </c>
      <c r="H1016" s="28">
        <v>0.73124999999999996</v>
      </c>
      <c r="I1016">
        <v>0</v>
      </c>
      <c r="J1016" t="s">
        <v>174</v>
      </c>
      <c r="K1016">
        <v>0</v>
      </c>
      <c r="L1016" t="s">
        <v>1737</v>
      </c>
      <c r="M1016" t="s">
        <v>3363</v>
      </c>
      <c r="N1016" t="s">
        <v>3364</v>
      </c>
      <c r="O1016" t="s">
        <v>3365</v>
      </c>
      <c r="P1016" t="s">
        <v>3366</v>
      </c>
    </row>
    <row r="1017" spans="1:16" x14ac:dyDescent="0.35">
      <c r="A1017" t="s">
        <v>95</v>
      </c>
      <c r="B1017">
        <v>1322845166</v>
      </c>
      <c r="C1017" t="s">
        <v>18</v>
      </c>
      <c r="D1017" t="s">
        <v>20</v>
      </c>
      <c r="E1017" s="29">
        <v>46208</v>
      </c>
      <c r="F1017" t="s">
        <v>6</v>
      </c>
      <c r="G1017" s="28">
        <v>0.73819444444444449</v>
      </c>
      <c r="H1017" s="28">
        <v>0.73819444444444449</v>
      </c>
      <c r="I1017">
        <v>0</v>
      </c>
      <c r="J1017" t="s">
        <v>174</v>
      </c>
      <c r="K1017">
        <v>0</v>
      </c>
      <c r="L1017" t="s">
        <v>3288</v>
      </c>
      <c r="M1017" t="s">
        <v>3367</v>
      </c>
      <c r="N1017" t="s">
        <v>3368</v>
      </c>
      <c r="O1017" t="s">
        <v>3369</v>
      </c>
      <c r="P1017" t="s">
        <v>3370</v>
      </c>
    </row>
    <row r="1018" spans="1:16" x14ac:dyDescent="0.35">
      <c r="A1018" t="s">
        <v>95</v>
      </c>
      <c r="B1018">
        <v>1322845166</v>
      </c>
      <c r="C1018" t="s">
        <v>18</v>
      </c>
      <c r="D1018" t="s">
        <v>20</v>
      </c>
      <c r="E1018" s="29">
        <v>46208</v>
      </c>
      <c r="F1018" t="s">
        <v>6</v>
      </c>
      <c r="G1018" s="28">
        <v>0.74513888888888891</v>
      </c>
      <c r="H1018" s="28">
        <v>0.74513888888888891</v>
      </c>
      <c r="I1018">
        <v>0</v>
      </c>
      <c r="J1018" t="s">
        <v>174</v>
      </c>
      <c r="K1018">
        <v>0</v>
      </c>
      <c r="L1018" t="s">
        <v>3371</v>
      </c>
      <c r="M1018" t="s">
        <v>3211</v>
      </c>
      <c r="N1018" t="s">
        <v>3212</v>
      </c>
      <c r="O1018" t="s">
        <v>3213</v>
      </c>
      <c r="P1018" t="s">
        <v>3214</v>
      </c>
    </row>
    <row r="1019" spans="1:16" x14ac:dyDescent="0.35">
      <c r="A1019" t="s">
        <v>95</v>
      </c>
      <c r="B1019">
        <v>1322845166</v>
      </c>
      <c r="C1019" t="s">
        <v>18</v>
      </c>
      <c r="D1019" t="s">
        <v>20</v>
      </c>
      <c r="E1019" s="29">
        <v>46208</v>
      </c>
      <c r="F1019" t="s">
        <v>6</v>
      </c>
      <c r="G1019" s="28">
        <v>0.75208333333333333</v>
      </c>
      <c r="H1019" s="28">
        <v>0.75208333333333333</v>
      </c>
      <c r="I1019">
        <v>0</v>
      </c>
      <c r="J1019" t="s">
        <v>174</v>
      </c>
      <c r="K1019">
        <v>0</v>
      </c>
      <c r="L1019" t="s">
        <v>323</v>
      </c>
      <c r="M1019" t="s">
        <v>3228</v>
      </c>
      <c r="N1019" t="s">
        <v>3229</v>
      </c>
      <c r="O1019" t="s">
        <v>3230</v>
      </c>
      <c r="P1019" t="s">
        <v>3231</v>
      </c>
    </row>
    <row r="1020" spans="1:16" x14ac:dyDescent="0.35">
      <c r="A1020" t="s">
        <v>95</v>
      </c>
      <c r="B1020">
        <v>1322845166</v>
      </c>
      <c r="C1020" t="s">
        <v>18</v>
      </c>
      <c r="D1020" t="s">
        <v>20</v>
      </c>
      <c r="E1020" s="29">
        <v>46208</v>
      </c>
      <c r="F1020" t="s">
        <v>6</v>
      </c>
      <c r="G1020" s="28">
        <v>0.75902777777777775</v>
      </c>
      <c r="H1020" s="28">
        <v>0.80763888888888891</v>
      </c>
      <c r="I1020">
        <v>1</v>
      </c>
      <c r="J1020" t="s">
        <v>146</v>
      </c>
      <c r="K1020">
        <v>4</v>
      </c>
      <c r="L1020" t="s">
        <v>147</v>
      </c>
      <c r="M1020" t="s">
        <v>3215</v>
      </c>
      <c r="N1020" t="s">
        <v>3216</v>
      </c>
      <c r="O1020" t="s">
        <v>3217</v>
      </c>
      <c r="P1020" t="s">
        <v>3218</v>
      </c>
    </row>
    <row r="1021" spans="1:16" x14ac:dyDescent="0.35">
      <c r="A1021" t="s">
        <v>86</v>
      </c>
      <c r="B1021">
        <v>1324732735</v>
      </c>
      <c r="C1021" t="s">
        <v>19</v>
      </c>
      <c r="D1021" t="s">
        <v>20</v>
      </c>
      <c r="E1021" s="29">
        <v>46204</v>
      </c>
      <c r="F1021" t="s">
        <v>3</v>
      </c>
      <c r="G1021" s="28">
        <v>0.39583333333333331</v>
      </c>
      <c r="H1021" s="28">
        <v>0.39583333333333331</v>
      </c>
      <c r="I1021">
        <v>0</v>
      </c>
      <c r="J1021" t="s">
        <v>174</v>
      </c>
      <c r="K1021">
        <v>0</v>
      </c>
      <c r="L1021" t="s">
        <v>3372</v>
      </c>
      <c r="M1021" t="s">
        <v>3373</v>
      </c>
      <c r="N1021" t="s">
        <v>3374</v>
      </c>
      <c r="O1021" t="s">
        <v>3375</v>
      </c>
      <c r="P1021" t="s">
        <v>3376</v>
      </c>
    </row>
    <row r="1022" spans="1:16" x14ac:dyDescent="0.35">
      <c r="A1022" t="s">
        <v>86</v>
      </c>
      <c r="B1022">
        <v>1324732735</v>
      </c>
      <c r="C1022" t="s">
        <v>19</v>
      </c>
      <c r="D1022" t="s">
        <v>20</v>
      </c>
      <c r="E1022" s="29">
        <v>46204</v>
      </c>
      <c r="F1022" t="s">
        <v>3</v>
      </c>
      <c r="G1022" s="28">
        <v>0.40416666666666667</v>
      </c>
      <c r="H1022" s="28">
        <v>0.41805555555555557</v>
      </c>
      <c r="I1022">
        <v>0</v>
      </c>
      <c r="J1022" t="s">
        <v>146</v>
      </c>
      <c r="K1022">
        <v>1</v>
      </c>
      <c r="L1022" t="s">
        <v>147</v>
      </c>
      <c r="M1022" t="s">
        <v>3377</v>
      </c>
      <c r="N1022" t="s">
        <v>3378</v>
      </c>
      <c r="O1022" t="s">
        <v>3379</v>
      </c>
      <c r="P1022" t="s">
        <v>3380</v>
      </c>
    </row>
    <row r="1023" spans="1:16" x14ac:dyDescent="0.35">
      <c r="A1023" t="s">
        <v>86</v>
      </c>
      <c r="B1023">
        <v>1324732735</v>
      </c>
      <c r="C1023" t="s">
        <v>19</v>
      </c>
      <c r="D1023" t="s">
        <v>20</v>
      </c>
      <c r="E1023" s="29">
        <v>46204</v>
      </c>
      <c r="F1023" t="s">
        <v>3</v>
      </c>
      <c r="G1023" s="28">
        <v>0.42430555555555555</v>
      </c>
      <c r="H1023" s="28">
        <v>0.43888888888888888</v>
      </c>
      <c r="I1023">
        <v>0</v>
      </c>
      <c r="J1023" t="s">
        <v>146</v>
      </c>
      <c r="K1023">
        <v>1</v>
      </c>
      <c r="L1023" t="s">
        <v>147</v>
      </c>
      <c r="M1023" t="s">
        <v>3373</v>
      </c>
      <c r="N1023" t="s">
        <v>3374</v>
      </c>
      <c r="O1023" t="s">
        <v>3375</v>
      </c>
      <c r="P1023" t="s">
        <v>3376</v>
      </c>
    </row>
    <row r="1024" spans="1:16" x14ac:dyDescent="0.35">
      <c r="A1024" t="s">
        <v>86</v>
      </c>
      <c r="B1024">
        <v>1324732735</v>
      </c>
      <c r="C1024" t="s">
        <v>19</v>
      </c>
      <c r="D1024" t="s">
        <v>20</v>
      </c>
      <c r="E1024" s="29">
        <v>46204</v>
      </c>
      <c r="F1024" t="s">
        <v>3</v>
      </c>
      <c r="G1024" s="28">
        <v>0.44583333333333336</v>
      </c>
      <c r="H1024" s="28">
        <v>0.46666666666666667</v>
      </c>
      <c r="I1024">
        <v>0</v>
      </c>
      <c r="J1024" t="s">
        <v>146</v>
      </c>
      <c r="K1024">
        <v>2</v>
      </c>
      <c r="L1024" t="s">
        <v>147</v>
      </c>
      <c r="M1024" t="s">
        <v>3377</v>
      </c>
      <c r="N1024" t="s">
        <v>3378</v>
      </c>
      <c r="O1024" t="s">
        <v>3379</v>
      </c>
      <c r="P1024" t="s">
        <v>3380</v>
      </c>
    </row>
    <row r="1025" spans="1:16" x14ac:dyDescent="0.35">
      <c r="A1025" t="s">
        <v>86</v>
      </c>
      <c r="B1025">
        <v>1324732735</v>
      </c>
      <c r="C1025" t="s">
        <v>19</v>
      </c>
      <c r="D1025" t="s">
        <v>20</v>
      </c>
      <c r="E1025" s="29">
        <v>46204</v>
      </c>
      <c r="F1025" t="s">
        <v>3</v>
      </c>
      <c r="G1025" s="28">
        <v>0.47361111111111109</v>
      </c>
      <c r="H1025" s="28">
        <v>0.47361111111111109</v>
      </c>
      <c r="I1025">
        <v>0</v>
      </c>
      <c r="J1025" t="s">
        <v>174</v>
      </c>
      <c r="K1025">
        <v>0</v>
      </c>
      <c r="L1025" t="s">
        <v>3381</v>
      </c>
      <c r="M1025" t="s">
        <v>3382</v>
      </c>
      <c r="N1025" t="s">
        <v>3383</v>
      </c>
      <c r="O1025" t="s">
        <v>3384</v>
      </c>
      <c r="P1025" t="s">
        <v>3385</v>
      </c>
    </row>
    <row r="1026" spans="1:16" x14ac:dyDescent="0.35">
      <c r="A1026" t="s">
        <v>86</v>
      </c>
      <c r="B1026">
        <v>1324732735</v>
      </c>
      <c r="C1026" t="s">
        <v>19</v>
      </c>
      <c r="D1026" t="s">
        <v>20</v>
      </c>
      <c r="E1026" s="29">
        <v>46204</v>
      </c>
      <c r="F1026" t="s">
        <v>3</v>
      </c>
      <c r="G1026" s="28">
        <v>0.48055555555555557</v>
      </c>
      <c r="H1026" s="28">
        <v>0.48819444444444443</v>
      </c>
      <c r="I1026">
        <v>0</v>
      </c>
      <c r="J1026" t="s">
        <v>146</v>
      </c>
      <c r="K1026">
        <v>1</v>
      </c>
      <c r="L1026" t="s">
        <v>147</v>
      </c>
      <c r="M1026" t="s">
        <v>3382</v>
      </c>
      <c r="N1026" t="s">
        <v>3386</v>
      </c>
      <c r="O1026" t="s">
        <v>3387</v>
      </c>
      <c r="P1026" t="s">
        <v>3388</v>
      </c>
    </row>
    <row r="1027" spans="1:16" x14ac:dyDescent="0.35">
      <c r="A1027" t="s">
        <v>86</v>
      </c>
      <c r="B1027">
        <v>1324732735</v>
      </c>
      <c r="C1027" t="s">
        <v>19</v>
      </c>
      <c r="D1027" t="s">
        <v>20</v>
      </c>
      <c r="E1027" s="29">
        <v>46204</v>
      </c>
      <c r="F1027" t="s">
        <v>3</v>
      </c>
      <c r="G1027" s="28">
        <v>0.49444444444444446</v>
      </c>
      <c r="H1027" s="28">
        <v>0.49444444444444446</v>
      </c>
      <c r="I1027">
        <v>0</v>
      </c>
      <c r="J1027" t="s">
        <v>174</v>
      </c>
      <c r="K1027">
        <v>0</v>
      </c>
      <c r="L1027" t="s">
        <v>624</v>
      </c>
      <c r="M1027" t="s">
        <v>3389</v>
      </c>
      <c r="N1027" t="s">
        <v>3390</v>
      </c>
      <c r="O1027" t="s">
        <v>3391</v>
      </c>
      <c r="P1027" t="s">
        <v>3392</v>
      </c>
    </row>
    <row r="1028" spans="1:16" x14ac:dyDescent="0.35">
      <c r="A1028" t="s">
        <v>86</v>
      </c>
      <c r="B1028">
        <v>1324732735</v>
      </c>
      <c r="C1028" t="s">
        <v>19</v>
      </c>
      <c r="D1028" t="s">
        <v>20</v>
      </c>
      <c r="E1028" s="29">
        <v>46204</v>
      </c>
      <c r="F1028" t="s">
        <v>3</v>
      </c>
      <c r="G1028" s="28">
        <v>0.50138888888888888</v>
      </c>
      <c r="H1028" s="28">
        <v>0.52222222222222225</v>
      </c>
      <c r="I1028">
        <v>1</v>
      </c>
      <c r="J1028" t="s">
        <v>146</v>
      </c>
      <c r="K1028">
        <v>2</v>
      </c>
      <c r="L1028" t="s">
        <v>147</v>
      </c>
      <c r="M1028" t="s">
        <v>3382</v>
      </c>
      <c r="N1028" t="s">
        <v>3386</v>
      </c>
      <c r="O1028" t="s">
        <v>3387</v>
      </c>
      <c r="P1028" t="s">
        <v>3388</v>
      </c>
    </row>
    <row r="1029" spans="1:16" x14ac:dyDescent="0.35">
      <c r="A1029" t="s">
        <v>86</v>
      </c>
      <c r="B1029">
        <v>1324732735</v>
      </c>
      <c r="C1029" t="s">
        <v>19</v>
      </c>
      <c r="D1029" t="s">
        <v>20</v>
      </c>
      <c r="E1029" s="29">
        <v>46204</v>
      </c>
      <c r="F1029" t="s">
        <v>3</v>
      </c>
      <c r="G1029" s="28">
        <v>0.52916666666666667</v>
      </c>
      <c r="H1029" s="28">
        <v>0.52916666666666667</v>
      </c>
      <c r="I1029">
        <v>0</v>
      </c>
      <c r="J1029" t="s">
        <v>174</v>
      </c>
      <c r="K1029">
        <v>0</v>
      </c>
      <c r="L1029" t="s">
        <v>2757</v>
      </c>
      <c r="M1029" t="s">
        <v>3393</v>
      </c>
      <c r="N1029" t="s">
        <v>3394</v>
      </c>
      <c r="O1029" t="s">
        <v>3395</v>
      </c>
      <c r="P1029" t="s">
        <v>3396</v>
      </c>
    </row>
    <row r="1030" spans="1:16" x14ac:dyDescent="0.35">
      <c r="A1030" t="s">
        <v>86</v>
      </c>
      <c r="B1030">
        <v>1324732735</v>
      </c>
      <c r="C1030" t="s">
        <v>19</v>
      </c>
      <c r="D1030" t="s">
        <v>20</v>
      </c>
      <c r="E1030" s="29">
        <v>46204</v>
      </c>
      <c r="F1030" t="s">
        <v>3</v>
      </c>
      <c r="G1030" s="28">
        <v>0.53472222222222221</v>
      </c>
      <c r="H1030" s="28">
        <v>0.54305555555555551</v>
      </c>
      <c r="I1030">
        <v>0</v>
      </c>
      <c r="J1030" t="s">
        <v>146</v>
      </c>
      <c r="K1030">
        <v>1</v>
      </c>
      <c r="L1030" t="s">
        <v>147</v>
      </c>
      <c r="M1030" t="s">
        <v>3382</v>
      </c>
      <c r="N1030" t="s">
        <v>3386</v>
      </c>
      <c r="O1030" t="s">
        <v>3387</v>
      </c>
      <c r="P1030" t="s">
        <v>3388</v>
      </c>
    </row>
    <row r="1031" spans="1:16" x14ac:dyDescent="0.35">
      <c r="A1031" t="s">
        <v>86</v>
      </c>
      <c r="B1031">
        <v>1324732735</v>
      </c>
      <c r="C1031" t="s">
        <v>19</v>
      </c>
      <c r="D1031" t="s">
        <v>20</v>
      </c>
      <c r="E1031" s="29">
        <v>46204</v>
      </c>
      <c r="F1031" t="s">
        <v>3</v>
      </c>
      <c r="G1031" s="28">
        <v>0.55000000000000004</v>
      </c>
      <c r="H1031" s="28">
        <v>0.56388888888888888</v>
      </c>
      <c r="I1031">
        <v>0</v>
      </c>
      <c r="J1031" t="s">
        <v>146</v>
      </c>
      <c r="K1031">
        <v>1</v>
      </c>
      <c r="L1031" t="s">
        <v>147</v>
      </c>
      <c r="M1031" t="s">
        <v>3389</v>
      </c>
      <c r="N1031" t="s">
        <v>3390</v>
      </c>
      <c r="O1031" t="s">
        <v>3391</v>
      </c>
      <c r="P1031" t="s">
        <v>3392</v>
      </c>
    </row>
    <row r="1032" spans="1:16" x14ac:dyDescent="0.35">
      <c r="A1032" t="s">
        <v>86</v>
      </c>
      <c r="B1032">
        <v>1324732735</v>
      </c>
      <c r="C1032" t="s">
        <v>19</v>
      </c>
      <c r="D1032" t="s">
        <v>20</v>
      </c>
      <c r="E1032" s="29">
        <v>46204</v>
      </c>
      <c r="F1032" t="s">
        <v>3</v>
      </c>
      <c r="G1032" s="28">
        <v>0.5708333333333333</v>
      </c>
      <c r="H1032" s="28">
        <v>0.57777777777777772</v>
      </c>
      <c r="I1032">
        <v>0</v>
      </c>
      <c r="J1032" t="s">
        <v>146</v>
      </c>
      <c r="K1032">
        <v>0</v>
      </c>
      <c r="L1032" t="s">
        <v>147</v>
      </c>
      <c r="M1032" t="s">
        <v>3382</v>
      </c>
      <c r="N1032" t="s">
        <v>3386</v>
      </c>
      <c r="O1032" t="s">
        <v>3387</v>
      </c>
      <c r="P1032" t="s">
        <v>3388</v>
      </c>
    </row>
    <row r="1033" spans="1:16" x14ac:dyDescent="0.35">
      <c r="A1033" t="s">
        <v>86</v>
      </c>
      <c r="B1033">
        <v>1324732735</v>
      </c>
      <c r="C1033" t="s">
        <v>19</v>
      </c>
      <c r="D1033" t="s">
        <v>20</v>
      </c>
      <c r="E1033" s="29">
        <v>46204</v>
      </c>
      <c r="F1033" t="s">
        <v>3</v>
      </c>
      <c r="G1033" s="28">
        <v>0.58472222222222225</v>
      </c>
      <c r="H1033" s="28">
        <v>0.58472222222222225</v>
      </c>
      <c r="I1033">
        <v>0</v>
      </c>
      <c r="J1033" t="s">
        <v>174</v>
      </c>
      <c r="K1033">
        <v>0</v>
      </c>
      <c r="L1033" t="s">
        <v>3025</v>
      </c>
      <c r="M1033" t="s">
        <v>3389</v>
      </c>
      <c r="N1033" t="s">
        <v>3390</v>
      </c>
      <c r="O1033" t="s">
        <v>3391</v>
      </c>
      <c r="P1033" t="s">
        <v>3392</v>
      </c>
    </row>
    <row r="1034" spans="1:16" x14ac:dyDescent="0.35">
      <c r="A1034" t="s">
        <v>86</v>
      </c>
      <c r="B1034">
        <v>1324732735</v>
      </c>
      <c r="C1034" t="s">
        <v>19</v>
      </c>
      <c r="D1034" t="s">
        <v>20</v>
      </c>
      <c r="E1034" s="29">
        <v>46204</v>
      </c>
      <c r="F1034" t="s">
        <v>3</v>
      </c>
      <c r="G1034" s="28">
        <v>0.59166666666666667</v>
      </c>
      <c r="H1034" s="28">
        <v>0.59166666666666667</v>
      </c>
      <c r="I1034">
        <v>0</v>
      </c>
      <c r="J1034" t="s">
        <v>174</v>
      </c>
      <c r="K1034">
        <v>0</v>
      </c>
      <c r="L1034" t="s">
        <v>3025</v>
      </c>
      <c r="M1034" t="s">
        <v>3393</v>
      </c>
      <c r="N1034" t="s">
        <v>3394</v>
      </c>
      <c r="O1034" t="s">
        <v>3395</v>
      </c>
      <c r="P1034" t="s">
        <v>3396</v>
      </c>
    </row>
    <row r="1035" spans="1:16" x14ac:dyDescent="0.35">
      <c r="A1035" t="s">
        <v>86</v>
      </c>
      <c r="B1035">
        <v>1324732735</v>
      </c>
      <c r="C1035" t="s">
        <v>19</v>
      </c>
      <c r="D1035" t="s">
        <v>20</v>
      </c>
      <c r="E1035" s="29">
        <v>46204</v>
      </c>
      <c r="F1035" t="s">
        <v>3</v>
      </c>
      <c r="G1035" s="28">
        <v>0.59861111111111109</v>
      </c>
      <c r="H1035" s="28">
        <v>0.59861111111111109</v>
      </c>
      <c r="I1035">
        <v>0</v>
      </c>
      <c r="J1035" t="s">
        <v>174</v>
      </c>
      <c r="K1035">
        <v>0</v>
      </c>
      <c r="L1035" t="s">
        <v>3025</v>
      </c>
      <c r="M1035" t="s">
        <v>3389</v>
      </c>
      <c r="N1035" t="s">
        <v>3390</v>
      </c>
      <c r="O1035" t="s">
        <v>3391</v>
      </c>
      <c r="P1035" t="s">
        <v>3392</v>
      </c>
    </row>
    <row r="1036" spans="1:16" x14ac:dyDescent="0.35">
      <c r="A1036" t="s">
        <v>86</v>
      </c>
      <c r="B1036">
        <v>1324732735</v>
      </c>
      <c r="C1036" t="s">
        <v>19</v>
      </c>
      <c r="D1036" t="s">
        <v>20</v>
      </c>
      <c r="E1036" s="29">
        <v>46204</v>
      </c>
      <c r="F1036" t="s">
        <v>3</v>
      </c>
      <c r="G1036" s="28">
        <v>0.60555555555555551</v>
      </c>
      <c r="H1036" s="28">
        <v>0.61250000000000004</v>
      </c>
      <c r="I1036">
        <v>0</v>
      </c>
      <c r="J1036" t="s">
        <v>146</v>
      </c>
      <c r="K1036">
        <v>1</v>
      </c>
      <c r="L1036" t="s">
        <v>147</v>
      </c>
      <c r="M1036" t="s">
        <v>3393</v>
      </c>
      <c r="N1036" t="s">
        <v>3394</v>
      </c>
      <c r="O1036" t="s">
        <v>3395</v>
      </c>
      <c r="P1036" t="s">
        <v>3396</v>
      </c>
    </row>
    <row r="1037" spans="1:16" x14ac:dyDescent="0.35">
      <c r="A1037" t="s">
        <v>86</v>
      </c>
      <c r="B1037">
        <v>1324732735</v>
      </c>
      <c r="C1037" t="s">
        <v>19</v>
      </c>
      <c r="D1037" t="s">
        <v>20</v>
      </c>
      <c r="E1037" s="29">
        <v>46204</v>
      </c>
      <c r="F1037" t="s">
        <v>3</v>
      </c>
      <c r="G1037" s="28">
        <v>0.61944444444444446</v>
      </c>
      <c r="H1037" s="28">
        <v>0.64027777777777772</v>
      </c>
      <c r="I1037">
        <v>0</v>
      </c>
      <c r="J1037" t="s">
        <v>146</v>
      </c>
      <c r="K1037">
        <v>1</v>
      </c>
      <c r="L1037" t="s">
        <v>147</v>
      </c>
      <c r="M1037" t="s">
        <v>3377</v>
      </c>
      <c r="N1037" t="s">
        <v>3378</v>
      </c>
      <c r="O1037" t="s">
        <v>3379</v>
      </c>
      <c r="P1037" t="s">
        <v>3380</v>
      </c>
    </row>
    <row r="1038" spans="1:16" x14ac:dyDescent="0.35">
      <c r="A1038" t="s">
        <v>86</v>
      </c>
      <c r="B1038">
        <v>1324732735</v>
      </c>
      <c r="C1038" t="s">
        <v>19</v>
      </c>
      <c r="D1038" t="s">
        <v>20</v>
      </c>
      <c r="E1038" s="29">
        <v>46204</v>
      </c>
      <c r="F1038" t="s">
        <v>3</v>
      </c>
      <c r="G1038" s="28">
        <v>0.6479166666666667</v>
      </c>
      <c r="H1038" s="28">
        <v>0.6479166666666667</v>
      </c>
      <c r="I1038">
        <v>0</v>
      </c>
      <c r="J1038" t="s">
        <v>174</v>
      </c>
      <c r="K1038">
        <v>0</v>
      </c>
      <c r="L1038" t="s">
        <v>3372</v>
      </c>
      <c r="M1038" t="s">
        <v>3373</v>
      </c>
      <c r="N1038" t="s">
        <v>3374</v>
      </c>
      <c r="O1038" t="s">
        <v>3375</v>
      </c>
      <c r="P1038" t="s">
        <v>3376</v>
      </c>
    </row>
    <row r="1039" spans="1:16" x14ac:dyDescent="0.35">
      <c r="A1039" t="s">
        <v>86</v>
      </c>
      <c r="B1039">
        <v>1324732735</v>
      </c>
      <c r="C1039" t="s">
        <v>19</v>
      </c>
      <c r="D1039" t="s">
        <v>20</v>
      </c>
      <c r="E1039" s="29">
        <v>46204</v>
      </c>
      <c r="F1039" t="s">
        <v>3</v>
      </c>
      <c r="G1039" s="28">
        <v>0.65416666666666667</v>
      </c>
      <c r="H1039" s="28">
        <v>0.81388888888888888</v>
      </c>
      <c r="I1039">
        <v>4</v>
      </c>
      <c r="J1039" t="s">
        <v>146</v>
      </c>
      <c r="K1039">
        <v>12</v>
      </c>
      <c r="L1039" t="s">
        <v>147</v>
      </c>
      <c r="M1039" t="s">
        <v>3377</v>
      </c>
      <c r="N1039" t="s">
        <v>3378</v>
      </c>
      <c r="O1039" t="s">
        <v>3379</v>
      </c>
      <c r="P1039" t="s">
        <v>3380</v>
      </c>
    </row>
    <row r="1040" spans="1:16" x14ac:dyDescent="0.35">
      <c r="A1040" t="s">
        <v>86</v>
      </c>
      <c r="B1040">
        <v>1324732735</v>
      </c>
      <c r="C1040" t="s">
        <v>19</v>
      </c>
      <c r="D1040" t="s">
        <v>20</v>
      </c>
      <c r="E1040" s="29">
        <v>46205</v>
      </c>
      <c r="F1040" t="s">
        <v>4</v>
      </c>
      <c r="G1040" s="28">
        <v>0.37638888888888888</v>
      </c>
      <c r="H1040" s="28">
        <v>0.41111111111111109</v>
      </c>
      <c r="I1040">
        <v>1</v>
      </c>
      <c r="J1040" t="s">
        <v>146</v>
      </c>
      <c r="K1040">
        <v>2</v>
      </c>
      <c r="L1040" t="s">
        <v>147</v>
      </c>
      <c r="M1040" t="s">
        <v>3382</v>
      </c>
      <c r="N1040" t="s">
        <v>3386</v>
      </c>
      <c r="O1040" t="s">
        <v>3387</v>
      </c>
      <c r="P1040" t="s">
        <v>3388</v>
      </c>
    </row>
    <row r="1041" spans="1:16" x14ac:dyDescent="0.35">
      <c r="A1041" t="s">
        <v>86</v>
      </c>
      <c r="B1041">
        <v>1324732735</v>
      </c>
      <c r="C1041" t="s">
        <v>19</v>
      </c>
      <c r="D1041" t="s">
        <v>20</v>
      </c>
      <c r="E1041" s="29">
        <v>46205</v>
      </c>
      <c r="F1041" t="s">
        <v>4</v>
      </c>
      <c r="G1041" s="28">
        <v>0.41805555555555557</v>
      </c>
      <c r="H1041" s="28">
        <v>0.46666666666666667</v>
      </c>
      <c r="I1041">
        <v>1</v>
      </c>
      <c r="J1041" t="s">
        <v>146</v>
      </c>
      <c r="K1041">
        <v>4</v>
      </c>
      <c r="L1041" t="s">
        <v>147</v>
      </c>
      <c r="M1041" t="s">
        <v>3393</v>
      </c>
      <c r="N1041" t="s">
        <v>3394</v>
      </c>
      <c r="O1041" t="s">
        <v>3395</v>
      </c>
      <c r="P1041" t="s">
        <v>3396</v>
      </c>
    </row>
    <row r="1042" spans="1:16" x14ac:dyDescent="0.35">
      <c r="A1042" t="s">
        <v>86</v>
      </c>
      <c r="B1042">
        <v>1324732735</v>
      </c>
      <c r="C1042" t="s">
        <v>19</v>
      </c>
      <c r="D1042" t="s">
        <v>20</v>
      </c>
      <c r="E1042" s="29">
        <v>46205</v>
      </c>
      <c r="F1042" t="s">
        <v>4</v>
      </c>
      <c r="G1042" s="28">
        <v>0.47361111111111109</v>
      </c>
      <c r="H1042" s="28">
        <v>0.48749999999999999</v>
      </c>
      <c r="I1042">
        <v>0</v>
      </c>
      <c r="J1042" t="s">
        <v>146</v>
      </c>
      <c r="K1042">
        <v>1</v>
      </c>
      <c r="L1042" t="s">
        <v>147</v>
      </c>
      <c r="M1042" t="s">
        <v>3382</v>
      </c>
      <c r="N1042" t="s">
        <v>3386</v>
      </c>
      <c r="O1042" t="s">
        <v>3387</v>
      </c>
      <c r="P1042" t="s">
        <v>3388</v>
      </c>
    </row>
    <row r="1043" spans="1:16" x14ac:dyDescent="0.35">
      <c r="A1043" t="s">
        <v>86</v>
      </c>
      <c r="B1043">
        <v>1324732735</v>
      </c>
      <c r="C1043" t="s">
        <v>19</v>
      </c>
      <c r="D1043" t="s">
        <v>20</v>
      </c>
      <c r="E1043" s="29">
        <v>46205</v>
      </c>
      <c r="F1043" t="s">
        <v>4</v>
      </c>
      <c r="G1043" s="28">
        <v>0.49444444444444446</v>
      </c>
      <c r="H1043" s="28">
        <v>0.49444444444444446</v>
      </c>
      <c r="I1043">
        <v>0</v>
      </c>
      <c r="J1043" t="s">
        <v>174</v>
      </c>
      <c r="K1043">
        <v>0</v>
      </c>
      <c r="L1043" t="s">
        <v>624</v>
      </c>
      <c r="M1043" t="s">
        <v>3389</v>
      </c>
      <c r="N1043" t="s">
        <v>3390</v>
      </c>
      <c r="O1043" t="s">
        <v>3391</v>
      </c>
      <c r="P1043" t="s">
        <v>3392</v>
      </c>
    </row>
    <row r="1044" spans="1:16" x14ac:dyDescent="0.35">
      <c r="A1044" t="s">
        <v>86</v>
      </c>
      <c r="B1044">
        <v>1324732735</v>
      </c>
      <c r="C1044" t="s">
        <v>19</v>
      </c>
      <c r="D1044" t="s">
        <v>20</v>
      </c>
      <c r="E1044" s="29">
        <v>46205</v>
      </c>
      <c r="F1044" t="s">
        <v>4</v>
      </c>
      <c r="G1044" s="28">
        <v>0.50208333333333333</v>
      </c>
      <c r="H1044" s="28">
        <v>0.50208333333333333</v>
      </c>
      <c r="I1044">
        <v>0</v>
      </c>
      <c r="J1044" t="s">
        <v>174</v>
      </c>
      <c r="K1044">
        <v>0</v>
      </c>
      <c r="L1044" t="s">
        <v>624</v>
      </c>
      <c r="M1044" t="s">
        <v>3382</v>
      </c>
      <c r="N1044" t="s">
        <v>3386</v>
      </c>
      <c r="O1044" t="s">
        <v>3387</v>
      </c>
      <c r="P1044" t="s">
        <v>3388</v>
      </c>
    </row>
    <row r="1045" spans="1:16" x14ac:dyDescent="0.35">
      <c r="A1045" t="s">
        <v>86</v>
      </c>
      <c r="B1045">
        <v>1324732735</v>
      </c>
      <c r="C1045" t="s">
        <v>19</v>
      </c>
      <c r="D1045" t="s">
        <v>20</v>
      </c>
      <c r="E1045" s="29">
        <v>46205</v>
      </c>
      <c r="F1045" t="s">
        <v>4</v>
      </c>
      <c r="G1045" s="28">
        <v>0.5083333333333333</v>
      </c>
      <c r="H1045" s="28">
        <v>0.5083333333333333</v>
      </c>
      <c r="I1045">
        <v>0</v>
      </c>
      <c r="J1045" t="s">
        <v>174</v>
      </c>
      <c r="K1045">
        <v>0</v>
      </c>
      <c r="L1045" t="s">
        <v>3025</v>
      </c>
      <c r="M1045" t="s">
        <v>3389</v>
      </c>
      <c r="N1045" t="s">
        <v>3390</v>
      </c>
      <c r="O1045" t="s">
        <v>3391</v>
      </c>
      <c r="P1045" t="s">
        <v>3392</v>
      </c>
    </row>
    <row r="1046" spans="1:16" x14ac:dyDescent="0.35">
      <c r="A1046" t="s">
        <v>86</v>
      </c>
      <c r="B1046">
        <v>1324732735</v>
      </c>
      <c r="C1046" t="s">
        <v>19</v>
      </c>
      <c r="D1046" t="s">
        <v>20</v>
      </c>
      <c r="E1046" s="29">
        <v>46205</v>
      </c>
      <c r="F1046" t="s">
        <v>4</v>
      </c>
      <c r="G1046" s="28">
        <v>0.51527777777777772</v>
      </c>
      <c r="H1046" s="28">
        <v>0.51527777777777772</v>
      </c>
      <c r="I1046">
        <v>0</v>
      </c>
      <c r="J1046" t="s">
        <v>174</v>
      </c>
      <c r="K1046">
        <v>0</v>
      </c>
      <c r="L1046" t="s">
        <v>3025</v>
      </c>
      <c r="M1046" t="s">
        <v>3393</v>
      </c>
      <c r="N1046" t="s">
        <v>3394</v>
      </c>
      <c r="O1046" t="s">
        <v>3395</v>
      </c>
      <c r="P1046" t="s">
        <v>3396</v>
      </c>
    </row>
    <row r="1047" spans="1:16" x14ac:dyDescent="0.35">
      <c r="A1047" t="s">
        <v>86</v>
      </c>
      <c r="B1047">
        <v>1324732735</v>
      </c>
      <c r="C1047" t="s">
        <v>19</v>
      </c>
      <c r="D1047" t="s">
        <v>20</v>
      </c>
      <c r="E1047" s="29">
        <v>46205</v>
      </c>
      <c r="F1047" t="s">
        <v>4</v>
      </c>
      <c r="G1047" s="28">
        <v>0.52222222222222225</v>
      </c>
      <c r="H1047" s="28">
        <v>0.52222222222222225</v>
      </c>
      <c r="I1047">
        <v>0</v>
      </c>
      <c r="J1047" t="s">
        <v>174</v>
      </c>
      <c r="K1047">
        <v>0</v>
      </c>
      <c r="L1047" t="s">
        <v>3025</v>
      </c>
      <c r="M1047" t="s">
        <v>3389</v>
      </c>
      <c r="N1047" t="s">
        <v>3390</v>
      </c>
      <c r="O1047" t="s">
        <v>3391</v>
      </c>
      <c r="P1047" t="s">
        <v>3392</v>
      </c>
    </row>
    <row r="1048" spans="1:16" x14ac:dyDescent="0.35">
      <c r="A1048" t="s">
        <v>86</v>
      </c>
      <c r="B1048">
        <v>1324732735</v>
      </c>
      <c r="C1048" t="s">
        <v>19</v>
      </c>
      <c r="D1048" t="s">
        <v>20</v>
      </c>
      <c r="E1048" s="29">
        <v>46205</v>
      </c>
      <c r="F1048" t="s">
        <v>4</v>
      </c>
      <c r="G1048" s="28">
        <v>0.52916666666666667</v>
      </c>
      <c r="H1048" s="28">
        <v>0.52916666666666667</v>
      </c>
      <c r="I1048">
        <v>0</v>
      </c>
      <c r="J1048" t="s">
        <v>174</v>
      </c>
      <c r="K1048">
        <v>0</v>
      </c>
      <c r="L1048" t="s">
        <v>3025</v>
      </c>
      <c r="M1048" t="s">
        <v>3393</v>
      </c>
      <c r="N1048" t="s">
        <v>3394</v>
      </c>
      <c r="O1048" t="s">
        <v>3395</v>
      </c>
      <c r="P1048" t="s">
        <v>3396</v>
      </c>
    </row>
    <row r="1049" spans="1:16" x14ac:dyDescent="0.35">
      <c r="A1049" t="s">
        <v>86</v>
      </c>
      <c r="B1049">
        <v>1324732735</v>
      </c>
      <c r="C1049" t="s">
        <v>19</v>
      </c>
      <c r="D1049" t="s">
        <v>20</v>
      </c>
      <c r="E1049" s="29">
        <v>46205</v>
      </c>
      <c r="F1049" t="s">
        <v>4</v>
      </c>
      <c r="G1049" s="28">
        <v>0.53611111111111109</v>
      </c>
      <c r="H1049" s="28">
        <v>0.53611111111111109</v>
      </c>
      <c r="I1049">
        <v>0</v>
      </c>
      <c r="J1049" t="s">
        <v>174</v>
      </c>
      <c r="K1049">
        <v>0</v>
      </c>
      <c r="L1049" t="s">
        <v>624</v>
      </c>
      <c r="M1049" t="s">
        <v>3389</v>
      </c>
      <c r="N1049" t="s">
        <v>3390</v>
      </c>
      <c r="O1049" t="s">
        <v>3391</v>
      </c>
      <c r="P1049" t="s">
        <v>3392</v>
      </c>
    </row>
    <row r="1050" spans="1:16" x14ac:dyDescent="0.35">
      <c r="A1050" t="s">
        <v>86</v>
      </c>
      <c r="B1050">
        <v>1324732735</v>
      </c>
      <c r="C1050" t="s">
        <v>19</v>
      </c>
      <c r="D1050" t="s">
        <v>20</v>
      </c>
      <c r="E1050" s="29">
        <v>46205</v>
      </c>
      <c r="F1050" t="s">
        <v>4</v>
      </c>
      <c r="G1050" s="28">
        <v>0.54305555555555551</v>
      </c>
      <c r="H1050" s="28">
        <v>0.54305555555555551</v>
      </c>
      <c r="I1050">
        <v>0</v>
      </c>
      <c r="J1050" t="s">
        <v>174</v>
      </c>
      <c r="K1050">
        <v>0</v>
      </c>
      <c r="L1050" t="s">
        <v>2757</v>
      </c>
      <c r="M1050" t="s">
        <v>3382</v>
      </c>
      <c r="N1050" t="s">
        <v>3386</v>
      </c>
      <c r="O1050" t="s">
        <v>3387</v>
      </c>
      <c r="P1050" t="s">
        <v>3388</v>
      </c>
    </row>
    <row r="1051" spans="1:16" x14ac:dyDescent="0.35">
      <c r="A1051" t="s">
        <v>86</v>
      </c>
      <c r="B1051">
        <v>1324732735</v>
      </c>
      <c r="C1051" t="s">
        <v>19</v>
      </c>
      <c r="D1051" t="s">
        <v>20</v>
      </c>
      <c r="E1051" s="29">
        <v>46205</v>
      </c>
      <c r="F1051" t="s">
        <v>4</v>
      </c>
      <c r="G1051" s="28">
        <v>0.55000000000000004</v>
      </c>
      <c r="H1051" s="28">
        <v>0.59861111111111109</v>
      </c>
      <c r="I1051">
        <v>1</v>
      </c>
      <c r="J1051" t="s">
        <v>146</v>
      </c>
      <c r="K1051">
        <v>4</v>
      </c>
      <c r="L1051" t="s">
        <v>147</v>
      </c>
      <c r="M1051" t="s">
        <v>3393</v>
      </c>
      <c r="N1051" t="s">
        <v>3394</v>
      </c>
      <c r="O1051" t="s">
        <v>3395</v>
      </c>
      <c r="P1051" t="s">
        <v>3396</v>
      </c>
    </row>
    <row r="1052" spans="1:16" x14ac:dyDescent="0.35">
      <c r="A1052" t="s">
        <v>86</v>
      </c>
      <c r="B1052">
        <v>1324732735</v>
      </c>
      <c r="C1052" t="s">
        <v>19</v>
      </c>
      <c r="D1052" t="s">
        <v>20</v>
      </c>
      <c r="E1052" s="29">
        <v>46205</v>
      </c>
      <c r="F1052" t="s">
        <v>4</v>
      </c>
      <c r="G1052" s="28">
        <v>0.60555555555555551</v>
      </c>
      <c r="H1052" s="28">
        <v>0.61250000000000004</v>
      </c>
      <c r="I1052">
        <v>0</v>
      </c>
      <c r="J1052" t="s">
        <v>146</v>
      </c>
      <c r="K1052">
        <v>1</v>
      </c>
      <c r="L1052" t="s">
        <v>147</v>
      </c>
      <c r="M1052" t="s">
        <v>3382</v>
      </c>
      <c r="N1052" t="s">
        <v>3386</v>
      </c>
      <c r="O1052" t="s">
        <v>3387</v>
      </c>
      <c r="P1052" t="s">
        <v>3388</v>
      </c>
    </row>
    <row r="1053" spans="1:16" x14ac:dyDescent="0.35">
      <c r="A1053" t="s">
        <v>86</v>
      </c>
      <c r="B1053">
        <v>1324732735</v>
      </c>
      <c r="C1053" t="s">
        <v>19</v>
      </c>
      <c r="D1053" t="s">
        <v>20</v>
      </c>
      <c r="E1053" s="29">
        <v>46205</v>
      </c>
      <c r="F1053" t="s">
        <v>4</v>
      </c>
      <c r="G1053" s="28">
        <v>0.61805555555555558</v>
      </c>
      <c r="H1053" s="28">
        <v>0.61805555555555558</v>
      </c>
      <c r="I1053">
        <v>0</v>
      </c>
      <c r="J1053" t="s">
        <v>174</v>
      </c>
      <c r="K1053">
        <v>0</v>
      </c>
      <c r="L1053" t="s">
        <v>1349</v>
      </c>
      <c r="M1053" t="s">
        <v>3397</v>
      </c>
      <c r="N1053" t="s">
        <v>3398</v>
      </c>
      <c r="O1053" t="s">
        <v>3399</v>
      </c>
      <c r="P1053" t="s">
        <v>3400</v>
      </c>
    </row>
    <row r="1054" spans="1:16" x14ac:dyDescent="0.35">
      <c r="A1054" t="s">
        <v>86</v>
      </c>
      <c r="B1054">
        <v>1324732735</v>
      </c>
      <c r="C1054" t="s">
        <v>19</v>
      </c>
      <c r="D1054" t="s">
        <v>20</v>
      </c>
      <c r="E1054" s="29">
        <v>46205</v>
      </c>
      <c r="F1054" t="s">
        <v>4</v>
      </c>
      <c r="G1054" s="28">
        <v>0.62638888888888888</v>
      </c>
      <c r="H1054" s="28">
        <v>0.64027777777777772</v>
      </c>
      <c r="I1054">
        <v>0</v>
      </c>
      <c r="J1054" t="s">
        <v>146</v>
      </c>
      <c r="K1054">
        <v>1</v>
      </c>
      <c r="L1054" t="s">
        <v>147</v>
      </c>
      <c r="M1054" t="s">
        <v>3382</v>
      </c>
      <c r="N1054" t="s">
        <v>3386</v>
      </c>
      <c r="O1054" t="s">
        <v>3387</v>
      </c>
      <c r="P1054" t="s">
        <v>3388</v>
      </c>
    </row>
    <row r="1055" spans="1:16" x14ac:dyDescent="0.35">
      <c r="A1055" t="s">
        <v>86</v>
      </c>
      <c r="B1055">
        <v>1324732735</v>
      </c>
      <c r="C1055" t="s">
        <v>19</v>
      </c>
      <c r="D1055" t="s">
        <v>20</v>
      </c>
      <c r="E1055" s="29">
        <v>46205</v>
      </c>
      <c r="F1055" t="s">
        <v>4</v>
      </c>
      <c r="G1055" s="28">
        <v>0.64722222222222225</v>
      </c>
      <c r="H1055" s="28">
        <v>0.64722222222222225</v>
      </c>
      <c r="I1055">
        <v>0</v>
      </c>
      <c r="J1055" t="s">
        <v>174</v>
      </c>
      <c r="K1055">
        <v>0</v>
      </c>
      <c r="L1055" t="s">
        <v>3025</v>
      </c>
      <c r="M1055" t="s">
        <v>3389</v>
      </c>
      <c r="N1055" t="s">
        <v>3390</v>
      </c>
      <c r="O1055" t="s">
        <v>3391</v>
      </c>
      <c r="P1055" t="s">
        <v>3392</v>
      </c>
    </row>
    <row r="1056" spans="1:16" x14ac:dyDescent="0.35">
      <c r="A1056" t="s">
        <v>86</v>
      </c>
      <c r="B1056">
        <v>1324732735</v>
      </c>
      <c r="C1056" t="s">
        <v>19</v>
      </c>
      <c r="D1056" t="s">
        <v>20</v>
      </c>
      <c r="E1056" s="29">
        <v>46205</v>
      </c>
      <c r="F1056" t="s">
        <v>4</v>
      </c>
      <c r="G1056" s="28">
        <v>0.65416666666666667</v>
      </c>
      <c r="H1056" s="28">
        <v>0.70277777777777772</v>
      </c>
      <c r="I1056">
        <v>1</v>
      </c>
      <c r="J1056" t="s">
        <v>146</v>
      </c>
      <c r="K1056">
        <v>4</v>
      </c>
      <c r="L1056" t="s">
        <v>147</v>
      </c>
      <c r="M1056" t="s">
        <v>3393</v>
      </c>
      <c r="N1056" t="s">
        <v>3394</v>
      </c>
      <c r="O1056" t="s">
        <v>3395</v>
      </c>
      <c r="P1056" t="s">
        <v>3396</v>
      </c>
    </row>
    <row r="1057" spans="1:16" x14ac:dyDescent="0.35">
      <c r="A1057" t="s">
        <v>86</v>
      </c>
      <c r="B1057">
        <v>1324732735</v>
      </c>
      <c r="C1057" t="s">
        <v>19</v>
      </c>
      <c r="D1057" t="s">
        <v>20</v>
      </c>
      <c r="E1057" s="29">
        <v>46205</v>
      </c>
      <c r="F1057" t="s">
        <v>4</v>
      </c>
      <c r="G1057" s="28">
        <v>0.70972222222222225</v>
      </c>
      <c r="H1057" s="28">
        <v>0.70972222222222225</v>
      </c>
      <c r="I1057">
        <v>0</v>
      </c>
      <c r="J1057" t="s">
        <v>174</v>
      </c>
      <c r="K1057">
        <v>0</v>
      </c>
      <c r="L1057" t="s">
        <v>624</v>
      </c>
      <c r="M1057" t="s">
        <v>3382</v>
      </c>
      <c r="N1057" t="s">
        <v>3386</v>
      </c>
      <c r="O1057" t="s">
        <v>3387</v>
      </c>
      <c r="P1057" t="s">
        <v>3388</v>
      </c>
    </row>
    <row r="1058" spans="1:16" x14ac:dyDescent="0.35">
      <c r="A1058" t="s">
        <v>86</v>
      </c>
      <c r="B1058">
        <v>1324732735</v>
      </c>
      <c r="C1058" t="s">
        <v>19</v>
      </c>
      <c r="D1058" t="s">
        <v>20</v>
      </c>
      <c r="E1058" s="29">
        <v>46205</v>
      </c>
      <c r="F1058" t="s">
        <v>4</v>
      </c>
      <c r="G1058" s="28">
        <v>0.71666666666666667</v>
      </c>
      <c r="H1058" s="28">
        <v>0.71666666666666667</v>
      </c>
      <c r="I1058">
        <v>0</v>
      </c>
      <c r="J1058" t="s">
        <v>174</v>
      </c>
      <c r="K1058">
        <v>0</v>
      </c>
      <c r="L1058" t="s">
        <v>3025</v>
      </c>
      <c r="M1058" t="s">
        <v>3389</v>
      </c>
      <c r="N1058" t="s">
        <v>3390</v>
      </c>
      <c r="O1058" t="s">
        <v>3391</v>
      </c>
      <c r="P1058" t="s">
        <v>3392</v>
      </c>
    </row>
    <row r="1059" spans="1:16" x14ac:dyDescent="0.35">
      <c r="A1059" t="s">
        <v>86</v>
      </c>
      <c r="B1059">
        <v>1324732735</v>
      </c>
      <c r="C1059" t="s">
        <v>19</v>
      </c>
      <c r="D1059" t="s">
        <v>20</v>
      </c>
      <c r="E1059" s="29">
        <v>46205</v>
      </c>
      <c r="F1059" t="s">
        <v>4</v>
      </c>
      <c r="G1059" s="28">
        <v>0.72361111111111109</v>
      </c>
      <c r="H1059" s="28">
        <v>0.79305555555555551</v>
      </c>
      <c r="I1059">
        <v>2</v>
      </c>
      <c r="J1059" t="s">
        <v>146</v>
      </c>
      <c r="K1059">
        <v>5</v>
      </c>
      <c r="L1059" t="s">
        <v>147</v>
      </c>
      <c r="M1059" t="s">
        <v>3393</v>
      </c>
      <c r="N1059" t="s">
        <v>3394</v>
      </c>
      <c r="O1059" t="s">
        <v>3395</v>
      </c>
      <c r="P1059" t="s">
        <v>3396</v>
      </c>
    </row>
    <row r="1060" spans="1:16" x14ac:dyDescent="0.35">
      <c r="A1060" t="s">
        <v>86</v>
      </c>
      <c r="B1060">
        <v>1324732735</v>
      </c>
      <c r="C1060" t="s">
        <v>19</v>
      </c>
      <c r="D1060" t="s">
        <v>20</v>
      </c>
      <c r="E1060" s="29">
        <v>46207</v>
      </c>
      <c r="F1060" t="s">
        <v>5</v>
      </c>
      <c r="G1060" s="28">
        <v>0.37638888888888888</v>
      </c>
      <c r="H1060" s="28">
        <v>0.37638888888888888</v>
      </c>
      <c r="I1060">
        <v>0</v>
      </c>
      <c r="J1060" t="s">
        <v>174</v>
      </c>
      <c r="K1060">
        <v>0</v>
      </c>
      <c r="L1060" t="s">
        <v>2757</v>
      </c>
      <c r="M1060" t="s">
        <v>3393</v>
      </c>
      <c r="N1060" t="s">
        <v>3394</v>
      </c>
      <c r="O1060" t="s">
        <v>3395</v>
      </c>
      <c r="P1060" t="s">
        <v>3396</v>
      </c>
    </row>
    <row r="1061" spans="1:16" x14ac:dyDescent="0.35">
      <c r="A1061" t="s">
        <v>86</v>
      </c>
      <c r="B1061">
        <v>1324732735</v>
      </c>
      <c r="C1061" t="s">
        <v>19</v>
      </c>
      <c r="D1061" t="s">
        <v>20</v>
      </c>
      <c r="E1061" s="29">
        <v>46207</v>
      </c>
      <c r="F1061" t="s">
        <v>5</v>
      </c>
      <c r="G1061" s="28">
        <v>0.38333333333333336</v>
      </c>
      <c r="H1061" s="28">
        <v>0.56388888888888888</v>
      </c>
      <c r="I1061">
        <v>4</v>
      </c>
      <c r="J1061" t="s">
        <v>146</v>
      </c>
      <c r="K1061">
        <v>13</v>
      </c>
      <c r="L1061" t="s">
        <v>147</v>
      </c>
      <c r="M1061" t="s">
        <v>3382</v>
      </c>
      <c r="N1061" t="s">
        <v>3386</v>
      </c>
      <c r="O1061" t="s">
        <v>3387</v>
      </c>
      <c r="P1061" t="s">
        <v>3388</v>
      </c>
    </row>
    <row r="1062" spans="1:16" x14ac:dyDescent="0.35">
      <c r="A1062" t="s">
        <v>86</v>
      </c>
      <c r="B1062">
        <v>1324732735</v>
      </c>
      <c r="C1062" t="s">
        <v>19</v>
      </c>
      <c r="D1062" t="s">
        <v>20</v>
      </c>
      <c r="E1062" s="29">
        <v>46207</v>
      </c>
      <c r="F1062" t="s">
        <v>5</v>
      </c>
      <c r="G1062" s="28">
        <v>0.5708333333333333</v>
      </c>
      <c r="H1062" s="28">
        <v>0.5708333333333333</v>
      </c>
      <c r="I1062">
        <v>0</v>
      </c>
      <c r="J1062" t="s">
        <v>174</v>
      </c>
      <c r="K1062">
        <v>0</v>
      </c>
      <c r="L1062" t="s">
        <v>2757</v>
      </c>
      <c r="M1062" t="s">
        <v>3393</v>
      </c>
      <c r="N1062" t="s">
        <v>3394</v>
      </c>
      <c r="O1062" t="s">
        <v>3395</v>
      </c>
      <c r="P1062" t="s">
        <v>3396</v>
      </c>
    </row>
    <row r="1063" spans="1:16" x14ac:dyDescent="0.35">
      <c r="A1063" t="s">
        <v>86</v>
      </c>
      <c r="B1063">
        <v>1324732735</v>
      </c>
      <c r="C1063" t="s">
        <v>19</v>
      </c>
      <c r="D1063" t="s">
        <v>20</v>
      </c>
      <c r="E1063" s="29">
        <v>46207</v>
      </c>
      <c r="F1063" t="s">
        <v>5</v>
      </c>
      <c r="G1063" s="28">
        <v>0.57777777777777772</v>
      </c>
      <c r="H1063" s="28">
        <v>0.57777777777777772</v>
      </c>
      <c r="I1063">
        <v>0</v>
      </c>
      <c r="J1063" t="s">
        <v>174</v>
      </c>
      <c r="K1063">
        <v>0</v>
      </c>
      <c r="L1063" t="s">
        <v>624</v>
      </c>
      <c r="M1063" t="s">
        <v>3382</v>
      </c>
      <c r="N1063" t="s">
        <v>3386</v>
      </c>
      <c r="O1063" t="s">
        <v>3387</v>
      </c>
      <c r="P1063" t="s">
        <v>3388</v>
      </c>
    </row>
    <row r="1064" spans="1:16" x14ac:dyDescent="0.35">
      <c r="A1064" t="s">
        <v>86</v>
      </c>
      <c r="B1064">
        <v>1324732735</v>
      </c>
      <c r="C1064" t="s">
        <v>19</v>
      </c>
      <c r="D1064" t="s">
        <v>20</v>
      </c>
      <c r="E1064" s="29">
        <v>46207</v>
      </c>
      <c r="F1064" t="s">
        <v>5</v>
      </c>
      <c r="G1064" s="28">
        <v>0.58472222222222225</v>
      </c>
      <c r="H1064" s="28">
        <v>0.58472222222222225</v>
      </c>
      <c r="I1064">
        <v>0</v>
      </c>
      <c r="J1064" t="s">
        <v>174</v>
      </c>
      <c r="K1064">
        <v>0</v>
      </c>
      <c r="L1064" t="s">
        <v>3025</v>
      </c>
      <c r="M1064" t="s">
        <v>3389</v>
      </c>
      <c r="N1064" t="s">
        <v>3390</v>
      </c>
      <c r="O1064" t="s">
        <v>3391</v>
      </c>
      <c r="P1064" t="s">
        <v>3392</v>
      </c>
    </row>
    <row r="1065" spans="1:16" x14ac:dyDescent="0.35">
      <c r="A1065" t="s">
        <v>86</v>
      </c>
      <c r="B1065">
        <v>1324732735</v>
      </c>
      <c r="C1065" t="s">
        <v>19</v>
      </c>
      <c r="D1065" t="s">
        <v>20</v>
      </c>
      <c r="E1065" s="29">
        <v>46207</v>
      </c>
      <c r="F1065" t="s">
        <v>5</v>
      </c>
      <c r="G1065" s="28">
        <v>0.59166666666666667</v>
      </c>
      <c r="H1065" s="28">
        <v>0.59166666666666667</v>
      </c>
      <c r="I1065">
        <v>0</v>
      </c>
      <c r="J1065" t="s">
        <v>174</v>
      </c>
      <c r="K1065">
        <v>0</v>
      </c>
      <c r="L1065" t="s">
        <v>2757</v>
      </c>
      <c r="M1065" t="s">
        <v>3393</v>
      </c>
      <c r="N1065" t="s">
        <v>3394</v>
      </c>
      <c r="O1065" t="s">
        <v>3395</v>
      </c>
      <c r="P1065" t="s">
        <v>3396</v>
      </c>
    </row>
    <row r="1066" spans="1:16" x14ac:dyDescent="0.35">
      <c r="A1066" t="s">
        <v>86</v>
      </c>
      <c r="B1066">
        <v>1324732735</v>
      </c>
      <c r="C1066" t="s">
        <v>19</v>
      </c>
      <c r="D1066" t="s">
        <v>20</v>
      </c>
      <c r="E1066" s="29">
        <v>46207</v>
      </c>
      <c r="F1066" t="s">
        <v>5</v>
      </c>
      <c r="G1066" s="28">
        <v>0.59861111111111109</v>
      </c>
      <c r="H1066" s="28">
        <v>0.60555555555555551</v>
      </c>
      <c r="I1066">
        <v>0</v>
      </c>
      <c r="J1066" t="s">
        <v>146</v>
      </c>
      <c r="K1066">
        <v>0</v>
      </c>
      <c r="L1066" t="s">
        <v>147</v>
      </c>
      <c r="M1066" t="s">
        <v>3382</v>
      </c>
      <c r="N1066" t="s">
        <v>3386</v>
      </c>
      <c r="O1066" t="s">
        <v>3387</v>
      </c>
      <c r="P1066" t="s">
        <v>3388</v>
      </c>
    </row>
    <row r="1067" spans="1:16" x14ac:dyDescent="0.35">
      <c r="A1067" t="s">
        <v>86</v>
      </c>
      <c r="B1067">
        <v>1324732735</v>
      </c>
      <c r="C1067" t="s">
        <v>19</v>
      </c>
      <c r="D1067" t="s">
        <v>20</v>
      </c>
      <c r="E1067" s="29">
        <v>46207</v>
      </c>
      <c r="F1067" t="s">
        <v>5</v>
      </c>
      <c r="G1067" s="28">
        <v>0.61250000000000004</v>
      </c>
      <c r="H1067" s="28">
        <v>0.6333333333333333</v>
      </c>
      <c r="I1067">
        <v>0</v>
      </c>
      <c r="J1067" t="s">
        <v>146</v>
      </c>
      <c r="K1067">
        <v>1</v>
      </c>
      <c r="L1067" t="s">
        <v>147</v>
      </c>
      <c r="M1067" t="s">
        <v>3389</v>
      </c>
      <c r="N1067" t="s">
        <v>3390</v>
      </c>
      <c r="O1067" t="s">
        <v>3391</v>
      </c>
      <c r="P1067" t="s">
        <v>3392</v>
      </c>
    </row>
    <row r="1068" spans="1:16" x14ac:dyDescent="0.35">
      <c r="A1068" t="s">
        <v>86</v>
      </c>
      <c r="B1068">
        <v>1324732735</v>
      </c>
      <c r="C1068" t="s">
        <v>19</v>
      </c>
      <c r="D1068" t="s">
        <v>20</v>
      </c>
      <c r="E1068" s="29">
        <v>46207</v>
      </c>
      <c r="F1068" t="s">
        <v>5</v>
      </c>
      <c r="G1068" s="28">
        <v>0.63611111111111107</v>
      </c>
      <c r="H1068" s="28">
        <v>0.63611111111111107</v>
      </c>
      <c r="I1068">
        <v>0</v>
      </c>
      <c r="J1068" t="s">
        <v>174</v>
      </c>
      <c r="K1068">
        <v>0</v>
      </c>
      <c r="L1068" t="s">
        <v>1022</v>
      </c>
      <c r="M1068" t="s">
        <v>3397</v>
      </c>
      <c r="N1068" t="s">
        <v>3398</v>
      </c>
      <c r="O1068" t="s">
        <v>3399</v>
      </c>
      <c r="P1068" t="s">
        <v>3400</v>
      </c>
    </row>
    <row r="1069" spans="1:16" x14ac:dyDescent="0.35">
      <c r="A1069" t="s">
        <v>86</v>
      </c>
      <c r="B1069">
        <v>1324732735</v>
      </c>
      <c r="C1069" t="s">
        <v>19</v>
      </c>
      <c r="D1069" t="s">
        <v>20</v>
      </c>
      <c r="E1069" s="29">
        <v>46207</v>
      </c>
      <c r="F1069" t="s">
        <v>5</v>
      </c>
      <c r="G1069" s="28">
        <v>0.64722222222222225</v>
      </c>
      <c r="H1069" s="28">
        <v>0.65416666666666667</v>
      </c>
      <c r="I1069">
        <v>0</v>
      </c>
      <c r="J1069" t="s">
        <v>146</v>
      </c>
      <c r="K1069">
        <v>0</v>
      </c>
      <c r="L1069" t="s">
        <v>147</v>
      </c>
      <c r="M1069" t="s">
        <v>3393</v>
      </c>
      <c r="N1069" t="s">
        <v>3394</v>
      </c>
      <c r="O1069" t="s">
        <v>3395</v>
      </c>
      <c r="P1069" t="s">
        <v>3396</v>
      </c>
    </row>
    <row r="1070" spans="1:16" x14ac:dyDescent="0.35">
      <c r="A1070" t="s">
        <v>86</v>
      </c>
      <c r="B1070">
        <v>1324732735</v>
      </c>
      <c r="C1070" t="s">
        <v>19</v>
      </c>
      <c r="D1070" t="s">
        <v>20</v>
      </c>
      <c r="E1070" s="29">
        <v>46207</v>
      </c>
      <c r="F1070" t="s">
        <v>5</v>
      </c>
      <c r="G1070" s="28">
        <v>0.66111111111111109</v>
      </c>
      <c r="H1070" s="28">
        <v>0.66111111111111109</v>
      </c>
      <c r="I1070">
        <v>0</v>
      </c>
      <c r="J1070" t="s">
        <v>174</v>
      </c>
      <c r="K1070">
        <v>0</v>
      </c>
      <c r="L1070" t="s">
        <v>2757</v>
      </c>
      <c r="M1070" t="s">
        <v>3382</v>
      </c>
      <c r="N1070" t="s">
        <v>3386</v>
      </c>
      <c r="O1070" t="s">
        <v>3387</v>
      </c>
      <c r="P1070" t="s">
        <v>3388</v>
      </c>
    </row>
    <row r="1071" spans="1:16" x14ac:dyDescent="0.35">
      <c r="A1071" t="s">
        <v>86</v>
      </c>
      <c r="B1071">
        <v>1324732735</v>
      </c>
      <c r="C1071" t="s">
        <v>19</v>
      </c>
      <c r="D1071" t="s">
        <v>20</v>
      </c>
      <c r="E1071" s="29">
        <v>46207</v>
      </c>
      <c r="F1071" t="s">
        <v>5</v>
      </c>
      <c r="G1071" s="28">
        <v>0.66805555555555551</v>
      </c>
      <c r="H1071" s="28">
        <v>0.68194444444444446</v>
      </c>
      <c r="I1071">
        <v>0</v>
      </c>
      <c r="J1071" t="s">
        <v>146</v>
      </c>
      <c r="K1071">
        <v>1</v>
      </c>
      <c r="L1071" t="s">
        <v>147</v>
      </c>
      <c r="M1071" t="s">
        <v>3393</v>
      </c>
      <c r="N1071" t="s">
        <v>3394</v>
      </c>
      <c r="O1071" t="s">
        <v>3395</v>
      </c>
      <c r="P1071" t="s">
        <v>3396</v>
      </c>
    </row>
    <row r="1072" spans="1:16" x14ac:dyDescent="0.35">
      <c r="A1072" t="s">
        <v>86</v>
      </c>
      <c r="B1072">
        <v>1324732735</v>
      </c>
      <c r="C1072" t="s">
        <v>19</v>
      </c>
      <c r="D1072" t="s">
        <v>20</v>
      </c>
      <c r="E1072" s="29">
        <v>46207</v>
      </c>
      <c r="F1072" t="s">
        <v>5</v>
      </c>
      <c r="G1072" s="28">
        <v>0.68541666666666667</v>
      </c>
      <c r="H1072" s="28">
        <v>0.68541666666666667</v>
      </c>
      <c r="I1072">
        <v>0</v>
      </c>
      <c r="J1072" t="s">
        <v>174</v>
      </c>
      <c r="K1072">
        <v>0</v>
      </c>
      <c r="L1072" t="s">
        <v>624</v>
      </c>
      <c r="M1072" t="s">
        <v>3382</v>
      </c>
      <c r="N1072" t="s">
        <v>3386</v>
      </c>
      <c r="O1072" t="s">
        <v>3387</v>
      </c>
      <c r="P1072" t="s">
        <v>3388</v>
      </c>
    </row>
    <row r="1073" spans="1:16" x14ac:dyDescent="0.35">
      <c r="A1073" t="s">
        <v>86</v>
      </c>
      <c r="B1073">
        <v>1324732735</v>
      </c>
      <c r="C1073" t="s">
        <v>19</v>
      </c>
      <c r="D1073" t="s">
        <v>20</v>
      </c>
      <c r="E1073" s="29">
        <v>46207</v>
      </c>
      <c r="F1073" t="s">
        <v>5</v>
      </c>
      <c r="G1073" s="28">
        <v>0.6958333333333333</v>
      </c>
      <c r="H1073" s="28">
        <v>0.6958333333333333</v>
      </c>
      <c r="I1073">
        <v>0</v>
      </c>
      <c r="J1073" t="s">
        <v>174</v>
      </c>
      <c r="K1073">
        <v>0</v>
      </c>
      <c r="L1073" t="s">
        <v>3025</v>
      </c>
      <c r="M1073" t="s">
        <v>3389</v>
      </c>
      <c r="N1073" t="s">
        <v>3390</v>
      </c>
      <c r="O1073" t="s">
        <v>3391</v>
      </c>
      <c r="P1073" t="s">
        <v>3392</v>
      </c>
    </row>
    <row r="1074" spans="1:16" x14ac:dyDescent="0.35">
      <c r="A1074" t="s">
        <v>86</v>
      </c>
      <c r="B1074">
        <v>1324732735</v>
      </c>
      <c r="C1074" t="s">
        <v>19</v>
      </c>
      <c r="D1074" t="s">
        <v>20</v>
      </c>
      <c r="E1074" s="29">
        <v>46207</v>
      </c>
      <c r="F1074" t="s">
        <v>5</v>
      </c>
      <c r="G1074" s="28">
        <v>0.70277777777777772</v>
      </c>
      <c r="H1074" s="28">
        <v>0.70277777777777772</v>
      </c>
      <c r="I1074">
        <v>0</v>
      </c>
      <c r="J1074" t="s">
        <v>174</v>
      </c>
      <c r="K1074">
        <v>0</v>
      </c>
      <c r="L1074" t="s">
        <v>3025</v>
      </c>
      <c r="M1074" t="s">
        <v>3393</v>
      </c>
      <c r="N1074" t="s">
        <v>3394</v>
      </c>
      <c r="O1074" t="s">
        <v>3395</v>
      </c>
      <c r="P1074" t="s">
        <v>3396</v>
      </c>
    </row>
    <row r="1075" spans="1:16" x14ac:dyDescent="0.35">
      <c r="A1075" t="s">
        <v>86</v>
      </c>
      <c r="B1075">
        <v>1324732735</v>
      </c>
      <c r="C1075" t="s">
        <v>19</v>
      </c>
      <c r="D1075" t="s">
        <v>20</v>
      </c>
      <c r="E1075" s="29">
        <v>46207</v>
      </c>
      <c r="F1075" t="s">
        <v>5</v>
      </c>
      <c r="G1075" s="28">
        <v>0.70972222222222225</v>
      </c>
      <c r="H1075" s="28">
        <v>0.71666666666666667</v>
      </c>
      <c r="I1075">
        <v>0</v>
      </c>
      <c r="J1075" t="s">
        <v>146</v>
      </c>
      <c r="K1075">
        <v>0</v>
      </c>
      <c r="L1075" t="s">
        <v>147</v>
      </c>
      <c r="M1075" t="s">
        <v>3389</v>
      </c>
      <c r="N1075" t="s">
        <v>3390</v>
      </c>
      <c r="O1075" t="s">
        <v>3391</v>
      </c>
      <c r="P1075" t="s">
        <v>3392</v>
      </c>
    </row>
    <row r="1076" spans="1:16" x14ac:dyDescent="0.35">
      <c r="A1076" t="s">
        <v>86</v>
      </c>
      <c r="B1076">
        <v>1324732735</v>
      </c>
      <c r="C1076" t="s">
        <v>19</v>
      </c>
      <c r="D1076" t="s">
        <v>20</v>
      </c>
      <c r="E1076" s="29">
        <v>46207</v>
      </c>
      <c r="F1076" t="s">
        <v>5</v>
      </c>
      <c r="G1076" s="28">
        <v>0.72361111111111109</v>
      </c>
      <c r="H1076" s="28">
        <v>0.73750000000000004</v>
      </c>
      <c r="I1076">
        <v>0</v>
      </c>
      <c r="J1076" t="s">
        <v>146</v>
      </c>
      <c r="K1076">
        <v>1</v>
      </c>
      <c r="L1076" t="s">
        <v>147</v>
      </c>
      <c r="M1076" t="s">
        <v>3393</v>
      </c>
      <c r="N1076" t="s">
        <v>3394</v>
      </c>
      <c r="O1076" t="s">
        <v>3395</v>
      </c>
      <c r="P1076" t="s">
        <v>3396</v>
      </c>
    </row>
    <row r="1077" spans="1:16" x14ac:dyDescent="0.35">
      <c r="A1077" t="s">
        <v>86</v>
      </c>
      <c r="B1077">
        <v>1324732735</v>
      </c>
      <c r="C1077" t="s">
        <v>19</v>
      </c>
      <c r="D1077" t="s">
        <v>20</v>
      </c>
      <c r="E1077" s="29">
        <v>46207</v>
      </c>
      <c r="F1077" t="s">
        <v>5</v>
      </c>
      <c r="G1077" s="28">
        <v>0.74444444444444446</v>
      </c>
      <c r="H1077" s="28">
        <v>0.74444444444444446</v>
      </c>
      <c r="I1077">
        <v>0</v>
      </c>
      <c r="J1077" t="s">
        <v>174</v>
      </c>
      <c r="K1077">
        <v>0</v>
      </c>
      <c r="L1077" t="s">
        <v>624</v>
      </c>
      <c r="M1077" t="s">
        <v>3389</v>
      </c>
      <c r="N1077" t="s">
        <v>3390</v>
      </c>
      <c r="O1077" t="s">
        <v>3391</v>
      </c>
      <c r="P1077" t="s">
        <v>3392</v>
      </c>
    </row>
    <row r="1078" spans="1:16" x14ac:dyDescent="0.35">
      <c r="A1078" t="s">
        <v>86</v>
      </c>
      <c r="B1078">
        <v>1324732735</v>
      </c>
      <c r="C1078" t="s">
        <v>19</v>
      </c>
      <c r="D1078" t="s">
        <v>20</v>
      </c>
      <c r="E1078" s="29">
        <v>46207</v>
      </c>
      <c r="F1078" t="s">
        <v>5</v>
      </c>
      <c r="G1078" s="28">
        <v>0.75138888888888888</v>
      </c>
      <c r="H1078" s="28">
        <v>0.7583333333333333</v>
      </c>
      <c r="I1078">
        <v>0</v>
      </c>
      <c r="J1078" t="s">
        <v>146</v>
      </c>
      <c r="K1078">
        <v>0</v>
      </c>
      <c r="L1078" t="s">
        <v>147</v>
      </c>
      <c r="M1078" t="s">
        <v>3382</v>
      </c>
      <c r="N1078" t="s">
        <v>3386</v>
      </c>
      <c r="O1078" t="s">
        <v>3387</v>
      </c>
      <c r="P1078" t="s">
        <v>3388</v>
      </c>
    </row>
    <row r="1079" spans="1:16" x14ac:dyDescent="0.35">
      <c r="A1079" t="s">
        <v>86</v>
      </c>
      <c r="B1079">
        <v>1324732735</v>
      </c>
      <c r="C1079" t="s">
        <v>19</v>
      </c>
      <c r="D1079" t="s">
        <v>20</v>
      </c>
      <c r="E1079" s="29">
        <v>46207</v>
      </c>
      <c r="F1079" t="s">
        <v>5</v>
      </c>
      <c r="G1079" s="28">
        <v>0.76527777777777772</v>
      </c>
      <c r="H1079" s="28">
        <v>0.76527777777777772</v>
      </c>
      <c r="I1079">
        <v>0</v>
      </c>
      <c r="J1079" t="s">
        <v>174</v>
      </c>
      <c r="K1079">
        <v>0</v>
      </c>
      <c r="L1079" t="s">
        <v>3025</v>
      </c>
      <c r="M1079" t="s">
        <v>3393</v>
      </c>
      <c r="N1079" t="s">
        <v>3394</v>
      </c>
      <c r="O1079" t="s">
        <v>3395</v>
      </c>
      <c r="P1079" t="s">
        <v>3396</v>
      </c>
    </row>
    <row r="1080" spans="1:16" x14ac:dyDescent="0.35">
      <c r="A1080" t="s">
        <v>86</v>
      </c>
      <c r="B1080">
        <v>1324732735</v>
      </c>
      <c r="C1080" t="s">
        <v>19</v>
      </c>
      <c r="D1080" t="s">
        <v>20</v>
      </c>
      <c r="E1080" s="29">
        <v>46207</v>
      </c>
      <c r="F1080" t="s">
        <v>5</v>
      </c>
      <c r="G1080" s="28">
        <v>0.77222222222222225</v>
      </c>
      <c r="H1080" s="28">
        <v>0.77222222222222225</v>
      </c>
      <c r="I1080">
        <v>0</v>
      </c>
      <c r="J1080" t="s">
        <v>174</v>
      </c>
      <c r="K1080">
        <v>0</v>
      </c>
      <c r="L1080" t="s">
        <v>624</v>
      </c>
      <c r="M1080" t="s">
        <v>3389</v>
      </c>
      <c r="N1080" t="s">
        <v>3390</v>
      </c>
      <c r="O1080" t="s">
        <v>3391</v>
      </c>
      <c r="P1080" t="s">
        <v>3392</v>
      </c>
    </row>
    <row r="1081" spans="1:16" x14ac:dyDescent="0.35">
      <c r="A1081" t="s">
        <v>86</v>
      </c>
      <c r="B1081">
        <v>1324732735</v>
      </c>
      <c r="C1081" t="s">
        <v>19</v>
      </c>
      <c r="D1081" t="s">
        <v>20</v>
      </c>
      <c r="E1081" s="29">
        <v>46207</v>
      </c>
      <c r="F1081" t="s">
        <v>5</v>
      </c>
      <c r="G1081" s="28">
        <v>0.77916666666666667</v>
      </c>
      <c r="H1081" s="28">
        <v>0.77916666666666667</v>
      </c>
      <c r="I1081">
        <v>0</v>
      </c>
      <c r="J1081" t="s">
        <v>174</v>
      </c>
      <c r="K1081">
        <v>0</v>
      </c>
      <c r="L1081" t="s">
        <v>624</v>
      </c>
      <c r="M1081" t="s">
        <v>3382</v>
      </c>
      <c r="N1081" t="s">
        <v>3386</v>
      </c>
      <c r="O1081" t="s">
        <v>3387</v>
      </c>
      <c r="P1081" t="s">
        <v>3388</v>
      </c>
    </row>
    <row r="1082" spans="1:16" x14ac:dyDescent="0.35">
      <c r="A1082" t="s">
        <v>86</v>
      </c>
      <c r="B1082">
        <v>1324732735</v>
      </c>
      <c r="C1082" t="s">
        <v>19</v>
      </c>
      <c r="D1082" t="s">
        <v>20</v>
      </c>
      <c r="E1082" s="29">
        <v>46207</v>
      </c>
      <c r="F1082" t="s">
        <v>5</v>
      </c>
      <c r="G1082" s="28">
        <v>0.78611111111111109</v>
      </c>
      <c r="H1082" s="28">
        <v>0.79305555555555551</v>
      </c>
      <c r="I1082">
        <v>0</v>
      </c>
      <c r="J1082" t="s">
        <v>146</v>
      </c>
      <c r="K1082">
        <v>0</v>
      </c>
      <c r="L1082" t="s">
        <v>147</v>
      </c>
      <c r="M1082" t="s">
        <v>3389</v>
      </c>
      <c r="N1082" t="s">
        <v>3390</v>
      </c>
      <c r="O1082" t="s">
        <v>3391</v>
      </c>
      <c r="P1082" t="s">
        <v>3392</v>
      </c>
    </row>
    <row r="1083" spans="1:16" x14ac:dyDescent="0.35">
      <c r="A1083" t="s">
        <v>86</v>
      </c>
      <c r="B1083">
        <v>1324732735</v>
      </c>
      <c r="C1083" t="s">
        <v>19</v>
      </c>
      <c r="D1083" t="s">
        <v>20</v>
      </c>
      <c r="E1083" s="29">
        <v>46208</v>
      </c>
      <c r="F1083" t="s">
        <v>6</v>
      </c>
      <c r="G1083" s="28">
        <v>0.38333333333333336</v>
      </c>
      <c r="H1083" s="28">
        <v>0.39027777777777778</v>
      </c>
      <c r="I1083">
        <v>0</v>
      </c>
      <c r="J1083" t="s">
        <v>146</v>
      </c>
      <c r="K1083">
        <v>0</v>
      </c>
      <c r="L1083" t="s">
        <v>147</v>
      </c>
      <c r="M1083" t="s">
        <v>3393</v>
      </c>
      <c r="N1083" t="s">
        <v>3394</v>
      </c>
      <c r="O1083" t="s">
        <v>3395</v>
      </c>
      <c r="P1083" t="s">
        <v>3396</v>
      </c>
    </row>
    <row r="1084" spans="1:16" x14ac:dyDescent="0.35">
      <c r="A1084" t="s">
        <v>86</v>
      </c>
      <c r="B1084">
        <v>1324732735</v>
      </c>
      <c r="C1084" t="s">
        <v>19</v>
      </c>
      <c r="D1084" t="s">
        <v>20</v>
      </c>
      <c r="E1084" s="29">
        <v>46208</v>
      </c>
      <c r="F1084" t="s">
        <v>6</v>
      </c>
      <c r="G1084" s="28">
        <v>0.3972222222222222</v>
      </c>
      <c r="H1084" s="28">
        <v>0.3972222222222222</v>
      </c>
      <c r="I1084">
        <v>0</v>
      </c>
      <c r="J1084" t="s">
        <v>174</v>
      </c>
      <c r="K1084">
        <v>0</v>
      </c>
      <c r="L1084" t="s">
        <v>624</v>
      </c>
      <c r="M1084" t="s">
        <v>3382</v>
      </c>
      <c r="N1084" t="s">
        <v>3386</v>
      </c>
      <c r="O1084" t="s">
        <v>3387</v>
      </c>
      <c r="P1084" t="s">
        <v>3388</v>
      </c>
    </row>
    <row r="1085" spans="1:16" x14ac:dyDescent="0.35">
      <c r="A1085" t="s">
        <v>86</v>
      </c>
      <c r="B1085">
        <v>1324732735</v>
      </c>
      <c r="C1085" t="s">
        <v>19</v>
      </c>
      <c r="D1085" t="s">
        <v>20</v>
      </c>
      <c r="E1085" s="29">
        <v>46208</v>
      </c>
      <c r="F1085" t="s">
        <v>6</v>
      </c>
      <c r="G1085" s="28">
        <v>0.40416666666666667</v>
      </c>
      <c r="H1085" s="28">
        <v>0.40416666666666667</v>
      </c>
      <c r="I1085">
        <v>0</v>
      </c>
      <c r="J1085" t="s">
        <v>174</v>
      </c>
      <c r="K1085">
        <v>0</v>
      </c>
      <c r="L1085" t="s">
        <v>624</v>
      </c>
      <c r="M1085" t="s">
        <v>3389</v>
      </c>
      <c r="N1085" t="s">
        <v>3390</v>
      </c>
      <c r="O1085" t="s">
        <v>3391</v>
      </c>
      <c r="P1085" t="s">
        <v>3392</v>
      </c>
    </row>
    <row r="1086" spans="1:16" x14ac:dyDescent="0.35">
      <c r="A1086" t="s">
        <v>86</v>
      </c>
      <c r="B1086">
        <v>1324732735</v>
      </c>
      <c r="C1086" t="s">
        <v>19</v>
      </c>
      <c r="D1086" t="s">
        <v>20</v>
      </c>
      <c r="E1086" s="29">
        <v>46208</v>
      </c>
      <c r="F1086" t="s">
        <v>6</v>
      </c>
      <c r="G1086" s="28">
        <v>0.41111111111111109</v>
      </c>
      <c r="H1086" s="28">
        <v>0.41111111111111109</v>
      </c>
      <c r="I1086">
        <v>0</v>
      </c>
      <c r="J1086" t="s">
        <v>174</v>
      </c>
      <c r="K1086">
        <v>0</v>
      </c>
      <c r="L1086" t="s">
        <v>624</v>
      </c>
      <c r="M1086" t="s">
        <v>3382</v>
      </c>
      <c r="N1086" t="s">
        <v>3386</v>
      </c>
      <c r="O1086" t="s">
        <v>3387</v>
      </c>
      <c r="P1086" t="s">
        <v>3388</v>
      </c>
    </row>
    <row r="1087" spans="1:16" x14ac:dyDescent="0.35">
      <c r="A1087" t="s">
        <v>86</v>
      </c>
      <c r="B1087">
        <v>1324732735</v>
      </c>
      <c r="C1087" t="s">
        <v>19</v>
      </c>
      <c r="D1087" t="s">
        <v>20</v>
      </c>
      <c r="E1087" s="29">
        <v>46208</v>
      </c>
      <c r="F1087" t="s">
        <v>6</v>
      </c>
      <c r="G1087" s="28">
        <v>0.41805555555555557</v>
      </c>
      <c r="H1087" s="28">
        <v>0.41805555555555557</v>
      </c>
      <c r="I1087">
        <v>0</v>
      </c>
      <c r="J1087" t="s">
        <v>174</v>
      </c>
      <c r="K1087">
        <v>0</v>
      </c>
      <c r="L1087" t="s">
        <v>624</v>
      </c>
      <c r="M1087" t="s">
        <v>3389</v>
      </c>
      <c r="N1087" t="s">
        <v>3390</v>
      </c>
      <c r="O1087" t="s">
        <v>3391</v>
      </c>
      <c r="P1087" t="s">
        <v>3392</v>
      </c>
    </row>
    <row r="1088" spans="1:16" x14ac:dyDescent="0.35">
      <c r="A1088" t="s">
        <v>86</v>
      </c>
      <c r="B1088">
        <v>1324732735</v>
      </c>
      <c r="C1088" t="s">
        <v>19</v>
      </c>
      <c r="D1088" t="s">
        <v>20</v>
      </c>
      <c r="E1088" s="29">
        <v>46208</v>
      </c>
      <c r="F1088" t="s">
        <v>6</v>
      </c>
      <c r="G1088" s="28">
        <v>0.42499999999999999</v>
      </c>
      <c r="H1088" s="28">
        <v>0.43194444444444446</v>
      </c>
      <c r="I1088">
        <v>0</v>
      </c>
      <c r="J1088" t="s">
        <v>146</v>
      </c>
      <c r="K1088">
        <v>1</v>
      </c>
      <c r="L1088" t="s">
        <v>147</v>
      </c>
      <c r="M1088" t="s">
        <v>3382</v>
      </c>
      <c r="N1088" t="s">
        <v>3386</v>
      </c>
      <c r="O1088" t="s">
        <v>3387</v>
      </c>
      <c r="P1088" t="s">
        <v>3388</v>
      </c>
    </row>
    <row r="1089" spans="1:16" x14ac:dyDescent="0.35">
      <c r="A1089" t="s">
        <v>86</v>
      </c>
      <c r="B1089">
        <v>1324732735</v>
      </c>
      <c r="C1089" t="s">
        <v>19</v>
      </c>
      <c r="D1089" t="s">
        <v>20</v>
      </c>
      <c r="E1089" s="29">
        <v>46208</v>
      </c>
      <c r="F1089" t="s">
        <v>6</v>
      </c>
      <c r="G1089" s="28">
        <v>0.43888888888888888</v>
      </c>
      <c r="H1089" s="28">
        <v>0.44583333333333336</v>
      </c>
      <c r="I1089">
        <v>0</v>
      </c>
      <c r="J1089" t="s">
        <v>146</v>
      </c>
      <c r="K1089">
        <v>1</v>
      </c>
      <c r="L1089" t="s">
        <v>147</v>
      </c>
      <c r="M1089" t="s">
        <v>3389</v>
      </c>
      <c r="N1089" t="s">
        <v>3390</v>
      </c>
      <c r="O1089" t="s">
        <v>3391</v>
      </c>
      <c r="P1089" t="s">
        <v>3392</v>
      </c>
    </row>
    <row r="1090" spans="1:16" x14ac:dyDescent="0.35">
      <c r="A1090" t="s">
        <v>86</v>
      </c>
      <c r="B1090">
        <v>1324732735</v>
      </c>
      <c r="C1090" t="s">
        <v>19</v>
      </c>
      <c r="D1090" t="s">
        <v>20</v>
      </c>
      <c r="E1090" s="29">
        <v>46208</v>
      </c>
      <c r="F1090" t="s">
        <v>6</v>
      </c>
      <c r="G1090" s="28">
        <v>0.45277777777777778</v>
      </c>
      <c r="H1090" s="28">
        <v>0.55069444444444449</v>
      </c>
      <c r="I1090">
        <v>2</v>
      </c>
      <c r="J1090" t="s">
        <v>146</v>
      </c>
      <c r="K1090">
        <v>7</v>
      </c>
      <c r="L1090" t="s">
        <v>147</v>
      </c>
      <c r="M1090" t="s">
        <v>3382</v>
      </c>
      <c r="N1090" t="s">
        <v>3386</v>
      </c>
      <c r="O1090" t="s">
        <v>3387</v>
      </c>
      <c r="P1090" t="s">
        <v>3388</v>
      </c>
    </row>
    <row r="1091" spans="1:16" x14ac:dyDescent="0.35">
      <c r="A1091" t="s">
        <v>86</v>
      </c>
      <c r="B1091">
        <v>1324732735</v>
      </c>
      <c r="C1091" t="s">
        <v>19</v>
      </c>
      <c r="D1091" t="s">
        <v>20</v>
      </c>
      <c r="E1091" s="29">
        <v>46208</v>
      </c>
      <c r="F1091" t="s">
        <v>6</v>
      </c>
      <c r="G1091" s="28">
        <v>0.55694444444444446</v>
      </c>
      <c r="H1091" s="28">
        <v>0.55694444444444446</v>
      </c>
      <c r="I1091">
        <v>0</v>
      </c>
      <c r="J1091" t="s">
        <v>174</v>
      </c>
      <c r="K1091">
        <v>0</v>
      </c>
      <c r="L1091" t="s">
        <v>624</v>
      </c>
      <c r="M1091" t="s">
        <v>3389</v>
      </c>
      <c r="N1091" t="s">
        <v>3390</v>
      </c>
      <c r="O1091" t="s">
        <v>3391</v>
      </c>
      <c r="P1091" t="s">
        <v>3392</v>
      </c>
    </row>
    <row r="1092" spans="1:16" x14ac:dyDescent="0.35">
      <c r="A1092" t="s">
        <v>86</v>
      </c>
      <c r="B1092">
        <v>1324732735</v>
      </c>
      <c r="C1092" t="s">
        <v>19</v>
      </c>
      <c r="D1092" t="s">
        <v>20</v>
      </c>
      <c r="E1092" s="29">
        <v>46208</v>
      </c>
      <c r="F1092" t="s">
        <v>6</v>
      </c>
      <c r="G1092" s="28">
        <v>0.56388888888888888</v>
      </c>
      <c r="H1092" s="28">
        <v>0.56388888888888888</v>
      </c>
      <c r="I1092">
        <v>0</v>
      </c>
      <c r="J1092" t="s">
        <v>174</v>
      </c>
      <c r="K1092">
        <v>0</v>
      </c>
      <c r="L1092" t="s">
        <v>624</v>
      </c>
      <c r="M1092" t="s">
        <v>3382</v>
      </c>
      <c r="N1092" t="s">
        <v>3386</v>
      </c>
      <c r="O1092" t="s">
        <v>3387</v>
      </c>
      <c r="P1092" t="s">
        <v>3388</v>
      </c>
    </row>
    <row r="1093" spans="1:16" x14ac:dyDescent="0.35">
      <c r="A1093" t="s">
        <v>86</v>
      </c>
      <c r="B1093">
        <v>1324732735</v>
      </c>
      <c r="C1093" t="s">
        <v>19</v>
      </c>
      <c r="D1093" t="s">
        <v>20</v>
      </c>
      <c r="E1093" s="29">
        <v>46208</v>
      </c>
      <c r="F1093" t="s">
        <v>6</v>
      </c>
      <c r="G1093" s="28">
        <v>0.5708333333333333</v>
      </c>
      <c r="H1093" s="28">
        <v>0.5708333333333333</v>
      </c>
      <c r="I1093">
        <v>0</v>
      </c>
      <c r="J1093" t="s">
        <v>174</v>
      </c>
      <c r="K1093">
        <v>0</v>
      </c>
      <c r="L1093" t="s">
        <v>3025</v>
      </c>
      <c r="M1093" t="s">
        <v>3389</v>
      </c>
      <c r="N1093" t="s">
        <v>3390</v>
      </c>
      <c r="O1093" t="s">
        <v>3391</v>
      </c>
      <c r="P1093" t="s">
        <v>3392</v>
      </c>
    </row>
    <row r="1094" spans="1:16" x14ac:dyDescent="0.35">
      <c r="A1094" t="s">
        <v>86</v>
      </c>
      <c r="B1094">
        <v>1324732735</v>
      </c>
      <c r="C1094" t="s">
        <v>19</v>
      </c>
      <c r="D1094" t="s">
        <v>20</v>
      </c>
      <c r="E1094" s="29">
        <v>46208</v>
      </c>
      <c r="F1094" t="s">
        <v>6</v>
      </c>
      <c r="G1094" s="28">
        <v>0.57777777777777772</v>
      </c>
      <c r="H1094" s="28">
        <v>0.58472222222222225</v>
      </c>
      <c r="I1094">
        <v>0</v>
      </c>
      <c r="J1094" t="s">
        <v>146</v>
      </c>
      <c r="K1094">
        <v>1</v>
      </c>
      <c r="L1094" t="s">
        <v>147</v>
      </c>
      <c r="M1094" t="s">
        <v>3393</v>
      </c>
      <c r="N1094" t="s">
        <v>3394</v>
      </c>
      <c r="O1094" t="s">
        <v>3395</v>
      </c>
      <c r="P1094" t="s">
        <v>3396</v>
      </c>
    </row>
    <row r="1095" spans="1:16" x14ac:dyDescent="0.35">
      <c r="A1095" t="s">
        <v>86</v>
      </c>
      <c r="B1095">
        <v>1324732735</v>
      </c>
      <c r="C1095" t="s">
        <v>19</v>
      </c>
      <c r="D1095" t="s">
        <v>20</v>
      </c>
      <c r="E1095" s="29">
        <v>46208</v>
      </c>
      <c r="F1095" t="s">
        <v>6</v>
      </c>
      <c r="G1095" s="28">
        <v>0.59166666666666667</v>
      </c>
      <c r="H1095" s="28">
        <v>0.59166666666666667</v>
      </c>
      <c r="I1095">
        <v>0</v>
      </c>
      <c r="J1095" t="s">
        <v>174</v>
      </c>
      <c r="K1095">
        <v>0</v>
      </c>
      <c r="L1095" t="s">
        <v>3025</v>
      </c>
      <c r="M1095" t="s">
        <v>3389</v>
      </c>
      <c r="N1095" t="s">
        <v>3390</v>
      </c>
      <c r="O1095" t="s">
        <v>3391</v>
      </c>
      <c r="P1095" t="s">
        <v>3392</v>
      </c>
    </row>
    <row r="1096" spans="1:16" x14ac:dyDescent="0.35">
      <c r="A1096" t="s">
        <v>86</v>
      </c>
      <c r="B1096">
        <v>1324732735</v>
      </c>
      <c r="C1096" t="s">
        <v>19</v>
      </c>
      <c r="D1096" t="s">
        <v>20</v>
      </c>
      <c r="E1096" s="29">
        <v>46208</v>
      </c>
      <c r="F1096" t="s">
        <v>6</v>
      </c>
      <c r="G1096" s="28">
        <v>0.59861111111111109</v>
      </c>
      <c r="H1096" s="28">
        <v>0.60555555555555551</v>
      </c>
      <c r="I1096">
        <v>0</v>
      </c>
      <c r="J1096" t="s">
        <v>146</v>
      </c>
      <c r="K1096">
        <v>0</v>
      </c>
      <c r="L1096" t="s">
        <v>147</v>
      </c>
      <c r="M1096" t="s">
        <v>3393</v>
      </c>
      <c r="N1096" t="s">
        <v>3394</v>
      </c>
      <c r="O1096" t="s">
        <v>3395</v>
      </c>
      <c r="P1096" t="s">
        <v>3396</v>
      </c>
    </row>
    <row r="1097" spans="1:16" x14ac:dyDescent="0.35">
      <c r="A1097" t="s">
        <v>86</v>
      </c>
      <c r="B1097">
        <v>1324732735</v>
      </c>
      <c r="C1097" t="s">
        <v>19</v>
      </c>
      <c r="D1097" t="s">
        <v>20</v>
      </c>
      <c r="E1097" s="29">
        <v>46208</v>
      </c>
      <c r="F1097" t="s">
        <v>6</v>
      </c>
      <c r="G1097" s="28">
        <v>0.61250000000000004</v>
      </c>
      <c r="H1097" s="28">
        <v>0.61250000000000004</v>
      </c>
      <c r="I1097">
        <v>0</v>
      </c>
      <c r="J1097" t="s">
        <v>174</v>
      </c>
      <c r="K1097">
        <v>0</v>
      </c>
      <c r="L1097" t="s">
        <v>624</v>
      </c>
      <c r="M1097" t="s">
        <v>3389</v>
      </c>
      <c r="N1097" t="s">
        <v>3390</v>
      </c>
      <c r="O1097" t="s">
        <v>3391</v>
      </c>
      <c r="P1097" t="s">
        <v>3392</v>
      </c>
    </row>
    <row r="1098" spans="1:16" x14ac:dyDescent="0.35">
      <c r="A1098" t="s">
        <v>86</v>
      </c>
      <c r="B1098">
        <v>1324732735</v>
      </c>
      <c r="C1098" t="s">
        <v>19</v>
      </c>
      <c r="D1098" t="s">
        <v>20</v>
      </c>
      <c r="E1098" s="29">
        <v>46208</v>
      </c>
      <c r="F1098" t="s">
        <v>6</v>
      </c>
      <c r="G1098" s="28">
        <v>0.61944444444444446</v>
      </c>
      <c r="H1098" s="28">
        <v>0.61944444444444446</v>
      </c>
      <c r="I1098">
        <v>0</v>
      </c>
      <c r="J1098" t="s">
        <v>174</v>
      </c>
      <c r="K1098">
        <v>0</v>
      </c>
      <c r="L1098" t="s">
        <v>624</v>
      </c>
      <c r="M1098" t="s">
        <v>3382</v>
      </c>
      <c r="N1098" t="s">
        <v>3386</v>
      </c>
      <c r="O1098" t="s">
        <v>3387</v>
      </c>
      <c r="P1098" t="s">
        <v>3388</v>
      </c>
    </row>
    <row r="1099" spans="1:16" x14ac:dyDescent="0.35">
      <c r="A1099" t="s">
        <v>86</v>
      </c>
      <c r="B1099">
        <v>1324732735</v>
      </c>
      <c r="C1099" t="s">
        <v>19</v>
      </c>
      <c r="D1099" t="s">
        <v>20</v>
      </c>
      <c r="E1099" s="29">
        <v>46208</v>
      </c>
      <c r="F1099" t="s">
        <v>6</v>
      </c>
      <c r="G1099" s="28">
        <v>0.62638888888888888</v>
      </c>
      <c r="H1099" s="28">
        <v>0.62638888888888888</v>
      </c>
      <c r="I1099">
        <v>0</v>
      </c>
      <c r="J1099" t="s">
        <v>174</v>
      </c>
      <c r="K1099">
        <v>0</v>
      </c>
      <c r="L1099" t="s">
        <v>624</v>
      </c>
      <c r="M1099" t="s">
        <v>3389</v>
      </c>
      <c r="N1099" t="s">
        <v>3390</v>
      </c>
      <c r="O1099" t="s">
        <v>3391</v>
      </c>
      <c r="P1099" t="s">
        <v>3392</v>
      </c>
    </row>
    <row r="1100" spans="1:16" x14ac:dyDescent="0.35">
      <c r="A1100" t="s">
        <v>86</v>
      </c>
      <c r="B1100">
        <v>1324732735</v>
      </c>
      <c r="C1100" t="s">
        <v>19</v>
      </c>
      <c r="D1100" t="s">
        <v>20</v>
      </c>
      <c r="E1100" s="29">
        <v>46208</v>
      </c>
      <c r="F1100" t="s">
        <v>6</v>
      </c>
      <c r="G1100" s="28">
        <v>0.6333333333333333</v>
      </c>
      <c r="H1100" s="28">
        <v>0.6333333333333333</v>
      </c>
      <c r="I1100">
        <v>0</v>
      </c>
      <c r="J1100" t="s">
        <v>174</v>
      </c>
      <c r="K1100">
        <v>0</v>
      </c>
      <c r="L1100" t="s">
        <v>624</v>
      </c>
      <c r="M1100" t="s">
        <v>3382</v>
      </c>
      <c r="N1100" t="s">
        <v>3386</v>
      </c>
      <c r="O1100" t="s">
        <v>3387</v>
      </c>
      <c r="P1100" t="s">
        <v>3388</v>
      </c>
    </row>
    <row r="1101" spans="1:16" x14ac:dyDescent="0.35">
      <c r="A1101" t="s">
        <v>86</v>
      </c>
      <c r="B1101">
        <v>1324732735</v>
      </c>
      <c r="C1101" t="s">
        <v>19</v>
      </c>
      <c r="D1101" t="s">
        <v>20</v>
      </c>
      <c r="E1101" s="29">
        <v>46208</v>
      </c>
      <c r="F1101" t="s">
        <v>6</v>
      </c>
      <c r="G1101" s="28">
        <v>0.64027777777777772</v>
      </c>
      <c r="H1101" s="28">
        <v>0.64027777777777772</v>
      </c>
      <c r="I1101">
        <v>0</v>
      </c>
      <c r="J1101" t="s">
        <v>174</v>
      </c>
      <c r="K1101">
        <v>0</v>
      </c>
      <c r="L1101" t="s">
        <v>3025</v>
      </c>
      <c r="M1101" t="s">
        <v>3389</v>
      </c>
      <c r="N1101" t="s">
        <v>3390</v>
      </c>
      <c r="O1101" t="s">
        <v>3391</v>
      </c>
      <c r="P1101" t="s">
        <v>3392</v>
      </c>
    </row>
    <row r="1102" spans="1:16" x14ac:dyDescent="0.35">
      <c r="A1102" t="s">
        <v>86</v>
      </c>
      <c r="B1102">
        <v>1324732735</v>
      </c>
      <c r="C1102" t="s">
        <v>19</v>
      </c>
      <c r="D1102" t="s">
        <v>20</v>
      </c>
      <c r="E1102" s="29">
        <v>46208</v>
      </c>
      <c r="F1102" t="s">
        <v>6</v>
      </c>
      <c r="G1102" s="28">
        <v>0.64722222222222225</v>
      </c>
      <c r="H1102" s="28">
        <v>0.66805555555555551</v>
      </c>
      <c r="I1102">
        <v>0</v>
      </c>
      <c r="J1102" t="s">
        <v>146</v>
      </c>
      <c r="K1102">
        <v>1</v>
      </c>
      <c r="L1102" t="s">
        <v>147</v>
      </c>
      <c r="M1102" t="s">
        <v>3393</v>
      </c>
      <c r="N1102" t="s">
        <v>3394</v>
      </c>
      <c r="O1102" t="s">
        <v>3395</v>
      </c>
      <c r="P1102" t="s">
        <v>3396</v>
      </c>
    </row>
    <row r="1103" spans="1:16" x14ac:dyDescent="0.35">
      <c r="A1103" t="s">
        <v>86</v>
      </c>
      <c r="B1103">
        <v>1324732735</v>
      </c>
      <c r="C1103" t="s">
        <v>19</v>
      </c>
      <c r="D1103" t="s">
        <v>20</v>
      </c>
      <c r="E1103" s="29">
        <v>46208</v>
      </c>
      <c r="F1103" t="s">
        <v>6</v>
      </c>
      <c r="G1103" s="28">
        <v>0.67569444444444449</v>
      </c>
      <c r="H1103" s="28">
        <v>0.71736111111111112</v>
      </c>
      <c r="I1103">
        <v>1</v>
      </c>
      <c r="J1103" t="s">
        <v>146</v>
      </c>
      <c r="K1103">
        <v>3</v>
      </c>
      <c r="L1103" t="s">
        <v>147</v>
      </c>
      <c r="M1103" t="s">
        <v>3382</v>
      </c>
      <c r="N1103" t="s">
        <v>3386</v>
      </c>
      <c r="O1103" t="s">
        <v>3387</v>
      </c>
      <c r="P1103" t="s">
        <v>3388</v>
      </c>
    </row>
    <row r="1104" spans="1:16" x14ac:dyDescent="0.35">
      <c r="A1104" t="s">
        <v>86</v>
      </c>
      <c r="B1104">
        <v>1324732735</v>
      </c>
      <c r="C1104" t="s">
        <v>19</v>
      </c>
      <c r="D1104" t="s">
        <v>20</v>
      </c>
      <c r="E1104" s="29">
        <v>46208</v>
      </c>
      <c r="F1104" t="s">
        <v>6</v>
      </c>
      <c r="G1104" s="28">
        <v>0.72361111111111109</v>
      </c>
      <c r="H1104" s="28">
        <v>0.73055555555555551</v>
      </c>
      <c r="I1104">
        <v>0</v>
      </c>
      <c r="J1104" t="s">
        <v>146</v>
      </c>
      <c r="K1104">
        <v>0</v>
      </c>
      <c r="L1104" t="s">
        <v>147</v>
      </c>
      <c r="M1104" t="s">
        <v>3389</v>
      </c>
      <c r="N1104" t="s">
        <v>3390</v>
      </c>
      <c r="O1104" t="s">
        <v>3391</v>
      </c>
      <c r="P1104" t="s">
        <v>3392</v>
      </c>
    </row>
    <row r="1105" spans="1:16" x14ac:dyDescent="0.35">
      <c r="A1105" t="s">
        <v>86</v>
      </c>
      <c r="B1105">
        <v>1324732735</v>
      </c>
      <c r="C1105" t="s">
        <v>19</v>
      </c>
      <c r="D1105" t="s">
        <v>20</v>
      </c>
      <c r="E1105" s="29">
        <v>46208</v>
      </c>
      <c r="F1105" t="s">
        <v>6</v>
      </c>
      <c r="G1105" s="28">
        <v>0.73750000000000004</v>
      </c>
      <c r="H1105" s="28">
        <v>0.75</v>
      </c>
      <c r="I1105">
        <v>0</v>
      </c>
      <c r="J1105" t="s">
        <v>146</v>
      </c>
      <c r="K1105">
        <v>1</v>
      </c>
      <c r="L1105" t="s">
        <v>147</v>
      </c>
      <c r="M1105" t="s">
        <v>3382</v>
      </c>
      <c r="N1105" t="s">
        <v>3386</v>
      </c>
      <c r="O1105" t="s">
        <v>3387</v>
      </c>
      <c r="P1105" t="s">
        <v>3388</v>
      </c>
    </row>
    <row r="1106" spans="1:16" x14ac:dyDescent="0.35">
      <c r="A1106" t="s">
        <v>86</v>
      </c>
      <c r="B1106">
        <v>1324732735</v>
      </c>
      <c r="C1106" t="s">
        <v>19</v>
      </c>
      <c r="D1106" t="s">
        <v>20</v>
      </c>
      <c r="E1106" s="29">
        <v>46208</v>
      </c>
      <c r="F1106" t="s">
        <v>6</v>
      </c>
      <c r="G1106" s="28">
        <v>0.7583333333333333</v>
      </c>
      <c r="H1106" s="28">
        <v>0.7583333333333333</v>
      </c>
      <c r="I1106">
        <v>0</v>
      </c>
      <c r="J1106" t="s">
        <v>174</v>
      </c>
      <c r="K1106">
        <v>0</v>
      </c>
      <c r="L1106" t="s">
        <v>3025</v>
      </c>
      <c r="M1106" t="s">
        <v>3389</v>
      </c>
      <c r="N1106" t="s">
        <v>3390</v>
      </c>
      <c r="O1106" t="s">
        <v>3391</v>
      </c>
      <c r="P1106" t="s">
        <v>3392</v>
      </c>
    </row>
    <row r="1107" spans="1:16" x14ac:dyDescent="0.35">
      <c r="A1107" t="s">
        <v>86</v>
      </c>
      <c r="B1107">
        <v>1324732735</v>
      </c>
      <c r="C1107" t="s">
        <v>19</v>
      </c>
      <c r="D1107" t="s">
        <v>20</v>
      </c>
      <c r="E1107" s="29">
        <v>46208</v>
      </c>
      <c r="F1107" t="s">
        <v>6</v>
      </c>
      <c r="G1107" s="28">
        <v>0.76527777777777772</v>
      </c>
      <c r="H1107" s="28">
        <v>0.76527777777777772</v>
      </c>
      <c r="I1107">
        <v>0</v>
      </c>
      <c r="J1107" t="s">
        <v>174</v>
      </c>
      <c r="K1107">
        <v>0</v>
      </c>
      <c r="L1107" t="s">
        <v>1022</v>
      </c>
      <c r="M1107" t="s">
        <v>3393</v>
      </c>
      <c r="N1107" t="s">
        <v>3394</v>
      </c>
      <c r="O1107" t="s">
        <v>3395</v>
      </c>
      <c r="P1107" t="s">
        <v>3396</v>
      </c>
    </row>
    <row r="1108" spans="1:16" x14ac:dyDescent="0.35">
      <c r="A1108" t="s">
        <v>86</v>
      </c>
      <c r="B1108">
        <v>1324732735</v>
      </c>
      <c r="C1108" t="s">
        <v>19</v>
      </c>
      <c r="D1108" t="s">
        <v>20</v>
      </c>
      <c r="E1108" s="29">
        <v>46208</v>
      </c>
      <c r="F1108" t="s">
        <v>6</v>
      </c>
      <c r="G1108" s="28">
        <v>0.7680555555555556</v>
      </c>
      <c r="H1108" s="28">
        <v>0.77361111111111114</v>
      </c>
      <c r="I1108">
        <v>0</v>
      </c>
      <c r="J1108" t="s">
        <v>146</v>
      </c>
      <c r="K1108">
        <v>0</v>
      </c>
      <c r="L1108" t="s">
        <v>147</v>
      </c>
      <c r="M1108" t="s">
        <v>3397</v>
      </c>
      <c r="N1108" t="s">
        <v>3398</v>
      </c>
      <c r="O1108" t="s">
        <v>3399</v>
      </c>
      <c r="P1108" t="s">
        <v>3400</v>
      </c>
    </row>
    <row r="1109" spans="1:16" x14ac:dyDescent="0.35">
      <c r="A1109" t="s">
        <v>86</v>
      </c>
      <c r="B1109">
        <v>1324732735</v>
      </c>
      <c r="C1109" t="s">
        <v>19</v>
      </c>
      <c r="D1109" t="s">
        <v>20</v>
      </c>
      <c r="E1109" s="29">
        <v>46208</v>
      </c>
      <c r="F1109" t="s">
        <v>6</v>
      </c>
      <c r="G1109" s="28">
        <v>0.78611111111111109</v>
      </c>
      <c r="H1109" s="28">
        <v>0.8</v>
      </c>
      <c r="I1109">
        <v>0</v>
      </c>
      <c r="J1109" t="s">
        <v>146</v>
      </c>
      <c r="K1109">
        <v>1</v>
      </c>
      <c r="L1109" t="s">
        <v>147</v>
      </c>
      <c r="M1109" t="s">
        <v>3382</v>
      </c>
      <c r="N1109" t="s">
        <v>3386</v>
      </c>
      <c r="O1109" t="s">
        <v>3387</v>
      </c>
      <c r="P1109" t="s">
        <v>3388</v>
      </c>
    </row>
    <row r="1110" spans="1:16" x14ac:dyDescent="0.35">
      <c r="A1110" t="s">
        <v>85</v>
      </c>
      <c r="B1110">
        <v>1324732630</v>
      </c>
      <c r="C1110" t="s">
        <v>19</v>
      </c>
      <c r="D1110" t="s">
        <v>20</v>
      </c>
      <c r="E1110" s="29">
        <v>46204</v>
      </c>
      <c r="F1110" t="s">
        <v>3</v>
      </c>
      <c r="G1110" s="28">
        <v>0.39166666666666666</v>
      </c>
      <c r="H1110" s="28">
        <v>0.39166666666666666</v>
      </c>
      <c r="I1110">
        <v>0</v>
      </c>
      <c r="J1110" t="s">
        <v>174</v>
      </c>
      <c r="K1110">
        <v>0</v>
      </c>
      <c r="L1110" t="s">
        <v>3401</v>
      </c>
      <c r="M1110" t="s">
        <v>3402</v>
      </c>
      <c r="N1110" t="s">
        <v>3403</v>
      </c>
      <c r="O1110" t="s">
        <v>3404</v>
      </c>
      <c r="P1110" t="s">
        <v>3405</v>
      </c>
    </row>
    <row r="1111" spans="1:16" x14ac:dyDescent="0.35">
      <c r="A1111" t="s">
        <v>85</v>
      </c>
      <c r="B1111">
        <v>1324732630</v>
      </c>
      <c r="C1111" t="s">
        <v>19</v>
      </c>
      <c r="D1111" t="s">
        <v>20</v>
      </c>
      <c r="E1111" s="29">
        <v>46204</v>
      </c>
      <c r="F1111" t="s">
        <v>3</v>
      </c>
      <c r="G1111" s="28">
        <v>0.39791666666666664</v>
      </c>
      <c r="H1111" s="28">
        <v>0.43958333333333333</v>
      </c>
      <c r="I1111">
        <v>1</v>
      </c>
      <c r="J1111" t="s">
        <v>146</v>
      </c>
      <c r="K1111">
        <v>3</v>
      </c>
      <c r="L1111" t="s">
        <v>147</v>
      </c>
      <c r="M1111" t="s">
        <v>3406</v>
      </c>
      <c r="N1111" t="s">
        <v>3407</v>
      </c>
      <c r="O1111" t="s">
        <v>3408</v>
      </c>
      <c r="P1111" t="s">
        <v>3409</v>
      </c>
    </row>
    <row r="1112" spans="1:16" x14ac:dyDescent="0.35">
      <c r="A1112" t="s">
        <v>85</v>
      </c>
      <c r="B1112">
        <v>1324732630</v>
      </c>
      <c r="C1112" t="s">
        <v>19</v>
      </c>
      <c r="D1112" t="s">
        <v>20</v>
      </c>
      <c r="E1112" s="29">
        <v>46204</v>
      </c>
      <c r="F1112" t="s">
        <v>3</v>
      </c>
      <c r="G1112" s="28">
        <v>0.44722222222222224</v>
      </c>
      <c r="H1112" s="28">
        <v>0.44722222222222224</v>
      </c>
      <c r="I1112">
        <v>0</v>
      </c>
      <c r="J1112" t="s">
        <v>174</v>
      </c>
      <c r="K1112">
        <v>0</v>
      </c>
      <c r="L1112" t="s">
        <v>3401</v>
      </c>
      <c r="M1112" t="s">
        <v>3402</v>
      </c>
      <c r="N1112" t="s">
        <v>3403</v>
      </c>
      <c r="O1112" t="s">
        <v>3404</v>
      </c>
      <c r="P1112" t="s">
        <v>3405</v>
      </c>
    </row>
    <row r="1113" spans="1:16" x14ac:dyDescent="0.35">
      <c r="A1113" t="s">
        <v>85</v>
      </c>
      <c r="B1113">
        <v>1324732630</v>
      </c>
      <c r="C1113" t="s">
        <v>19</v>
      </c>
      <c r="D1113" t="s">
        <v>20</v>
      </c>
      <c r="E1113" s="29">
        <v>46204</v>
      </c>
      <c r="F1113" t="s">
        <v>3</v>
      </c>
      <c r="G1113" s="28">
        <v>0.45347222222222222</v>
      </c>
      <c r="H1113" s="28">
        <v>0.48819444444444443</v>
      </c>
      <c r="I1113">
        <v>1</v>
      </c>
      <c r="J1113" t="s">
        <v>146</v>
      </c>
      <c r="K1113">
        <v>2</v>
      </c>
      <c r="L1113" t="s">
        <v>147</v>
      </c>
      <c r="M1113" t="s">
        <v>3406</v>
      </c>
      <c r="N1113" t="s">
        <v>3407</v>
      </c>
      <c r="O1113" t="s">
        <v>3408</v>
      </c>
      <c r="P1113" t="s">
        <v>3409</v>
      </c>
    </row>
    <row r="1114" spans="1:16" x14ac:dyDescent="0.35">
      <c r="A1114" t="s">
        <v>85</v>
      </c>
      <c r="B1114">
        <v>1324732630</v>
      </c>
      <c r="C1114" t="s">
        <v>19</v>
      </c>
      <c r="D1114" t="s">
        <v>20</v>
      </c>
      <c r="E1114" s="29">
        <v>46204</v>
      </c>
      <c r="F1114" t="s">
        <v>3</v>
      </c>
      <c r="G1114" s="28">
        <v>0.49583333333333335</v>
      </c>
      <c r="H1114" s="28">
        <v>0.49583333333333335</v>
      </c>
      <c r="I1114">
        <v>0</v>
      </c>
      <c r="J1114" t="s">
        <v>174</v>
      </c>
      <c r="K1114">
        <v>0</v>
      </c>
      <c r="L1114" t="s">
        <v>3401</v>
      </c>
      <c r="M1114" t="s">
        <v>3402</v>
      </c>
      <c r="N1114" t="s">
        <v>3403</v>
      </c>
      <c r="O1114" t="s">
        <v>3404</v>
      </c>
      <c r="P1114" t="s">
        <v>3405</v>
      </c>
    </row>
    <row r="1115" spans="1:16" x14ac:dyDescent="0.35">
      <c r="A1115" t="s">
        <v>85</v>
      </c>
      <c r="B1115">
        <v>1324732630</v>
      </c>
      <c r="C1115" t="s">
        <v>19</v>
      </c>
      <c r="D1115" t="s">
        <v>20</v>
      </c>
      <c r="E1115" s="29">
        <v>46204</v>
      </c>
      <c r="F1115" t="s">
        <v>3</v>
      </c>
      <c r="G1115" s="28">
        <v>0.50208333333333333</v>
      </c>
      <c r="H1115" s="28">
        <v>0.52986111111111112</v>
      </c>
      <c r="I1115">
        <v>1</v>
      </c>
      <c r="J1115" t="s">
        <v>146</v>
      </c>
      <c r="K1115">
        <v>2</v>
      </c>
      <c r="L1115" t="s">
        <v>147</v>
      </c>
      <c r="M1115" t="s">
        <v>3406</v>
      </c>
      <c r="N1115" t="s">
        <v>3407</v>
      </c>
      <c r="O1115" t="s">
        <v>3408</v>
      </c>
      <c r="P1115" t="s">
        <v>3409</v>
      </c>
    </row>
    <row r="1116" spans="1:16" x14ac:dyDescent="0.35">
      <c r="A1116" t="s">
        <v>85</v>
      </c>
      <c r="B1116">
        <v>1324732630</v>
      </c>
      <c r="C1116" t="s">
        <v>19</v>
      </c>
      <c r="D1116" t="s">
        <v>20</v>
      </c>
      <c r="E1116" s="29">
        <v>46204</v>
      </c>
      <c r="F1116" t="s">
        <v>3</v>
      </c>
      <c r="G1116" s="28">
        <v>0.53680555555555554</v>
      </c>
      <c r="H1116" s="28">
        <v>0.53680555555555554</v>
      </c>
      <c r="I1116">
        <v>0</v>
      </c>
      <c r="J1116" t="s">
        <v>174</v>
      </c>
      <c r="K1116">
        <v>0</v>
      </c>
      <c r="L1116" t="s">
        <v>2218</v>
      </c>
      <c r="M1116" t="s">
        <v>3410</v>
      </c>
      <c r="N1116" t="s">
        <v>3411</v>
      </c>
      <c r="O1116" t="s">
        <v>3412</v>
      </c>
      <c r="P1116" t="s">
        <v>3413</v>
      </c>
    </row>
    <row r="1117" spans="1:16" x14ac:dyDescent="0.35">
      <c r="A1117" t="s">
        <v>85</v>
      </c>
      <c r="B1117">
        <v>1324732630</v>
      </c>
      <c r="C1117" t="s">
        <v>19</v>
      </c>
      <c r="D1117" t="s">
        <v>20</v>
      </c>
      <c r="E1117" s="29">
        <v>46204</v>
      </c>
      <c r="F1117" t="s">
        <v>3</v>
      </c>
      <c r="G1117" s="28">
        <v>0.54374999999999996</v>
      </c>
      <c r="H1117" s="28">
        <v>0.55763888888888891</v>
      </c>
      <c r="I1117">
        <v>0</v>
      </c>
      <c r="J1117" t="s">
        <v>146</v>
      </c>
      <c r="K1117">
        <v>1</v>
      </c>
      <c r="L1117" t="s">
        <v>147</v>
      </c>
      <c r="M1117" t="s">
        <v>3406</v>
      </c>
      <c r="N1117" t="s">
        <v>3407</v>
      </c>
      <c r="O1117" t="s">
        <v>3408</v>
      </c>
      <c r="P1117" t="s">
        <v>3409</v>
      </c>
    </row>
    <row r="1118" spans="1:16" x14ac:dyDescent="0.35">
      <c r="A1118" t="s">
        <v>85</v>
      </c>
      <c r="B1118">
        <v>1324732630</v>
      </c>
      <c r="C1118" t="s">
        <v>19</v>
      </c>
      <c r="D1118" t="s">
        <v>20</v>
      </c>
      <c r="E1118" s="29">
        <v>46204</v>
      </c>
      <c r="F1118" t="s">
        <v>3</v>
      </c>
      <c r="G1118" s="28">
        <v>0.56527777777777777</v>
      </c>
      <c r="H1118" s="28">
        <v>0.56527777777777777</v>
      </c>
      <c r="I1118">
        <v>0</v>
      </c>
      <c r="J1118" t="s">
        <v>174</v>
      </c>
      <c r="K1118">
        <v>0</v>
      </c>
      <c r="L1118" t="s">
        <v>3401</v>
      </c>
      <c r="M1118" t="s">
        <v>3402</v>
      </c>
      <c r="N1118" t="s">
        <v>3403</v>
      </c>
      <c r="O1118" t="s">
        <v>3404</v>
      </c>
      <c r="P1118" t="s">
        <v>3405</v>
      </c>
    </row>
    <row r="1119" spans="1:16" x14ac:dyDescent="0.35">
      <c r="A1119" t="s">
        <v>85</v>
      </c>
      <c r="B1119">
        <v>1324732630</v>
      </c>
      <c r="C1119" t="s">
        <v>19</v>
      </c>
      <c r="D1119" t="s">
        <v>20</v>
      </c>
      <c r="E1119" s="29">
        <v>46204</v>
      </c>
      <c r="F1119" t="s">
        <v>3</v>
      </c>
      <c r="G1119" s="28">
        <v>0.57152777777777775</v>
      </c>
      <c r="H1119" s="28">
        <v>0.5854166666666667</v>
      </c>
      <c r="I1119">
        <v>0</v>
      </c>
      <c r="J1119" t="s">
        <v>146</v>
      </c>
      <c r="K1119">
        <v>1</v>
      </c>
      <c r="L1119" t="s">
        <v>147</v>
      </c>
      <c r="M1119" t="s">
        <v>3406</v>
      </c>
      <c r="N1119" t="s">
        <v>3407</v>
      </c>
      <c r="O1119" t="s">
        <v>3408</v>
      </c>
      <c r="P1119" t="s">
        <v>3409</v>
      </c>
    </row>
    <row r="1120" spans="1:16" x14ac:dyDescent="0.35">
      <c r="A1120" t="s">
        <v>85</v>
      </c>
      <c r="B1120">
        <v>1324732630</v>
      </c>
      <c r="C1120" t="s">
        <v>19</v>
      </c>
      <c r="D1120" t="s">
        <v>20</v>
      </c>
      <c r="E1120" s="29">
        <v>46204</v>
      </c>
      <c r="F1120" t="s">
        <v>3</v>
      </c>
      <c r="G1120" s="28">
        <v>0.59305555555555556</v>
      </c>
      <c r="H1120" s="28">
        <v>0.59305555555555556</v>
      </c>
      <c r="I1120">
        <v>0</v>
      </c>
      <c r="J1120" t="s">
        <v>174</v>
      </c>
      <c r="K1120">
        <v>0</v>
      </c>
      <c r="L1120" t="s">
        <v>3401</v>
      </c>
      <c r="M1120" t="s">
        <v>3402</v>
      </c>
      <c r="N1120" t="s">
        <v>3403</v>
      </c>
      <c r="O1120" t="s">
        <v>3404</v>
      </c>
      <c r="P1120" t="s">
        <v>3405</v>
      </c>
    </row>
    <row r="1121" spans="1:16" x14ac:dyDescent="0.35">
      <c r="A1121" t="s">
        <v>85</v>
      </c>
      <c r="B1121">
        <v>1324732630</v>
      </c>
      <c r="C1121" t="s">
        <v>19</v>
      </c>
      <c r="D1121" t="s">
        <v>20</v>
      </c>
      <c r="E1121" s="29">
        <v>46204</v>
      </c>
      <c r="F1121" t="s">
        <v>3</v>
      </c>
      <c r="G1121" s="28">
        <v>0.59930555555555554</v>
      </c>
      <c r="H1121" s="28">
        <v>0.61319444444444449</v>
      </c>
      <c r="I1121">
        <v>0</v>
      </c>
      <c r="J1121" t="s">
        <v>146</v>
      </c>
      <c r="K1121">
        <v>1</v>
      </c>
      <c r="L1121" t="s">
        <v>147</v>
      </c>
      <c r="M1121" t="s">
        <v>3406</v>
      </c>
      <c r="N1121" t="s">
        <v>3407</v>
      </c>
      <c r="O1121" t="s">
        <v>3408</v>
      </c>
      <c r="P1121" t="s">
        <v>3409</v>
      </c>
    </row>
    <row r="1122" spans="1:16" x14ac:dyDescent="0.35">
      <c r="A1122" t="s">
        <v>85</v>
      </c>
      <c r="B1122">
        <v>1324732630</v>
      </c>
      <c r="C1122" t="s">
        <v>19</v>
      </c>
      <c r="D1122" t="s">
        <v>20</v>
      </c>
      <c r="E1122" s="29">
        <v>46204</v>
      </c>
      <c r="F1122" t="s">
        <v>3</v>
      </c>
      <c r="G1122" s="28">
        <v>0.62083333333333335</v>
      </c>
      <c r="H1122" s="28">
        <v>0.62083333333333335</v>
      </c>
      <c r="I1122">
        <v>0</v>
      </c>
      <c r="J1122" t="s">
        <v>174</v>
      </c>
      <c r="K1122">
        <v>0</v>
      </c>
      <c r="L1122" t="s">
        <v>3401</v>
      </c>
      <c r="M1122" t="s">
        <v>3402</v>
      </c>
      <c r="N1122" t="s">
        <v>3403</v>
      </c>
      <c r="O1122" t="s">
        <v>3404</v>
      </c>
      <c r="P1122" t="s">
        <v>3405</v>
      </c>
    </row>
    <row r="1123" spans="1:16" x14ac:dyDescent="0.35">
      <c r="A1123" t="s">
        <v>85</v>
      </c>
      <c r="B1123">
        <v>1324732630</v>
      </c>
      <c r="C1123" t="s">
        <v>19</v>
      </c>
      <c r="D1123" t="s">
        <v>20</v>
      </c>
      <c r="E1123" s="29">
        <v>46204</v>
      </c>
      <c r="F1123" t="s">
        <v>3</v>
      </c>
      <c r="G1123" s="28">
        <v>0.62708333333333333</v>
      </c>
      <c r="H1123" s="28">
        <v>0.63402777777777775</v>
      </c>
      <c r="I1123">
        <v>0</v>
      </c>
      <c r="J1123" t="s">
        <v>146</v>
      </c>
      <c r="K1123">
        <v>0</v>
      </c>
      <c r="L1123" t="s">
        <v>147</v>
      </c>
      <c r="M1123" t="s">
        <v>3406</v>
      </c>
      <c r="N1123" t="s">
        <v>3407</v>
      </c>
      <c r="O1123" t="s">
        <v>3408</v>
      </c>
      <c r="P1123" t="s">
        <v>3409</v>
      </c>
    </row>
    <row r="1124" spans="1:16" x14ac:dyDescent="0.35">
      <c r="A1124" t="s">
        <v>85</v>
      </c>
      <c r="B1124">
        <v>1324732630</v>
      </c>
      <c r="C1124" t="s">
        <v>19</v>
      </c>
      <c r="D1124" t="s">
        <v>20</v>
      </c>
      <c r="E1124" s="29">
        <v>46204</v>
      </c>
      <c r="F1124" t="s">
        <v>3</v>
      </c>
      <c r="G1124" s="28">
        <v>0.64166666666666672</v>
      </c>
      <c r="H1124" s="28">
        <v>0.64166666666666672</v>
      </c>
      <c r="I1124">
        <v>0</v>
      </c>
      <c r="J1124" t="s">
        <v>174</v>
      </c>
      <c r="K1124">
        <v>0</v>
      </c>
      <c r="L1124" t="s">
        <v>3401</v>
      </c>
      <c r="M1124" t="s">
        <v>3402</v>
      </c>
      <c r="N1124" t="s">
        <v>3403</v>
      </c>
      <c r="O1124" t="s">
        <v>3404</v>
      </c>
      <c r="P1124" t="s">
        <v>3405</v>
      </c>
    </row>
    <row r="1125" spans="1:16" x14ac:dyDescent="0.35">
      <c r="A1125" t="s">
        <v>85</v>
      </c>
      <c r="B1125">
        <v>1324732630</v>
      </c>
      <c r="C1125" t="s">
        <v>19</v>
      </c>
      <c r="D1125" t="s">
        <v>20</v>
      </c>
      <c r="E1125" s="29">
        <v>46204</v>
      </c>
      <c r="F1125" t="s">
        <v>3</v>
      </c>
      <c r="G1125" s="28">
        <v>0.6479166666666667</v>
      </c>
      <c r="H1125" s="28">
        <v>0.65486111111111112</v>
      </c>
      <c r="I1125">
        <v>0</v>
      </c>
      <c r="J1125" t="s">
        <v>146</v>
      </c>
      <c r="K1125">
        <v>0</v>
      </c>
      <c r="L1125" t="s">
        <v>147</v>
      </c>
      <c r="M1125" t="s">
        <v>3406</v>
      </c>
      <c r="N1125" t="s">
        <v>3407</v>
      </c>
      <c r="O1125" t="s">
        <v>3408</v>
      </c>
      <c r="P1125" t="s">
        <v>3409</v>
      </c>
    </row>
    <row r="1126" spans="1:16" x14ac:dyDescent="0.35">
      <c r="A1126" t="s">
        <v>85</v>
      </c>
      <c r="B1126">
        <v>1324732630</v>
      </c>
      <c r="C1126" t="s">
        <v>19</v>
      </c>
      <c r="D1126" t="s">
        <v>20</v>
      </c>
      <c r="E1126" s="29">
        <v>46204</v>
      </c>
      <c r="F1126" t="s">
        <v>3</v>
      </c>
      <c r="G1126" s="28">
        <v>0.66249999999999998</v>
      </c>
      <c r="H1126" s="28">
        <v>0.66249999999999998</v>
      </c>
      <c r="I1126">
        <v>0</v>
      </c>
      <c r="J1126" t="s">
        <v>174</v>
      </c>
      <c r="K1126">
        <v>0</v>
      </c>
      <c r="L1126" t="s">
        <v>3401</v>
      </c>
      <c r="M1126" t="s">
        <v>3402</v>
      </c>
      <c r="N1126" t="s">
        <v>3403</v>
      </c>
      <c r="O1126" t="s">
        <v>3404</v>
      </c>
      <c r="P1126" t="s">
        <v>3405</v>
      </c>
    </row>
    <row r="1127" spans="1:16" x14ac:dyDescent="0.35">
      <c r="A1127" t="s">
        <v>85</v>
      </c>
      <c r="B1127">
        <v>1324732630</v>
      </c>
      <c r="C1127" t="s">
        <v>19</v>
      </c>
      <c r="D1127" t="s">
        <v>20</v>
      </c>
      <c r="E1127" s="29">
        <v>46204</v>
      </c>
      <c r="F1127" t="s">
        <v>3</v>
      </c>
      <c r="G1127" s="28">
        <v>0.66874999999999996</v>
      </c>
      <c r="H1127" s="28">
        <v>0.66874999999999996</v>
      </c>
      <c r="I1127">
        <v>0</v>
      </c>
      <c r="J1127" t="s">
        <v>174</v>
      </c>
      <c r="K1127">
        <v>0</v>
      </c>
      <c r="L1127" t="s">
        <v>3401</v>
      </c>
      <c r="M1127" t="s">
        <v>3406</v>
      </c>
      <c r="N1127" t="s">
        <v>3407</v>
      </c>
      <c r="O1127" t="s">
        <v>3408</v>
      </c>
      <c r="P1127" t="s">
        <v>3409</v>
      </c>
    </row>
    <row r="1128" spans="1:16" x14ac:dyDescent="0.35">
      <c r="A1128" t="s">
        <v>85</v>
      </c>
      <c r="B1128">
        <v>1324732630</v>
      </c>
      <c r="C1128" t="s">
        <v>19</v>
      </c>
      <c r="D1128" t="s">
        <v>20</v>
      </c>
      <c r="E1128" s="29">
        <v>46204</v>
      </c>
      <c r="F1128" t="s">
        <v>3</v>
      </c>
      <c r="G1128" s="28">
        <v>0.67638888888888893</v>
      </c>
      <c r="H1128" s="28">
        <v>0.67638888888888893</v>
      </c>
      <c r="I1128">
        <v>0</v>
      </c>
      <c r="J1128" t="s">
        <v>174</v>
      </c>
      <c r="K1128">
        <v>0</v>
      </c>
      <c r="L1128" t="s">
        <v>3414</v>
      </c>
      <c r="M1128" t="s">
        <v>3402</v>
      </c>
      <c r="N1128" t="s">
        <v>3403</v>
      </c>
      <c r="O1128" t="s">
        <v>3404</v>
      </c>
      <c r="P1128" t="s">
        <v>3405</v>
      </c>
    </row>
    <row r="1129" spans="1:16" x14ac:dyDescent="0.35">
      <c r="A1129" t="s">
        <v>85</v>
      </c>
      <c r="B1129">
        <v>1324732630</v>
      </c>
      <c r="C1129" t="s">
        <v>19</v>
      </c>
      <c r="D1129" t="s">
        <v>20</v>
      </c>
      <c r="E1129" s="29">
        <v>46204</v>
      </c>
      <c r="F1129" t="s">
        <v>3</v>
      </c>
      <c r="G1129" s="28">
        <v>0.68263888888888891</v>
      </c>
      <c r="H1129" s="28">
        <v>0.68263888888888891</v>
      </c>
      <c r="I1129">
        <v>0</v>
      </c>
      <c r="J1129" t="s">
        <v>174</v>
      </c>
      <c r="K1129">
        <v>0</v>
      </c>
      <c r="L1129" t="s">
        <v>3415</v>
      </c>
      <c r="M1129" t="s">
        <v>3416</v>
      </c>
      <c r="N1129" t="s">
        <v>3417</v>
      </c>
      <c r="O1129" t="s">
        <v>3418</v>
      </c>
      <c r="P1129" t="s">
        <v>3419</v>
      </c>
    </row>
    <row r="1130" spans="1:16" x14ac:dyDescent="0.35">
      <c r="A1130" t="s">
        <v>85</v>
      </c>
      <c r="B1130">
        <v>1324732630</v>
      </c>
      <c r="C1130" t="s">
        <v>19</v>
      </c>
      <c r="D1130" t="s">
        <v>20</v>
      </c>
      <c r="E1130" s="29">
        <v>46204</v>
      </c>
      <c r="F1130" t="s">
        <v>3</v>
      </c>
      <c r="G1130" s="28">
        <v>0.68958333333333333</v>
      </c>
      <c r="H1130" s="28">
        <v>0.68958333333333333</v>
      </c>
      <c r="I1130">
        <v>0</v>
      </c>
      <c r="J1130" t="s">
        <v>174</v>
      </c>
      <c r="K1130">
        <v>0</v>
      </c>
      <c r="L1130" t="s">
        <v>3420</v>
      </c>
      <c r="M1130" t="s">
        <v>345</v>
      </c>
      <c r="N1130" t="s">
        <v>346</v>
      </c>
      <c r="O1130" t="s">
        <v>347</v>
      </c>
      <c r="P1130" t="s">
        <v>3421</v>
      </c>
    </row>
    <row r="1131" spans="1:16" x14ac:dyDescent="0.35">
      <c r="A1131" t="s">
        <v>85</v>
      </c>
      <c r="B1131">
        <v>1324732630</v>
      </c>
      <c r="C1131" t="s">
        <v>19</v>
      </c>
      <c r="D1131" t="s">
        <v>20</v>
      </c>
      <c r="E1131" s="29">
        <v>46204</v>
      </c>
      <c r="F1131" t="s">
        <v>3</v>
      </c>
      <c r="G1131" s="28">
        <v>0.69652777777777775</v>
      </c>
      <c r="H1131" s="28">
        <v>0.69652777777777775</v>
      </c>
      <c r="I1131">
        <v>0</v>
      </c>
      <c r="J1131" t="s">
        <v>174</v>
      </c>
      <c r="K1131">
        <v>0</v>
      </c>
      <c r="L1131" t="s">
        <v>369</v>
      </c>
      <c r="M1131" t="s">
        <v>3422</v>
      </c>
      <c r="N1131" t="s">
        <v>3423</v>
      </c>
      <c r="O1131" t="s">
        <v>3424</v>
      </c>
      <c r="P1131" t="s">
        <v>3425</v>
      </c>
    </row>
    <row r="1132" spans="1:16" x14ac:dyDescent="0.35">
      <c r="A1132" t="s">
        <v>85</v>
      </c>
      <c r="B1132">
        <v>1324732630</v>
      </c>
      <c r="C1132" t="s">
        <v>19</v>
      </c>
      <c r="D1132" t="s">
        <v>20</v>
      </c>
      <c r="E1132" s="29">
        <v>46204</v>
      </c>
      <c r="F1132" t="s">
        <v>3</v>
      </c>
      <c r="G1132" s="28">
        <v>0.70347222222222228</v>
      </c>
      <c r="H1132" s="28">
        <v>0.70347222222222228</v>
      </c>
      <c r="I1132">
        <v>0</v>
      </c>
      <c r="J1132" t="s">
        <v>174</v>
      </c>
      <c r="K1132">
        <v>0</v>
      </c>
      <c r="L1132" t="s">
        <v>3426</v>
      </c>
      <c r="M1132" t="s">
        <v>3427</v>
      </c>
      <c r="N1132" t="s">
        <v>3428</v>
      </c>
      <c r="O1132" t="s">
        <v>3429</v>
      </c>
      <c r="P1132" t="s">
        <v>3430</v>
      </c>
    </row>
    <row r="1133" spans="1:16" x14ac:dyDescent="0.35">
      <c r="A1133" t="s">
        <v>85</v>
      </c>
      <c r="B1133">
        <v>1324732630</v>
      </c>
      <c r="C1133" t="s">
        <v>19</v>
      </c>
      <c r="D1133" t="s">
        <v>20</v>
      </c>
      <c r="E1133" s="29">
        <v>46204</v>
      </c>
      <c r="F1133" t="s">
        <v>3</v>
      </c>
      <c r="G1133" s="28">
        <v>0.7104166666666667</v>
      </c>
      <c r="H1133" s="28">
        <v>0.71736111111111112</v>
      </c>
      <c r="I1133">
        <v>0</v>
      </c>
      <c r="J1133" t="s">
        <v>146</v>
      </c>
      <c r="K1133">
        <v>0</v>
      </c>
      <c r="L1133" t="s">
        <v>147</v>
      </c>
      <c r="M1133" t="s">
        <v>3431</v>
      </c>
      <c r="N1133" t="s">
        <v>3432</v>
      </c>
      <c r="O1133" t="s">
        <v>3433</v>
      </c>
      <c r="P1133" t="s">
        <v>3434</v>
      </c>
    </row>
    <row r="1134" spans="1:16" x14ac:dyDescent="0.35">
      <c r="A1134" t="s">
        <v>85</v>
      </c>
      <c r="B1134">
        <v>1324732630</v>
      </c>
      <c r="C1134" t="s">
        <v>19</v>
      </c>
      <c r="D1134" t="s">
        <v>20</v>
      </c>
      <c r="E1134" s="29">
        <v>46204</v>
      </c>
      <c r="F1134" t="s">
        <v>3</v>
      </c>
      <c r="G1134" s="28">
        <v>0.72430555555555554</v>
      </c>
      <c r="H1134" s="28">
        <v>0.72430555555555554</v>
      </c>
      <c r="I1134">
        <v>0</v>
      </c>
      <c r="J1134" t="s">
        <v>174</v>
      </c>
      <c r="K1134">
        <v>0</v>
      </c>
      <c r="L1134" t="s">
        <v>3435</v>
      </c>
      <c r="M1134" t="s">
        <v>218</v>
      </c>
      <c r="N1134" t="s">
        <v>3436</v>
      </c>
      <c r="O1134" t="s">
        <v>3437</v>
      </c>
      <c r="P1134" t="s">
        <v>3438</v>
      </c>
    </row>
    <row r="1135" spans="1:16" x14ac:dyDescent="0.35">
      <c r="A1135" t="s">
        <v>85</v>
      </c>
      <c r="B1135">
        <v>1324732630</v>
      </c>
      <c r="C1135" t="s">
        <v>19</v>
      </c>
      <c r="D1135" t="s">
        <v>20</v>
      </c>
      <c r="E1135" s="29">
        <v>46204</v>
      </c>
      <c r="F1135" t="s">
        <v>3</v>
      </c>
      <c r="G1135" s="28">
        <v>0.73124999999999996</v>
      </c>
      <c r="H1135" s="28">
        <v>0.79374999999999996</v>
      </c>
      <c r="I1135">
        <v>2</v>
      </c>
      <c r="J1135" t="s">
        <v>146</v>
      </c>
      <c r="K1135">
        <v>4</v>
      </c>
      <c r="L1135" t="s">
        <v>147</v>
      </c>
      <c r="M1135" t="s">
        <v>237</v>
      </c>
      <c r="N1135" t="s">
        <v>238</v>
      </c>
      <c r="O1135" t="s">
        <v>239</v>
      </c>
      <c r="P1135" t="s">
        <v>244</v>
      </c>
    </row>
    <row r="1136" spans="1:16" x14ac:dyDescent="0.35">
      <c r="A1136" t="s">
        <v>85</v>
      </c>
      <c r="B1136">
        <v>1324732630</v>
      </c>
      <c r="C1136" t="s">
        <v>19</v>
      </c>
      <c r="D1136" t="s">
        <v>20</v>
      </c>
      <c r="E1136" s="29">
        <v>46205</v>
      </c>
      <c r="F1136" t="s">
        <v>4</v>
      </c>
      <c r="G1136" s="28">
        <v>0.37708333333333333</v>
      </c>
      <c r="H1136" s="28">
        <v>0.3840277777777778</v>
      </c>
      <c r="I1136">
        <v>0</v>
      </c>
      <c r="J1136" t="s">
        <v>146</v>
      </c>
      <c r="K1136">
        <v>1</v>
      </c>
      <c r="L1136" t="s">
        <v>147</v>
      </c>
      <c r="M1136" t="s">
        <v>3406</v>
      </c>
      <c r="N1136" t="s">
        <v>3407</v>
      </c>
      <c r="O1136" t="s">
        <v>3408</v>
      </c>
      <c r="P1136" t="s">
        <v>3409</v>
      </c>
    </row>
    <row r="1137" spans="1:16" x14ac:dyDescent="0.35">
      <c r="A1137" t="s">
        <v>85</v>
      </c>
      <c r="B1137">
        <v>1324732630</v>
      </c>
      <c r="C1137" t="s">
        <v>19</v>
      </c>
      <c r="D1137" t="s">
        <v>20</v>
      </c>
      <c r="E1137" s="29">
        <v>46205</v>
      </c>
      <c r="F1137" t="s">
        <v>4</v>
      </c>
      <c r="G1137" s="28">
        <v>0.39166666666666666</v>
      </c>
      <c r="H1137" s="28">
        <v>0.39861111111111114</v>
      </c>
      <c r="I1137">
        <v>0</v>
      </c>
      <c r="J1137" t="s">
        <v>146</v>
      </c>
      <c r="K1137">
        <v>1</v>
      </c>
      <c r="L1137" t="s">
        <v>147</v>
      </c>
      <c r="M1137" t="s">
        <v>3402</v>
      </c>
      <c r="N1137" t="s">
        <v>3403</v>
      </c>
      <c r="O1137" t="s">
        <v>3404</v>
      </c>
      <c r="P1137" t="s">
        <v>3405</v>
      </c>
    </row>
    <row r="1138" spans="1:16" x14ac:dyDescent="0.35">
      <c r="A1138" t="s">
        <v>85</v>
      </c>
      <c r="B1138">
        <v>1324732630</v>
      </c>
      <c r="C1138" t="s">
        <v>19</v>
      </c>
      <c r="D1138" t="s">
        <v>20</v>
      </c>
      <c r="E1138" s="29">
        <v>46205</v>
      </c>
      <c r="F1138" t="s">
        <v>4</v>
      </c>
      <c r="G1138" s="28">
        <v>0.40486111111111112</v>
      </c>
      <c r="H1138" s="28">
        <v>0.40486111111111112</v>
      </c>
      <c r="I1138">
        <v>0</v>
      </c>
      <c r="J1138" t="s">
        <v>174</v>
      </c>
      <c r="K1138">
        <v>0</v>
      </c>
      <c r="L1138" t="s">
        <v>3401</v>
      </c>
      <c r="M1138" t="s">
        <v>3406</v>
      </c>
      <c r="N1138" t="s">
        <v>3407</v>
      </c>
      <c r="O1138" t="s">
        <v>3408</v>
      </c>
      <c r="P1138" t="s">
        <v>3409</v>
      </c>
    </row>
    <row r="1139" spans="1:16" x14ac:dyDescent="0.35">
      <c r="A1139" t="s">
        <v>85</v>
      </c>
      <c r="B1139">
        <v>1324732630</v>
      </c>
      <c r="C1139" t="s">
        <v>19</v>
      </c>
      <c r="D1139" t="s">
        <v>20</v>
      </c>
      <c r="E1139" s="29">
        <v>46205</v>
      </c>
      <c r="F1139" t="s">
        <v>4</v>
      </c>
      <c r="G1139" s="28">
        <v>0.41249999999999998</v>
      </c>
      <c r="H1139" s="28">
        <v>0.42638888888888887</v>
      </c>
      <c r="I1139">
        <v>0</v>
      </c>
      <c r="J1139" t="s">
        <v>146</v>
      </c>
      <c r="K1139">
        <v>1</v>
      </c>
      <c r="L1139" t="s">
        <v>147</v>
      </c>
      <c r="M1139" t="s">
        <v>3402</v>
      </c>
      <c r="N1139" t="s">
        <v>3403</v>
      </c>
      <c r="O1139" t="s">
        <v>3404</v>
      </c>
      <c r="P1139" t="s">
        <v>3405</v>
      </c>
    </row>
    <row r="1140" spans="1:16" x14ac:dyDescent="0.35">
      <c r="A1140" t="s">
        <v>85</v>
      </c>
      <c r="B1140">
        <v>1324732630</v>
      </c>
      <c r="C1140" t="s">
        <v>19</v>
      </c>
      <c r="D1140" t="s">
        <v>20</v>
      </c>
      <c r="E1140" s="29">
        <v>46205</v>
      </c>
      <c r="F1140" t="s">
        <v>4</v>
      </c>
      <c r="G1140" s="28">
        <v>0.43263888888888891</v>
      </c>
      <c r="H1140" s="28">
        <v>0.43958333333333333</v>
      </c>
      <c r="I1140">
        <v>0</v>
      </c>
      <c r="J1140" t="s">
        <v>146</v>
      </c>
      <c r="K1140">
        <v>0</v>
      </c>
      <c r="L1140" t="s">
        <v>147</v>
      </c>
      <c r="M1140" t="s">
        <v>3406</v>
      </c>
      <c r="N1140" t="s">
        <v>3407</v>
      </c>
      <c r="O1140" t="s">
        <v>3408</v>
      </c>
      <c r="P1140" t="s">
        <v>3409</v>
      </c>
    </row>
    <row r="1141" spans="1:16" x14ac:dyDescent="0.35">
      <c r="A1141" t="s">
        <v>85</v>
      </c>
      <c r="B1141">
        <v>1324732630</v>
      </c>
      <c r="C1141" t="s">
        <v>19</v>
      </c>
      <c r="D1141" t="s">
        <v>20</v>
      </c>
      <c r="E1141" s="29">
        <v>46205</v>
      </c>
      <c r="F1141" t="s">
        <v>4</v>
      </c>
      <c r="G1141" s="28">
        <v>0.4465277777777778</v>
      </c>
      <c r="H1141" s="28">
        <v>0.4465277777777778</v>
      </c>
      <c r="I1141">
        <v>0</v>
      </c>
      <c r="J1141" t="s">
        <v>174</v>
      </c>
      <c r="K1141">
        <v>0</v>
      </c>
      <c r="L1141" t="s">
        <v>1989</v>
      </c>
      <c r="M1141" t="s">
        <v>3427</v>
      </c>
      <c r="N1141" t="s">
        <v>3428</v>
      </c>
      <c r="O1141" t="s">
        <v>3429</v>
      </c>
      <c r="P1141" t="s">
        <v>3430</v>
      </c>
    </row>
    <row r="1142" spans="1:16" x14ac:dyDescent="0.35">
      <c r="A1142" t="s">
        <v>85</v>
      </c>
      <c r="B1142">
        <v>1324732630</v>
      </c>
      <c r="C1142" t="s">
        <v>19</v>
      </c>
      <c r="D1142" t="s">
        <v>20</v>
      </c>
      <c r="E1142" s="29">
        <v>46205</v>
      </c>
      <c r="F1142" t="s">
        <v>4</v>
      </c>
      <c r="G1142" s="28">
        <v>0.45347222222222222</v>
      </c>
      <c r="H1142" s="28">
        <v>0.45347222222222222</v>
      </c>
      <c r="I1142">
        <v>0</v>
      </c>
      <c r="J1142" t="s">
        <v>174</v>
      </c>
      <c r="K1142">
        <v>0</v>
      </c>
      <c r="L1142" t="s">
        <v>257</v>
      </c>
      <c r="M1142" t="s">
        <v>237</v>
      </c>
      <c r="N1142" t="s">
        <v>238</v>
      </c>
      <c r="O1142" t="s">
        <v>239</v>
      </c>
      <c r="P1142" t="s">
        <v>244</v>
      </c>
    </row>
    <row r="1143" spans="1:16" x14ac:dyDescent="0.35">
      <c r="A1143" t="s">
        <v>85</v>
      </c>
      <c r="B1143">
        <v>1324732630</v>
      </c>
      <c r="C1143" t="s">
        <v>19</v>
      </c>
      <c r="D1143" t="s">
        <v>20</v>
      </c>
      <c r="E1143" s="29">
        <v>46205</v>
      </c>
      <c r="F1143" t="s">
        <v>4</v>
      </c>
      <c r="G1143" s="28">
        <v>0.46041666666666664</v>
      </c>
      <c r="H1143" s="28">
        <v>0.46041666666666664</v>
      </c>
      <c r="I1143">
        <v>0</v>
      </c>
      <c r="J1143" t="s">
        <v>174</v>
      </c>
      <c r="K1143">
        <v>0</v>
      </c>
      <c r="L1143" t="s">
        <v>257</v>
      </c>
      <c r="M1143" t="s">
        <v>314</v>
      </c>
      <c r="N1143" t="s">
        <v>315</v>
      </c>
      <c r="O1143" t="s">
        <v>316</v>
      </c>
      <c r="P1143" t="s">
        <v>3439</v>
      </c>
    </row>
    <row r="1144" spans="1:16" x14ac:dyDescent="0.35">
      <c r="A1144" t="s">
        <v>85</v>
      </c>
      <c r="B1144">
        <v>1324732630</v>
      </c>
      <c r="C1144" t="s">
        <v>19</v>
      </c>
      <c r="D1144" t="s">
        <v>20</v>
      </c>
      <c r="E1144" s="29">
        <v>46205</v>
      </c>
      <c r="F1144" t="s">
        <v>4</v>
      </c>
      <c r="G1144" s="28">
        <v>0.46736111111111112</v>
      </c>
      <c r="H1144" s="28">
        <v>0.46736111111111112</v>
      </c>
      <c r="I1144">
        <v>0</v>
      </c>
      <c r="J1144" t="s">
        <v>174</v>
      </c>
      <c r="K1144">
        <v>0</v>
      </c>
      <c r="L1144" t="s">
        <v>3440</v>
      </c>
      <c r="M1144" t="s">
        <v>237</v>
      </c>
      <c r="N1144" t="s">
        <v>238</v>
      </c>
      <c r="O1144" t="s">
        <v>239</v>
      </c>
      <c r="P1144" t="s">
        <v>244</v>
      </c>
    </row>
    <row r="1145" spans="1:16" x14ac:dyDescent="0.35">
      <c r="A1145" t="s">
        <v>85</v>
      </c>
      <c r="B1145">
        <v>1324732630</v>
      </c>
      <c r="C1145" t="s">
        <v>19</v>
      </c>
      <c r="D1145" t="s">
        <v>20</v>
      </c>
      <c r="E1145" s="29">
        <v>46205</v>
      </c>
      <c r="F1145" t="s">
        <v>4</v>
      </c>
      <c r="G1145" s="28">
        <v>0.47430555555555554</v>
      </c>
      <c r="H1145" s="28">
        <v>0.5229166666666667</v>
      </c>
      <c r="I1145">
        <v>1</v>
      </c>
      <c r="J1145" t="s">
        <v>146</v>
      </c>
      <c r="K1145">
        <v>4</v>
      </c>
      <c r="L1145" t="s">
        <v>147</v>
      </c>
      <c r="M1145" t="s">
        <v>218</v>
      </c>
      <c r="N1145" t="s">
        <v>219</v>
      </c>
      <c r="O1145" t="s">
        <v>220</v>
      </c>
      <c r="P1145" t="s">
        <v>3441</v>
      </c>
    </row>
    <row r="1146" spans="1:16" x14ac:dyDescent="0.35">
      <c r="A1146" t="s">
        <v>85</v>
      </c>
      <c r="B1146">
        <v>1324732630</v>
      </c>
      <c r="C1146" t="s">
        <v>19</v>
      </c>
      <c r="D1146" t="s">
        <v>20</v>
      </c>
      <c r="E1146" s="29">
        <v>46205</v>
      </c>
      <c r="F1146" t="s">
        <v>4</v>
      </c>
      <c r="G1146" s="28">
        <v>0.52986111111111112</v>
      </c>
      <c r="H1146" s="28">
        <v>0.52986111111111112</v>
      </c>
      <c r="I1146">
        <v>0</v>
      </c>
      <c r="J1146" t="s">
        <v>174</v>
      </c>
      <c r="K1146">
        <v>0</v>
      </c>
      <c r="L1146" t="s">
        <v>257</v>
      </c>
      <c r="M1146" t="s">
        <v>314</v>
      </c>
      <c r="N1146" t="s">
        <v>315</v>
      </c>
      <c r="O1146" t="s">
        <v>316</v>
      </c>
      <c r="P1146" t="s">
        <v>3439</v>
      </c>
    </row>
    <row r="1147" spans="1:16" x14ac:dyDescent="0.35">
      <c r="A1147" t="s">
        <v>85</v>
      </c>
      <c r="B1147">
        <v>1324732630</v>
      </c>
      <c r="C1147" t="s">
        <v>19</v>
      </c>
      <c r="D1147" t="s">
        <v>20</v>
      </c>
      <c r="E1147" s="29">
        <v>46205</v>
      </c>
      <c r="F1147" t="s">
        <v>4</v>
      </c>
      <c r="G1147" s="28">
        <v>0.53680555555555554</v>
      </c>
      <c r="H1147" s="28">
        <v>0.53680555555555554</v>
      </c>
      <c r="I1147">
        <v>0</v>
      </c>
      <c r="J1147" t="s">
        <v>174</v>
      </c>
      <c r="K1147">
        <v>0</v>
      </c>
      <c r="L1147" t="s">
        <v>257</v>
      </c>
      <c r="M1147" t="s">
        <v>237</v>
      </c>
      <c r="N1147" t="s">
        <v>238</v>
      </c>
      <c r="O1147" t="s">
        <v>239</v>
      </c>
      <c r="P1147" t="s">
        <v>244</v>
      </c>
    </row>
    <row r="1148" spans="1:16" x14ac:dyDescent="0.35">
      <c r="A1148" t="s">
        <v>85</v>
      </c>
      <c r="B1148">
        <v>1324732630</v>
      </c>
      <c r="C1148" t="s">
        <v>19</v>
      </c>
      <c r="D1148" t="s">
        <v>20</v>
      </c>
      <c r="E1148" s="29">
        <v>46205</v>
      </c>
      <c r="F1148" t="s">
        <v>4</v>
      </c>
      <c r="G1148" s="28">
        <v>0.54374999999999996</v>
      </c>
      <c r="H1148" s="28">
        <v>0.54374999999999996</v>
      </c>
      <c r="I1148">
        <v>0</v>
      </c>
      <c r="J1148" t="s">
        <v>174</v>
      </c>
      <c r="K1148">
        <v>0</v>
      </c>
      <c r="L1148" t="s">
        <v>257</v>
      </c>
      <c r="M1148" t="s">
        <v>314</v>
      </c>
      <c r="N1148" t="s">
        <v>315</v>
      </c>
      <c r="O1148" t="s">
        <v>316</v>
      </c>
      <c r="P1148" t="s">
        <v>3439</v>
      </c>
    </row>
    <row r="1149" spans="1:16" x14ac:dyDescent="0.35">
      <c r="A1149" t="s">
        <v>85</v>
      </c>
      <c r="B1149">
        <v>1324732630</v>
      </c>
      <c r="C1149" t="s">
        <v>19</v>
      </c>
      <c r="D1149" t="s">
        <v>20</v>
      </c>
      <c r="E1149" s="29">
        <v>46205</v>
      </c>
      <c r="F1149" t="s">
        <v>4</v>
      </c>
      <c r="G1149" s="28">
        <v>0.55069444444444449</v>
      </c>
      <c r="H1149" s="28">
        <v>0.55069444444444449</v>
      </c>
      <c r="I1149">
        <v>0</v>
      </c>
      <c r="J1149" t="s">
        <v>174</v>
      </c>
      <c r="K1149">
        <v>0</v>
      </c>
      <c r="L1149" t="s">
        <v>257</v>
      </c>
      <c r="M1149" t="s">
        <v>237</v>
      </c>
      <c r="N1149" t="s">
        <v>238</v>
      </c>
      <c r="O1149" t="s">
        <v>239</v>
      </c>
      <c r="P1149" t="s">
        <v>244</v>
      </c>
    </row>
    <row r="1150" spans="1:16" x14ac:dyDescent="0.35">
      <c r="A1150" t="s">
        <v>85</v>
      </c>
      <c r="B1150">
        <v>1324732630</v>
      </c>
      <c r="C1150" t="s">
        <v>19</v>
      </c>
      <c r="D1150" t="s">
        <v>20</v>
      </c>
      <c r="E1150" s="29">
        <v>46205</v>
      </c>
      <c r="F1150" t="s">
        <v>4</v>
      </c>
      <c r="G1150" s="28">
        <v>0.55763888888888891</v>
      </c>
      <c r="H1150" s="28">
        <v>0.55763888888888891</v>
      </c>
      <c r="I1150">
        <v>0</v>
      </c>
      <c r="J1150" t="s">
        <v>174</v>
      </c>
      <c r="K1150">
        <v>0</v>
      </c>
      <c r="L1150" t="s">
        <v>257</v>
      </c>
      <c r="M1150" t="s">
        <v>314</v>
      </c>
      <c r="N1150" t="s">
        <v>315</v>
      </c>
      <c r="O1150" t="s">
        <v>316</v>
      </c>
      <c r="P1150" t="s">
        <v>3439</v>
      </c>
    </row>
    <row r="1151" spans="1:16" x14ac:dyDescent="0.35">
      <c r="A1151" t="s">
        <v>85</v>
      </c>
      <c r="B1151">
        <v>1324732630</v>
      </c>
      <c r="C1151" t="s">
        <v>19</v>
      </c>
      <c r="D1151" t="s">
        <v>20</v>
      </c>
      <c r="E1151" s="29">
        <v>46205</v>
      </c>
      <c r="F1151" t="s">
        <v>4</v>
      </c>
      <c r="G1151" s="28">
        <v>0.56458333333333333</v>
      </c>
      <c r="H1151" s="28">
        <v>0.56458333333333333</v>
      </c>
      <c r="I1151">
        <v>0</v>
      </c>
      <c r="J1151" t="s">
        <v>174</v>
      </c>
      <c r="K1151">
        <v>0</v>
      </c>
      <c r="L1151" t="s">
        <v>262</v>
      </c>
      <c r="M1151" t="s">
        <v>237</v>
      </c>
      <c r="N1151" t="s">
        <v>238</v>
      </c>
      <c r="O1151" t="s">
        <v>239</v>
      </c>
      <c r="P1151" t="s">
        <v>244</v>
      </c>
    </row>
    <row r="1152" spans="1:16" x14ac:dyDescent="0.35">
      <c r="A1152" t="s">
        <v>85</v>
      </c>
      <c r="B1152">
        <v>1324732630</v>
      </c>
      <c r="C1152" t="s">
        <v>19</v>
      </c>
      <c r="D1152" t="s">
        <v>20</v>
      </c>
      <c r="E1152" s="29">
        <v>46205</v>
      </c>
      <c r="F1152" t="s">
        <v>4</v>
      </c>
      <c r="G1152" s="28">
        <v>0.57152777777777775</v>
      </c>
      <c r="H1152" s="28">
        <v>0.5854166666666667</v>
      </c>
      <c r="I1152">
        <v>0</v>
      </c>
      <c r="J1152" t="s">
        <v>146</v>
      </c>
      <c r="K1152">
        <v>1</v>
      </c>
      <c r="L1152" t="s">
        <v>147</v>
      </c>
      <c r="M1152" t="s">
        <v>241</v>
      </c>
      <c r="N1152" t="s">
        <v>242</v>
      </c>
      <c r="O1152" t="s">
        <v>243</v>
      </c>
      <c r="P1152" t="s">
        <v>1182</v>
      </c>
    </row>
    <row r="1153" spans="1:16" x14ac:dyDescent="0.35">
      <c r="A1153" t="s">
        <v>85</v>
      </c>
      <c r="B1153">
        <v>1324732630</v>
      </c>
      <c r="C1153" t="s">
        <v>19</v>
      </c>
      <c r="D1153" t="s">
        <v>20</v>
      </c>
      <c r="E1153" s="29">
        <v>46205</v>
      </c>
      <c r="F1153" t="s">
        <v>4</v>
      </c>
      <c r="G1153" s="28">
        <v>0.59236111111111112</v>
      </c>
      <c r="H1153" s="28">
        <v>0.59236111111111112</v>
      </c>
      <c r="I1153">
        <v>0</v>
      </c>
      <c r="J1153" t="s">
        <v>174</v>
      </c>
      <c r="K1153">
        <v>0</v>
      </c>
      <c r="L1153" t="s">
        <v>399</v>
      </c>
      <c r="M1153" t="s">
        <v>182</v>
      </c>
      <c r="N1153" t="s">
        <v>183</v>
      </c>
      <c r="O1153" t="s">
        <v>184</v>
      </c>
      <c r="P1153" t="s">
        <v>3405</v>
      </c>
    </row>
    <row r="1154" spans="1:16" x14ac:dyDescent="0.35">
      <c r="A1154" t="s">
        <v>85</v>
      </c>
      <c r="B1154">
        <v>1324732630</v>
      </c>
      <c r="C1154" t="s">
        <v>19</v>
      </c>
      <c r="D1154" t="s">
        <v>20</v>
      </c>
      <c r="E1154" s="29">
        <v>46205</v>
      </c>
      <c r="F1154" t="s">
        <v>4</v>
      </c>
      <c r="G1154" s="28">
        <v>0.59930555555555554</v>
      </c>
      <c r="H1154" s="28">
        <v>0.59930555555555554</v>
      </c>
      <c r="I1154">
        <v>0</v>
      </c>
      <c r="J1154" t="s">
        <v>174</v>
      </c>
      <c r="K1154">
        <v>0</v>
      </c>
      <c r="L1154" t="s">
        <v>318</v>
      </c>
      <c r="M1154" t="s">
        <v>187</v>
      </c>
      <c r="N1154" t="s">
        <v>188</v>
      </c>
      <c r="O1154" t="s">
        <v>189</v>
      </c>
      <c r="P1154" t="s">
        <v>3442</v>
      </c>
    </row>
    <row r="1155" spans="1:16" x14ac:dyDescent="0.35">
      <c r="A1155" t="s">
        <v>85</v>
      </c>
      <c r="B1155">
        <v>1324732630</v>
      </c>
      <c r="C1155" t="s">
        <v>19</v>
      </c>
      <c r="D1155" t="s">
        <v>20</v>
      </c>
      <c r="E1155" s="29">
        <v>46205</v>
      </c>
      <c r="F1155" t="s">
        <v>4</v>
      </c>
      <c r="G1155" s="28">
        <v>0.60624999999999996</v>
      </c>
      <c r="H1155" s="28">
        <v>0.60624999999999996</v>
      </c>
      <c r="I1155">
        <v>0</v>
      </c>
      <c r="J1155" t="s">
        <v>174</v>
      </c>
      <c r="K1155">
        <v>0</v>
      </c>
      <c r="L1155" t="s">
        <v>3443</v>
      </c>
      <c r="M1155" t="s">
        <v>3444</v>
      </c>
      <c r="N1155" t="s">
        <v>3445</v>
      </c>
      <c r="O1155" t="s">
        <v>3446</v>
      </c>
      <c r="P1155" t="s">
        <v>3447</v>
      </c>
    </row>
    <row r="1156" spans="1:16" x14ac:dyDescent="0.35">
      <c r="A1156" t="s">
        <v>85</v>
      </c>
      <c r="B1156">
        <v>1324732630</v>
      </c>
      <c r="C1156" t="s">
        <v>19</v>
      </c>
      <c r="D1156" t="s">
        <v>20</v>
      </c>
      <c r="E1156" s="29">
        <v>46205</v>
      </c>
      <c r="F1156" t="s">
        <v>4</v>
      </c>
      <c r="G1156" s="28">
        <v>0.61319444444444449</v>
      </c>
      <c r="H1156" s="28">
        <v>0.61319444444444449</v>
      </c>
      <c r="I1156">
        <v>0</v>
      </c>
      <c r="J1156" t="s">
        <v>174</v>
      </c>
      <c r="K1156">
        <v>0</v>
      </c>
      <c r="L1156" t="s">
        <v>257</v>
      </c>
      <c r="M1156" t="s">
        <v>258</v>
      </c>
      <c r="N1156" t="s">
        <v>259</v>
      </c>
      <c r="O1156" t="s">
        <v>260</v>
      </c>
      <c r="P1156" t="s">
        <v>3448</v>
      </c>
    </row>
    <row r="1157" spans="1:16" x14ac:dyDescent="0.35">
      <c r="A1157" t="s">
        <v>85</v>
      </c>
      <c r="B1157">
        <v>1324732630</v>
      </c>
      <c r="C1157" t="s">
        <v>19</v>
      </c>
      <c r="D1157" t="s">
        <v>20</v>
      </c>
      <c r="E1157" s="29">
        <v>46205</v>
      </c>
      <c r="F1157" t="s">
        <v>4</v>
      </c>
      <c r="G1157" s="28">
        <v>0.62013888888888891</v>
      </c>
      <c r="H1157" s="28">
        <v>0.64097222222222228</v>
      </c>
      <c r="I1157">
        <v>1</v>
      </c>
      <c r="J1157" t="s">
        <v>146</v>
      </c>
      <c r="K1157">
        <v>2</v>
      </c>
      <c r="L1157" t="s">
        <v>147</v>
      </c>
      <c r="M1157" t="s">
        <v>263</v>
      </c>
      <c r="N1157" t="s">
        <v>264</v>
      </c>
      <c r="O1157" t="s">
        <v>265</v>
      </c>
      <c r="P1157" t="s">
        <v>3449</v>
      </c>
    </row>
    <row r="1158" spans="1:16" x14ac:dyDescent="0.35">
      <c r="A1158" t="s">
        <v>85</v>
      </c>
      <c r="B1158">
        <v>1324732630</v>
      </c>
      <c r="C1158" t="s">
        <v>19</v>
      </c>
      <c r="D1158" t="s">
        <v>20</v>
      </c>
      <c r="E1158" s="29">
        <v>46205</v>
      </c>
      <c r="F1158" t="s">
        <v>4</v>
      </c>
      <c r="G1158" s="28">
        <v>0.6479166666666667</v>
      </c>
      <c r="H1158" s="28">
        <v>0.6479166666666667</v>
      </c>
      <c r="I1158">
        <v>0</v>
      </c>
      <c r="J1158" t="s">
        <v>174</v>
      </c>
      <c r="K1158">
        <v>0</v>
      </c>
      <c r="L1158" t="s">
        <v>1544</v>
      </c>
      <c r="M1158" t="s">
        <v>3450</v>
      </c>
      <c r="N1158" t="s">
        <v>3451</v>
      </c>
      <c r="O1158" t="s">
        <v>3452</v>
      </c>
      <c r="P1158" t="s">
        <v>3453</v>
      </c>
    </row>
    <row r="1159" spans="1:16" x14ac:dyDescent="0.35">
      <c r="A1159" t="s">
        <v>85</v>
      </c>
      <c r="B1159">
        <v>1324732630</v>
      </c>
      <c r="C1159" t="s">
        <v>19</v>
      </c>
      <c r="D1159" t="s">
        <v>20</v>
      </c>
      <c r="E1159" s="29">
        <v>46205</v>
      </c>
      <c r="F1159" t="s">
        <v>4</v>
      </c>
      <c r="G1159" s="28">
        <v>0.65486111111111112</v>
      </c>
      <c r="H1159" s="28">
        <v>0.65486111111111112</v>
      </c>
      <c r="I1159">
        <v>0</v>
      </c>
      <c r="J1159" t="s">
        <v>174</v>
      </c>
      <c r="K1159">
        <v>0</v>
      </c>
      <c r="L1159" t="s">
        <v>3454</v>
      </c>
      <c r="M1159" t="s">
        <v>3455</v>
      </c>
      <c r="N1159" t="s">
        <v>3456</v>
      </c>
      <c r="O1159" t="s">
        <v>3457</v>
      </c>
      <c r="P1159" t="s">
        <v>3458</v>
      </c>
    </row>
    <row r="1160" spans="1:16" x14ac:dyDescent="0.35">
      <c r="A1160" t="s">
        <v>85</v>
      </c>
      <c r="B1160">
        <v>1324732630</v>
      </c>
      <c r="C1160" t="s">
        <v>19</v>
      </c>
      <c r="D1160" t="s">
        <v>20</v>
      </c>
      <c r="E1160" s="29">
        <v>46205</v>
      </c>
      <c r="F1160" t="s">
        <v>4</v>
      </c>
      <c r="G1160" s="28">
        <v>0.66180555555555554</v>
      </c>
      <c r="H1160" s="28">
        <v>0.76597222222222228</v>
      </c>
      <c r="I1160">
        <v>2</v>
      </c>
      <c r="J1160" t="s">
        <v>146</v>
      </c>
      <c r="K1160">
        <v>8</v>
      </c>
      <c r="L1160" t="s">
        <v>147</v>
      </c>
      <c r="M1160" t="s">
        <v>218</v>
      </c>
      <c r="N1160" t="s">
        <v>219</v>
      </c>
      <c r="O1160" t="s">
        <v>220</v>
      </c>
      <c r="P1160" t="s">
        <v>3441</v>
      </c>
    </row>
    <row r="1161" spans="1:16" x14ac:dyDescent="0.35">
      <c r="A1161" t="s">
        <v>85</v>
      </c>
      <c r="B1161">
        <v>1324732630</v>
      </c>
      <c r="C1161" t="s">
        <v>19</v>
      </c>
      <c r="D1161" t="s">
        <v>20</v>
      </c>
      <c r="E1161" s="29">
        <v>46205</v>
      </c>
      <c r="F1161" t="s">
        <v>4</v>
      </c>
      <c r="G1161" s="28">
        <v>0.7729166666666667</v>
      </c>
      <c r="H1161" s="28">
        <v>0.7729166666666667</v>
      </c>
      <c r="I1161">
        <v>0</v>
      </c>
      <c r="J1161" t="s">
        <v>174</v>
      </c>
      <c r="K1161">
        <v>0</v>
      </c>
      <c r="L1161" t="s">
        <v>2539</v>
      </c>
      <c r="M1161" t="s">
        <v>3459</v>
      </c>
      <c r="N1161" t="s">
        <v>3460</v>
      </c>
      <c r="O1161" t="s">
        <v>3461</v>
      </c>
      <c r="P1161" t="s">
        <v>3462</v>
      </c>
    </row>
    <row r="1162" spans="1:16" x14ac:dyDescent="0.35">
      <c r="A1162" t="s">
        <v>85</v>
      </c>
      <c r="B1162">
        <v>1324732630</v>
      </c>
      <c r="C1162" t="s">
        <v>19</v>
      </c>
      <c r="D1162" t="s">
        <v>20</v>
      </c>
      <c r="E1162" s="29">
        <v>46205</v>
      </c>
      <c r="F1162" t="s">
        <v>4</v>
      </c>
      <c r="G1162" s="28">
        <v>0.77986111111111112</v>
      </c>
      <c r="H1162" s="28">
        <v>0.77986111111111112</v>
      </c>
      <c r="I1162">
        <v>0</v>
      </c>
      <c r="J1162" t="s">
        <v>174</v>
      </c>
      <c r="K1162">
        <v>0</v>
      </c>
      <c r="L1162" t="s">
        <v>3463</v>
      </c>
      <c r="M1162" t="s">
        <v>3464</v>
      </c>
      <c r="N1162" t="s">
        <v>3465</v>
      </c>
      <c r="O1162" t="s">
        <v>3466</v>
      </c>
      <c r="P1162" t="s">
        <v>3467</v>
      </c>
    </row>
    <row r="1163" spans="1:16" x14ac:dyDescent="0.35">
      <c r="A1163" t="s">
        <v>85</v>
      </c>
      <c r="B1163">
        <v>1324732630</v>
      </c>
      <c r="C1163" t="s">
        <v>19</v>
      </c>
      <c r="D1163" t="s">
        <v>20</v>
      </c>
      <c r="E1163" s="29">
        <v>46205</v>
      </c>
      <c r="F1163" t="s">
        <v>4</v>
      </c>
      <c r="G1163" s="28">
        <v>0.78680555555555554</v>
      </c>
      <c r="H1163" s="28">
        <v>0.78680555555555554</v>
      </c>
      <c r="I1163">
        <v>0</v>
      </c>
      <c r="J1163" t="s">
        <v>174</v>
      </c>
      <c r="K1163">
        <v>0</v>
      </c>
      <c r="L1163" t="s">
        <v>1923</v>
      </c>
      <c r="M1163" t="s">
        <v>3468</v>
      </c>
      <c r="N1163" t="s">
        <v>3469</v>
      </c>
      <c r="O1163" t="s">
        <v>3470</v>
      </c>
      <c r="P1163" t="s">
        <v>3471</v>
      </c>
    </row>
    <row r="1164" spans="1:16" x14ac:dyDescent="0.35">
      <c r="A1164" t="s">
        <v>85</v>
      </c>
      <c r="B1164">
        <v>1324732630</v>
      </c>
      <c r="C1164" t="s">
        <v>19</v>
      </c>
      <c r="D1164" t="s">
        <v>20</v>
      </c>
      <c r="E1164" s="29">
        <v>46207</v>
      </c>
      <c r="F1164" t="s">
        <v>5</v>
      </c>
      <c r="G1164" s="28">
        <v>0.3840277777777778</v>
      </c>
      <c r="H1164" s="28">
        <v>0.42569444444444443</v>
      </c>
      <c r="I1164">
        <v>1</v>
      </c>
      <c r="J1164" t="s">
        <v>146</v>
      </c>
      <c r="K1164">
        <v>3</v>
      </c>
      <c r="L1164" t="s">
        <v>147</v>
      </c>
      <c r="M1164" t="s">
        <v>3406</v>
      </c>
      <c r="N1164" t="s">
        <v>3407</v>
      </c>
      <c r="O1164" t="s">
        <v>3408</v>
      </c>
      <c r="P1164" t="s">
        <v>3409</v>
      </c>
    </row>
    <row r="1165" spans="1:16" x14ac:dyDescent="0.35">
      <c r="A1165" t="s">
        <v>85</v>
      </c>
      <c r="B1165">
        <v>1324732630</v>
      </c>
      <c r="C1165" t="s">
        <v>19</v>
      </c>
      <c r="D1165" t="s">
        <v>20</v>
      </c>
      <c r="E1165" s="29">
        <v>46207</v>
      </c>
      <c r="F1165" t="s">
        <v>5</v>
      </c>
      <c r="G1165" s="28">
        <v>0.43263888888888891</v>
      </c>
      <c r="H1165" s="28">
        <v>0.43263888888888891</v>
      </c>
      <c r="I1165">
        <v>0</v>
      </c>
      <c r="J1165" t="s">
        <v>174</v>
      </c>
      <c r="K1165">
        <v>0</v>
      </c>
      <c r="L1165" t="s">
        <v>3472</v>
      </c>
      <c r="M1165" t="s">
        <v>3473</v>
      </c>
      <c r="N1165" t="s">
        <v>3474</v>
      </c>
      <c r="O1165" t="s">
        <v>3475</v>
      </c>
      <c r="P1165" t="s">
        <v>3476</v>
      </c>
    </row>
    <row r="1166" spans="1:16" x14ac:dyDescent="0.35">
      <c r="A1166" t="s">
        <v>85</v>
      </c>
      <c r="B1166">
        <v>1324732630</v>
      </c>
      <c r="C1166" t="s">
        <v>19</v>
      </c>
      <c r="D1166" t="s">
        <v>20</v>
      </c>
      <c r="E1166" s="29">
        <v>46207</v>
      </c>
      <c r="F1166" t="s">
        <v>5</v>
      </c>
      <c r="G1166" s="28">
        <v>0.43958333333333333</v>
      </c>
      <c r="H1166" s="28">
        <v>0.43958333333333333</v>
      </c>
      <c r="I1166">
        <v>0</v>
      </c>
      <c r="J1166" t="s">
        <v>174</v>
      </c>
      <c r="K1166">
        <v>0</v>
      </c>
      <c r="L1166" t="s">
        <v>1094</v>
      </c>
      <c r="M1166" t="s">
        <v>3477</v>
      </c>
      <c r="N1166" t="s">
        <v>3478</v>
      </c>
      <c r="O1166" t="s">
        <v>3479</v>
      </c>
      <c r="P1166" t="s">
        <v>3480</v>
      </c>
    </row>
    <row r="1167" spans="1:16" x14ac:dyDescent="0.35">
      <c r="A1167" t="s">
        <v>85</v>
      </c>
      <c r="B1167">
        <v>1324732630</v>
      </c>
      <c r="C1167" t="s">
        <v>19</v>
      </c>
      <c r="D1167" t="s">
        <v>20</v>
      </c>
      <c r="E1167" s="29">
        <v>46207</v>
      </c>
      <c r="F1167" t="s">
        <v>5</v>
      </c>
      <c r="G1167" s="28">
        <v>0.4465277777777778</v>
      </c>
      <c r="H1167" s="28">
        <v>0.47430555555555554</v>
      </c>
      <c r="I1167">
        <v>1</v>
      </c>
      <c r="J1167" t="s">
        <v>146</v>
      </c>
      <c r="K1167">
        <v>2</v>
      </c>
      <c r="L1167" t="s">
        <v>147</v>
      </c>
      <c r="M1167" t="s">
        <v>237</v>
      </c>
      <c r="N1167" t="s">
        <v>238</v>
      </c>
      <c r="O1167" t="s">
        <v>239</v>
      </c>
      <c r="P1167" t="s">
        <v>244</v>
      </c>
    </row>
    <row r="1168" spans="1:16" x14ac:dyDescent="0.35">
      <c r="A1168" t="s">
        <v>85</v>
      </c>
      <c r="B1168">
        <v>1324732630</v>
      </c>
      <c r="C1168" t="s">
        <v>19</v>
      </c>
      <c r="D1168" t="s">
        <v>20</v>
      </c>
      <c r="E1168" s="29">
        <v>46207</v>
      </c>
      <c r="F1168" t="s">
        <v>5</v>
      </c>
      <c r="G1168" s="28">
        <v>0.48125000000000001</v>
      </c>
      <c r="H1168" s="28">
        <v>0.48125000000000001</v>
      </c>
      <c r="I1168">
        <v>0</v>
      </c>
      <c r="J1168" t="s">
        <v>174</v>
      </c>
      <c r="K1168">
        <v>0</v>
      </c>
      <c r="L1168" t="s">
        <v>257</v>
      </c>
      <c r="M1168" t="s">
        <v>314</v>
      </c>
      <c r="N1168" t="s">
        <v>315</v>
      </c>
      <c r="O1168" t="s">
        <v>316</v>
      </c>
      <c r="P1168" t="s">
        <v>3439</v>
      </c>
    </row>
    <row r="1169" spans="1:16" x14ac:dyDescent="0.35">
      <c r="A1169" t="s">
        <v>85</v>
      </c>
      <c r="B1169">
        <v>1324732630</v>
      </c>
      <c r="C1169" t="s">
        <v>19</v>
      </c>
      <c r="D1169" t="s">
        <v>20</v>
      </c>
      <c r="E1169" s="29">
        <v>46207</v>
      </c>
      <c r="F1169" t="s">
        <v>5</v>
      </c>
      <c r="G1169" s="28">
        <v>0.48819444444444443</v>
      </c>
      <c r="H1169" s="28">
        <v>0.57152777777777775</v>
      </c>
      <c r="I1169">
        <v>2</v>
      </c>
      <c r="J1169" t="s">
        <v>146</v>
      </c>
      <c r="K1169">
        <v>6</v>
      </c>
      <c r="L1169" t="s">
        <v>147</v>
      </c>
      <c r="M1169" t="s">
        <v>237</v>
      </c>
      <c r="N1169" t="s">
        <v>238</v>
      </c>
      <c r="O1169" t="s">
        <v>239</v>
      </c>
      <c r="P1169" t="s">
        <v>244</v>
      </c>
    </row>
    <row r="1170" spans="1:16" x14ac:dyDescent="0.35">
      <c r="A1170" t="s">
        <v>85</v>
      </c>
      <c r="B1170">
        <v>1324732630</v>
      </c>
      <c r="C1170" t="s">
        <v>19</v>
      </c>
      <c r="D1170" t="s">
        <v>20</v>
      </c>
      <c r="E1170" s="29">
        <v>46207</v>
      </c>
      <c r="F1170" t="s">
        <v>5</v>
      </c>
      <c r="G1170" s="28">
        <v>0.57847222222222228</v>
      </c>
      <c r="H1170" s="28">
        <v>0.59236111111111112</v>
      </c>
      <c r="I1170">
        <v>0</v>
      </c>
      <c r="J1170" t="s">
        <v>146</v>
      </c>
      <c r="K1170">
        <v>1</v>
      </c>
      <c r="L1170" t="s">
        <v>147</v>
      </c>
      <c r="M1170" t="s">
        <v>241</v>
      </c>
      <c r="N1170" t="s">
        <v>242</v>
      </c>
      <c r="O1170" t="s">
        <v>243</v>
      </c>
      <c r="P1170" t="s">
        <v>1182</v>
      </c>
    </row>
    <row r="1171" spans="1:16" x14ac:dyDescent="0.35">
      <c r="A1171" t="s">
        <v>85</v>
      </c>
      <c r="B1171">
        <v>1324732630</v>
      </c>
      <c r="C1171" t="s">
        <v>19</v>
      </c>
      <c r="D1171" t="s">
        <v>20</v>
      </c>
      <c r="E1171" s="29">
        <v>46207</v>
      </c>
      <c r="F1171" t="s">
        <v>5</v>
      </c>
      <c r="G1171" s="28">
        <v>0.59930555555555554</v>
      </c>
      <c r="H1171" s="28">
        <v>0.61319444444444449</v>
      </c>
      <c r="I1171">
        <v>0</v>
      </c>
      <c r="J1171" t="s">
        <v>146</v>
      </c>
      <c r="K1171">
        <v>1</v>
      </c>
      <c r="L1171" t="s">
        <v>147</v>
      </c>
      <c r="M1171" t="s">
        <v>218</v>
      </c>
      <c r="N1171" t="s">
        <v>219</v>
      </c>
      <c r="O1171" t="s">
        <v>220</v>
      </c>
      <c r="P1171" t="s">
        <v>3441</v>
      </c>
    </row>
    <row r="1172" spans="1:16" x14ac:dyDescent="0.35">
      <c r="A1172" t="s">
        <v>85</v>
      </c>
      <c r="B1172">
        <v>1324732630</v>
      </c>
      <c r="C1172" t="s">
        <v>19</v>
      </c>
      <c r="D1172" t="s">
        <v>20</v>
      </c>
      <c r="E1172" s="29">
        <v>46207</v>
      </c>
      <c r="F1172" t="s">
        <v>5</v>
      </c>
      <c r="G1172" s="28">
        <v>0.62013888888888891</v>
      </c>
      <c r="H1172" s="28">
        <v>0.62013888888888891</v>
      </c>
      <c r="I1172">
        <v>0</v>
      </c>
      <c r="J1172" t="s">
        <v>174</v>
      </c>
      <c r="K1172">
        <v>0</v>
      </c>
      <c r="L1172" t="s">
        <v>2095</v>
      </c>
      <c r="M1172" t="s">
        <v>294</v>
      </c>
      <c r="N1172" t="s">
        <v>295</v>
      </c>
      <c r="O1172" t="s">
        <v>296</v>
      </c>
      <c r="P1172" t="s">
        <v>3481</v>
      </c>
    </row>
    <row r="1173" spans="1:16" x14ac:dyDescent="0.35">
      <c r="A1173" t="s">
        <v>85</v>
      </c>
      <c r="B1173">
        <v>1324732630</v>
      </c>
      <c r="C1173" t="s">
        <v>19</v>
      </c>
      <c r="D1173" t="s">
        <v>20</v>
      </c>
      <c r="E1173" s="29">
        <v>46207</v>
      </c>
      <c r="F1173" t="s">
        <v>5</v>
      </c>
      <c r="G1173" s="28">
        <v>0.62708333333333333</v>
      </c>
      <c r="H1173" s="28">
        <v>0.62708333333333333</v>
      </c>
      <c r="I1173">
        <v>0</v>
      </c>
      <c r="J1173" t="s">
        <v>174</v>
      </c>
      <c r="K1173">
        <v>0</v>
      </c>
      <c r="L1173" t="s">
        <v>2309</v>
      </c>
      <c r="M1173" t="s">
        <v>3482</v>
      </c>
      <c r="N1173" t="s">
        <v>3483</v>
      </c>
      <c r="O1173" t="s">
        <v>3484</v>
      </c>
      <c r="P1173" t="s">
        <v>3485</v>
      </c>
    </row>
    <row r="1174" spans="1:16" x14ac:dyDescent="0.35">
      <c r="A1174" t="s">
        <v>85</v>
      </c>
      <c r="B1174">
        <v>1324732630</v>
      </c>
      <c r="C1174" t="s">
        <v>19</v>
      </c>
      <c r="D1174" t="s">
        <v>20</v>
      </c>
      <c r="E1174" s="29">
        <v>46207</v>
      </c>
      <c r="F1174" t="s">
        <v>5</v>
      </c>
      <c r="G1174" s="28">
        <v>0.63402777777777775</v>
      </c>
      <c r="H1174" s="28">
        <v>0.63402777777777775</v>
      </c>
      <c r="I1174">
        <v>0</v>
      </c>
      <c r="J1174" t="s">
        <v>174</v>
      </c>
      <c r="K1174">
        <v>0</v>
      </c>
      <c r="L1174" t="s">
        <v>323</v>
      </c>
      <c r="M1174" t="s">
        <v>328</v>
      </c>
      <c r="N1174" t="s">
        <v>329</v>
      </c>
      <c r="O1174" t="s">
        <v>330</v>
      </c>
      <c r="P1174" t="s">
        <v>3486</v>
      </c>
    </row>
    <row r="1175" spans="1:16" x14ac:dyDescent="0.35">
      <c r="A1175" t="s">
        <v>85</v>
      </c>
      <c r="B1175">
        <v>1324732630</v>
      </c>
      <c r="C1175" t="s">
        <v>19</v>
      </c>
      <c r="D1175" t="s">
        <v>20</v>
      </c>
      <c r="E1175" s="29">
        <v>46207</v>
      </c>
      <c r="F1175" t="s">
        <v>5</v>
      </c>
      <c r="G1175" s="28">
        <v>0.64097222222222228</v>
      </c>
      <c r="H1175" s="28">
        <v>0.64097222222222228</v>
      </c>
      <c r="I1175">
        <v>0</v>
      </c>
      <c r="J1175" t="s">
        <v>174</v>
      </c>
      <c r="K1175">
        <v>0</v>
      </c>
      <c r="L1175" t="s">
        <v>695</v>
      </c>
      <c r="M1175" t="s">
        <v>324</v>
      </c>
      <c r="N1175" t="s">
        <v>325</v>
      </c>
      <c r="O1175" t="s">
        <v>326</v>
      </c>
      <c r="P1175" t="s">
        <v>3487</v>
      </c>
    </row>
    <row r="1176" spans="1:16" x14ac:dyDescent="0.35">
      <c r="A1176" t="s">
        <v>85</v>
      </c>
      <c r="B1176">
        <v>1324732630</v>
      </c>
      <c r="C1176" t="s">
        <v>19</v>
      </c>
      <c r="D1176" t="s">
        <v>20</v>
      </c>
      <c r="E1176" s="29">
        <v>46207</v>
      </c>
      <c r="F1176" t="s">
        <v>5</v>
      </c>
      <c r="G1176" s="28">
        <v>0.6479166666666667</v>
      </c>
      <c r="H1176" s="28">
        <v>0.6479166666666667</v>
      </c>
      <c r="I1176">
        <v>0</v>
      </c>
      <c r="J1176" t="s">
        <v>174</v>
      </c>
      <c r="K1176">
        <v>0</v>
      </c>
      <c r="L1176" t="s">
        <v>186</v>
      </c>
      <c r="M1176" t="s">
        <v>3488</v>
      </c>
      <c r="N1176" t="s">
        <v>3489</v>
      </c>
      <c r="O1176" t="s">
        <v>3490</v>
      </c>
      <c r="P1176" t="s">
        <v>3491</v>
      </c>
    </row>
    <row r="1177" spans="1:16" x14ac:dyDescent="0.35">
      <c r="A1177" t="s">
        <v>85</v>
      </c>
      <c r="B1177">
        <v>1324732630</v>
      </c>
      <c r="C1177" t="s">
        <v>19</v>
      </c>
      <c r="D1177" t="s">
        <v>20</v>
      </c>
      <c r="E1177" s="29">
        <v>46207</v>
      </c>
      <c r="F1177" t="s">
        <v>5</v>
      </c>
      <c r="G1177" s="28">
        <v>0.65486111111111112</v>
      </c>
      <c r="H1177" s="28">
        <v>0.65486111111111112</v>
      </c>
      <c r="I1177">
        <v>0</v>
      </c>
      <c r="J1177" t="s">
        <v>174</v>
      </c>
      <c r="K1177">
        <v>0</v>
      </c>
      <c r="L1177" t="s">
        <v>323</v>
      </c>
      <c r="M1177" t="s">
        <v>328</v>
      </c>
      <c r="N1177" t="s">
        <v>329</v>
      </c>
      <c r="O1177" t="s">
        <v>330</v>
      </c>
      <c r="P1177" t="s">
        <v>3486</v>
      </c>
    </row>
    <row r="1178" spans="1:16" x14ac:dyDescent="0.35">
      <c r="A1178" t="s">
        <v>85</v>
      </c>
      <c r="B1178">
        <v>1324732630</v>
      </c>
      <c r="C1178" t="s">
        <v>19</v>
      </c>
      <c r="D1178" t="s">
        <v>20</v>
      </c>
      <c r="E1178" s="29">
        <v>46207</v>
      </c>
      <c r="F1178" t="s">
        <v>5</v>
      </c>
      <c r="G1178" s="28">
        <v>0.66180555555555554</v>
      </c>
      <c r="H1178" s="28">
        <v>0.68263888888888891</v>
      </c>
      <c r="I1178">
        <v>1</v>
      </c>
      <c r="J1178" t="s">
        <v>146</v>
      </c>
      <c r="K1178">
        <v>2</v>
      </c>
      <c r="L1178" t="s">
        <v>147</v>
      </c>
      <c r="M1178" t="s">
        <v>324</v>
      </c>
      <c r="N1178" t="s">
        <v>325</v>
      </c>
      <c r="O1178" t="s">
        <v>326</v>
      </c>
      <c r="P1178" t="s">
        <v>3487</v>
      </c>
    </row>
    <row r="1179" spans="1:16" x14ac:dyDescent="0.35">
      <c r="A1179" t="s">
        <v>85</v>
      </c>
      <c r="B1179">
        <v>1324732630</v>
      </c>
      <c r="C1179" t="s">
        <v>19</v>
      </c>
      <c r="D1179" t="s">
        <v>20</v>
      </c>
      <c r="E1179" s="29">
        <v>46207</v>
      </c>
      <c r="F1179" t="s">
        <v>5</v>
      </c>
      <c r="G1179" s="28">
        <v>0.68958333333333333</v>
      </c>
      <c r="H1179" s="28">
        <v>0.69652777777777775</v>
      </c>
      <c r="I1179">
        <v>0</v>
      </c>
      <c r="J1179" t="s">
        <v>146</v>
      </c>
      <c r="K1179">
        <v>0</v>
      </c>
      <c r="L1179" t="s">
        <v>147</v>
      </c>
      <c r="M1179" t="s">
        <v>3488</v>
      </c>
      <c r="N1179" t="s">
        <v>3489</v>
      </c>
      <c r="O1179" t="s">
        <v>3490</v>
      </c>
      <c r="P1179" t="s">
        <v>3491</v>
      </c>
    </row>
    <row r="1180" spans="1:16" x14ac:dyDescent="0.35">
      <c r="A1180" t="s">
        <v>85</v>
      </c>
      <c r="B1180">
        <v>1324732630</v>
      </c>
      <c r="C1180" t="s">
        <v>19</v>
      </c>
      <c r="D1180" t="s">
        <v>20</v>
      </c>
      <c r="E1180" s="29">
        <v>46207</v>
      </c>
      <c r="F1180" t="s">
        <v>5</v>
      </c>
      <c r="G1180" s="28">
        <v>0.70347222222222228</v>
      </c>
      <c r="H1180" s="28">
        <v>0.7104166666666667</v>
      </c>
      <c r="I1180">
        <v>0</v>
      </c>
      <c r="J1180" t="s">
        <v>146</v>
      </c>
      <c r="K1180">
        <v>0</v>
      </c>
      <c r="L1180" t="s">
        <v>147</v>
      </c>
      <c r="M1180" t="s">
        <v>328</v>
      </c>
      <c r="N1180" t="s">
        <v>329</v>
      </c>
      <c r="O1180" t="s">
        <v>330</v>
      </c>
      <c r="P1180" t="s">
        <v>3486</v>
      </c>
    </row>
    <row r="1181" spans="1:16" x14ac:dyDescent="0.35">
      <c r="A1181" t="s">
        <v>85</v>
      </c>
      <c r="B1181">
        <v>1324732630</v>
      </c>
      <c r="C1181" t="s">
        <v>19</v>
      </c>
      <c r="D1181" t="s">
        <v>20</v>
      </c>
      <c r="E1181" s="29">
        <v>46207</v>
      </c>
      <c r="F1181" t="s">
        <v>5</v>
      </c>
      <c r="G1181" s="28">
        <v>0.71736111111111112</v>
      </c>
      <c r="H1181" s="28">
        <v>0.71736111111111112</v>
      </c>
      <c r="I1181">
        <v>0</v>
      </c>
      <c r="J1181" t="s">
        <v>174</v>
      </c>
      <c r="K1181">
        <v>0</v>
      </c>
      <c r="L1181" t="s">
        <v>2398</v>
      </c>
      <c r="M1181" t="s">
        <v>324</v>
      </c>
      <c r="N1181" t="s">
        <v>325</v>
      </c>
      <c r="O1181" t="s">
        <v>326</v>
      </c>
      <c r="P1181" t="s">
        <v>3487</v>
      </c>
    </row>
    <row r="1182" spans="1:16" x14ac:dyDescent="0.35">
      <c r="A1182" t="s">
        <v>85</v>
      </c>
      <c r="B1182">
        <v>1324732630</v>
      </c>
      <c r="C1182" t="s">
        <v>19</v>
      </c>
      <c r="D1182" t="s">
        <v>20</v>
      </c>
      <c r="E1182" s="29">
        <v>46207</v>
      </c>
      <c r="F1182" t="s">
        <v>5</v>
      </c>
      <c r="G1182" s="28">
        <v>0.72430555555555554</v>
      </c>
      <c r="H1182" s="28">
        <v>0.72430555555555554</v>
      </c>
      <c r="I1182">
        <v>0</v>
      </c>
      <c r="J1182" t="s">
        <v>174</v>
      </c>
      <c r="K1182">
        <v>0</v>
      </c>
      <c r="L1182" t="s">
        <v>257</v>
      </c>
      <c r="M1182" t="s">
        <v>258</v>
      </c>
      <c r="N1182" t="s">
        <v>259</v>
      </c>
      <c r="O1182" t="s">
        <v>260</v>
      </c>
      <c r="P1182" t="s">
        <v>3448</v>
      </c>
    </row>
    <row r="1183" spans="1:16" x14ac:dyDescent="0.35">
      <c r="A1183" t="s">
        <v>85</v>
      </c>
      <c r="B1183">
        <v>1324732630</v>
      </c>
      <c r="C1183" t="s">
        <v>19</v>
      </c>
      <c r="D1183" t="s">
        <v>20</v>
      </c>
      <c r="E1183" s="29">
        <v>46207</v>
      </c>
      <c r="F1183" t="s">
        <v>5</v>
      </c>
      <c r="G1183" s="28">
        <v>0.73124999999999996</v>
      </c>
      <c r="H1183" s="28">
        <v>0.73124999999999996</v>
      </c>
      <c r="I1183">
        <v>0</v>
      </c>
      <c r="J1183" t="s">
        <v>174</v>
      </c>
      <c r="K1183">
        <v>0</v>
      </c>
      <c r="L1183" t="s">
        <v>333</v>
      </c>
      <c r="M1183" t="s">
        <v>263</v>
      </c>
      <c r="N1183" t="s">
        <v>264</v>
      </c>
      <c r="O1183" t="s">
        <v>265</v>
      </c>
      <c r="P1183" t="s">
        <v>3449</v>
      </c>
    </row>
    <row r="1184" spans="1:16" x14ac:dyDescent="0.35">
      <c r="A1184" t="s">
        <v>85</v>
      </c>
      <c r="B1184">
        <v>1324732630</v>
      </c>
      <c r="C1184" t="s">
        <v>19</v>
      </c>
      <c r="D1184" t="s">
        <v>20</v>
      </c>
      <c r="E1184" s="29">
        <v>46207</v>
      </c>
      <c r="F1184" t="s">
        <v>5</v>
      </c>
      <c r="G1184" s="28">
        <v>0.73819444444444449</v>
      </c>
      <c r="H1184" s="28">
        <v>0.75902777777777775</v>
      </c>
      <c r="I1184">
        <v>0</v>
      </c>
      <c r="J1184" t="s">
        <v>146</v>
      </c>
      <c r="K1184">
        <v>1</v>
      </c>
      <c r="L1184" t="s">
        <v>147</v>
      </c>
      <c r="M1184" t="s">
        <v>324</v>
      </c>
      <c r="N1184" t="s">
        <v>325</v>
      </c>
      <c r="O1184" t="s">
        <v>326</v>
      </c>
      <c r="P1184" t="s">
        <v>3487</v>
      </c>
    </row>
    <row r="1185" spans="1:16" x14ac:dyDescent="0.35">
      <c r="A1185" t="s">
        <v>85</v>
      </c>
      <c r="B1185">
        <v>1324732630</v>
      </c>
      <c r="C1185" t="s">
        <v>19</v>
      </c>
      <c r="D1185" t="s">
        <v>20</v>
      </c>
      <c r="E1185" s="29">
        <v>46207</v>
      </c>
      <c r="F1185" t="s">
        <v>5</v>
      </c>
      <c r="G1185" s="28">
        <v>0.76597222222222228</v>
      </c>
      <c r="H1185" s="28">
        <v>0.76597222222222228</v>
      </c>
      <c r="I1185">
        <v>0</v>
      </c>
      <c r="J1185" t="s">
        <v>174</v>
      </c>
      <c r="K1185">
        <v>0</v>
      </c>
      <c r="L1185" t="s">
        <v>2953</v>
      </c>
      <c r="M1185" t="s">
        <v>3492</v>
      </c>
      <c r="N1185" t="s">
        <v>3493</v>
      </c>
      <c r="O1185" t="s">
        <v>3494</v>
      </c>
      <c r="P1185" t="s">
        <v>3495</v>
      </c>
    </row>
    <row r="1186" spans="1:16" x14ac:dyDescent="0.35">
      <c r="A1186" t="s">
        <v>85</v>
      </c>
      <c r="B1186">
        <v>1324732630</v>
      </c>
      <c r="C1186" t="s">
        <v>19</v>
      </c>
      <c r="D1186" t="s">
        <v>20</v>
      </c>
      <c r="E1186" s="29">
        <v>46207</v>
      </c>
      <c r="F1186" t="s">
        <v>5</v>
      </c>
      <c r="G1186" s="28">
        <v>0.7729166666666667</v>
      </c>
      <c r="H1186" s="28">
        <v>0.7729166666666667</v>
      </c>
      <c r="I1186">
        <v>0</v>
      </c>
      <c r="J1186" t="s">
        <v>174</v>
      </c>
      <c r="K1186">
        <v>0</v>
      </c>
      <c r="L1186" t="s">
        <v>663</v>
      </c>
      <c r="M1186" t="s">
        <v>3496</v>
      </c>
      <c r="N1186" t="s">
        <v>3497</v>
      </c>
      <c r="O1186" t="s">
        <v>3498</v>
      </c>
      <c r="P1186" t="s">
        <v>3499</v>
      </c>
    </row>
    <row r="1187" spans="1:16" x14ac:dyDescent="0.35">
      <c r="A1187" t="s">
        <v>85</v>
      </c>
      <c r="B1187">
        <v>1324732630</v>
      </c>
      <c r="C1187" t="s">
        <v>19</v>
      </c>
      <c r="D1187" t="s">
        <v>20</v>
      </c>
      <c r="E1187" s="29">
        <v>46207</v>
      </c>
      <c r="F1187" t="s">
        <v>5</v>
      </c>
      <c r="G1187" s="28">
        <v>0.77986111111111112</v>
      </c>
      <c r="H1187" s="28">
        <v>0.77986111111111112</v>
      </c>
      <c r="I1187">
        <v>0</v>
      </c>
      <c r="J1187" t="s">
        <v>174</v>
      </c>
      <c r="K1187">
        <v>0</v>
      </c>
      <c r="L1187" t="s">
        <v>3500</v>
      </c>
      <c r="M1187" t="s">
        <v>3501</v>
      </c>
      <c r="N1187" t="s">
        <v>3502</v>
      </c>
      <c r="O1187" t="s">
        <v>3503</v>
      </c>
      <c r="P1187" t="s">
        <v>3504</v>
      </c>
    </row>
    <row r="1188" spans="1:16" x14ac:dyDescent="0.35">
      <c r="A1188" t="s">
        <v>85</v>
      </c>
      <c r="B1188">
        <v>1324732630</v>
      </c>
      <c r="C1188" t="s">
        <v>19</v>
      </c>
      <c r="D1188" t="s">
        <v>20</v>
      </c>
      <c r="E1188" s="29">
        <v>46207</v>
      </c>
      <c r="F1188" t="s">
        <v>5</v>
      </c>
      <c r="G1188" s="28">
        <v>0.78680555555555554</v>
      </c>
      <c r="H1188" s="28">
        <v>0.78680555555555554</v>
      </c>
      <c r="I1188">
        <v>0</v>
      </c>
      <c r="J1188" t="s">
        <v>174</v>
      </c>
      <c r="K1188">
        <v>0</v>
      </c>
      <c r="L1188" t="s">
        <v>2194</v>
      </c>
      <c r="M1188" t="s">
        <v>3427</v>
      </c>
      <c r="N1188" t="s">
        <v>3428</v>
      </c>
      <c r="O1188" t="s">
        <v>3429</v>
      </c>
      <c r="P1188" t="s">
        <v>3430</v>
      </c>
    </row>
    <row r="1189" spans="1:16" x14ac:dyDescent="0.35">
      <c r="A1189" t="s">
        <v>85</v>
      </c>
      <c r="B1189">
        <v>1324732630</v>
      </c>
      <c r="C1189" t="s">
        <v>19</v>
      </c>
      <c r="D1189" t="s">
        <v>20</v>
      </c>
      <c r="E1189" s="29">
        <v>46208</v>
      </c>
      <c r="F1189" t="s">
        <v>6</v>
      </c>
      <c r="G1189" s="28">
        <v>0.39097222222222222</v>
      </c>
      <c r="H1189" s="28">
        <v>0.39097222222222222</v>
      </c>
      <c r="I1189">
        <v>0</v>
      </c>
      <c r="J1189" t="s">
        <v>174</v>
      </c>
      <c r="K1189">
        <v>0</v>
      </c>
      <c r="L1189" t="s">
        <v>3401</v>
      </c>
      <c r="M1189" t="s">
        <v>3406</v>
      </c>
      <c r="N1189" t="s">
        <v>3407</v>
      </c>
      <c r="O1189" t="s">
        <v>3408</v>
      </c>
      <c r="P1189" t="s">
        <v>3409</v>
      </c>
    </row>
    <row r="1190" spans="1:16" x14ac:dyDescent="0.35">
      <c r="A1190" t="s">
        <v>85</v>
      </c>
      <c r="B1190">
        <v>1324732630</v>
      </c>
      <c r="C1190" t="s">
        <v>19</v>
      </c>
      <c r="D1190" t="s">
        <v>20</v>
      </c>
      <c r="E1190" s="29">
        <v>46208</v>
      </c>
      <c r="F1190" t="s">
        <v>6</v>
      </c>
      <c r="G1190" s="28">
        <v>0.39861111111111114</v>
      </c>
      <c r="H1190" s="28">
        <v>0.39861111111111114</v>
      </c>
      <c r="I1190">
        <v>0</v>
      </c>
      <c r="J1190" t="s">
        <v>174</v>
      </c>
      <c r="K1190">
        <v>0</v>
      </c>
      <c r="L1190" t="s">
        <v>3401</v>
      </c>
      <c r="M1190" t="s">
        <v>3402</v>
      </c>
      <c r="N1190" t="s">
        <v>3403</v>
      </c>
      <c r="O1190" t="s">
        <v>3404</v>
      </c>
      <c r="P1190" t="s">
        <v>3405</v>
      </c>
    </row>
    <row r="1191" spans="1:16" x14ac:dyDescent="0.35">
      <c r="A1191" t="s">
        <v>85</v>
      </c>
      <c r="B1191">
        <v>1324732630</v>
      </c>
      <c r="C1191" t="s">
        <v>19</v>
      </c>
      <c r="D1191" t="s">
        <v>20</v>
      </c>
      <c r="E1191" s="29">
        <v>46208</v>
      </c>
      <c r="F1191" t="s">
        <v>6</v>
      </c>
      <c r="G1191" s="28">
        <v>0.40486111111111112</v>
      </c>
      <c r="H1191" s="28">
        <v>0.40486111111111112</v>
      </c>
      <c r="I1191">
        <v>0</v>
      </c>
      <c r="J1191" t="s">
        <v>174</v>
      </c>
      <c r="K1191">
        <v>0</v>
      </c>
      <c r="L1191" t="s">
        <v>3401</v>
      </c>
      <c r="M1191" t="s">
        <v>3406</v>
      </c>
      <c r="N1191" t="s">
        <v>3407</v>
      </c>
      <c r="O1191" t="s">
        <v>3408</v>
      </c>
      <c r="P1191" t="s">
        <v>3409</v>
      </c>
    </row>
    <row r="1192" spans="1:16" x14ac:dyDescent="0.35">
      <c r="A1192" t="s">
        <v>85</v>
      </c>
      <c r="B1192">
        <v>1324732630</v>
      </c>
      <c r="C1192" t="s">
        <v>19</v>
      </c>
      <c r="D1192" t="s">
        <v>20</v>
      </c>
      <c r="E1192" s="29">
        <v>46208</v>
      </c>
      <c r="F1192" t="s">
        <v>6</v>
      </c>
      <c r="G1192" s="28">
        <v>0.41249999999999998</v>
      </c>
      <c r="H1192" s="28">
        <v>0.41249999999999998</v>
      </c>
      <c r="I1192">
        <v>0</v>
      </c>
      <c r="J1192" t="s">
        <v>174</v>
      </c>
      <c r="K1192">
        <v>0</v>
      </c>
      <c r="L1192" t="s">
        <v>3401</v>
      </c>
      <c r="M1192" t="s">
        <v>3402</v>
      </c>
      <c r="N1192" t="s">
        <v>3403</v>
      </c>
      <c r="O1192" t="s">
        <v>3404</v>
      </c>
      <c r="P1192" t="s">
        <v>3405</v>
      </c>
    </row>
    <row r="1193" spans="1:16" x14ac:dyDescent="0.35">
      <c r="A1193" t="s">
        <v>85</v>
      </c>
      <c r="B1193">
        <v>1324732630</v>
      </c>
      <c r="C1193" t="s">
        <v>19</v>
      </c>
      <c r="D1193" t="s">
        <v>20</v>
      </c>
      <c r="E1193" s="29">
        <v>46208</v>
      </c>
      <c r="F1193" t="s">
        <v>6</v>
      </c>
      <c r="G1193" s="28">
        <v>0.41875000000000001</v>
      </c>
      <c r="H1193" s="28">
        <v>0.43263888888888891</v>
      </c>
      <c r="I1193">
        <v>0</v>
      </c>
      <c r="J1193" t="s">
        <v>146</v>
      </c>
      <c r="K1193">
        <v>1</v>
      </c>
      <c r="L1193" t="s">
        <v>147</v>
      </c>
      <c r="M1193" t="s">
        <v>3406</v>
      </c>
      <c r="N1193" t="s">
        <v>3407</v>
      </c>
      <c r="O1193" t="s">
        <v>3408</v>
      </c>
      <c r="P1193" t="s">
        <v>3409</v>
      </c>
    </row>
    <row r="1194" spans="1:16" x14ac:dyDescent="0.35">
      <c r="A1194" t="s">
        <v>85</v>
      </c>
      <c r="B1194">
        <v>1324732630</v>
      </c>
      <c r="C1194" t="s">
        <v>19</v>
      </c>
      <c r="D1194" t="s">
        <v>20</v>
      </c>
      <c r="E1194" s="29">
        <v>46208</v>
      </c>
      <c r="F1194" t="s">
        <v>6</v>
      </c>
      <c r="G1194" s="28">
        <v>0.43958333333333333</v>
      </c>
      <c r="H1194" s="28">
        <v>0.43958333333333333</v>
      </c>
      <c r="I1194">
        <v>0</v>
      </c>
      <c r="J1194" t="s">
        <v>174</v>
      </c>
      <c r="K1194">
        <v>0</v>
      </c>
      <c r="L1194" t="s">
        <v>1037</v>
      </c>
      <c r="M1194" t="s">
        <v>3416</v>
      </c>
      <c r="N1194" t="s">
        <v>3417</v>
      </c>
      <c r="O1194" t="s">
        <v>3418</v>
      </c>
      <c r="P1194" t="s">
        <v>3419</v>
      </c>
    </row>
    <row r="1195" spans="1:16" x14ac:dyDescent="0.35">
      <c r="A1195" t="s">
        <v>85</v>
      </c>
      <c r="B1195">
        <v>1324732630</v>
      </c>
      <c r="C1195" t="s">
        <v>19</v>
      </c>
      <c r="D1195" t="s">
        <v>20</v>
      </c>
      <c r="E1195" s="29">
        <v>46208</v>
      </c>
      <c r="F1195" t="s">
        <v>6</v>
      </c>
      <c r="G1195" s="28">
        <v>0.4465277777777778</v>
      </c>
      <c r="H1195" s="28">
        <v>0.45347222222222222</v>
      </c>
      <c r="I1195">
        <v>0</v>
      </c>
      <c r="J1195" t="s">
        <v>146</v>
      </c>
      <c r="K1195">
        <v>0</v>
      </c>
      <c r="L1195" t="s">
        <v>147</v>
      </c>
      <c r="M1195" t="s">
        <v>3505</v>
      </c>
      <c r="N1195" t="s">
        <v>3506</v>
      </c>
      <c r="O1195" t="s">
        <v>3507</v>
      </c>
      <c r="P1195" t="s">
        <v>3508</v>
      </c>
    </row>
    <row r="1196" spans="1:16" x14ac:dyDescent="0.35">
      <c r="A1196" t="s">
        <v>85</v>
      </c>
      <c r="B1196">
        <v>1324732630</v>
      </c>
      <c r="C1196" t="s">
        <v>19</v>
      </c>
      <c r="D1196" t="s">
        <v>20</v>
      </c>
      <c r="E1196" s="29">
        <v>46208</v>
      </c>
      <c r="F1196" t="s">
        <v>6</v>
      </c>
      <c r="G1196" s="28">
        <v>0.46041666666666664</v>
      </c>
      <c r="H1196" s="28">
        <v>0.46041666666666664</v>
      </c>
      <c r="I1196">
        <v>0</v>
      </c>
      <c r="J1196" t="s">
        <v>174</v>
      </c>
      <c r="K1196">
        <v>0</v>
      </c>
      <c r="L1196" t="s">
        <v>267</v>
      </c>
      <c r="M1196" t="s">
        <v>3422</v>
      </c>
      <c r="N1196" t="s">
        <v>3423</v>
      </c>
      <c r="O1196" t="s">
        <v>3424</v>
      </c>
      <c r="P1196" t="s">
        <v>3425</v>
      </c>
    </row>
    <row r="1197" spans="1:16" x14ac:dyDescent="0.35">
      <c r="A1197" t="s">
        <v>85</v>
      </c>
      <c r="B1197">
        <v>1324732630</v>
      </c>
      <c r="C1197" t="s">
        <v>19</v>
      </c>
      <c r="D1197" t="s">
        <v>20</v>
      </c>
      <c r="E1197" s="29">
        <v>46208</v>
      </c>
      <c r="F1197" t="s">
        <v>6</v>
      </c>
      <c r="G1197" s="28">
        <v>0.46736111111111112</v>
      </c>
      <c r="H1197" s="28">
        <v>0.46736111111111112</v>
      </c>
      <c r="I1197">
        <v>0</v>
      </c>
      <c r="J1197" t="s">
        <v>174</v>
      </c>
      <c r="K1197">
        <v>0</v>
      </c>
      <c r="L1197" t="s">
        <v>186</v>
      </c>
      <c r="M1197" t="s">
        <v>3509</v>
      </c>
      <c r="N1197" t="s">
        <v>3510</v>
      </c>
      <c r="O1197" t="s">
        <v>3511</v>
      </c>
      <c r="P1197" t="s">
        <v>3512</v>
      </c>
    </row>
    <row r="1198" spans="1:16" x14ac:dyDescent="0.35">
      <c r="A1198" t="s">
        <v>85</v>
      </c>
      <c r="B1198">
        <v>1324732630</v>
      </c>
      <c r="C1198" t="s">
        <v>19</v>
      </c>
      <c r="D1198" t="s">
        <v>20</v>
      </c>
      <c r="E1198" s="29">
        <v>46208</v>
      </c>
      <c r="F1198" t="s">
        <v>6</v>
      </c>
      <c r="G1198" s="28">
        <v>0.47430555555555554</v>
      </c>
      <c r="H1198" s="28">
        <v>0.47430555555555554</v>
      </c>
      <c r="I1198">
        <v>0</v>
      </c>
      <c r="J1198" t="s">
        <v>174</v>
      </c>
      <c r="K1198">
        <v>0</v>
      </c>
      <c r="L1198" t="s">
        <v>3513</v>
      </c>
      <c r="M1198" t="s">
        <v>3514</v>
      </c>
      <c r="N1198" t="s">
        <v>3515</v>
      </c>
      <c r="O1198" t="s">
        <v>3516</v>
      </c>
      <c r="P1198" t="s">
        <v>3517</v>
      </c>
    </row>
    <row r="1199" spans="1:16" x14ac:dyDescent="0.35">
      <c r="A1199" t="s">
        <v>85</v>
      </c>
      <c r="B1199">
        <v>1324732630</v>
      </c>
      <c r="C1199" t="s">
        <v>19</v>
      </c>
      <c r="D1199" t="s">
        <v>20</v>
      </c>
      <c r="E1199" s="29">
        <v>46208</v>
      </c>
      <c r="F1199" t="s">
        <v>6</v>
      </c>
      <c r="G1199" s="28">
        <v>0.48125000000000001</v>
      </c>
      <c r="H1199" s="28">
        <v>0.48125000000000001</v>
      </c>
      <c r="I1199">
        <v>0</v>
      </c>
      <c r="J1199" t="s">
        <v>174</v>
      </c>
      <c r="K1199">
        <v>0</v>
      </c>
      <c r="L1199" t="s">
        <v>3518</v>
      </c>
      <c r="M1199" t="s">
        <v>3519</v>
      </c>
      <c r="N1199" t="s">
        <v>3520</v>
      </c>
      <c r="O1199" t="s">
        <v>3521</v>
      </c>
      <c r="P1199" t="s">
        <v>3517</v>
      </c>
    </row>
    <row r="1200" spans="1:16" x14ac:dyDescent="0.35">
      <c r="A1200" t="s">
        <v>85</v>
      </c>
      <c r="B1200">
        <v>1324732630</v>
      </c>
      <c r="C1200" t="s">
        <v>19</v>
      </c>
      <c r="D1200" t="s">
        <v>20</v>
      </c>
      <c r="E1200" s="29">
        <v>46208</v>
      </c>
      <c r="F1200" t="s">
        <v>6</v>
      </c>
      <c r="G1200" s="28">
        <v>0.48819444444444443</v>
      </c>
      <c r="H1200" s="28">
        <v>0.48819444444444443</v>
      </c>
      <c r="I1200">
        <v>0</v>
      </c>
      <c r="J1200" t="s">
        <v>174</v>
      </c>
      <c r="K1200">
        <v>0</v>
      </c>
      <c r="L1200" t="s">
        <v>1855</v>
      </c>
      <c r="M1200" t="s">
        <v>3522</v>
      </c>
      <c r="N1200" t="s">
        <v>3523</v>
      </c>
      <c r="O1200" t="s">
        <v>3524</v>
      </c>
      <c r="P1200" t="s">
        <v>3525</v>
      </c>
    </row>
    <row r="1201" spans="1:16" x14ac:dyDescent="0.35">
      <c r="A1201" t="s">
        <v>85</v>
      </c>
      <c r="B1201">
        <v>1324732630</v>
      </c>
      <c r="C1201" t="s">
        <v>19</v>
      </c>
      <c r="D1201" t="s">
        <v>20</v>
      </c>
      <c r="E1201" s="29">
        <v>46208</v>
      </c>
      <c r="F1201" t="s">
        <v>6</v>
      </c>
      <c r="G1201" s="28">
        <v>0.49513888888888891</v>
      </c>
      <c r="H1201" s="28">
        <v>0.49513888888888891</v>
      </c>
      <c r="I1201">
        <v>0</v>
      </c>
      <c r="J1201" t="s">
        <v>174</v>
      </c>
      <c r="K1201">
        <v>0</v>
      </c>
      <c r="L1201" t="s">
        <v>3526</v>
      </c>
      <c r="M1201" t="s">
        <v>1327</v>
      </c>
      <c r="N1201" t="s">
        <v>1328</v>
      </c>
      <c r="O1201" t="s">
        <v>1329</v>
      </c>
      <c r="P1201" t="s">
        <v>1330</v>
      </c>
    </row>
    <row r="1202" spans="1:16" x14ac:dyDescent="0.35">
      <c r="A1202" t="s">
        <v>85</v>
      </c>
      <c r="B1202">
        <v>1324732630</v>
      </c>
      <c r="C1202" t="s">
        <v>19</v>
      </c>
      <c r="D1202" t="s">
        <v>20</v>
      </c>
      <c r="E1202" s="29">
        <v>46208</v>
      </c>
      <c r="F1202" t="s">
        <v>6</v>
      </c>
      <c r="G1202" s="28">
        <v>0.50208333333333333</v>
      </c>
      <c r="H1202" s="28">
        <v>0.51597222222222228</v>
      </c>
      <c r="I1202">
        <v>0</v>
      </c>
      <c r="J1202" t="s">
        <v>146</v>
      </c>
      <c r="K1202">
        <v>1</v>
      </c>
      <c r="L1202" t="s">
        <v>147</v>
      </c>
      <c r="M1202" t="s">
        <v>3527</v>
      </c>
      <c r="N1202" t="s">
        <v>3528</v>
      </c>
      <c r="O1202" t="s">
        <v>3529</v>
      </c>
      <c r="P1202" t="s">
        <v>3530</v>
      </c>
    </row>
    <row r="1203" spans="1:16" x14ac:dyDescent="0.35">
      <c r="A1203" t="s">
        <v>85</v>
      </c>
      <c r="B1203">
        <v>1324732630</v>
      </c>
      <c r="C1203" t="s">
        <v>19</v>
      </c>
      <c r="D1203" t="s">
        <v>20</v>
      </c>
      <c r="E1203" s="29">
        <v>46208</v>
      </c>
      <c r="F1203" t="s">
        <v>6</v>
      </c>
      <c r="G1203" s="28">
        <v>0.5229166666666667</v>
      </c>
      <c r="H1203" s="28">
        <v>0.5229166666666667</v>
      </c>
      <c r="I1203">
        <v>0</v>
      </c>
      <c r="J1203" t="s">
        <v>174</v>
      </c>
      <c r="K1203">
        <v>0</v>
      </c>
      <c r="L1203" t="s">
        <v>3531</v>
      </c>
      <c r="M1203" t="s">
        <v>3532</v>
      </c>
      <c r="N1203" t="s">
        <v>3533</v>
      </c>
      <c r="O1203" t="s">
        <v>3534</v>
      </c>
      <c r="P1203" t="s">
        <v>3535</v>
      </c>
    </row>
    <row r="1204" spans="1:16" x14ac:dyDescent="0.35">
      <c r="A1204" t="s">
        <v>85</v>
      </c>
      <c r="B1204">
        <v>1324732630</v>
      </c>
      <c r="C1204" t="s">
        <v>19</v>
      </c>
      <c r="D1204" t="s">
        <v>20</v>
      </c>
      <c r="E1204" s="29">
        <v>46208</v>
      </c>
      <c r="F1204" t="s">
        <v>6</v>
      </c>
      <c r="G1204" s="28">
        <v>0.52986111111111112</v>
      </c>
      <c r="H1204" s="28">
        <v>0.57152777777777775</v>
      </c>
      <c r="I1204">
        <v>1</v>
      </c>
      <c r="J1204" t="s">
        <v>146</v>
      </c>
      <c r="K1204">
        <v>3</v>
      </c>
      <c r="L1204" t="s">
        <v>147</v>
      </c>
      <c r="M1204" t="s">
        <v>3527</v>
      </c>
      <c r="N1204" t="s">
        <v>3528</v>
      </c>
      <c r="O1204" t="s">
        <v>3529</v>
      </c>
      <c r="P1204" t="s">
        <v>3530</v>
      </c>
    </row>
    <row r="1205" spans="1:16" x14ac:dyDescent="0.35">
      <c r="A1205" t="s">
        <v>85</v>
      </c>
      <c r="B1205">
        <v>1324732630</v>
      </c>
      <c r="C1205" t="s">
        <v>19</v>
      </c>
      <c r="D1205" t="s">
        <v>20</v>
      </c>
      <c r="E1205" s="29">
        <v>46208</v>
      </c>
      <c r="F1205" t="s">
        <v>6</v>
      </c>
      <c r="G1205" s="28">
        <v>0.57847222222222228</v>
      </c>
      <c r="H1205" s="28">
        <v>0.57847222222222228</v>
      </c>
      <c r="I1205">
        <v>0</v>
      </c>
      <c r="J1205" t="s">
        <v>174</v>
      </c>
      <c r="K1205">
        <v>0</v>
      </c>
      <c r="L1205" t="s">
        <v>3536</v>
      </c>
      <c r="M1205" t="s">
        <v>3537</v>
      </c>
      <c r="N1205" t="s">
        <v>3538</v>
      </c>
      <c r="O1205" t="s">
        <v>3539</v>
      </c>
      <c r="P1205" t="s">
        <v>1209</v>
      </c>
    </row>
    <row r="1206" spans="1:16" x14ac:dyDescent="0.35">
      <c r="A1206" t="s">
        <v>85</v>
      </c>
      <c r="B1206">
        <v>1324732630</v>
      </c>
      <c r="C1206" t="s">
        <v>19</v>
      </c>
      <c r="D1206" t="s">
        <v>20</v>
      </c>
      <c r="E1206" s="29">
        <v>46208</v>
      </c>
      <c r="F1206" t="s">
        <v>6</v>
      </c>
      <c r="G1206" s="28">
        <v>0.5854166666666667</v>
      </c>
      <c r="H1206" s="28">
        <v>0.60624999999999996</v>
      </c>
      <c r="I1206">
        <v>0</v>
      </c>
      <c r="J1206" t="s">
        <v>146</v>
      </c>
      <c r="K1206">
        <v>1</v>
      </c>
      <c r="L1206" t="s">
        <v>147</v>
      </c>
      <c r="M1206" t="s">
        <v>3527</v>
      </c>
      <c r="N1206" t="s">
        <v>3528</v>
      </c>
      <c r="O1206" t="s">
        <v>3529</v>
      </c>
      <c r="P1206" t="s">
        <v>3530</v>
      </c>
    </row>
    <row r="1207" spans="1:16" x14ac:dyDescent="0.35">
      <c r="A1207" t="s">
        <v>85</v>
      </c>
      <c r="B1207">
        <v>1324732630</v>
      </c>
      <c r="C1207" t="s">
        <v>19</v>
      </c>
      <c r="D1207" t="s">
        <v>20</v>
      </c>
      <c r="E1207" s="29">
        <v>46208</v>
      </c>
      <c r="F1207" t="s">
        <v>6</v>
      </c>
      <c r="G1207" s="28">
        <v>0.61319444444444449</v>
      </c>
      <c r="H1207" s="28">
        <v>0.61319444444444449</v>
      </c>
      <c r="I1207">
        <v>0</v>
      </c>
      <c r="J1207" t="s">
        <v>174</v>
      </c>
      <c r="K1207">
        <v>0</v>
      </c>
      <c r="L1207" t="s">
        <v>1331</v>
      </c>
      <c r="M1207" t="s">
        <v>3537</v>
      </c>
      <c r="N1207" t="s">
        <v>3538</v>
      </c>
      <c r="O1207" t="s">
        <v>3539</v>
      </c>
      <c r="P1207" t="s">
        <v>1209</v>
      </c>
    </row>
    <row r="1208" spans="1:16" x14ac:dyDescent="0.35">
      <c r="A1208" t="s">
        <v>85</v>
      </c>
      <c r="B1208">
        <v>1324732630</v>
      </c>
      <c r="C1208" t="s">
        <v>19</v>
      </c>
      <c r="D1208" t="s">
        <v>20</v>
      </c>
      <c r="E1208" s="29">
        <v>46208</v>
      </c>
      <c r="F1208" t="s">
        <v>6</v>
      </c>
      <c r="G1208" s="28">
        <v>0.62013888888888891</v>
      </c>
      <c r="H1208" s="28">
        <v>0.62013888888888891</v>
      </c>
      <c r="I1208">
        <v>0</v>
      </c>
      <c r="J1208" t="s">
        <v>174</v>
      </c>
      <c r="K1208">
        <v>0</v>
      </c>
      <c r="L1208" t="s">
        <v>1331</v>
      </c>
      <c r="M1208" t="s">
        <v>3540</v>
      </c>
      <c r="N1208" t="s">
        <v>3541</v>
      </c>
      <c r="O1208" t="s">
        <v>3542</v>
      </c>
      <c r="P1208" t="s">
        <v>3543</v>
      </c>
    </row>
    <row r="1209" spans="1:16" x14ac:dyDescent="0.35">
      <c r="A1209" t="s">
        <v>85</v>
      </c>
      <c r="B1209">
        <v>1324732630</v>
      </c>
      <c r="C1209" t="s">
        <v>19</v>
      </c>
      <c r="D1209" t="s">
        <v>20</v>
      </c>
      <c r="E1209" s="29">
        <v>46208</v>
      </c>
      <c r="F1209" t="s">
        <v>6</v>
      </c>
      <c r="G1209" s="28">
        <v>0.62708333333333333</v>
      </c>
      <c r="H1209" s="28">
        <v>0.76597222222222228</v>
      </c>
      <c r="I1209">
        <v>3</v>
      </c>
      <c r="J1209" t="s">
        <v>146</v>
      </c>
      <c r="K1209">
        <v>10</v>
      </c>
      <c r="L1209" t="s">
        <v>147</v>
      </c>
      <c r="M1209" t="s">
        <v>3537</v>
      </c>
      <c r="N1209" t="s">
        <v>3538</v>
      </c>
      <c r="O1209" t="s">
        <v>3539</v>
      </c>
      <c r="P1209" t="s">
        <v>1209</v>
      </c>
    </row>
    <row r="1210" spans="1:16" x14ac:dyDescent="0.35">
      <c r="A1210" t="s">
        <v>85</v>
      </c>
      <c r="B1210">
        <v>1324732630</v>
      </c>
      <c r="C1210" t="s">
        <v>19</v>
      </c>
      <c r="D1210" t="s">
        <v>20</v>
      </c>
      <c r="E1210" s="29">
        <v>46208</v>
      </c>
      <c r="F1210" t="s">
        <v>6</v>
      </c>
      <c r="G1210" s="28">
        <v>0.7729166666666667</v>
      </c>
      <c r="H1210" s="28">
        <v>0.7729166666666667</v>
      </c>
      <c r="I1210">
        <v>0</v>
      </c>
      <c r="J1210" t="s">
        <v>174</v>
      </c>
      <c r="K1210">
        <v>0</v>
      </c>
      <c r="L1210" t="s">
        <v>648</v>
      </c>
      <c r="M1210" t="s">
        <v>3532</v>
      </c>
      <c r="N1210" t="s">
        <v>3533</v>
      </c>
      <c r="O1210" t="s">
        <v>3534</v>
      </c>
      <c r="P1210" t="s">
        <v>3535</v>
      </c>
    </row>
    <row r="1211" spans="1:16" x14ac:dyDescent="0.35">
      <c r="A1211" t="s">
        <v>85</v>
      </c>
      <c r="B1211">
        <v>1324732630</v>
      </c>
      <c r="C1211" t="s">
        <v>19</v>
      </c>
      <c r="D1211" t="s">
        <v>20</v>
      </c>
      <c r="E1211" s="29">
        <v>46208</v>
      </c>
      <c r="F1211" t="s">
        <v>6</v>
      </c>
      <c r="G1211" s="28">
        <v>0.77986111111111112</v>
      </c>
      <c r="H1211" s="28">
        <v>0.77986111111111112</v>
      </c>
      <c r="I1211">
        <v>0</v>
      </c>
      <c r="J1211" t="s">
        <v>174</v>
      </c>
      <c r="K1211">
        <v>0</v>
      </c>
      <c r="L1211" t="s">
        <v>3536</v>
      </c>
      <c r="M1211" t="s">
        <v>3537</v>
      </c>
      <c r="N1211" t="s">
        <v>3538</v>
      </c>
      <c r="O1211" t="s">
        <v>3539</v>
      </c>
      <c r="P1211" t="s">
        <v>1209</v>
      </c>
    </row>
    <row r="1212" spans="1:16" x14ac:dyDescent="0.35">
      <c r="A1212" t="s">
        <v>85</v>
      </c>
      <c r="B1212">
        <v>1324732630</v>
      </c>
      <c r="C1212" t="s">
        <v>19</v>
      </c>
      <c r="D1212" t="s">
        <v>20</v>
      </c>
      <c r="E1212" s="29">
        <v>46208</v>
      </c>
      <c r="F1212" t="s">
        <v>6</v>
      </c>
      <c r="G1212" s="28">
        <v>0.78680555555555554</v>
      </c>
      <c r="H1212" s="28">
        <v>0.78680555555555554</v>
      </c>
      <c r="I1212">
        <v>0</v>
      </c>
      <c r="J1212" t="s">
        <v>174</v>
      </c>
      <c r="K1212">
        <v>0</v>
      </c>
      <c r="L1212" t="s">
        <v>3536</v>
      </c>
      <c r="M1212" t="s">
        <v>3527</v>
      </c>
      <c r="N1212" t="s">
        <v>3528</v>
      </c>
      <c r="O1212" t="s">
        <v>3529</v>
      </c>
      <c r="P1212" t="s">
        <v>3530</v>
      </c>
    </row>
    <row r="1213" spans="1:16" x14ac:dyDescent="0.35">
      <c r="A1213" t="s">
        <v>129</v>
      </c>
      <c r="B1213">
        <v>1704124042</v>
      </c>
      <c r="C1213" t="s">
        <v>18</v>
      </c>
      <c r="D1213" t="s">
        <v>21</v>
      </c>
      <c r="E1213" s="29">
        <v>46204</v>
      </c>
      <c r="F1213" t="s">
        <v>3</v>
      </c>
      <c r="G1213" s="28">
        <v>0.37847222222222221</v>
      </c>
      <c r="H1213" s="28">
        <v>0.41319444444444442</v>
      </c>
      <c r="I1213">
        <v>1</v>
      </c>
      <c r="J1213" t="s">
        <v>146</v>
      </c>
      <c r="K1213">
        <v>2</v>
      </c>
      <c r="L1213" t="s">
        <v>147</v>
      </c>
      <c r="M1213" t="s">
        <v>3544</v>
      </c>
      <c r="N1213" t="s">
        <v>3545</v>
      </c>
      <c r="O1213" t="s">
        <v>3546</v>
      </c>
      <c r="P1213" t="s">
        <v>3547</v>
      </c>
    </row>
    <row r="1214" spans="1:16" x14ac:dyDescent="0.35">
      <c r="A1214" t="s">
        <v>129</v>
      </c>
      <c r="B1214">
        <v>1704124042</v>
      </c>
      <c r="C1214" t="s">
        <v>18</v>
      </c>
      <c r="D1214" t="s">
        <v>21</v>
      </c>
      <c r="E1214" s="29">
        <v>46204</v>
      </c>
      <c r="F1214" t="s">
        <v>3</v>
      </c>
      <c r="G1214" s="28">
        <v>0.4201388888888889</v>
      </c>
      <c r="H1214" s="28">
        <v>0.43402777777777779</v>
      </c>
      <c r="I1214">
        <v>0</v>
      </c>
      <c r="J1214" t="s">
        <v>146</v>
      </c>
      <c r="K1214">
        <v>1</v>
      </c>
      <c r="L1214" t="s">
        <v>147</v>
      </c>
      <c r="M1214" t="s">
        <v>3548</v>
      </c>
      <c r="N1214" t="s">
        <v>3549</v>
      </c>
      <c r="O1214" t="s">
        <v>3550</v>
      </c>
      <c r="P1214" t="s">
        <v>3551</v>
      </c>
    </row>
    <row r="1215" spans="1:16" x14ac:dyDescent="0.35">
      <c r="A1215" t="s">
        <v>129</v>
      </c>
      <c r="B1215">
        <v>1704124042</v>
      </c>
      <c r="C1215" t="s">
        <v>18</v>
      </c>
      <c r="D1215" t="s">
        <v>21</v>
      </c>
      <c r="E1215" s="29">
        <v>46204</v>
      </c>
      <c r="F1215" t="s">
        <v>3</v>
      </c>
      <c r="G1215" s="28">
        <v>0.44097222222222221</v>
      </c>
      <c r="H1215" s="28">
        <v>0.44097222222222221</v>
      </c>
      <c r="I1215">
        <v>0</v>
      </c>
      <c r="J1215" t="s">
        <v>174</v>
      </c>
      <c r="K1215">
        <v>0</v>
      </c>
      <c r="L1215" t="s">
        <v>3552</v>
      </c>
      <c r="M1215" t="s">
        <v>3553</v>
      </c>
      <c r="N1215" t="s">
        <v>3554</v>
      </c>
      <c r="O1215" t="s">
        <v>3555</v>
      </c>
      <c r="P1215" t="s">
        <v>3556</v>
      </c>
    </row>
    <row r="1216" spans="1:16" x14ac:dyDescent="0.35">
      <c r="A1216" t="s">
        <v>129</v>
      </c>
      <c r="B1216">
        <v>1704124042</v>
      </c>
      <c r="C1216" t="s">
        <v>18</v>
      </c>
      <c r="D1216" t="s">
        <v>21</v>
      </c>
      <c r="E1216" s="29">
        <v>46204</v>
      </c>
      <c r="F1216" t="s">
        <v>3</v>
      </c>
      <c r="G1216" s="28">
        <v>0.44791666666666669</v>
      </c>
      <c r="H1216" s="28">
        <v>0.44791666666666669</v>
      </c>
      <c r="I1216">
        <v>0</v>
      </c>
      <c r="J1216" t="s">
        <v>174</v>
      </c>
      <c r="K1216">
        <v>0</v>
      </c>
      <c r="L1216" t="s">
        <v>3552</v>
      </c>
      <c r="M1216" t="s">
        <v>3548</v>
      </c>
      <c r="N1216" t="s">
        <v>3549</v>
      </c>
      <c r="O1216" t="s">
        <v>3550</v>
      </c>
      <c r="P1216" t="s">
        <v>3551</v>
      </c>
    </row>
    <row r="1217" spans="1:16" x14ac:dyDescent="0.35">
      <c r="A1217" t="s">
        <v>129</v>
      </c>
      <c r="B1217">
        <v>1704124042</v>
      </c>
      <c r="C1217" t="s">
        <v>18</v>
      </c>
      <c r="D1217" t="s">
        <v>21</v>
      </c>
      <c r="E1217" s="29">
        <v>46204</v>
      </c>
      <c r="F1217" t="s">
        <v>3</v>
      </c>
      <c r="G1217" s="28">
        <v>0.4548611111111111</v>
      </c>
      <c r="H1217" s="28">
        <v>0.4548611111111111</v>
      </c>
      <c r="I1217">
        <v>0</v>
      </c>
      <c r="J1217" t="s">
        <v>174</v>
      </c>
      <c r="K1217">
        <v>0</v>
      </c>
      <c r="L1217" t="s">
        <v>3552</v>
      </c>
      <c r="M1217" t="s">
        <v>3553</v>
      </c>
      <c r="N1217" t="s">
        <v>3554</v>
      </c>
      <c r="O1217" t="s">
        <v>3555</v>
      </c>
      <c r="P1217" t="s">
        <v>3556</v>
      </c>
    </row>
    <row r="1218" spans="1:16" x14ac:dyDescent="0.35">
      <c r="A1218" t="s">
        <v>129</v>
      </c>
      <c r="B1218">
        <v>1704124042</v>
      </c>
      <c r="C1218" t="s">
        <v>18</v>
      </c>
      <c r="D1218" t="s">
        <v>21</v>
      </c>
      <c r="E1218" s="29">
        <v>46204</v>
      </c>
      <c r="F1218" t="s">
        <v>3</v>
      </c>
      <c r="G1218" s="28">
        <v>0.46180555555555558</v>
      </c>
      <c r="H1218" s="28">
        <v>0.46875</v>
      </c>
      <c r="I1218">
        <v>0</v>
      </c>
      <c r="J1218" t="s">
        <v>146</v>
      </c>
      <c r="K1218">
        <v>0</v>
      </c>
      <c r="L1218" t="s">
        <v>147</v>
      </c>
      <c r="M1218" t="s">
        <v>3548</v>
      </c>
      <c r="N1218" t="s">
        <v>3549</v>
      </c>
      <c r="O1218" t="s">
        <v>3550</v>
      </c>
      <c r="P1218" t="s">
        <v>3551</v>
      </c>
    </row>
    <row r="1219" spans="1:16" x14ac:dyDescent="0.35">
      <c r="A1219" t="s">
        <v>129</v>
      </c>
      <c r="B1219">
        <v>1704124042</v>
      </c>
      <c r="C1219" t="s">
        <v>18</v>
      </c>
      <c r="D1219" t="s">
        <v>21</v>
      </c>
      <c r="E1219" s="29">
        <v>46204</v>
      </c>
      <c r="F1219" t="s">
        <v>3</v>
      </c>
      <c r="G1219" s="28">
        <v>0.47569444444444442</v>
      </c>
      <c r="H1219" s="28">
        <v>0.58680555555555558</v>
      </c>
      <c r="I1219">
        <v>3</v>
      </c>
      <c r="J1219" t="s">
        <v>146</v>
      </c>
      <c r="K1219">
        <v>8</v>
      </c>
      <c r="L1219" t="s">
        <v>147</v>
      </c>
      <c r="M1219" t="s">
        <v>3557</v>
      </c>
      <c r="N1219" t="s">
        <v>3558</v>
      </c>
      <c r="O1219" t="s">
        <v>3559</v>
      </c>
      <c r="P1219" t="s">
        <v>3560</v>
      </c>
    </row>
    <row r="1220" spans="1:16" x14ac:dyDescent="0.35">
      <c r="A1220" t="s">
        <v>129</v>
      </c>
      <c r="B1220">
        <v>1704124042</v>
      </c>
      <c r="C1220" t="s">
        <v>18</v>
      </c>
      <c r="D1220" t="s">
        <v>21</v>
      </c>
      <c r="E1220" s="29">
        <v>46204</v>
      </c>
      <c r="F1220" t="s">
        <v>3</v>
      </c>
      <c r="G1220" s="28">
        <v>0.59375</v>
      </c>
      <c r="H1220" s="28">
        <v>0.59375</v>
      </c>
      <c r="I1220">
        <v>0</v>
      </c>
      <c r="J1220" t="s">
        <v>174</v>
      </c>
      <c r="K1220">
        <v>0</v>
      </c>
      <c r="L1220" t="s">
        <v>1307</v>
      </c>
      <c r="M1220" t="s">
        <v>3561</v>
      </c>
      <c r="N1220" t="s">
        <v>3562</v>
      </c>
      <c r="O1220" t="s">
        <v>3563</v>
      </c>
      <c r="P1220" t="s">
        <v>3564</v>
      </c>
    </row>
    <row r="1221" spans="1:16" x14ac:dyDescent="0.35">
      <c r="A1221" t="s">
        <v>129</v>
      </c>
      <c r="B1221">
        <v>1704124042</v>
      </c>
      <c r="C1221" t="s">
        <v>18</v>
      </c>
      <c r="D1221" t="s">
        <v>21</v>
      </c>
      <c r="E1221" s="29">
        <v>46204</v>
      </c>
      <c r="F1221" t="s">
        <v>3</v>
      </c>
      <c r="G1221" s="28">
        <v>0.60069444444444442</v>
      </c>
      <c r="H1221" s="28">
        <v>0.60069444444444442</v>
      </c>
      <c r="I1221">
        <v>0</v>
      </c>
      <c r="J1221" t="s">
        <v>174</v>
      </c>
      <c r="K1221">
        <v>0</v>
      </c>
      <c r="L1221" t="s">
        <v>695</v>
      </c>
      <c r="M1221" t="s">
        <v>3565</v>
      </c>
      <c r="N1221" t="s">
        <v>3566</v>
      </c>
      <c r="O1221" t="s">
        <v>3567</v>
      </c>
      <c r="P1221" t="s">
        <v>3568</v>
      </c>
    </row>
    <row r="1222" spans="1:16" x14ac:dyDescent="0.35">
      <c r="A1222" t="s">
        <v>129</v>
      </c>
      <c r="B1222">
        <v>1704124042</v>
      </c>
      <c r="C1222" t="s">
        <v>18</v>
      </c>
      <c r="D1222" t="s">
        <v>21</v>
      </c>
      <c r="E1222" s="29">
        <v>46204</v>
      </c>
      <c r="F1222" t="s">
        <v>3</v>
      </c>
      <c r="G1222" s="28">
        <v>0.60763888888888884</v>
      </c>
      <c r="H1222" s="28">
        <v>0.60763888888888884</v>
      </c>
      <c r="I1222">
        <v>0</v>
      </c>
      <c r="J1222" t="s">
        <v>174</v>
      </c>
      <c r="K1222">
        <v>0</v>
      </c>
      <c r="L1222" t="s">
        <v>2466</v>
      </c>
      <c r="M1222" t="s">
        <v>3569</v>
      </c>
      <c r="N1222" t="s">
        <v>3570</v>
      </c>
      <c r="O1222" t="s">
        <v>3571</v>
      </c>
      <c r="P1222" t="s">
        <v>3572</v>
      </c>
    </row>
    <row r="1223" spans="1:16" x14ac:dyDescent="0.35">
      <c r="A1223" t="s">
        <v>129</v>
      </c>
      <c r="B1223">
        <v>1704124042</v>
      </c>
      <c r="C1223" t="s">
        <v>18</v>
      </c>
      <c r="D1223" t="s">
        <v>21</v>
      </c>
      <c r="E1223" s="29">
        <v>46204</v>
      </c>
      <c r="F1223" t="s">
        <v>3</v>
      </c>
      <c r="G1223" s="28">
        <v>0.61458333333333337</v>
      </c>
      <c r="H1223" s="28">
        <v>0.66319444444444442</v>
      </c>
      <c r="I1223">
        <v>1</v>
      </c>
      <c r="J1223" t="s">
        <v>146</v>
      </c>
      <c r="K1223">
        <v>4</v>
      </c>
      <c r="L1223" t="s">
        <v>147</v>
      </c>
      <c r="M1223" t="s">
        <v>3573</v>
      </c>
      <c r="N1223" t="s">
        <v>3574</v>
      </c>
      <c r="O1223" t="s">
        <v>3575</v>
      </c>
      <c r="P1223" t="s">
        <v>3576</v>
      </c>
    </row>
    <row r="1224" spans="1:16" x14ac:dyDescent="0.35">
      <c r="A1224" t="s">
        <v>129</v>
      </c>
      <c r="B1224">
        <v>1704124042</v>
      </c>
      <c r="C1224" t="s">
        <v>18</v>
      </c>
      <c r="D1224" t="s">
        <v>21</v>
      </c>
      <c r="E1224" s="29">
        <v>46204</v>
      </c>
      <c r="F1224" t="s">
        <v>3</v>
      </c>
      <c r="G1224" s="28">
        <v>0.67013888888888884</v>
      </c>
      <c r="H1224" s="28">
        <v>0.69097222222222221</v>
      </c>
      <c r="I1224">
        <v>1</v>
      </c>
      <c r="J1224" t="s">
        <v>146</v>
      </c>
      <c r="K1224">
        <v>2</v>
      </c>
      <c r="L1224" t="s">
        <v>147</v>
      </c>
      <c r="M1224" t="s">
        <v>3548</v>
      </c>
      <c r="N1224" t="s">
        <v>3549</v>
      </c>
      <c r="O1224" t="s">
        <v>3550</v>
      </c>
      <c r="P1224" t="s">
        <v>3551</v>
      </c>
    </row>
    <row r="1225" spans="1:16" x14ac:dyDescent="0.35">
      <c r="A1225" t="s">
        <v>129</v>
      </c>
      <c r="B1225">
        <v>1704124042</v>
      </c>
      <c r="C1225" t="s">
        <v>18</v>
      </c>
      <c r="D1225" t="s">
        <v>21</v>
      </c>
      <c r="E1225" s="29">
        <v>46204</v>
      </c>
      <c r="F1225" t="s">
        <v>3</v>
      </c>
      <c r="G1225" s="28">
        <v>0.69791666666666663</v>
      </c>
      <c r="H1225" s="28">
        <v>0.69791666666666663</v>
      </c>
      <c r="I1225">
        <v>0</v>
      </c>
      <c r="J1225" t="s">
        <v>174</v>
      </c>
      <c r="K1225">
        <v>0</v>
      </c>
      <c r="L1225" t="s">
        <v>1164</v>
      </c>
      <c r="M1225" t="s">
        <v>3577</v>
      </c>
      <c r="N1225" t="s">
        <v>3578</v>
      </c>
      <c r="O1225" t="s">
        <v>3579</v>
      </c>
      <c r="P1225" t="s">
        <v>3580</v>
      </c>
    </row>
    <row r="1226" spans="1:16" x14ac:dyDescent="0.35">
      <c r="A1226" t="s">
        <v>129</v>
      </c>
      <c r="B1226">
        <v>1704124042</v>
      </c>
      <c r="C1226" t="s">
        <v>18</v>
      </c>
      <c r="D1226" t="s">
        <v>21</v>
      </c>
      <c r="E1226" s="29">
        <v>46204</v>
      </c>
      <c r="F1226" t="s">
        <v>3</v>
      </c>
      <c r="G1226" s="28">
        <v>0.70486111111111116</v>
      </c>
      <c r="H1226" s="28">
        <v>0.71180555555555558</v>
      </c>
      <c r="I1226">
        <v>0</v>
      </c>
      <c r="J1226" t="s">
        <v>146</v>
      </c>
      <c r="K1226">
        <v>0</v>
      </c>
      <c r="L1226" t="s">
        <v>147</v>
      </c>
      <c r="M1226" t="s">
        <v>3581</v>
      </c>
      <c r="N1226" t="s">
        <v>3582</v>
      </c>
      <c r="O1226" t="s">
        <v>3583</v>
      </c>
      <c r="P1226" t="s">
        <v>3584</v>
      </c>
    </row>
    <row r="1227" spans="1:16" x14ac:dyDescent="0.35">
      <c r="A1227" t="s">
        <v>129</v>
      </c>
      <c r="B1227">
        <v>1704124042</v>
      </c>
      <c r="C1227" t="s">
        <v>18</v>
      </c>
      <c r="D1227" t="s">
        <v>21</v>
      </c>
      <c r="E1227" s="29">
        <v>46204</v>
      </c>
      <c r="F1227" t="s">
        <v>3</v>
      </c>
      <c r="G1227" s="28">
        <v>0.71875</v>
      </c>
      <c r="H1227" s="28">
        <v>0.71875</v>
      </c>
      <c r="I1227">
        <v>0</v>
      </c>
      <c r="J1227" t="s">
        <v>174</v>
      </c>
      <c r="K1227">
        <v>0</v>
      </c>
      <c r="L1227" t="s">
        <v>323</v>
      </c>
      <c r="M1227" t="s">
        <v>3581</v>
      </c>
      <c r="N1227" t="s">
        <v>3585</v>
      </c>
      <c r="O1227" t="s">
        <v>3586</v>
      </c>
      <c r="P1227" t="s">
        <v>3587</v>
      </c>
    </row>
    <row r="1228" spans="1:16" x14ac:dyDescent="0.35">
      <c r="A1228" t="s">
        <v>129</v>
      </c>
      <c r="B1228">
        <v>1704124042</v>
      </c>
      <c r="C1228" t="s">
        <v>18</v>
      </c>
      <c r="D1228" t="s">
        <v>21</v>
      </c>
      <c r="E1228" s="29">
        <v>46204</v>
      </c>
      <c r="F1228" t="s">
        <v>3</v>
      </c>
      <c r="G1228" s="28">
        <v>0.72569444444444442</v>
      </c>
      <c r="H1228" s="28">
        <v>0.76736111111111116</v>
      </c>
      <c r="I1228">
        <v>1</v>
      </c>
      <c r="J1228" t="s">
        <v>146</v>
      </c>
      <c r="K1228">
        <v>3</v>
      </c>
      <c r="L1228" t="s">
        <v>147</v>
      </c>
      <c r="M1228" t="s">
        <v>3581</v>
      </c>
      <c r="N1228" t="s">
        <v>3582</v>
      </c>
      <c r="O1228" t="s">
        <v>3583</v>
      </c>
      <c r="P1228" t="s">
        <v>3584</v>
      </c>
    </row>
    <row r="1229" spans="1:16" x14ac:dyDescent="0.35">
      <c r="A1229" t="s">
        <v>129</v>
      </c>
      <c r="B1229">
        <v>1704124042</v>
      </c>
      <c r="C1229" t="s">
        <v>18</v>
      </c>
      <c r="D1229" t="s">
        <v>21</v>
      </c>
      <c r="E1229" s="29">
        <v>46204</v>
      </c>
      <c r="F1229" t="s">
        <v>3</v>
      </c>
      <c r="G1229" s="28">
        <v>0.77430555555555558</v>
      </c>
      <c r="H1229" s="28">
        <v>0.77430555555555558</v>
      </c>
      <c r="I1229">
        <v>0</v>
      </c>
      <c r="J1229" t="s">
        <v>174</v>
      </c>
      <c r="K1229">
        <v>0</v>
      </c>
      <c r="L1229" t="s">
        <v>394</v>
      </c>
      <c r="M1229" t="s">
        <v>3588</v>
      </c>
      <c r="N1229" t="s">
        <v>3589</v>
      </c>
      <c r="O1229" t="s">
        <v>3590</v>
      </c>
      <c r="P1229" t="s">
        <v>3591</v>
      </c>
    </row>
    <row r="1230" spans="1:16" x14ac:dyDescent="0.35">
      <c r="A1230" t="s">
        <v>129</v>
      </c>
      <c r="B1230">
        <v>1704124042</v>
      </c>
      <c r="C1230" t="s">
        <v>18</v>
      </c>
      <c r="D1230" t="s">
        <v>21</v>
      </c>
      <c r="E1230" s="29">
        <v>46204</v>
      </c>
      <c r="F1230" t="s">
        <v>3</v>
      </c>
      <c r="G1230" s="28">
        <v>0.78125</v>
      </c>
      <c r="H1230" s="28">
        <v>0.78125</v>
      </c>
      <c r="I1230">
        <v>0</v>
      </c>
      <c r="J1230" t="s">
        <v>174</v>
      </c>
      <c r="K1230">
        <v>0</v>
      </c>
      <c r="L1230" t="s">
        <v>394</v>
      </c>
      <c r="M1230" t="s">
        <v>3592</v>
      </c>
      <c r="N1230" t="s">
        <v>3593</v>
      </c>
      <c r="O1230" t="s">
        <v>3594</v>
      </c>
      <c r="P1230" t="s">
        <v>3576</v>
      </c>
    </row>
    <row r="1231" spans="1:16" x14ac:dyDescent="0.35">
      <c r="A1231" t="s">
        <v>129</v>
      </c>
      <c r="B1231">
        <v>1704124042</v>
      </c>
      <c r="C1231" t="s">
        <v>18</v>
      </c>
      <c r="D1231" t="s">
        <v>21</v>
      </c>
      <c r="E1231" s="29">
        <v>46204</v>
      </c>
      <c r="F1231" t="s">
        <v>3</v>
      </c>
      <c r="G1231" s="28">
        <v>0.78819444444444442</v>
      </c>
      <c r="H1231" s="28">
        <v>0.78819444444444442</v>
      </c>
      <c r="I1231">
        <v>0</v>
      </c>
      <c r="J1231" t="s">
        <v>174</v>
      </c>
      <c r="K1231">
        <v>0</v>
      </c>
      <c r="L1231" t="s">
        <v>1271</v>
      </c>
      <c r="M1231" t="s">
        <v>3588</v>
      </c>
      <c r="N1231" t="s">
        <v>3589</v>
      </c>
      <c r="O1231" t="s">
        <v>3590</v>
      </c>
      <c r="P1231" t="s">
        <v>3591</v>
      </c>
    </row>
    <row r="1232" spans="1:16" x14ac:dyDescent="0.35">
      <c r="A1232" t="s">
        <v>129</v>
      </c>
      <c r="B1232">
        <v>1704124042</v>
      </c>
      <c r="C1232" t="s">
        <v>18</v>
      </c>
      <c r="D1232" t="s">
        <v>21</v>
      </c>
      <c r="E1232" s="29">
        <v>46205</v>
      </c>
      <c r="F1232" t="s">
        <v>4</v>
      </c>
      <c r="G1232" s="28">
        <v>0.41319444444444442</v>
      </c>
      <c r="H1232" s="28">
        <v>0.49652777777777779</v>
      </c>
      <c r="I1232">
        <v>2</v>
      </c>
      <c r="J1232" t="s">
        <v>146</v>
      </c>
      <c r="K1232">
        <v>6</v>
      </c>
      <c r="L1232" t="s">
        <v>147</v>
      </c>
      <c r="M1232" t="s">
        <v>3548</v>
      </c>
      <c r="N1232" t="s">
        <v>3549</v>
      </c>
      <c r="O1232" t="s">
        <v>3550</v>
      </c>
      <c r="P1232" t="s">
        <v>3551</v>
      </c>
    </row>
    <row r="1233" spans="1:16" x14ac:dyDescent="0.35">
      <c r="A1233" t="s">
        <v>129</v>
      </c>
      <c r="B1233">
        <v>1704124042</v>
      </c>
      <c r="C1233" t="s">
        <v>18</v>
      </c>
      <c r="D1233" t="s">
        <v>21</v>
      </c>
      <c r="E1233" s="29">
        <v>46205</v>
      </c>
      <c r="F1233" t="s">
        <v>4</v>
      </c>
      <c r="G1233" s="28">
        <v>0.50347222222222221</v>
      </c>
      <c r="H1233" s="28">
        <v>0.50347222222222221</v>
      </c>
      <c r="I1233">
        <v>0</v>
      </c>
      <c r="J1233" t="s">
        <v>174</v>
      </c>
      <c r="K1233">
        <v>0</v>
      </c>
      <c r="L1233" t="s">
        <v>3595</v>
      </c>
      <c r="M1233" t="s">
        <v>3596</v>
      </c>
      <c r="N1233" t="s">
        <v>3597</v>
      </c>
      <c r="O1233" t="s">
        <v>3598</v>
      </c>
      <c r="P1233" t="s">
        <v>3599</v>
      </c>
    </row>
    <row r="1234" spans="1:16" x14ac:dyDescent="0.35">
      <c r="A1234" t="s">
        <v>129</v>
      </c>
      <c r="B1234">
        <v>1704124042</v>
      </c>
      <c r="C1234" t="s">
        <v>18</v>
      </c>
      <c r="D1234" t="s">
        <v>21</v>
      </c>
      <c r="E1234" s="29">
        <v>46205</v>
      </c>
      <c r="F1234" t="s">
        <v>4</v>
      </c>
      <c r="G1234" s="28">
        <v>0.51041666666666663</v>
      </c>
      <c r="H1234" s="28">
        <v>0.53125</v>
      </c>
      <c r="I1234">
        <v>1</v>
      </c>
      <c r="J1234" t="s">
        <v>146</v>
      </c>
      <c r="K1234">
        <v>2</v>
      </c>
      <c r="L1234" t="s">
        <v>147</v>
      </c>
      <c r="M1234" t="s">
        <v>3600</v>
      </c>
      <c r="N1234" t="s">
        <v>3601</v>
      </c>
      <c r="O1234" t="s">
        <v>3602</v>
      </c>
      <c r="P1234" t="s">
        <v>3603</v>
      </c>
    </row>
    <row r="1235" spans="1:16" x14ac:dyDescent="0.35">
      <c r="A1235" t="s">
        <v>129</v>
      </c>
      <c r="B1235">
        <v>1704124042</v>
      </c>
      <c r="C1235" t="s">
        <v>18</v>
      </c>
      <c r="D1235" t="s">
        <v>21</v>
      </c>
      <c r="E1235" s="29">
        <v>46205</v>
      </c>
      <c r="F1235" t="s">
        <v>4</v>
      </c>
      <c r="G1235" s="28">
        <v>0.53819444444444442</v>
      </c>
      <c r="H1235" s="28">
        <v>0.54513888888888884</v>
      </c>
      <c r="I1235">
        <v>0</v>
      </c>
      <c r="J1235" t="s">
        <v>146</v>
      </c>
      <c r="K1235">
        <v>0</v>
      </c>
      <c r="L1235" t="s">
        <v>147</v>
      </c>
      <c r="M1235" t="s">
        <v>3557</v>
      </c>
      <c r="N1235" t="s">
        <v>3558</v>
      </c>
      <c r="O1235" t="s">
        <v>3559</v>
      </c>
      <c r="P1235" t="s">
        <v>3560</v>
      </c>
    </row>
    <row r="1236" spans="1:16" x14ac:dyDescent="0.35">
      <c r="A1236" t="s">
        <v>129</v>
      </c>
      <c r="B1236">
        <v>1704124042</v>
      </c>
      <c r="C1236" t="s">
        <v>18</v>
      </c>
      <c r="D1236" t="s">
        <v>21</v>
      </c>
      <c r="E1236" s="29">
        <v>46205</v>
      </c>
      <c r="F1236" t="s">
        <v>4</v>
      </c>
      <c r="G1236" s="28">
        <v>0.55208333333333337</v>
      </c>
      <c r="H1236" s="28">
        <v>0.55902777777777779</v>
      </c>
      <c r="I1236">
        <v>0</v>
      </c>
      <c r="J1236" t="s">
        <v>146</v>
      </c>
      <c r="K1236">
        <v>0</v>
      </c>
      <c r="L1236" t="s">
        <v>147</v>
      </c>
      <c r="M1236" t="s">
        <v>3561</v>
      </c>
      <c r="N1236" t="s">
        <v>3562</v>
      </c>
      <c r="O1236" t="s">
        <v>3563</v>
      </c>
      <c r="P1236" t="s">
        <v>3564</v>
      </c>
    </row>
    <row r="1237" spans="1:16" x14ac:dyDescent="0.35">
      <c r="A1237" t="s">
        <v>129</v>
      </c>
      <c r="B1237">
        <v>1704124042</v>
      </c>
      <c r="C1237" t="s">
        <v>18</v>
      </c>
      <c r="D1237" t="s">
        <v>21</v>
      </c>
      <c r="E1237" s="29">
        <v>46205</v>
      </c>
      <c r="F1237" t="s">
        <v>4</v>
      </c>
      <c r="G1237" s="28">
        <v>0.56597222222222221</v>
      </c>
      <c r="H1237" s="28">
        <v>0.57291666666666663</v>
      </c>
      <c r="I1237">
        <v>0</v>
      </c>
      <c r="J1237" t="s">
        <v>146</v>
      </c>
      <c r="K1237">
        <v>0</v>
      </c>
      <c r="L1237" t="s">
        <v>147</v>
      </c>
      <c r="M1237" t="s">
        <v>3604</v>
      </c>
      <c r="N1237" t="s">
        <v>3605</v>
      </c>
      <c r="O1237" t="s">
        <v>3606</v>
      </c>
      <c r="P1237" t="s">
        <v>3607</v>
      </c>
    </row>
    <row r="1238" spans="1:16" x14ac:dyDescent="0.35">
      <c r="A1238" t="s">
        <v>129</v>
      </c>
      <c r="B1238">
        <v>1704124042</v>
      </c>
      <c r="C1238" t="s">
        <v>18</v>
      </c>
      <c r="D1238" t="s">
        <v>21</v>
      </c>
      <c r="E1238" s="29">
        <v>46205</v>
      </c>
      <c r="F1238" t="s">
        <v>4</v>
      </c>
      <c r="G1238" s="28">
        <v>0.57986111111111116</v>
      </c>
      <c r="H1238" s="28">
        <v>0.57986111111111116</v>
      </c>
      <c r="I1238">
        <v>0</v>
      </c>
      <c r="J1238" t="s">
        <v>174</v>
      </c>
      <c r="K1238">
        <v>0</v>
      </c>
      <c r="L1238" t="s">
        <v>3608</v>
      </c>
      <c r="M1238" t="s">
        <v>3561</v>
      </c>
      <c r="N1238" t="s">
        <v>3562</v>
      </c>
      <c r="O1238" t="s">
        <v>3563</v>
      </c>
      <c r="P1238" t="s">
        <v>3564</v>
      </c>
    </row>
    <row r="1239" spans="1:16" x14ac:dyDescent="0.35">
      <c r="A1239" t="s">
        <v>129</v>
      </c>
      <c r="B1239">
        <v>1704124042</v>
      </c>
      <c r="C1239" t="s">
        <v>18</v>
      </c>
      <c r="D1239" t="s">
        <v>21</v>
      </c>
      <c r="E1239" s="29">
        <v>46205</v>
      </c>
      <c r="F1239" t="s">
        <v>4</v>
      </c>
      <c r="G1239" s="28">
        <v>0.58680555555555558</v>
      </c>
      <c r="H1239" s="28">
        <v>0.58680555555555558</v>
      </c>
      <c r="I1239">
        <v>0</v>
      </c>
      <c r="J1239" t="s">
        <v>174</v>
      </c>
      <c r="K1239">
        <v>0</v>
      </c>
      <c r="L1239" t="s">
        <v>3552</v>
      </c>
      <c r="M1239" t="s">
        <v>3548</v>
      </c>
      <c r="N1239" t="s">
        <v>3549</v>
      </c>
      <c r="O1239" t="s">
        <v>3550</v>
      </c>
      <c r="P1239" t="s">
        <v>3551</v>
      </c>
    </row>
    <row r="1240" spans="1:16" x14ac:dyDescent="0.35">
      <c r="A1240" t="s">
        <v>129</v>
      </c>
      <c r="B1240">
        <v>1704124042</v>
      </c>
      <c r="C1240" t="s">
        <v>18</v>
      </c>
      <c r="D1240" t="s">
        <v>21</v>
      </c>
      <c r="E1240" s="29">
        <v>46205</v>
      </c>
      <c r="F1240" t="s">
        <v>4</v>
      </c>
      <c r="G1240" s="28">
        <v>0.59375</v>
      </c>
      <c r="H1240" s="28">
        <v>0.59375</v>
      </c>
      <c r="I1240">
        <v>0</v>
      </c>
      <c r="J1240" t="s">
        <v>174</v>
      </c>
      <c r="K1240">
        <v>0</v>
      </c>
      <c r="L1240" t="s">
        <v>3552</v>
      </c>
      <c r="M1240" t="s">
        <v>3553</v>
      </c>
      <c r="N1240" t="s">
        <v>3554</v>
      </c>
      <c r="O1240" t="s">
        <v>3555</v>
      </c>
      <c r="P1240" t="s">
        <v>3556</v>
      </c>
    </row>
    <row r="1241" spans="1:16" x14ac:dyDescent="0.35">
      <c r="A1241" t="s">
        <v>129</v>
      </c>
      <c r="B1241">
        <v>1704124042</v>
      </c>
      <c r="C1241" t="s">
        <v>18</v>
      </c>
      <c r="D1241" t="s">
        <v>21</v>
      </c>
      <c r="E1241" s="29">
        <v>46205</v>
      </c>
      <c r="F1241" t="s">
        <v>4</v>
      </c>
      <c r="G1241" s="28">
        <v>0.60069444444444442</v>
      </c>
      <c r="H1241" s="28">
        <v>0.63541666666666663</v>
      </c>
      <c r="I1241">
        <v>1</v>
      </c>
      <c r="J1241" t="s">
        <v>146</v>
      </c>
      <c r="K1241">
        <v>2</v>
      </c>
      <c r="L1241" t="s">
        <v>147</v>
      </c>
      <c r="M1241" t="s">
        <v>3548</v>
      </c>
      <c r="N1241" t="s">
        <v>3549</v>
      </c>
      <c r="O1241" t="s">
        <v>3550</v>
      </c>
      <c r="P1241" t="s">
        <v>3551</v>
      </c>
    </row>
    <row r="1242" spans="1:16" x14ac:dyDescent="0.35">
      <c r="A1242" t="s">
        <v>129</v>
      </c>
      <c r="B1242">
        <v>1704124042</v>
      </c>
      <c r="C1242" t="s">
        <v>18</v>
      </c>
      <c r="D1242" t="s">
        <v>21</v>
      </c>
      <c r="E1242" s="29">
        <v>46205</v>
      </c>
      <c r="F1242" t="s">
        <v>4</v>
      </c>
      <c r="G1242" s="28">
        <v>0.64236111111111116</v>
      </c>
      <c r="H1242" s="28">
        <v>0.64236111111111116</v>
      </c>
      <c r="I1242">
        <v>0</v>
      </c>
      <c r="J1242" t="s">
        <v>174</v>
      </c>
      <c r="K1242">
        <v>0</v>
      </c>
      <c r="L1242" t="s">
        <v>3120</v>
      </c>
      <c r="M1242" t="s">
        <v>3544</v>
      </c>
      <c r="N1242" t="s">
        <v>3545</v>
      </c>
      <c r="O1242" t="s">
        <v>3546</v>
      </c>
      <c r="P1242" t="s">
        <v>3547</v>
      </c>
    </row>
    <row r="1243" spans="1:16" x14ac:dyDescent="0.35">
      <c r="A1243" t="s">
        <v>129</v>
      </c>
      <c r="B1243">
        <v>1704124042</v>
      </c>
      <c r="C1243" t="s">
        <v>18</v>
      </c>
      <c r="D1243" t="s">
        <v>21</v>
      </c>
      <c r="E1243" s="29">
        <v>46205</v>
      </c>
      <c r="F1243" t="s">
        <v>4</v>
      </c>
      <c r="G1243" s="28">
        <v>0.64930555555555558</v>
      </c>
      <c r="H1243" s="28">
        <v>0.73958333333333337</v>
      </c>
      <c r="I1243">
        <v>2</v>
      </c>
      <c r="J1243" t="s">
        <v>146</v>
      </c>
      <c r="K1243">
        <v>6</v>
      </c>
      <c r="L1243" t="s">
        <v>147</v>
      </c>
      <c r="M1243" t="s">
        <v>3581</v>
      </c>
      <c r="N1243" t="s">
        <v>3582</v>
      </c>
      <c r="O1243" t="s">
        <v>3583</v>
      </c>
      <c r="P1243" t="s">
        <v>3584</v>
      </c>
    </row>
    <row r="1244" spans="1:16" x14ac:dyDescent="0.35">
      <c r="A1244" t="s">
        <v>129</v>
      </c>
      <c r="B1244">
        <v>1704124042</v>
      </c>
      <c r="C1244" t="s">
        <v>18</v>
      </c>
      <c r="D1244" t="s">
        <v>21</v>
      </c>
      <c r="E1244" s="29">
        <v>46205</v>
      </c>
      <c r="F1244" t="s">
        <v>4</v>
      </c>
      <c r="G1244" s="28">
        <v>0.74652777777777779</v>
      </c>
      <c r="H1244" s="28">
        <v>0.74652777777777779</v>
      </c>
      <c r="I1244">
        <v>0</v>
      </c>
      <c r="J1244" t="s">
        <v>174</v>
      </c>
      <c r="K1244">
        <v>0</v>
      </c>
      <c r="L1244" t="s">
        <v>323</v>
      </c>
      <c r="M1244" t="s">
        <v>3581</v>
      </c>
      <c r="N1244" t="s">
        <v>3585</v>
      </c>
      <c r="O1244" t="s">
        <v>3586</v>
      </c>
      <c r="P1244" t="s">
        <v>3587</v>
      </c>
    </row>
    <row r="1245" spans="1:16" x14ac:dyDescent="0.35">
      <c r="A1245" t="s">
        <v>129</v>
      </c>
      <c r="B1245">
        <v>1704124042</v>
      </c>
      <c r="C1245" t="s">
        <v>18</v>
      </c>
      <c r="D1245" t="s">
        <v>21</v>
      </c>
      <c r="E1245" s="29">
        <v>46205</v>
      </c>
      <c r="F1245" t="s">
        <v>4</v>
      </c>
      <c r="G1245" s="28">
        <v>0.75347222222222221</v>
      </c>
      <c r="H1245" s="28">
        <v>0.82291666666666663</v>
      </c>
      <c r="I1245">
        <v>2</v>
      </c>
      <c r="J1245" t="s">
        <v>146</v>
      </c>
      <c r="K1245">
        <v>5</v>
      </c>
      <c r="L1245" t="s">
        <v>147</v>
      </c>
      <c r="M1245" t="s">
        <v>3581</v>
      </c>
      <c r="N1245" t="s">
        <v>3582</v>
      </c>
      <c r="O1245" t="s">
        <v>3583</v>
      </c>
      <c r="P1245" t="s">
        <v>3584</v>
      </c>
    </row>
    <row r="1246" spans="1:16" x14ac:dyDescent="0.35">
      <c r="A1246" t="s">
        <v>129</v>
      </c>
      <c r="B1246">
        <v>1704124042</v>
      </c>
      <c r="C1246" t="s">
        <v>18</v>
      </c>
      <c r="D1246" t="s">
        <v>21</v>
      </c>
      <c r="E1246" s="29">
        <v>46207</v>
      </c>
      <c r="F1246" t="s">
        <v>5</v>
      </c>
      <c r="G1246" s="28">
        <v>0.37847222222222221</v>
      </c>
      <c r="H1246" s="28">
        <v>0.40625</v>
      </c>
      <c r="I1246">
        <v>1</v>
      </c>
      <c r="J1246" t="s">
        <v>146</v>
      </c>
      <c r="K1246">
        <v>2</v>
      </c>
      <c r="L1246" t="s">
        <v>147</v>
      </c>
      <c r="M1246" t="s">
        <v>3548</v>
      </c>
      <c r="N1246" t="s">
        <v>3549</v>
      </c>
      <c r="O1246" t="s">
        <v>3550</v>
      </c>
      <c r="P1246" t="s">
        <v>3551</v>
      </c>
    </row>
    <row r="1247" spans="1:16" x14ac:dyDescent="0.35">
      <c r="A1247" t="s">
        <v>129</v>
      </c>
      <c r="B1247">
        <v>1704124042</v>
      </c>
      <c r="C1247" t="s">
        <v>18</v>
      </c>
      <c r="D1247" t="s">
        <v>21</v>
      </c>
      <c r="E1247" s="29">
        <v>46207</v>
      </c>
      <c r="F1247" t="s">
        <v>5</v>
      </c>
      <c r="G1247" s="28">
        <v>0.41319444444444442</v>
      </c>
      <c r="H1247" s="28">
        <v>0.41319444444444442</v>
      </c>
      <c r="I1247">
        <v>0</v>
      </c>
      <c r="J1247" t="s">
        <v>174</v>
      </c>
      <c r="K1247">
        <v>0</v>
      </c>
      <c r="L1247" t="s">
        <v>3552</v>
      </c>
      <c r="M1247" t="s">
        <v>3553</v>
      </c>
      <c r="N1247" t="s">
        <v>3554</v>
      </c>
      <c r="O1247" t="s">
        <v>3555</v>
      </c>
      <c r="P1247" t="s">
        <v>3556</v>
      </c>
    </row>
    <row r="1248" spans="1:16" x14ac:dyDescent="0.35">
      <c r="A1248" t="s">
        <v>129</v>
      </c>
      <c r="B1248">
        <v>1704124042</v>
      </c>
      <c r="C1248" t="s">
        <v>18</v>
      </c>
      <c r="D1248" t="s">
        <v>21</v>
      </c>
      <c r="E1248" s="29">
        <v>46207</v>
      </c>
      <c r="F1248" t="s">
        <v>5</v>
      </c>
      <c r="G1248" s="28">
        <v>0.4201388888888889</v>
      </c>
      <c r="H1248" s="28">
        <v>0.43402777777777779</v>
      </c>
      <c r="I1248">
        <v>0</v>
      </c>
      <c r="J1248" t="s">
        <v>146</v>
      </c>
      <c r="K1248">
        <v>1</v>
      </c>
      <c r="L1248" t="s">
        <v>147</v>
      </c>
      <c r="M1248" t="s">
        <v>3548</v>
      </c>
      <c r="N1248" t="s">
        <v>3549</v>
      </c>
      <c r="O1248" t="s">
        <v>3550</v>
      </c>
      <c r="P1248" t="s">
        <v>3551</v>
      </c>
    </row>
    <row r="1249" spans="1:16" x14ac:dyDescent="0.35">
      <c r="A1249" t="s">
        <v>129</v>
      </c>
      <c r="B1249">
        <v>1704124042</v>
      </c>
      <c r="C1249" t="s">
        <v>18</v>
      </c>
      <c r="D1249" t="s">
        <v>21</v>
      </c>
      <c r="E1249" s="29">
        <v>46207</v>
      </c>
      <c r="F1249" t="s">
        <v>5</v>
      </c>
      <c r="G1249" s="28">
        <v>0.44097222222222221</v>
      </c>
      <c r="H1249" s="28">
        <v>0.44097222222222221</v>
      </c>
      <c r="I1249">
        <v>0</v>
      </c>
      <c r="J1249" t="s">
        <v>174</v>
      </c>
      <c r="K1249">
        <v>0</v>
      </c>
      <c r="L1249" t="s">
        <v>3552</v>
      </c>
      <c r="M1249" t="s">
        <v>3553</v>
      </c>
      <c r="N1249" t="s">
        <v>3554</v>
      </c>
      <c r="O1249" t="s">
        <v>3555</v>
      </c>
      <c r="P1249" t="s">
        <v>3556</v>
      </c>
    </row>
    <row r="1250" spans="1:16" x14ac:dyDescent="0.35">
      <c r="A1250" t="s">
        <v>129</v>
      </c>
      <c r="B1250">
        <v>1704124042</v>
      </c>
      <c r="C1250" t="s">
        <v>18</v>
      </c>
      <c r="D1250" t="s">
        <v>21</v>
      </c>
      <c r="E1250" s="29">
        <v>46207</v>
      </c>
      <c r="F1250" t="s">
        <v>5</v>
      </c>
      <c r="G1250" s="28">
        <v>0.44791666666666669</v>
      </c>
      <c r="H1250" s="28">
        <v>0.44791666666666669</v>
      </c>
      <c r="I1250">
        <v>0</v>
      </c>
      <c r="J1250" t="s">
        <v>174</v>
      </c>
      <c r="K1250">
        <v>0</v>
      </c>
      <c r="L1250" t="s">
        <v>3552</v>
      </c>
      <c r="M1250" t="s">
        <v>3548</v>
      </c>
      <c r="N1250" t="s">
        <v>3549</v>
      </c>
      <c r="O1250" t="s">
        <v>3550</v>
      </c>
      <c r="P1250" t="s">
        <v>3551</v>
      </c>
    </row>
    <row r="1251" spans="1:16" x14ac:dyDescent="0.35">
      <c r="A1251" t="s">
        <v>129</v>
      </c>
      <c r="B1251">
        <v>1704124042</v>
      </c>
      <c r="C1251" t="s">
        <v>18</v>
      </c>
      <c r="D1251" t="s">
        <v>21</v>
      </c>
      <c r="E1251" s="29">
        <v>46207</v>
      </c>
      <c r="F1251" t="s">
        <v>5</v>
      </c>
      <c r="G1251" s="28">
        <v>0.4548611111111111</v>
      </c>
      <c r="H1251" s="28">
        <v>0.4548611111111111</v>
      </c>
      <c r="I1251">
        <v>0</v>
      </c>
      <c r="J1251" t="s">
        <v>174</v>
      </c>
      <c r="K1251">
        <v>0</v>
      </c>
      <c r="L1251" t="s">
        <v>3552</v>
      </c>
      <c r="M1251" t="s">
        <v>3553</v>
      </c>
      <c r="N1251" t="s">
        <v>3554</v>
      </c>
      <c r="O1251" t="s">
        <v>3555</v>
      </c>
      <c r="P1251" t="s">
        <v>3556</v>
      </c>
    </row>
    <row r="1252" spans="1:16" x14ac:dyDescent="0.35">
      <c r="A1252" t="s">
        <v>129</v>
      </c>
      <c r="B1252">
        <v>1704124042</v>
      </c>
      <c r="C1252" t="s">
        <v>18</v>
      </c>
      <c r="D1252" t="s">
        <v>21</v>
      </c>
      <c r="E1252" s="29">
        <v>46207</v>
      </c>
      <c r="F1252" t="s">
        <v>5</v>
      </c>
      <c r="G1252" s="28">
        <v>0.46180555555555558</v>
      </c>
      <c r="H1252" s="28">
        <v>0.48958333333333331</v>
      </c>
      <c r="I1252">
        <v>1</v>
      </c>
      <c r="J1252" t="s">
        <v>146</v>
      </c>
      <c r="K1252">
        <v>2</v>
      </c>
      <c r="L1252" t="s">
        <v>147</v>
      </c>
      <c r="M1252" t="s">
        <v>3548</v>
      </c>
      <c r="N1252" t="s">
        <v>3549</v>
      </c>
      <c r="O1252" t="s">
        <v>3550</v>
      </c>
      <c r="P1252" t="s">
        <v>3551</v>
      </c>
    </row>
    <row r="1253" spans="1:16" x14ac:dyDescent="0.35">
      <c r="A1253" t="s">
        <v>129</v>
      </c>
      <c r="B1253">
        <v>1704124042</v>
      </c>
      <c r="C1253" t="s">
        <v>18</v>
      </c>
      <c r="D1253" t="s">
        <v>21</v>
      </c>
      <c r="E1253" s="29">
        <v>46207</v>
      </c>
      <c r="F1253" t="s">
        <v>5</v>
      </c>
      <c r="G1253" s="28">
        <v>0.49652777777777779</v>
      </c>
      <c r="H1253" s="28">
        <v>0.62152777777777779</v>
      </c>
      <c r="I1253">
        <v>3</v>
      </c>
      <c r="J1253" t="s">
        <v>146</v>
      </c>
      <c r="K1253">
        <v>9</v>
      </c>
      <c r="L1253" t="s">
        <v>147</v>
      </c>
      <c r="M1253" t="s">
        <v>3609</v>
      </c>
      <c r="N1253" t="s">
        <v>3582</v>
      </c>
      <c r="O1253" t="s">
        <v>3583</v>
      </c>
      <c r="P1253" t="s">
        <v>3584</v>
      </c>
    </row>
    <row r="1254" spans="1:16" x14ac:dyDescent="0.35">
      <c r="A1254" t="s">
        <v>129</v>
      </c>
      <c r="B1254">
        <v>1704124042</v>
      </c>
      <c r="C1254" t="s">
        <v>18</v>
      </c>
      <c r="D1254" t="s">
        <v>21</v>
      </c>
      <c r="E1254" s="29">
        <v>46207</v>
      </c>
      <c r="F1254" t="s">
        <v>5</v>
      </c>
      <c r="G1254" s="28">
        <v>0.62847222222222221</v>
      </c>
      <c r="H1254" s="28">
        <v>0.62847222222222221</v>
      </c>
      <c r="I1254">
        <v>0</v>
      </c>
      <c r="J1254" t="s">
        <v>174</v>
      </c>
      <c r="K1254">
        <v>0</v>
      </c>
      <c r="L1254" t="s">
        <v>213</v>
      </c>
      <c r="M1254" t="s">
        <v>3577</v>
      </c>
      <c r="N1254" t="s">
        <v>3578</v>
      </c>
      <c r="O1254" t="s">
        <v>3579</v>
      </c>
      <c r="P1254" t="s">
        <v>3580</v>
      </c>
    </row>
    <row r="1255" spans="1:16" x14ac:dyDescent="0.35">
      <c r="A1255" t="s">
        <v>129</v>
      </c>
      <c r="B1255">
        <v>1704124042</v>
      </c>
      <c r="C1255" t="s">
        <v>18</v>
      </c>
      <c r="D1255" t="s">
        <v>21</v>
      </c>
      <c r="E1255" s="29">
        <v>46207</v>
      </c>
      <c r="F1255" t="s">
        <v>5</v>
      </c>
      <c r="G1255" s="28">
        <v>0.63541666666666663</v>
      </c>
      <c r="H1255" s="28">
        <v>0.63541666666666663</v>
      </c>
      <c r="I1255">
        <v>0</v>
      </c>
      <c r="J1255" t="s">
        <v>174</v>
      </c>
      <c r="K1255">
        <v>0</v>
      </c>
      <c r="L1255" t="s">
        <v>3608</v>
      </c>
      <c r="M1255" t="s">
        <v>3610</v>
      </c>
      <c r="N1255" t="s">
        <v>3562</v>
      </c>
      <c r="O1255" t="s">
        <v>3563</v>
      </c>
      <c r="P1255" t="s">
        <v>3564</v>
      </c>
    </row>
    <row r="1256" spans="1:16" x14ac:dyDescent="0.35">
      <c r="A1256" t="s">
        <v>129</v>
      </c>
      <c r="B1256">
        <v>1704124042</v>
      </c>
      <c r="C1256" t="s">
        <v>18</v>
      </c>
      <c r="D1256" t="s">
        <v>21</v>
      </c>
      <c r="E1256" s="29">
        <v>46207</v>
      </c>
      <c r="F1256" t="s">
        <v>5</v>
      </c>
      <c r="G1256" s="28">
        <v>0.64236111111111116</v>
      </c>
      <c r="H1256" s="28">
        <v>0.69791666666666663</v>
      </c>
      <c r="I1256">
        <v>1</v>
      </c>
      <c r="J1256" t="s">
        <v>146</v>
      </c>
      <c r="K1256">
        <v>4</v>
      </c>
      <c r="L1256" t="s">
        <v>147</v>
      </c>
      <c r="M1256" t="s">
        <v>3548</v>
      </c>
      <c r="N1256" t="s">
        <v>3549</v>
      </c>
      <c r="O1256" t="s">
        <v>3550</v>
      </c>
      <c r="P1256" t="s">
        <v>3551</v>
      </c>
    </row>
    <row r="1257" spans="1:16" x14ac:dyDescent="0.35">
      <c r="A1257" t="s">
        <v>129</v>
      </c>
      <c r="B1257">
        <v>1704124042</v>
      </c>
      <c r="C1257" t="s">
        <v>18</v>
      </c>
      <c r="D1257" t="s">
        <v>21</v>
      </c>
      <c r="E1257" s="29">
        <v>46207</v>
      </c>
      <c r="F1257" t="s">
        <v>5</v>
      </c>
      <c r="G1257" s="28">
        <v>0.70486111111111116</v>
      </c>
      <c r="H1257" s="28">
        <v>0.71875</v>
      </c>
      <c r="I1257">
        <v>0</v>
      </c>
      <c r="J1257" t="s">
        <v>146</v>
      </c>
      <c r="K1257">
        <v>1</v>
      </c>
      <c r="L1257" t="s">
        <v>147</v>
      </c>
      <c r="M1257" t="s">
        <v>3604</v>
      </c>
      <c r="N1257" t="s">
        <v>3605</v>
      </c>
      <c r="O1257" t="s">
        <v>3606</v>
      </c>
      <c r="P1257" t="s">
        <v>3607</v>
      </c>
    </row>
    <row r="1258" spans="1:16" x14ac:dyDescent="0.35">
      <c r="A1258" t="s">
        <v>129</v>
      </c>
      <c r="B1258">
        <v>1704124042</v>
      </c>
      <c r="C1258" t="s">
        <v>18</v>
      </c>
      <c r="D1258" t="s">
        <v>21</v>
      </c>
      <c r="E1258" s="29">
        <v>46207</v>
      </c>
      <c r="F1258" t="s">
        <v>5</v>
      </c>
      <c r="G1258" s="28">
        <v>0.72569444444444442</v>
      </c>
      <c r="H1258" s="28">
        <v>0.72569444444444442</v>
      </c>
      <c r="I1258">
        <v>0</v>
      </c>
      <c r="J1258" t="s">
        <v>174</v>
      </c>
      <c r="K1258">
        <v>0</v>
      </c>
      <c r="L1258" t="s">
        <v>629</v>
      </c>
      <c r="M1258" t="s">
        <v>3565</v>
      </c>
      <c r="N1258" t="s">
        <v>3566</v>
      </c>
      <c r="O1258" t="s">
        <v>3567</v>
      </c>
      <c r="P1258" t="s">
        <v>3568</v>
      </c>
    </row>
    <row r="1259" spans="1:16" x14ac:dyDescent="0.35">
      <c r="A1259" t="s">
        <v>129</v>
      </c>
      <c r="B1259">
        <v>1704124042</v>
      </c>
      <c r="C1259" t="s">
        <v>18</v>
      </c>
      <c r="D1259" t="s">
        <v>21</v>
      </c>
      <c r="E1259" s="29">
        <v>46207</v>
      </c>
      <c r="F1259" t="s">
        <v>5</v>
      </c>
      <c r="G1259" s="28">
        <v>0.73263888888888884</v>
      </c>
      <c r="H1259" s="28">
        <v>0.73263888888888884</v>
      </c>
      <c r="I1259">
        <v>0</v>
      </c>
      <c r="J1259" t="s">
        <v>174</v>
      </c>
      <c r="K1259">
        <v>0</v>
      </c>
      <c r="L1259" t="s">
        <v>624</v>
      </c>
      <c r="M1259" t="s">
        <v>3604</v>
      </c>
      <c r="N1259" t="s">
        <v>3605</v>
      </c>
      <c r="O1259" t="s">
        <v>3606</v>
      </c>
      <c r="P1259" t="s">
        <v>3607</v>
      </c>
    </row>
    <row r="1260" spans="1:16" x14ac:dyDescent="0.35">
      <c r="A1260" t="s">
        <v>129</v>
      </c>
      <c r="B1260">
        <v>1704124042</v>
      </c>
      <c r="C1260" t="s">
        <v>18</v>
      </c>
      <c r="D1260" t="s">
        <v>21</v>
      </c>
      <c r="E1260" s="29">
        <v>46207</v>
      </c>
      <c r="F1260" t="s">
        <v>5</v>
      </c>
      <c r="G1260" s="28">
        <v>0.73958333333333337</v>
      </c>
      <c r="H1260" s="28">
        <v>0.75347222222222221</v>
      </c>
      <c r="I1260">
        <v>0</v>
      </c>
      <c r="J1260" t="s">
        <v>146</v>
      </c>
      <c r="K1260">
        <v>1</v>
      </c>
      <c r="L1260" t="s">
        <v>147</v>
      </c>
      <c r="M1260" t="s">
        <v>3596</v>
      </c>
      <c r="N1260" t="s">
        <v>3597</v>
      </c>
      <c r="O1260" t="s">
        <v>3598</v>
      </c>
      <c r="P1260" t="s">
        <v>3599</v>
      </c>
    </row>
    <row r="1261" spans="1:16" x14ac:dyDescent="0.35">
      <c r="A1261" t="s">
        <v>129</v>
      </c>
      <c r="B1261">
        <v>1704124042</v>
      </c>
      <c r="C1261" t="s">
        <v>18</v>
      </c>
      <c r="D1261" t="s">
        <v>21</v>
      </c>
      <c r="E1261" s="29">
        <v>46207</v>
      </c>
      <c r="F1261" t="s">
        <v>5</v>
      </c>
      <c r="G1261" s="28">
        <v>0.76041666666666663</v>
      </c>
      <c r="H1261" s="28">
        <v>0.76041666666666663</v>
      </c>
      <c r="I1261">
        <v>0</v>
      </c>
      <c r="J1261" t="s">
        <v>174</v>
      </c>
      <c r="K1261">
        <v>0</v>
      </c>
      <c r="L1261" t="s">
        <v>3611</v>
      </c>
      <c r="M1261" t="s">
        <v>3565</v>
      </c>
      <c r="N1261" t="s">
        <v>3566</v>
      </c>
      <c r="O1261" t="s">
        <v>3567</v>
      </c>
      <c r="P1261" t="s">
        <v>3568</v>
      </c>
    </row>
    <row r="1262" spans="1:16" x14ac:dyDescent="0.35">
      <c r="A1262" t="s">
        <v>129</v>
      </c>
      <c r="B1262">
        <v>1704124042</v>
      </c>
      <c r="C1262" t="s">
        <v>18</v>
      </c>
      <c r="D1262" t="s">
        <v>21</v>
      </c>
      <c r="E1262" s="29">
        <v>46207</v>
      </c>
      <c r="F1262" t="s">
        <v>5</v>
      </c>
      <c r="G1262" s="28">
        <v>0.76736111111111116</v>
      </c>
      <c r="H1262" s="28">
        <v>0.82291666666666663</v>
      </c>
      <c r="I1262">
        <v>1</v>
      </c>
      <c r="J1262" t="s">
        <v>146</v>
      </c>
      <c r="K1262">
        <v>4</v>
      </c>
      <c r="L1262" t="s">
        <v>147</v>
      </c>
      <c r="M1262" t="s">
        <v>3609</v>
      </c>
      <c r="N1262" t="s">
        <v>3582</v>
      </c>
      <c r="O1262" t="s">
        <v>3583</v>
      </c>
      <c r="P1262" t="s">
        <v>3584</v>
      </c>
    </row>
    <row r="1263" spans="1:16" x14ac:dyDescent="0.35">
      <c r="A1263" t="s">
        <v>129</v>
      </c>
      <c r="B1263">
        <v>1704124042</v>
      </c>
      <c r="C1263" t="s">
        <v>18</v>
      </c>
      <c r="D1263" t="s">
        <v>21</v>
      </c>
      <c r="E1263" s="29">
        <v>46208</v>
      </c>
      <c r="F1263" t="s">
        <v>6</v>
      </c>
      <c r="G1263" s="28">
        <v>0.67708333333333337</v>
      </c>
      <c r="H1263" s="28">
        <v>0.67708333333333337</v>
      </c>
      <c r="I1263">
        <v>0</v>
      </c>
      <c r="J1263" t="s">
        <v>174</v>
      </c>
      <c r="K1263">
        <v>0</v>
      </c>
      <c r="L1263" t="s">
        <v>323</v>
      </c>
      <c r="M1263" t="s">
        <v>3612</v>
      </c>
      <c r="N1263" t="s">
        <v>3585</v>
      </c>
      <c r="O1263" t="s">
        <v>3586</v>
      </c>
      <c r="P1263" t="s">
        <v>3587</v>
      </c>
    </row>
    <row r="1264" spans="1:16" x14ac:dyDescent="0.35">
      <c r="A1264" t="s">
        <v>129</v>
      </c>
      <c r="B1264">
        <v>1704124042</v>
      </c>
      <c r="C1264" t="s">
        <v>18</v>
      </c>
      <c r="D1264" t="s">
        <v>21</v>
      </c>
      <c r="E1264" s="29">
        <v>46208</v>
      </c>
      <c r="F1264" t="s">
        <v>6</v>
      </c>
      <c r="G1264" s="28">
        <v>0.68402777777777779</v>
      </c>
      <c r="H1264" s="28">
        <v>0.68402777777777779</v>
      </c>
      <c r="I1264">
        <v>0</v>
      </c>
      <c r="J1264" t="s">
        <v>174</v>
      </c>
      <c r="K1264">
        <v>0</v>
      </c>
      <c r="L1264" t="s">
        <v>323</v>
      </c>
      <c r="M1264" t="s">
        <v>3609</v>
      </c>
      <c r="N1264" t="s">
        <v>3582</v>
      </c>
      <c r="O1264" t="s">
        <v>3583</v>
      </c>
      <c r="P1264" t="s">
        <v>3584</v>
      </c>
    </row>
    <row r="1265" spans="1:16" x14ac:dyDescent="0.35">
      <c r="A1265" t="s">
        <v>129</v>
      </c>
      <c r="B1265">
        <v>1704124042</v>
      </c>
      <c r="C1265" t="s">
        <v>18</v>
      </c>
      <c r="D1265" t="s">
        <v>21</v>
      </c>
      <c r="E1265" s="29">
        <v>46208</v>
      </c>
      <c r="F1265" t="s">
        <v>6</v>
      </c>
      <c r="G1265" s="28">
        <v>0.69097222222222221</v>
      </c>
      <c r="H1265" s="28">
        <v>0.69097222222222221</v>
      </c>
      <c r="I1265">
        <v>0</v>
      </c>
      <c r="J1265" t="s">
        <v>174</v>
      </c>
      <c r="K1265">
        <v>0</v>
      </c>
      <c r="L1265" t="s">
        <v>323</v>
      </c>
      <c r="M1265" t="s">
        <v>3612</v>
      </c>
      <c r="N1265" t="s">
        <v>3585</v>
      </c>
      <c r="O1265" t="s">
        <v>3586</v>
      </c>
      <c r="P1265" t="s">
        <v>3587</v>
      </c>
    </row>
    <row r="1266" spans="1:16" x14ac:dyDescent="0.35">
      <c r="A1266" t="s">
        <v>129</v>
      </c>
      <c r="B1266">
        <v>1704124042</v>
      </c>
      <c r="C1266" t="s">
        <v>18</v>
      </c>
      <c r="D1266" t="s">
        <v>21</v>
      </c>
      <c r="E1266" s="29">
        <v>46208</v>
      </c>
      <c r="F1266" t="s">
        <v>6</v>
      </c>
      <c r="G1266" s="28">
        <v>0.69791666666666663</v>
      </c>
      <c r="H1266" s="28">
        <v>0.81597222222222221</v>
      </c>
      <c r="I1266">
        <v>3</v>
      </c>
      <c r="J1266" t="s">
        <v>146</v>
      </c>
      <c r="K1266">
        <v>8</v>
      </c>
      <c r="L1266" t="s">
        <v>147</v>
      </c>
      <c r="M1266" t="s">
        <v>3581</v>
      </c>
      <c r="N1266" t="s">
        <v>3582</v>
      </c>
      <c r="O1266" t="s">
        <v>3583</v>
      </c>
      <c r="P1266" t="s">
        <v>3584</v>
      </c>
    </row>
    <row r="1267" spans="1:16" x14ac:dyDescent="0.35">
      <c r="A1267" t="s">
        <v>98</v>
      </c>
      <c r="B1267">
        <v>1322845173</v>
      </c>
      <c r="C1267" t="s">
        <v>18</v>
      </c>
      <c r="D1267" t="s">
        <v>20</v>
      </c>
      <c r="E1267" s="29">
        <v>46204</v>
      </c>
      <c r="F1267" t="s">
        <v>3</v>
      </c>
      <c r="G1267" s="28">
        <v>0.41944444444444445</v>
      </c>
      <c r="H1267" s="28">
        <v>0.42638888888888887</v>
      </c>
      <c r="I1267">
        <v>0</v>
      </c>
      <c r="J1267" t="s">
        <v>146</v>
      </c>
      <c r="K1267">
        <v>0</v>
      </c>
      <c r="L1267" t="s">
        <v>147</v>
      </c>
      <c r="M1267" t="s">
        <v>2214</v>
      </c>
      <c r="N1267" t="s">
        <v>2215</v>
      </c>
      <c r="O1267" t="s">
        <v>2216</v>
      </c>
      <c r="P1267" t="s">
        <v>2217</v>
      </c>
    </row>
    <row r="1268" spans="1:16" x14ac:dyDescent="0.35">
      <c r="A1268" t="s">
        <v>98</v>
      </c>
      <c r="B1268">
        <v>1322845173</v>
      </c>
      <c r="C1268" t="s">
        <v>18</v>
      </c>
      <c r="D1268" t="s">
        <v>20</v>
      </c>
      <c r="E1268" s="29">
        <v>46204</v>
      </c>
      <c r="F1268" t="s">
        <v>3</v>
      </c>
      <c r="G1268" s="28">
        <v>0.43333333333333335</v>
      </c>
      <c r="H1268" s="28">
        <v>0.46805555555555556</v>
      </c>
      <c r="I1268">
        <v>1</v>
      </c>
      <c r="J1268" t="s">
        <v>146</v>
      </c>
      <c r="K1268">
        <v>2</v>
      </c>
      <c r="L1268" t="s">
        <v>147</v>
      </c>
      <c r="M1268" t="s">
        <v>3613</v>
      </c>
      <c r="N1268" t="s">
        <v>3614</v>
      </c>
      <c r="O1268" t="s">
        <v>3615</v>
      </c>
      <c r="P1268" t="s">
        <v>3616</v>
      </c>
    </row>
    <row r="1269" spans="1:16" x14ac:dyDescent="0.35">
      <c r="A1269" t="s">
        <v>98</v>
      </c>
      <c r="B1269">
        <v>1322845173</v>
      </c>
      <c r="C1269" t="s">
        <v>18</v>
      </c>
      <c r="D1269" t="s">
        <v>20</v>
      </c>
      <c r="E1269" s="29">
        <v>46204</v>
      </c>
      <c r="F1269" t="s">
        <v>3</v>
      </c>
      <c r="G1269" s="28">
        <v>0.47499999999999998</v>
      </c>
      <c r="H1269" s="28">
        <v>0.47499999999999998</v>
      </c>
      <c r="I1269">
        <v>0</v>
      </c>
      <c r="J1269" t="s">
        <v>174</v>
      </c>
      <c r="K1269">
        <v>0</v>
      </c>
      <c r="L1269" t="s">
        <v>3617</v>
      </c>
      <c r="M1269" t="s">
        <v>2214</v>
      </c>
      <c r="N1269" t="s">
        <v>2215</v>
      </c>
      <c r="O1269" t="s">
        <v>2216</v>
      </c>
      <c r="P1269" t="s">
        <v>2217</v>
      </c>
    </row>
    <row r="1270" spans="1:16" x14ac:dyDescent="0.35">
      <c r="A1270" t="s">
        <v>98</v>
      </c>
      <c r="B1270">
        <v>1322845173</v>
      </c>
      <c r="C1270" t="s">
        <v>18</v>
      </c>
      <c r="D1270" t="s">
        <v>20</v>
      </c>
      <c r="E1270" s="29">
        <v>46204</v>
      </c>
      <c r="F1270" t="s">
        <v>3</v>
      </c>
      <c r="G1270" s="28">
        <v>0.48194444444444445</v>
      </c>
      <c r="H1270" s="28">
        <v>0.48888888888888887</v>
      </c>
      <c r="I1270">
        <v>0</v>
      </c>
      <c r="J1270" t="s">
        <v>146</v>
      </c>
      <c r="K1270">
        <v>0</v>
      </c>
      <c r="L1270" t="s">
        <v>147</v>
      </c>
      <c r="M1270" t="s">
        <v>3613</v>
      </c>
      <c r="N1270" t="s">
        <v>3614</v>
      </c>
      <c r="O1270" t="s">
        <v>3615</v>
      </c>
      <c r="P1270" t="s">
        <v>3616</v>
      </c>
    </row>
    <row r="1271" spans="1:16" x14ac:dyDescent="0.35">
      <c r="A1271" t="s">
        <v>98</v>
      </c>
      <c r="B1271">
        <v>1322845173</v>
      </c>
      <c r="C1271" t="s">
        <v>18</v>
      </c>
      <c r="D1271" t="s">
        <v>20</v>
      </c>
      <c r="E1271" s="29">
        <v>46204</v>
      </c>
      <c r="F1271" t="s">
        <v>3</v>
      </c>
      <c r="G1271" s="28">
        <v>0.49583333333333335</v>
      </c>
      <c r="H1271" s="28">
        <v>0.50277777777777777</v>
      </c>
      <c r="I1271">
        <v>0</v>
      </c>
      <c r="J1271" t="s">
        <v>146</v>
      </c>
      <c r="K1271">
        <v>0</v>
      </c>
      <c r="L1271" t="s">
        <v>147</v>
      </c>
      <c r="M1271" t="s">
        <v>2214</v>
      </c>
      <c r="N1271" t="s">
        <v>2215</v>
      </c>
      <c r="O1271" t="s">
        <v>2216</v>
      </c>
      <c r="P1271" t="s">
        <v>2217</v>
      </c>
    </row>
    <row r="1272" spans="1:16" x14ac:dyDescent="0.35">
      <c r="A1272" t="s">
        <v>98</v>
      </c>
      <c r="B1272">
        <v>1322845173</v>
      </c>
      <c r="C1272" t="s">
        <v>18</v>
      </c>
      <c r="D1272" t="s">
        <v>20</v>
      </c>
      <c r="E1272" s="29">
        <v>46204</v>
      </c>
      <c r="F1272" t="s">
        <v>3</v>
      </c>
      <c r="G1272" s="28">
        <v>0.50972222222222219</v>
      </c>
      <c r="H1272" s="28">
        <v>0.50972222222222219</v>
      </c>
      <c r="I1272">
        <v>0</v>
      </c>
      <c r="J1272" t="s">
        <v>174</v>
      </c>
      <c r="K1272">
        <v>0</v>
      </c>
      <c r="L1272" t="s">
        <v>3618</v>
      </c>
      <c r="M1272" t="s">
        <v>3619</v>
      </c>
      <c r="N1272" t="s">
        <v>3620</v>
      </c>
      <c r="O1272" t="s">
        <v>3621</v>
      </c>
      <c r="P1272" t="s">
        <v>3622</v>
      </c>
    </row>
    <row r="1273" spans="1:16" x14ac:dyDescent="0.35">
      <c r="A1273" t="s">
        <v>98</v>
      </c>
      <c r="B1273">
        <v>1322845173</v>
      </c>
      <c r="C1273" t="s">
        <v>18</v>
      </c>
      <c r="D1273" t="s">
        <v>20</v>
      </c>
      <c r="E1273" s="29">
        <v>46204</v>
      </c>
      <c r="F1273" t="s">
        <v>3</v>
      </c>
      <c r="G1273" s="28">
        <v>0.51666666666666672</v>
      </c>
      <c r="H1273" s="28">
        <v>0.51666666666666672</v>
      </c>
      <c r="I1273">
        <v>0</v>
      </c>
      <c r="J1273" t="s">
        <v>174</v>
      </c>
      <c r="K1273">
        <v>0</v>
      </c>
      <c r="L1273" t="s">
        <v>3623</v>
      </c>
      <c r="M1273" t="s">
        <v>2214</v>
      </c>
      <c r="N1273" t="s">
        <v>2215</v>
      </c>
      <c r="O1273" t="s">
        <v>2216</v>
      </c>
      <c r="P1273" t="s">
        <v>2217</v>
      </c>
    </row>
    <row r="1274" spans="1:16" x14ac:dyDescent="0.35">
      <c r="A1274" t="s">
        <v>98</v>
      </c>
      <c r="B1274">
        <v>1322845173</v>
      </c>
      <c r="C1274" t="s">
        <v>18</v>
      </c>
      <c r="D1274" t="s">
        <v>20</v>
      </c>
      <c r="E1274" s="29">
        <v>46204</v>
      </c>
      <c r="F1274" t="s">
        <v>3</v>
      </c>
      <c r="G1274" s="28">
        <v>0.52361111111111114</v>
      </c>
      <c r="H1274" s="28">
        <v>0.57916666666666672</v>
      </c>
      <c r="I1274">
        <v>1</v>
      </c>
      <c r="J1274" t="s">
        <v>146</v>
      </c>
      <c r="K1274">
        <v>4</v>
      </c>
      <c r="L1274" t="s">
        <v>147</v>
      </c>
      <c r="M1274" t="s">
        <v>3624</v>
      </c>
      <c r="N1274" t="s">
        <v>3625</v>
      </c>
      <c r="O1274" t="s">
        <v>3626</v>
      </c>
      <c r="P1274" t="s">
        <v>3627</v>
      </c>
    </row>
    <row r="1275" spans="1:16" x14ac:dyDescent="0.35">
      <c r="A1275" t="s">
        <v>98</v>
      </c>
      <c r="B1275">
        <v>1322845173</v>
      </c>
      <c r="C1275" t="s">
        <v>18</v>
      </c>
      <c r="D1275" t="s">
        <v>20</v>
      </c>
      <c r="E1275" s="29">
        <v>46204</v>
      </c>
      <c r="F1275" t="s">
        <v>3</v>
      </c>
      <c r="G1275" s="28">
        <v>0.58611111111111114</v>
      </c>
      <c r="H1275" s="28">
        <v>0.75972222222222219</v>
      </c>
      <c r="I1275">
        <v>4</v>
      </c>
      <c r="J1275" t="s">
        <v>146</v>
      </c>
      <c r="K1275">
        <v>12</v>
      </c>
      <c r="L1275" t="s">
        <v>147</v>
      </c>
      <c r="M1275" t="s">
        <v>2214</v>
      </c>
      <c r="N1275" t="s">
        <v>2215</v>
      </c>
      <c r="O1275" t="s">
        <v>2216</v>
      </c>
      <c r="P1275" t="s">
        <v>2217</v>
      </c>
    </row>
    <row r="1276" spans="1:16" x14ac:dyDescent="0.35">
      <c r="A1276" t="s">
        <v>98</v>
      </c>
      <c r="B1276">
        <v>1322845173</v>
      </c>
      <c r="C1276" t="s">
        <v>18</v>
      </c>
      <c r="D1276" t="s">
        <v>20</v>
      </c>
      <c r="E1276" s="29">
        <v>46204</v>
      </c>
      <c r="F1276" t="s">
        <v>3</v>
      </c>
      <c r="G1276" s="28">
        <v>0.76666666666666672</v>
      </c>
      <c r="H1276" s="28">
        <v>0.78055555555555556</v>
      </c>
      <c r="I1276">
        <v>0</v>
      </c>
      <c r="J1276" t="s">
        <v>146</v>
      </c>
      <c r="K1276">
        <v>1</v>
      </c>
      <c r="L1276" t="s">
        <v>147</v>
      </c>
      <c r="M1276" t="s">
        <v>3628</v>
      </c>
      <c r="N1276" t="s">
        <v>3629</v>
      </c>
      <c r="O1276" t="s">
        <v>3630</v>
      </c>
      <c r="P1276" t="s">
        <v>3631</v>
      </c>
    </row>
    <row r="1277" spans="1:16" x14ac:dyDescent="0.35">
      <c r="A1277" t="s">
        <v>98</v>
      </c>
      <c r="B1277">
        <v>1322845173</v>
      </c>
      <c r="C1277" t="s">
        <v>18</v>
      </c>
      <c r="D1277" t="s">
        <v>20</v>
      </c>
      <c r="E1277" s="29">
        <v>46204</v>
      </c>
      <c r="F1277" t="s">
        <v>3</v>
      </c>
      <c r="G1277" s="28">
        <v>0.78749999999999998</v>
      </c>
      <c r="H1277" s="28">
        <v>0.78749999999999998</v>
      </c>
      <c r="I1277">
        <v>0</v>
      </c>
      <c r="J1277" t="s">
        <v>174</v>
      </c>
      <c r="K1277">
        <v>0</v>
      </c>
      <c r="L1277" t="s">
        <v>3632</v>
      </c>
      <c r="M1277" t="s">
        <v>3633</v>
      </c>
      <c r="N1277" t="s">
        <v>3634</v>
      </c>
      <c r="O1277" t="s">
        <v>3635</v>
      </c>
      <c r="P1277" t="s">
        <v>3636</v>
      </c>
    </row>
    <row r="1278" spans="1:16" x14ac:dyDescent="0.35">
      <c r="A1278" t="s">
        <v>98</v>
      </c>
      <c r="B1278">
        <v>1322845173</v>
      </c>
      <c r="C1278" t="s">
        <v>18</v>
      </c>
      <c r="D1278" t="s">
        <v>20</v>
      </c>
      <c r="E1278" s="29">
        <v>46205</v>
      </c>
      <c r="F1278" t="s">
        <v>4</v>
      </c>
      <c r="G1278" s="28">
        <v>0.39861111111111114</v>
      </c>
      <c r="H1278" s="28">
        <v>0.39861111111111114</v>
      </c>
      <c r="I1278">
        <v>0</v>
      </c>
      <c r="J1278" t="s">
        <v>174</v>
      </c>
      <c r="K1278">
        <v>0</v>
      </c>
      <c r="L1278" t="s">
        <v>2884</v>
      </c>
      <c r="M1278" t="s">
        <v>3637</v>
      </c>
      <c r="N1278" t="s">
        <v>3638</v>
      </c>
      <c r="O1278" t="s">
        <v>3639</v>
      </c>
      <c r="P1278" t="s">
        <v>3640</v>
      </c>
    </row>
    <row r="1279" spans="1:16" x14ac:dyDescent="0.35">
      <c r="A1279" t="s">
        <v>98</v>
      </c>
      <c r="B1279">
        <v>1322845173</v>
      </c>
      <c r="C1279" t="s">
        <v>18</v>
      </c>
      <c r="D1279" t="s">
        <v>20</v>
      </c>
      <c r="E1279" s="29">
        <v>46205</v>
      </c>
      <c r="F1279" t="s">
        <v>4</v>
      </c>
      <c r="G1279" s="28">
        <v>0.40555555555555556</v>
      </c>
      <c r="H1279" s="28">
        <v>0.40555555555555556</v>
      </c>
      <c r="I1279">
        <v>0</v>
      </c>
      <c r="J1279" t="s">
        <v>174</v>
      </c>
      <c r="K1279">
        <v>0</v>
      </c>
      <c r="L1279" t="s">
        <v>2636</v>
      </c>
      <c r="M1279" t="s">
        <v>3641</v>
      </c>
      <c r="N1279" t="s">
        <v>3642</v>
      </c>
      <c r="O1279" t="s">
        <v>3643</v>
      </c>
      <c r="P1279" t="s">
        <v>3644</v>
      </c>
    </row>
    <row r="1280" spans="1:16" x14ac:dyDescent="0.35">
      <c r="A1280" t="s">
        <v>98</v>
      </c>
      <c r="B1280">
        <v>1322845173</v>
      </c>
      <c r="C1280" t="s">
        <v>18</v>
      </c>
      <c r="D1280" t="s">
        <v>20</v>
      </c>
      <c r="E1280" s="29">
        <v>46205</v>
      </c>
      <c r="F1280" t="s">
        <v>4</v>
      </c>
      <c r="G1280" s="28">
        <v>0.41249999999999998</v>
      </c>
      <c r="H1280" s="28">
        <v>0.41249999999999998</v>
      </c>
      <c r="I1280">
        <v>0</v>
      </c>
      <c r="J1280" t="s">
        <v>174</v>
      </c>
      <c r="K1280">
        <v>0</v>
      </c>
      <c r="L1280" t="s">
        <v>3245</v>
      </c>
      <c r="M1280" t="s">
        <v>3645</v>
      </c>
      <c r="N1280" t="s">
        <v>3646</v>
      </c>
      <c r="O1280" t="s">
        <v>3647</v>
      </c>
      <c r="P1280" t="s">
        <v>3648</v>
      </c>
    </row>
    <row r="1281" spans="1:16" x14ac:dyDescent="0.35">
      <c r="A1281" t="s">
        <v>98</v>
      </c>
      <c r="B1281">
        <v>1322845173</v>
      </c>
      <c r="C1281" t="s">
        <v>18</v>
      </c>
      <c r="D1281" t="s">
        <v>20</v>
      </c>
      <c r="E1281" s="29">
        <v>46205</v>
      </c>
      <c r="F1281" t="s">
        <v>4</v>
      </c>
      <c r="G1281" s="28">
        <v>0.41944444444444445</v>
      </c>
      <c r="H1281" s="28">
        <v>0.41944444444444445</v>
      </c>
      <c r="I1281">
        <v>0</v>
      </c>
      <c r="J1281" t="s">
        <v>174</v>
      </c>
      <c r="K1281">
        <v>0</v>
      </c>
      <c r="L1281" t="s">
        <v>3649</v>
      </c>
      <c r="M1281" t="s">
        <v>3650</v>
      </c>
      <c r="N1281" t="s">
        <v>3651</v>
      </c>
      <c r="O1281" t="s">
        <v>3652</v>
      </c>
      <c r="P1281" t="s">
        <v>3653</v>
      </c>
    </row>
    <row r="1282" spans="1:16" x14ac:dyDescent="0.35">
      <c r="A1282" t="s">
        <v>98</v>
      </c>
      <c r="B1282">
        <v>1322845173</v>
      </c>
      <c r="C1282" t="s">
        <v>18</v>
      </c>
      <c r="D1282" t="s">
        <v>20</v>
      </c>
      <c r="E1282" s="29">
        <v>46205</v>
      </c>
      <c r="F1282" t="s">
        <v>4</v>
      </c>
      <c r="G1282" s="28">
        <v>0.42638888888888887</v>
      </c>
      <c r="H1282" s="28">
        <v>0.42638888888888887</v>
      </c>
      <c r="I1282">
        <v>0</v>
      </c>
      <c r="J1282" t="s">
        <v>174</v>
      </c>
      <c r="K1282">
        <v>0</v>
      </c>
      <c r="L1282" t="s">
        <v>1466</v>
      </c>
      <c r="M1282" t="s">
        <v>3654</v>
      </c>
      <c r="N1282" t="s">
        <v>3655</v>
      </c>
      <c r="O1282" t="s">
        <v>3656</v>
      </c>
      <c r="P1282" t="s">
        <v>3657</v>
      </c>
    </row>
    <row r="1283" spans="1:16" x14ac:dyDescent="0.35">
      <c r="A1283" t="s">
        <v>98</v>
      </c>
      <c r="B1283">
        <v>1322845173</v>
      </c>
      <c r="C1283" t="s">
        <v>18</v>
      </c>
      <c r="D1283" t="s">
        <v>20</v>
      </c>
      <c r="E1283" s="29">
        <v>46205</v>
      </c>
      <c r="F1283" t="s">
        <v>4</v>
      </c>
      <c r="G1283" s="28">
        <v>0.43333333333333335</v>
      </c>
      <c r="H1283" s="28">
        <v>0.43333333333333335</v>
      </c>
      <c r="I1283">
        <v>0</v>
      </c>
      <c r="J1283" t="s">
        <v>174</v>
      </c>
      <c r="K1283">
        <v>0</v>
      </c>
      <c r="L1283" t="s">
        <v>3658</v>
      </c>
      <c r="M1283" t="s">
        <v>3659</v>
      </c>
      <c r="N1283" t="s">
        <v>3660</v>
      </c>
      <c r="O1283" t="s">
        <v>3661</v>
      </c>
      <c r="P1283" t="s">
        <v>3662</v>
      </c>
    </row>
    <row r="1284" spans="1:16" x14ac:dyDescent="0.35">
      <c r="A1284" t="s">
        <v>98</v>
      </c>
      <c r="B1284">
        <v>1322845173</v>
      </c>
      <c r="C1284" t="s">
        <v>18</v>
      </c>
      <c r="D1284" t="s">
        <v>20</v>
      </c>
      <c r="E1284" s="29">
        <v>46205</v>
      </c>
      <c r="F1284" t="s">
        <v>4</v>
      </c>
      <c r="G1284" s="28">
        <v>0.44027777777777777</v>
      </c>
      <c r="H1284" s="28">
        <v>0.46111111111111114</v>
      </c>
      <c r="I1284">
        <v>1</v>
      </c>
      <c r="J1284" t="s">
        <v>146</v>
      </c>
      <c r="K1284">
        <v>2</v>
      </c>
      <c r="L1284" t="s">
        <v>147</v>
      </c>
      <c r="M1284" t="s">
        <v>3663</v>
      </c>
      <c r="N1284" t="s">
        <v>3664</v>
      </c>
      <c r="O1284" t="s">
        <v>3665</v>
      </c>
      <c r="P1284" t="s">
        <v>3666</v>
      </c>
    </row>
    <row r="1285" spans="1:16" x14ac:dyDescent="0.35">
      <c r="A1285" t="s">
        <v>98</v>
      </c>
      <c r="B1285">
        <v>1322845173</v>
      </c>
      <c r="C1285" t="s">
        <v>18</v>
      </c>
      <c r="D1285" t="s">
        <v>20</v>
      </c>
      <c r="E1285" s="29">
        <v>46205</v>
      </c>
      <c r="F1285" t="s">
        <v>4</v>
      </c>
      <c r="G1285" s="28">
        <v>0.46805555555555556</v>
      </c>
      <c r="H1285" s="28">
        <v>0.46805555555555556</v>
      </c>
      <c r="I1285">
        <v>0</v>
      </c>
      <c r="J1285" t="s">
        <v>174</v>
      </c>
      <c r="K1285">
        <v>0</v>
      </c>
      <c r="L1285" t="s">
        <v>3658</v>
      </c>
      <c r="M1285" t="s">
        <v>3667</v>
      </c>
      <c r="N1285" t="s">
        <v>3660</v>
      </c>
      <c r="O1285" t="s">
        <v>3661</v>
      </c>
      <c r="P1285" t="s">
        <v>3662</v>
      </c>
    </row>
    <row r="1286" spans="1:16" x14ac:dyDescent="0.35">
      <c r="A1286" t="s">
        <v>98</v>
      </c>
      <c r="B1286">
        <v>1322845173</v>
      </c>
      <c r="C1286" t="s">
        <v>18</v>
      </c>
      <c r="D1286" t="s">
        <v>20</v>
      </c>
      <c r="E1286" s="29">
        <v>46205</v>
      </c>
      <c r="F1286" t="s">
        <v>4</v>
      </c>
      <c r="G1286" s="28">
        <v>0.47499999999999998</v>
      </c>
      <c r="H1286" s="28">
        <v>0.47499999999999998</v>
      </c>
      <c r="I1286">
        <v>0</v>
      </c>
      <c r="J1286" t="s">
        <v>174</v>
      </c>
      <c r="K1286">
        <v>0</v>
      </c>
      <c r="L1286" t="s">
        <v>3658</v>
      </c>
      <c r="M1286" t="s">
        <v>3663</v>
      </c>
      <c r="N1286" t="s">
        <v>3664</v>
      </c>
      <c r="O1286" t="s">
        <v>3665</v>
      </c>
      <c r="P1286" t="s">
        <v>3666</v>
      </c>
    </row>
    <row r="1287" spans="1:16" x14ac:dyDescent="0.35">
      <c r="A1287" t="s">
        <v>98</v>
      </c>
      <c r="B1287">
        <v>1322845173</v>
      </c>
      <c r="C1287" t="s">
        <v>18</v>
      </c>
      <c r="D1287" t="s">
        <v>20</v>
      </c>
      <c r="E1287" s="29">
        <v>46205</v>
      </c>
      <c r="F1287" t="s">
        <v>4</v>
      </c>
      <c r="G1287" s="28">
        <v>0.48194444444444445</v>
      </c>
      <c r="H1287" s="28">
        <v>0.48194444444444445</v>
      </c>
      <c r="I1287">
        <v>0</v>
      </c>
      <c r="J1287" t="s">
        <v>174</v>
      </c>
      <c r="K1287">
        <v>0</v>
      </c>
      <c r="L1287" t="s">
        <v>3658</v>
      </c>
      <c r="M1287" t="s">
        <v>3667</v>
      </c>
      <c r="N1287" t="s">
        <v>3660</v>
      </c>
      <c r="O1287" t="s">
        <v>3661</v>
      </c>
      <c r="P1287" t="s">
        <v>3662</v>
      </c>
    </row>
    <row r="1288" spans="1:16" x14ac:dyDescent="0.35">
      <c r="A1288" t="s">
        <v>98</v>
      </c>
      <c r="B1288">
        <v>1322845173</v>
      </c>
      <c r="C1288" t="s">
        <v>18</v>
      </c>
      <c r="D1288" t="s">
        <v>20</v>
      </c>
      <c r="E1288" s="29">
        <v>46205</v>
      </c>
      <c r="F1288" t="s">
        <v>4</v>
      </c>
      <c r="G1288" s="28">
        <v>0.48888888888888887</v>
      </c>
      <c r="H1288" s="28">
        <v>0.48888888888888887</v>
      </c>
      <c r="I1288">
        <v>0</v>
      </c>
      <c r="J1288" t="s">
        <v>174</v>
      </c>
      <c r="K1288">
        <v>0</v>
      </c>
      <c r="L1288" t="s">
        <v>3658</v>
      </c>
      <c r="M1288" t="s">
        <v>3663</v>
      </c>
      <c r="N1288" t="s">
        <v>3664</v>
      </c>
      <c r="O1288" t="s">
        <v>3665</v>
      </c>
      <c r="P1288" t="s">
        <v>3666</v>
      </c>
    </row>
    <row r="1289" spans="1:16" x14ac:dyDescent="0.35">
      <c r="A1289" t="s">
        <v>98</v>
      </c>
      <c r="B1289">
        <v>1322845173</v>
      </c>
      <c r="C1289" t="s">
        <v>18</v>
      </c>
      <c r="D1289" t="s">
        <v>20</v>
      </c>
      <c r="E1289" s="29">
        <v>46205</v>
      </c>
      <c r="F1289" t="s">
        <v>4</v>
      </c>
      <c r="G1289" s="28">
        <v>0.49583333333333335</v>
      </c>
      <c r="H1289" s="28">
        <v>0.50277777777777777</v>
      </c>
      <c r="I1289">
        <v>0</v>
      </c>
      <c r="J1289" t="s">
        <v>146</v>
      </c>
      <c r="K1289">
        <v>0</v>
      </c>
      <c r="L1289" t="s">
        <v>147</v>
      </c>
      <c r="M1289" t="s">
        <v>3659</v>
      </c>
      <c r="N1289" t="s">
        <v>3660</v>
      </c>
      <c r="O1289" t="s">
        <v>3661</v>
      </c>
      <c r="P1289" t="s">
        <v>3662</v>
      </c>
    </row>
    <row r="1290" spans="1:16" x14ac:dyDescent="0.35">
      <c r="A1290" t="s">
        <v>98</v>
      </c>
      <c r="B1290">
        <v>1322845173</v>
      </c>
      <c r="C1290" t="s">
        <v>18</v>
      </c>
      <c r="D1290" t="s">
        <v>20</v>
      </c>
      <c r="E1290" s="29">
        <v>46205</v>
      </c>
      <c r="F1290" t="s">
        <v>4</v>
      </c>
      <c r="G1290" s="28">
        <v>0.50972222222222219</v>
      </c>
      <c r="H1290" s="28">
        <v>0.50972222222222219</v>
      </c>
      <c r="I1290">
        <v>0</v>
      </c>
      <c r="J1290" t="s">
        <v>174</v>
      </c>
      <c r="K1290">
        <v>0</v>
      </c>
      <c r="L1290" t="s">
        <v>3658</v>
      </c>
      <c r="M1290" t="s">
        <v>3663</v>
      </c>
      <c r="N1290" t="s">
        <v>3664</v>
      </c>
      <c r="O1290" t="s">
        <v>3665</v>
      </c>
      <c r="P1290" t="s">
        <v>3666</v>
      </c>
    </row>
    <row r="1291" spans="1:16" x14ac:dyDescent="0.35">
      <c r="A1291" t="s">
        <v>98</v>
      </c>
      <c r="B1291">
        <v>1322845173</v>
      </c>
      <c r="C1291" t="s">
        <v>18</v>
      </c>
      <c r="D1291" t="s">
        <v>20</v>
      </c>
      <c r="E1291" s="29">
        <v>46205</v>
      </c>
      <c r="F1291" t="s">
        <v>4</v>
      </c>
      <c r="G1291" s="28">
        <v>0.51666666666666672</v>
      </c>
      <c r="H1291" s="28">
        <v>0.52361111111111114</v>
      </c>
      <c r="I1291">
        <v>0</v>
      </c>
      <c r="J1291" t="s">
        <v>146</v>
      </c>
      <c r="K1291">
        <v>0</v>
      </c>
      <c r="L1291" t="s">
        <v>147</v>
      </c>
      <c r="M1291" t="s">
        <v>3659</v>
      </c>
      <c r="N1291" t="s">
        <v>3660</v>
      </c>
      <c r="O1291" t="s">
        <v>3661</v>
      </c>
      <c r="P1291" t="s">
        <v>3662</v>
      </c>
    </row>
    <row r="1292" spans="1:16" x14ac:dyDescent="0.35">
      <c r="A1292" t="s">
        <v>98</v>
      </c>
      <c r="B1292">
        <v>1322845173</v>
      </c>
      <c r="C1292" t="s">
        <v>18</v>
      </c>
      <c r="D1292" t="s">
        <v>20</v>
      </c>
      <c r="E1292" s="29">
        <v>46205</v>
      </c>
      <c r="F1292" t="s">
        <v>4</v>
      </c>
      <c r="G1292" s="28">
        <v>0.53055555555555556</v>
      </c>
      <c r="H1292" s="28">
        <v>0.53055555555555556</v>
      </c>
      <c r="I1292">
        <v>0</v>
      </c>
      <c r="J1292" t="s">
        <v>174</v>
      </c>
      <c r="K1292">
        <v>0</v>
      </c>
      <c r="L1292" t="s">
        <v>3658</v>
      </c>
      <c r="M1292" t="s">
        <v>3663</v>
      </c>
      <c r="N1292" t="s">
        <v>3664</v>
      </c>
      <c r="O1292" t="s">
        <v>3665</v>
      </c>
      <c r="P1292" t="s">
        <v>3666</v>
      </c>
    </row>
    <row r="1293" spans="1:16" x14ac:dyDescent="0.35">
      <c r="A1293" t="s">
        <v>98</v>
      </c>
      <c r="B1293">
        <v>1322845173</v>
      </c>
      <c r="C1293" t="s">
        <v>18</v>
      </c>
      <c r="D1293" t="s">
        <v>20</v>
      </c>
      <c r="E1293" s="29">
        <v>46205</v>
      </c>
      <c r="F1293" t="s">
        <v>4</v>
      </c>
      <c r="G1293" s="28">
        <v>0.53749999999999998</v>
      </c>
      <c r="H1293" s="28">
        <v>0.53749999999999998</v>
      </c>
      <c r="I1293">
        <v>0</v>
      </c>
      <c r="J1293" t="s">
        <v>174</v>
      </c>
      <c r="K1293">
        <v>0</v>
      </c>
      <c r="L1293" t="s">
        <v>3658</v>
      </c>
      <c r="M1293" t="s">
        <v>3659</v>
      </c>
      <c r="N1293" t="s">
        <v>3660</v>
      </c>
      <c r="O1293" t="s">
        <v>3661</v>
      </c>
      <c r="P1293" t="s">
        <v>3662</v>
      </c>
    </row>
    <row r="1294" spans="1:16" x14ac:dyDescent="0.35">
      <c r="A1294" t="s">
        <v>98</v>
      </c>
      <c r="B1294">
        <v>1322845173</v>
      </c>
      <c r="C1294" t="s">
        <v>18</v>
      </c>
      <c r="D1294" t="s">
        <v>20</v>
      </c>
      <c r="E1294" s="29">
        <v>46205</v>
      </c>
      <c r="F1294" t="s">
        <v>4</v>
      </c>
      <c r="G1294" s="28">
        <v>0.5444444444444444</v>
      </c>
      <c r="H1294" s="28">
        <v>0.5444444444444444</v>
      </c>
      <c r="I1294">
        <v>0</v>
      </c>
      <c r="J1294" t="s">
        <v>174</v>
      </c>
      <c r="K1294">
        <v>0</v>
      </c>
      <c r="L1294" t="s">
        <v>3658</v>
      </c>
      <c r="M1294" t="s">
        <v>3663</v>
      </c>
      <c r="N1294" t="s">
        <v>3664</v>
      </c>
      <c r="O1294" t="s">
        <v>3665</v>
      </c>
      <c r="P1294" t="s">
        <v>3666</v>
      </c>
    </row>
    <row r="1295" spans="1:16" x14ac:dyDescent="0.35">
      <c r="A1295" t="s">
        <v>98</v>
      </c>
      <c r="B1295">
        <v>1322845173</v>
      </c>
      <c r="C1295" t="s">
        <v>18</v>
      </c>
      <c r="D1295" t="s">
        <v>20</v>
      </c>
      <c r="E1295" s="29">
        <v>46205</v>
      </c>
      <c r="F1295" t="s">
        <v>4</v>
      </c>
      <c r="G1295" s="28">
        <v>0.55138888888888893</v>
      </c>
      <c r="H1295" s="28">
        <v>0.56527777777777777</v>
      </c>
      <c r="I1295">
        <v>0</v>
      </c>
      <c r="J1295" t="s">
        <v>146</v>
      </c>
      <c r="K1295">
        <v>1</v>
      </c>
      <c r="L1295" t="s">
        <v>147</v>
      </c>
      <c r="M1295" t="s">
        <v>3659</v>
      </c>
      <c r="N1295" t="s">
        <v>3660</v>
      </c>
      <c r="O1295" t="s">
        <v>3661</v>
      </c>
      <c r="P1295" t="s">
        <v>3662</v>
      </c>
    </row>
    <row r="1296" spans="1:16" x14ac:dyDescent="0.35">
      <c r="A1296" t="s">
        <v>98</v>
      </c>
      <c r="B1296">
        <v>1322845173</v>
      </c>
      <c r="C1296" t="s">
        <v>18</v>
      </c>
      <c r="D1296" t="s">
        <v>20</v>
      </c>
      <c r="E1296" s="29">
        <v>46205</v>
      </c>
      <c r="F1296" t="s">
        <v>4</v>
      </c>
      <c r="G1296" s="28">
        <v>0.57222222222222219</v>
      </c>
      <c r="H1296" s="28">
        <v>0.57222222222222219</v>
      </c>
      <c r="I1296">
        <v>0</v>
      </c>
      <c r="J1296" t="s">
        <v>174</v>
      </c>
      <c r="K1296">
        <v>0</v>
      </c>
      <c r="L1296" t="s">
        <v>3658</v>
      </c>
      <c r="M1296" t="s">
        <v>3663</v>
      </c>
      <c r="N1296" t="s">
        <v>3664</v>
      </c>
      <c r="O1296" t="s">
        <v>3665</v>
      </c>
      <c r="P1296" t="s">
        <v>3666</v>
      </c>
    </row>
    <row r="1297" spans="1:16" x14ac:dyDescent="0.35">
      <c r="A1297" t="s">
        <v>98</v>
      </c>
      <c r="B1297">
        <v>1322845173</v>
      </c>
      <c r="C1297" t="s">
        <v>18</v>
      </c>
      <c r="D1297" t="s">
        <v>20</v>
      </c>
      <c r="E1297" s="29">
        <v>46205</v>
      </c>
      <c r="F1297" t="s">
        <v>4</v>
      </c>
      <c r="G1297" s="28">
        <v>0.58611111111111114</v>
      </c>
      <c r="H1297" s="28">
        <v>0.58611111111111114</v>
      </c>
      <c r="I1297">
        <v>0</v>
      </c>
      <c r="J1297" t="s">
        <v>174</v>
      </c>
      <c r="K1297">
        <v>0</v>
      </c>
      <c r="L1297" t="s">
        <v>3658</v>
      </c>
      <c r="M1297" t="s">
        <v>3659</v>
      </c>
      <c r="N1297" t="s">
        <v>3660</v>
      </c>
      <c r="O1297" t="s">
        <v>3661</v>
      </c>
      <c r="P1297" t="s">
        <v>3662</v>
      </c>
    </row>
    <row r="1298" spans="1:16" x14ac:dyDescent="0.35">
      <c r="A1298" t="s">
        <v>98</v>
      </c>
      <c r="B1298">
        <v>1322845173</v>
      </c>
      <c r="C1298" t="s">
        <v>18</v>
      </c>
      <c r="D1298" t="s">
        <v>20</v>
      </c>
      <c r="E1298" s="29">
        <v>46205</v>
      </c>
      <c r="F1298" t="s">
        <v>4</v>
      </c>
      <c r="G1298" s="28">
        <v>0.59305555555555556</v>
      </c>
      <c r="H1298" s="28">
        <v>0.6069444444444444</v>
      </c>
      <c r="I1298">
        <v>0</v>
      </c>
      <c r="J1298" t="s">
        <v>146</v>
      </c>
      <c r="K1298">
        <v>1</v>
      </c>
      <c r="L1298" t="s">
        <v>147</v>
      </c>
      <c r="M1298" t="s">
        <v>3663</v>
      </c>
      <c r="N1298" t="s">
        <v>3664</v>
      </c>
      <c r="O1298" t="s">
        <v>3665</v>
      </c>
      <c r="P1298" t="s">
        <v>3666</v>
      </c>
    </row>
    <row r="1299" spans="1:16" x14ac:dyDescent="0.35">
      <c r="A1299" t="s">
        <v>98</v>
      </c>
      <c r="B1299">
        <v>1322845173</v>
      </c>
      <c r="C1299" t="s">
        <v>18</v>
      </c>
      <c r="D1299" t="s">
        <v>20</v>
      </c>
      <c r="E1299" s="29">
        <v>46205</v>
      </c>
      <c r="F1299" t="s">
        <v>4</v>
      </c>
      <c r="G1299" s="28">
        <v>0.61388888888888893</v>
      </c>
      <c r="H1299" s="28">
        <v>0.61388888888888893</v>
      </c>
      <c r="I1299">
        <v>0</v>
      </c>
      <c r="J1299" t="s">
        <v>174</v>
      </c>
      <c r="K1299">
        <v>0</v>
      </c>
      <c r="L1299" t="s">
        <v>3658</v>
      </c>
      <c r="M1299" t="s">
        <v>3659</v>
      </c>
      <c r="N1299" t="s">
        <v>3660</v>
      </c>
      <c r="O1299" t="s">
        <v>3661</v>
      </c>
      <c r="P1299" t="s">
        <v>3662</v>
      </c>
    </row>
    <row r="1300" spans="1:16" x14ac:dyDescent="0.35">
      <c r="A1300" t="s">
        <v>98</v>
      </c>
      <c r="B1300">
        <v>1322845173</v>
      </c>
      <c r="C1300" t="s">
        <v>18</v>
      </c>
      <c r="D1300" t="s">
        <v>20</v>
      </c>
      <c r="E1300" s="29">
        <v>46205</v>
      </c>
      <c r="F1300" t="s">
        <v>4</v>
      </c>
      <c r="G1300" s="28">
        <v>0.62083333333333335</v>
      </c>
      <c r="H1300" s="28">
        <v>0.62083333333333335</v>
      </c>
      <c r="I1300">
        <v>0</v>
      </c>
      <c r="J1300" t="s">
        <v>174</v>
      </c>
      <c r="K1300">
        <v>0</v>
      </c>
      <c r="L1300" t="s">
        <v>3658</v>
      </c>
      <c r="M1300" t="s">
        <v>3663</v>
      </c>
      <c r="N1300" t="s">
        <v>3664</v>
      </c>
      <c r="O1300" t="s">
        <v>3665</v>
      </c>
      <c r="P1300" t="s">
        <v>3666</v>
      </c>
    </row>
    <row r="1301" spans="1:16" x14ac:dyDescent="0.35">
      <c r="A1301" t="s">
        <v>98</v>
      </c>
      <c r="B1301">
        <v>1322845173</v>
      </c>
      <c r="C1301" t="s">
        <v>18</v>
      </c>
      <c r="D1301" t="s">
        <v>20</v>
      </c>
      <c r="E1301" s="29">
        <v>46205</v>
      </c>
      <c r="F1301" t="s">
        <v>4</v>
      </c>
      <c r="G1301" s="28">
        <v>0.62777777777777777</v>
      </c>
      <c r="H1301" s="28">
        <v>0.62777777777777777</v>
      </c>
      <c r="I1301">
        <v>0</v>
      </c>
      <c r="J1301" t="s">
        <v>174</v>
      </c>
      <c r="K1301">
        <v>0</v>
      </c>
      <c r="L1301" t="s">
        <v>2884</v>
      </c>
      <c r="M1301" t="s">
        <v>3659</v>
      </c>
      <c r="N1301" t="s">
        <v>3660</v>
      </c>
      <c r="O1301" t="s">
        <v>3661</v>
      </c>
      <c r="P1301" t="s">
        <v>3662</v>
      </c>
    </row>
    <row r="1302" spans="1:16" x14ac:dyDescent="0.35">
      <c r="A1302" t="s">
        <v>98</v>
      </c>
      <c r="B1302">
        <v>1322845173</v>
      </c>
      <c r="C1302" t="s">
        <v>18</v>
      </c>
      <c r="D1302" t="s">
        <v>20</v>
      </c>
      <c r="E1302" s="29">
        <v>46205</v>
      </c>
      <c r="F1302" t="s">
        <v>4</v>
      </c>
      <c r="G1302" s="28">
        <v>0.63472222222222219</v>
      </c>
      <c r="H1302" s="28">
        <v>0.63472222222222219</v>
      </c>
      <c r="I1302">
        <v>0</v>
      </c>
      <c r="J1302" t="s">
        <v>174</v>
      </c>
      <c r="K1302">
        <v>0</v>
      </c>
      <c r="L1302" t="s">
        <v>3668</v>
      </c>
      <c r="M1302" t="s">
        <v>3669</v>
      </c>
      <c r="N1302" t="s">
        <v>3670</v>
      </c>
      <c r="O1302" t="s">
        <v>3671</v>
      </c>
      <c r="P1302" t="s">
        <v>3672</v>
      </c>
    </row>
    <row r="1303" spans="1:16" x14ac:dyDescent="0.35">
      <c r="A1303" t="s">
        <v>98</v>
      </c>
      <c r="B1303">
        <v>1322845173</v>
      </c>
      <c r="C1303" t="s">
        <v>18</v>
      </c>
      <c r="D1303" t="s">
        <v>20</v>
      </c>
      <c r="E1303" s="29">
        <v>46205</v>
      </c>
      <c r="F1303" t="s">
        <v>4</v>
      </c>
      <c r="G1303" s="28">
        <v>0.64166666666666672</v>
      </c>
      <c r="H1303" s="28">
        <v>0.69027777777777777</v>
      </c>
      <c r="I1303">
        <v>1</v>
      </c>
      <c r="J1303" t="s">
        <v>146</v>
      </c>
      <c r="K1303">
        <v>4</v>
      </c>
      <c r="L1303" t="s">
        <v>147</v>
      </c>
      <c r="M1303" t="s">
        <v>3673</v>
      </c>
      <c r="N1303" t="s">
        <v>3674</v>
      </c>
      <c r="O1303" t="s">
        <v>3675</v>
      </c>
      <c r="P1303" t="s">
        <v>3676</v>
      </c>
    </row>
    <row r="1304" spans="1:16" x14ac:dyDescent="0.35">
      <c r="A1304" t="s">
        <v>98</v>
      </c>
      <c r="B1304">
        <v>1322845173</v>
      </c>
      <c r="C1304" t="s">
        <v>18</v>
      </c>
      <c r="D1304" t="s">
        <v>20</v>
      </c>
      <c r="E1304" s="29">
        <v>46205</v>
      </c>
      <c r="F1304" t="s">
        <v>4</v>
      </c>
      <c r="G1304" s="28">
        <v>0.69722222222222219</v>
      </c>
      <c r="H1304" s="28">
        <v>0.69722222222222219</v>
      </c>
      <c r="I1304">
        <v>0</v>
      </c>
      <c r="J1304" t="s">
        <v>174</v>
      </c>
      <c r="K1304">
        <v>0</v>
      </c>
      <c r="L1304" t="s">
        <v>3677</v>
      </c>
      <c r="M1304" t="s">
        <v>3678</v>
      </c>
      <c r="N1304" t="s">
        <v>3679</v>
      </c>
      <c r="O1304" t="s">
        <v>3680</v>
      </c>
      <c r="P1304" t="s">
        <v>3681</v>
      </c>
    </row>
    <row r="1305" spans="1:16" x14ac:dyDescent="0.35">
      <c r="A1305" t="s">
        <v>98</v>
      </c>
      <c r="B1305">
        <v>1322845173</v>
      </c>
      <c r="C1305" t="s">
        <v>18</v>
      </c>
      <c r="D1305" t="s">
        <v>20</v>
      </c>
      <c r="E1305" s="29">
        <v>46205</v>
      </c>
      <c r="F1305" t="s">
        <v>4</v>
      </c>
      <c r="G1305" s="28">
        <v>0.71805555555555556</v>
      </c>
      <c r="H1305" s="28">
        <v>0.74583333333333335</v>
      </c>
      <c r="I1305">
        <v>1</v>
      </c>
      <c r="J1305" t="s">
        <v>146</v>
      </c>
      <c r="K1305">
        <v>2</v>
      </c>
      <c r="L1305" t="s">
        <v>147</v>
      </c>
      <c r="M1305" t="s">
        <v>3682</v>
      </c>
      <c r="N1305" t="s">
        <v>3683</v>
      </c>
      <c r="O1305" t="s">
        <v>3684</v>
      </c>
      <c r="P1305" t="s">
        <v>3685</v>
      </c>
    </row>
    <row r="1306" spans="1:16" x14ac:dyDescent="0.35">
      <c r="A1306" t="s">
        <v>98</v>
      </c>
      <c r="B1306">
        <v>1322845173</v>
      </c>
      <c r="C1306" t="s">
        <v>18</v>
      </c>
      <c r="D1306" t="s">
        <v>20</v>
      </c>
      <c r="E1306" s="29">
        <v>46205</v>
      </c>
      <c r="F1306" t="s">
        <v>4</v>
      </c>
      <c r="G1306" s="28">
        <v>0.75277777777777777</v>
      </c>
      <c r="H1306" s="28">
        <v>0.75277777777777777</v>
      </c>
      <c r="I1306">
        <v>0</v>
      </c>
      <c r="J1306" t="s">
        <v>174</v>
      </c>
      <c r="K1306">
        <v>0</v>
      </c>
      <c r="L1306" t="s">
        <v>2884</v>
      </c>
      <c r="M1306" t="s">
        <v>3669</v>
      </c>
      <c r="N1306" t="s">
        <v>3670</v>
      </c>
      <c r="O1306" t="s">
        <v>3671</v>
      </c>
      <c r="P1306" t="s">
        <v>3672</v>
      </c>
    </row>
    <row r="1307" spans="1:16" x14ac:dyDescent="0.35">
      <c r="A1307" t="s">
        <v>98</v>
      </c>
      <c r="B1307">
        <v>1322845173</v>
      </c>
      <c r="C1307" t="s">
        <v>18</v>
      </c>
      <c r="D1307" t="s">
        <v>20</v>
      </c>
      <c r="E1307" s="29">
        <v>46205</v>
      </c>
      <c r="F1307" t="s">
        <v>4</v>
      </c>
      <c r="G1307" s="28">
        <v>0.75972222222222219</v>
      </c>
      <c r="H1307" s="28">
        <v>0.75972222222222219</v>
      </c>
      <c r="I1307">
        <v>0</v>
      </c>
      <c r="J1307" t="s">
        <v>174</v>
      </c>
      <c r="K1307">
        <v>0</v>
      </c>
      <c r="L1307" t="s">
        <v>3658</v>
      </c>
      <c r="M1307" t="s">
        <v>3659</v>
      </c>
      <c r="N1307" t="s">
        <v>3660</v>
      </c>
      <c r="O1307" t="s">
        <v>3661</v>
      </c>
      <c r="P1307" t="s">
        <v>3662</v>
      </c>
    </row>
    <row r="1308" spans="1:16" x14ac:dyDescent="0.35">
      <c r="A1308" t="s">
        <v>98</v>
      </c>
      <c r="B1308">
        <v>1322845173</v>
      </c>
      <c r="C1308" t="s">
        <v>18</v>
      </c>
      <c r="D1308" t="s">
        <v>20</v>
      </c>
      <c r="E1308" s="29">
        <v>46205</v>
      </c>
      <c r="F1308" t="s">
        <v>4</v>
      </c>
      <c r="G1308" s="28">
        <v>0.76666666666666672</v>
      </c>
      <c r="H1308" s="28">
        <v>0.77361111111111114</v>
      </c>
      <c r="I1308">
        <v>0</v>
      </c>
      <c r="J1308" t="s">
        <v>146</v>
      </c>
      <c r="K1308">
        <v>0</v>
      </c>
      <c r="L1308" t="s">
        <v>147</v>
      </c>
      <c r="M1308" t="s">
        <v>3663</v>
      </c>
      <c r="N1308" t="s">
        <v>3664</v>
      </c>
      <c r="O1308" t="s">
        <v>3665</v>
      </c>
      <c r="P1308" t="s">
        <v>3666</v>
      </c>
    </row>
    <row r="1309" spans="1:16" x14ac:dyDescent="0.35">
      <c r="A1309" t="s">
        <v>98</v>
      </c>
      <c r="B1309">
        <v>1322845173</v>
      </c>
      <c r="C1309" t="s">
        <v>18</v>
      </c>
      <c r="D1309" t="s">
        <v>20</v>
      </c>
      <c r="E1309" s="29">
        <v>46205</v>
      </c>
      <c r="F1309" t="s">
        <v>4</v>
      </c>
      <c r="G1309" s="28">
        <v>0.78055555555555556</v>
      </c>
      <c r="H1309" s="28">
        <v>0.82222222222222219</v>
      </c>
      <c r="I1309">
        <v>1</v>
      </c>
      <c r="J1309" t="s">
        <v>146</v>
      </c>
      <c r="K1309">
        <v>3</v>
      </c>
      <c r="L1309" t="s">
        <v>147</v>
      </c>
      <c r="M1309" t="s">
        <v>3659</v>
      </c>
      <c r="N1309" t="s">
        <v>3660</v>
      </c>
      <c r="O1309" t="s">
        <v>3661</v>
      </c>
      <c r="P1309" t="s">
        <v>3662</v>
      </c>
    </row>
    <row r="1310" spans="1:16" x14ac:dyDescent="0.35">
      <c r="A1310" t="s">
        <v>98</v>
      </c>
      <c r="B1310">
        <v>1322845173</v>
      </c>
      <c r="C1310" t="s">
        <v>18</v>
      </c>
      <c r="D1310" t="s">
        <v>20</v>
      </c>
      <c r="E1310" s="29">
        <v>46207</v>
      </c>
      <c r="F1310" t="s">
        <v>5</v>
      </c>
      <c r="G1310" s="28">
        <v>0.37777777777777777</v>
      </c>
      <c r="H1310" s="28">
        <v>0.37777777777777777</v>
      </c>
      <c r="I1310">
        <v>0</v>
      </c>
      <c r="J1310" t="s">
        <v>174</v>
      </c>
      <c r="K1310">
        <v>0</v>
      </c>
      <c r="L1310" t="s">
        <v>3686</v>
      </c>
      <c r="M1310" t="s">
        <v>3687</v>
      </c>
      <c r="N1310" t="s">
        <v>3688</v>
      </c>
      <c r="O1310" t="s">
        <v>3689</v>
      </c>
      <c r="P1310" t="s">
        <v>3690</v>
      </c>
    </row>
    <row r="1311" spans="1:16" x14ac:dyDescent="0.35">
      <c r="A1311" t="s">
        <v>98</v>
      </c>
      <c r="B1311">
        <v>1322845173</v>
      </c>
      <c r="C1311" t="s">
        <v>18</v>
      </c>
      <c r="D1311" t="s">
        <v>20</v>
      </c>
      <c r="E1311" s="29">
        <v>46207</v>
      </c>
      <c r="F1311" t="s">
        <v>5</v>
      </c>
      <c r="G1311" s="28">
        <v>0.38472222222222224</v>
      </c>
      <c r="H1311" s="28">
        <v>0.38472222222222224</v>
      </c>
      <c r="I1311">
        <v>0</v>
      </c>
      <c r="J1311" t="s">
        <v>174</v>
      </c>
      <c r="K1311">
        <v>0</v>
      </c>
      <c r="L1311" t="s">
        <v>3454</v>
      </c>
      <c r="M1311" t="s">
        <v>3691</v>
      </c>
      <c r="N1311" t="s">
        <v>3692</v>
      </c>
      <c r="O1311" t="s">
        <v>3693</v>
      </c>
      <c r="P1311" t="s">
        <v>3694</v>
      </c>
    </row>
    <row r="1312" spans="1:16" x14ac:dyDescent="0.35">
      <c r="A1312" t="s">
        <v>98</v>
      </c>
      <c r="B1312">
        <v>1322845173</v>
      </c>
      <c r="C1312" t="s">
        <v>18</v>
      </c>
      <c r="D1312" t="s">
        <v>20</v>
      </c>
      <c r="E1312" s="29">
        <v>46207</v>
      </c>
      <c r="F1312" t="s">
        <v>5</v>
      </c>
      <c r="G1312" s="28">
        <v>0.39166666666666666</v>
      </c>
      <c r="H1312" s="28">
        <v>0.43333333333333335</v>
      </c>
      <c r="I1312">
        <v>1</v>
      </c>
      <c r="J1312" t="s">
        <v>146</v>
      </c>
      <c r="K1312">
        <v>3</v>
      </c>
      <c r="L1312" t="s">
        <v>147</v>
      </c>
      <c r="M1312" t="s">
        <v>3695</v>
      </c>
      <c r="N1312" t="s">
        <v>3696</v>
      </c>
      <c r="O1312" t="s">
        <v>3697</v>
      </c>
      <c r="P1312" t="s">
        <v>3698</v>
      </c>
    </row>
    <row r="1313" spans="1:16" x14ac:dyDescent="0.35">
      <c r="A1313" t="s">
        <v>98</v>
      </c>
      <c r="B1313">
        <v>1322845173</v>
      </c>
      <c r="C1313" t="s">
        <v>18</v>
      </c>
      <c r="D1313" t="s">
        <v>20</v>
      </c>
      <c r="E1313" s="29">
        <v>46207</v>
      </c>
      <c r="F1313" t="s">
        <v>5</v>
      </c>
      <c r="G1313" s="28">
        <v>0.44027777777777777</v>
      </c>
      <c r="H1313" s="28">
        <v>0.44027777777777777</v>
      </c>
      <c r="I1313">
        <v>0</v>
      </c>
      <c r="J1313" t="s">
        <v>174</v>
      </c>
      <c r="K1313">
        <v>0</v>
      </c>
      <c r="L1313" t="s">
        <v>3699</v>
      </c>
      <c r="M1313" t="s">
        <v>3700</v>
      </c>
      <c r="N1313" t="s">
        <v>3701</v>
      </c>
      <c r="O1313" t="s">
        <v>3702</v>
      </c>
      <c r="P1313" t="s">
        <v>3703</v>
      </c>
    </row>
    <row r="1314" spans="1:16" x14ac:dyDescent="0.35">
      <c r="A1314" t="s">
        <v>98</v>
      </c>
      <c r="B1314">
        <v>1322845173</v>
      </c>
      <c r="C1314" t="s">
        <v>18</v>
      </c>
      <c r="D1314" t="s">
        <v>20</v>
      </c>
      <c r="E1314" s="29">
        <v>46207</v>
      </c>
      <c r="F1314" t="s">
        <v>5</v>
      </c>
      <c r="G1314" s="28">
        <v>0.44722222222222224</v>
      </c>
      <c r="H1314" s="28">
        <v>0.46111111111111114</v>
      </c>
      <c r="I1314">
        <v>0</v>
      </c>
      <c r="J1314" t="s">
        <v>146</v>
      </c>
      <c r="K1314">
        <v>1</v>
      </c>
      <c r="L1314" t="s">
        <v>147</v>
      </c>
      <c r="M1314" t="s">
        <v>3695</v>
      </c>
      <c r="N1314" t="s">
        <v>3696</v>
      </c>
      <c r="O1314" t="s">
        <v>3697</v>
      </c>
      <c r="P1314" t="s">
        <v>3698</v>
      </c>
    </row>
    <row r="1315" spans="1:16" x14ac:dyDescent="0.35">
      <c r="A1315" t="s">
        <v>98</v>
      </c>
      <c r="B1315">
        <v>1322845173</v>
      </c>
      <c r="C1315" t="s">
        <v>18</v>
      </c>
      <c r="D1315" t="s">
        <v>20</v>
      </c>
      <c r="E1315" s="29">
        <v>46207</v>
      </c>
      <c r="F1315" t="s">
        <v>5</v>
      </c>
      <c r="G1315" s="28">
        <v>0.46805555555555556</v>
      </c>
      <c r="H1315" s="28">
        <v>0.46805555555555556</v>
      </c>
      <c r="I1315">
        <v>0</v>
      </c>
      <c r="J1315" t="s">
        <v>174</v>
      </c>
      <c r="K1315">
        <v>0</v>
      </c>
      <c r="L1315" t="s">
        <v>3704</v>
      </c>
      <c r="M1315" t="s">
        <v>3705</v>
      </c>
      <c r="N1315" t="s">
        <v>3706</v>
      </c>
      <c r="O1315" t="s">
        <v>3707</v>
      </c>
      <c r="P1315" t="s">
        <v>3708</v>
      </c>
    </row>
    <row r="1316" spans="1:16" x14ac:dyDescent="0.35">
      <c r="A1316" t="s">
        <v>98</v>
      </c>
      <c r="B1316">
        <v>1322845173</v>
      </c>
      <c r="C1316" t="s">
        <v>18</v>
      </c>
      <c r="D1316" t="s">
        <v>20</v>
      </c>
      <c r="E1316" s="29">
        <v>46207</v>
      </c>
      <c r="F1316" t="s">
        <v>5</v>
      </c>
      <c r="G1316" s="28">
        <v>0.47499999999999998</v>
      </c>
      <c r="H1316" s="28">
        <v>0.47499999999999998</v>
      </c>
      <c r="I1316">
        <v>0</v>
      </c>
      <c r="J1316" t="s">
        <v>174</v>
      </c>
      <c r="K1316">
        <v>0</v>
      </c>
      <c r="L1316" t="s">
        <v>3709</v>
      </c>
      <c r="M1316" t="s">
        <v>3710</v>
      </c>
      <c r="N1316" t="s">
        <v>3711</v>
      </c>
      <c r="O1316" t="s">
        <v>3712</v>
      </c>
      <c r="P1316" t="s">
        <v>3713</v>
      </c>
    </row>
    <row r="1317" spans="1:16" x14ac:dyDescent="0.35">
      <c r="A1317" t="s">
        <v>98</v>
      </c>
      <c r="B1317">
        <v>1322845173</v>
      </c>
      <c r="C1317" t="s">
        <v>18</v>
      </c>
      <c r="D1317" t="s">
        <v>20</v>
      </c>
      <c r="E1317" s="29">
        <v>46207</v>
      </c>
      <c r="F1317" t="s">
        <v>5</v>
      </c>
      <c r="G1317" s="28">
        <v>0.48194444444444445</v>
      </c>
      <c r="H1317" s="28">
        <v>0.48194444444444445</v>
      </c>
      <c r="I1317">
        <v>0</v>
      </c>
      <c r="J1317" t="s">
        <v>174</v>
      </c>
      <c r="K1317">
        <v>0</v>
      </c>
      <c r="L1317" t="s">
        <v>3714</v>
      </c>
      <c r="M1317" t="s">
        <v>3715</v>
      </c>
      <c r="N1317" t="s">
        <v>3716</v>
      </c>
      <c r="O1317" t="s">
        <v>3717</v>
      </c>
      <c r="P1317" t="s">
        <v>3718</v>
      </c>
    </row>
    <row r="1318" spans="1:16" x14ac:dyDescent="0.35">
      <c r="A1318" t="s">
        <v>98</v>
      </c>
      <c r="B1318">
        <v>1322845173</v>
      </c>
      <c r="C1318" t="s">
        <v>18</v>
      </c>
      <c r="D1318" t="s">
        <v>20</v>
      </c>
      <c r="E1318" s="29">
        <v>46207</v>
      </c>
      <c r="F1318" t="s">
        <v>5</v>
      </c>
      <c r="G1318" s="28">
        <v>0.48888888888888887</v>
      </c>
      <c r="H1318" s="28">
        <v>0.49583333333333335</v>
      </c>
      <c r="I1318">
        <v>0</v>
      </c>
      <c r="J1318" t="s">
        <v>146</v>
      </c>
      <c r="K1318">
        <v>1</v>
      </c>
      <c r="L1318" t="s">
        <v>147</v>
      </c>
      <c r="M1318" t="s">
        <v>3719</v>
      </c>
      <c r="N1318" t="s">
        <v>3720</v>
      </c>
      <c r="O1318" t="s">
        <v>3721</v>
      </c>
      <c r="P1318" t="s">
        <v>3722</v>
      </c>
    </row>
    <row r="1319" spans="1:16" x14ac:dyDescent="0.35">
      <c r="A1319" t="s">
        <v>98</v>
      </c>
      <c r="B1319">
        <v>1322845173</v>
      </c>
      <c r="C1319" t="s">
        <v>18</v>
      </c>
      <c r="D1319" t="s">
        <v>20</v>
      </c>
      <c r="E1319" s="29">
        <v>46207</v>
      </c>
      <c r="F1319" t="s">
        <v>5</v>
      </c>
      <c r="G1319" s="28">
        <v>0.50277777777777777</v>
      </c>
      <c r="H1319" s="28">
        <v>0.50277777777777777</v>
      </c>
      <c r="I1319">
        <v>0</v>
      </c>
      <c r="J1319" t="s">
        <v>174</v>
      </c>
      <c r="K1319">
        <v>0</v>
      </c>
      <c r="L1319" t="s">
        <v>3723</v>
      </c>
      <c r="M1319" t="s">
        <v>3724</v>
      </c>
      <c r="N1319" t="s">
        <v>3725</v>
      </c>
      <c r="O1319" t="s">
        <v>3726</v>
      </c>
      <c r="P1319" t="s">
        <v>3727</v>
      </c>
    </row>
    <row r="1320" spans="1:16" x14ac:dyDescent="0.35">
      <c r="A1320" t="s">
        <v>98</v>
      </c>
      <c r="B1320">
        <v>1322845173</v>
      </c>
      <c r="C1320" t="s">
        <v>18</v>
      </c>
      <c r="D1320" t="s">
        <v>20</v>
      </c>
      <c r="E1320" s="29">
        <v>46207</v>
      </c>
      <c r="F1320" t="s">
        <v>5</v>
      </c>
      <c r="G1320" s="28">
        <v>0.50972222222222219</v>
      </c>
      <c r="H1320" s="28">
        <v>0.51666666666666672</v>
      </c>
      <c r="I1320">
        <v>0</v>
      </c>
      <c r="J1320" t="s">
        <v>146</v>
      </c>
      <c r="K1320">
        <v>1</v>
      </c>
      <c r="L1320" t="s">
        <v>147</v>
      </c>
      <c r="M1320" t="s">
        <v>3728</v>
      </c>
      <c r="N1320" t="s">
        <v>3729</v>
      </c>
      <c r="O1320" t="s">
        <v>3730</v>
      </c>
      <c r="P1320" t="s">
        <v>3731</v>
      </c>
    </row>
    <row r="1321" spans="1:16" x14ac:dyDescent="0.35">
      <c r="A1321" t="s">
        <v>98</v>
      </c>
      <c r="B1321">
        <v>1322845173</v>
      </c>
      <c r="C1321" t="s">
        <v>18</v>
      </c>
      <c r="D1321" t="s">
        <v>20</v>
      </c>
      <c r="E1321" s="29">
        <v>46207</v>
      </c>
      <c r="F1321" t="s">
        <v>5</v>
      </c>
      <c r="G1321" s="28">
        <v>0.52361111111111114</v>
      </c>
      <c r="H1321" s="28">
        <v>0.52361111111111114</v>
      </c>
      <c r="I1321">
        <v>0</v>
      </c>
      <c r="J1321" t="s">
        <v>174</v>
      </c>
      <c r="K1321">
        <v>0</v>
      </c>
      <c r="L1321" t="s">
        <v>3500</v>
      </c>
      <c r="M1321" t="s">
        <v>3732</v>
      </c>
      <c r="N1321" t="s">
        <v>3733</v>
      </c>
      <c r="O1321" t="s">
        <v>3734</v>
      </c>
      <c r="P1321" t="s">
        <v>3735</v>
      </c>
    </row>
    <row r="1322" spans="1:16" x14ac:dyDescent="0.35">
      <c r="A1322" t="s">
        <v>98</v>
      </c>
      <c r="B1322">
        <v>1322845173</v>
      </c>
      <c r="C1322" t="s">
        <v>18</v>
      </c>
      <c r="D1322" t="s">
        <v>20</v>
      </c>
      <c r="E1322" s="29">
        <v>46207</v>
      </c>
      <c r="F1322" t="s">
        <v>5</v>
      </c>
      <c r="G1322" s="28">
        <v>0.53055555555555556</v>
      </c>
      <c r="H1322" s="28">
        <v>0.53055555555555556</v>
      </c>
      <c r="I1322">
        <v>0</v>
      </c>
      <c r="J1322" t="s">
        <v>174</v>
      </c>
      <c r="K1322">
        <v>0</v>
      </c>
      <c r="L1322" t="s">
        <v>3736</v>
      </c>
      <c r="M1322" t="s">
        <v>2195</v>
      </c>
      <c r="N1322" t="s">
        <v>2196</v>
      </c>
      <c r="O1322" t="s">
        <v>2197</v>
      </c>
      <c r="P1322" t="s">
        <v>2198</v>
      </c>
    </row>
    <row r="1323" spans="1:16" x14ac:dyDescent="0.35">
      <c r="A1323" t="s">
        <v>98</v>
      </c>
      <c r="B1323">
        <v>1322845173</v>
      </c>
      <c r="C1323" t="s">
        <v>18</v>
      </c>
      <c r="D1323" t="s">
        <v>20</v>
      </c>
      <c r="E1323" s="29">
        <v>46207</v>
      </c>
      <c r="F1323" t="s">
        <v>5</v>
      </c>
      <c r="G1323" s="28">
        <v>0.53749999999999998</v>
      </c>
      <c r="H1323" s="28">
        <v>0.53749999999999998</v>
      </c>
      <c r="I1323">
        <v>0</v>
      </c>
      <c r="J1323" t="s">
        <v>174</v>
      </c>
      <c r="K1323">
        <v>0</v>
      </c>
      <c r="L1323" t="s">
        <v>1971</v>
      </c>
      <c r="M1323" t="s">
        <v>3737</v>
      </c>
      <c r="N1323" t="s">
        <v>3738</v>
      </c>
      <c r="O1323" t="s">
        <v>3739</v>
      </c>
      <c r="P1323" t="s">
        <v>3740</v>
      </c>
    </row>
    <row r="1324" spans="1:16" x14ac:dyDescent="0.35">
      <c r="A1324" t="s">
        <v>98</v>
      </c>
      <c r="B1324">
        <v>1322845173</v>
      </c>
      <c r="C1324" t="s">
        <v>18</v>
      </c>
      <c r="D1324" t="s">
        <v>20</v>
      </c>
      <c r="E1324" s="29">
        <v>46207</v>
      </c>
      <c r="F1324" t="s">
        <v>5</v>
      </c>
      <c r="G1324" s="28">
        <v>0.5444444444444444</v>
      </c>
      <c r="H1324" s="28">
        <v>0.5444444444444444</v>
      </c>
      <c r="I1324">
        <v>0</v>
      </c>
      <c r="J1324" t="s">
        <v>174</v>
      </c>
      <c r="K1324">
        <v>0</v>
      </c>
      <c r="L1324" t="s">
        <v>3741</v>
      </c>
      <c r="M1324" t="s">
        <v>3742</v>
      </c>
      <c r="N1324" t="s">
        <v>3743</v>
      </c>
      <c r="O1324" t="s">
        <v>3744</v>
      </c>
      <c r="P1324" t="s">
        <v>3745</v>
      </c>
    </row>
    <row r="1325" spans="1:16" x14ac:dyDescent="0.35">
      <c r="A1325" t="s">
        <v>98</v>
      </c>
      <c r="B1325">
        <v>1322845173</v>
      </c>
      <c r="C1325" t="s">
        <v>18</v>
      </c>
      <c r="D1325" t="s">
        <v>20</v>
      </c>
      <c r="E1325" s="29">
        <v>46207</v>
      </c>
      <c r="F1325" t="s">
        <v>5</v>
      </c>
      <c r="G1325" s="28">
        <v>0.55138888888888893</v>
      </c>
      <c r="H1325" s="28">
        <v>0.55138888888888893</v>
      </c>
      <c r="I1325">
        <v>0</v>
      </c>
      <c r="J1325" t="s">
        <v>174</v>
      </c>
      <c r="K1325">
        <v>0</v>
      </c>
      <c r="L1325" t="s">
        <v>2466</v>
      </c>
      <c r="M1325" t="s">
        <v>3746</v>
      </c>
      <c r="N1325" t="s">
        <v>3747</v>
      </c>
      <c r="O1325" t="s">
        <v>3748</v>
      </c>
      <c r="P1325" t="s">
        <v>3749</v>
      </c>
    </row>
    <row r="1326" spans="1:16" x14ac:dyDescent="0.35">
      <c r="A1326" t="s">
        <v>98</v>
      </c>
      <c r="B1326">
        <v>1322845173</v>
      </c>
      <c r="C1326" t="s">
        <v>18</v>
      </c>
      <c r="D1326" t="s">
        <v>20</v>
      </c>
      <c r="E1326" s="29">
        <v>46207</v>
      </c>
      <c r="F1326" t="s">
        <v>5</v>
      </c>
      <c r="G1326" s="28">
        <v>0.55833333333333335</v>
      </c>
      <c r="H1326" s="28">
        <v>0.57916666666666672</v>
      </c>
      <c r="I1326">
        <v>1</v>
      </c>
      <c r="J1326" t="s">
        <v>146</v>
      </c>
      <c r="K1326">
        <v>2</v>
      </c>
      <c r="L1326" t="s">
        <v>147</v>
      </c>
      <c r="M1326" t="s">
        <v>3750</v>
      </c>
      <c r="N1326" t="s">
        <v>3751</v>
      </c>
      <c r="O1326" t="s">
        <v>3752</v>
      </c>
      <c r="P1326" t="s">
        <v>3753</v>
      </c>
    </row>
    <row r="1327" spans="1:16" x14ac:dyDescent="0.35">
      <c r="A1327" t="s">
        <v>98</v>
      </c>
      <c r="B1327">
        <v>1322845173</v>
      </c>
      <c r="C1327" t="s">
        <v>18</v>
      </c>
      <c r="D1327" t="s">
        <v>20</v>
      </c>
      <c r="E1327" s="29">
        <v>46207</v>
      </c>
      <c r="F1327" t="s">
        <v>5</v>
      </c>
      <c r="G1327" s="28">
        <v>0.58611111111111114</v>
      </c>
      <c r="H1327" s="28">
        <v>0.58611111111111114</v>
      </c>
      <c r="I1327">
        <v>0</v>
      </c>
      <c r="J1327" t="s">
        <v>174</v>
      </c>
      <c r="K1327">
        <v>0</v>
      </c>
      <c r="L1327" t="s">
        <v>3754</v>
      </c>
      <c r="M1327" t="s">
        <v>3755</v>
      </c>
      <c r="N1327" t="s">
        <v>3756</v>
      </c>
      <c r="O1327" t="s">
        <v>3757</v>
      </c>
      <c r="P1327" t="s">
        <v>3758</v>
      </c>
    </row>
    <row r="1328" spans="1:16" x14ac:dyDescent="0.35">
      <c r="A1328" t="s">
        <v>98</v>
      </c>
      <c r="B1328">
        <v>1322845173</v>
      </c>
      <c r="C1328" t="s">
        <v>18</v>
      </c>
      <c r="D1328" t="s">
        <v>20</v>
      </c>
      <c r="E1328" s="29">
        <v>46207</v>
      </c>
      <c r="F1328" t="s">
        <v>5</v>
      </c>
      <c r="G1328" s="28">
        <v>0.59305555555555556</v>
      </c>
      <c r="H1328" s="28">
        <v>0.61388888888888893</v>
      </c>
      <c r="I1328">
        <v>1</v>
      </c>
      <c r="J1328" t="s">
        <v>146</v>
      </c>
      <c r="K1328">
        <v>2</v>
      </c>
      <c r="L1328" t="s">
        <v>147</v>
      </c>
      <c r="M1328" t="s">
        <v>3750</v>
      </c>
      <c r="N1328" t="s">
        <v>3751</v>
      </c>
      <c r="O1328" t="s">
        <v>3752</v>
      </c>
      <c r="P1328" t="s">
        <v>3753</v>
      </c>
    </row>
    <row r="1329" spans="1:16" x14ac:dyDescent="0.35">
      <c r="A1329" t="s">
        <v>98</v>
      </c>
      <c r="B1329">
        <v>1322845173</v>
      </c>
      <c r="C1329" t="s">
        <v>18</v>
      </c>
      <c r="D1329" t="s">
        <v>20</v>
      </c>
      <c r="E1329" s="29">
        <v>46207</v>
      </c>
      <c r="F1329" t="s">
        <v>5</v>
      </c>
      <c r="G1329" s="28">
        <v>0.62083333333333335</v>
      </c>
      <c r="H1329" s="28">
        <v>0.62083333333333335</v>
      </c>
      <c r="I1329">
        <v>0</v>
      </c>
      <c r="J1329" t="s">
        <v>174</v>
      </c>
      <c r="K1329">
        <v>0</v>
      </c>
      <c r="L1329" t="s">
        <v>3759</v>
      </c>
      <c r="M1329" t="s">
        <v>3760</v>
      </c>
      <c r="N1329" t="s">
        <v>3761</v>
      </c>
      <c r="O1329" t="s">
        <v>3762</v>
      </c>
      <c r="P1329" t="s">
        <v>3763</v>
      </c>
    </row>
    <row r="1330" spans="1:16" x14ac:dyDescent="0.35">
      <c r="A1330" t="s">
        <v>98</v>
      </c>
      <c r="B1330">
        <v>1322845173</v>
      </c>
      <c r="C1330" t="s">
        <v>18</v>
      </c>
      <c r="D1330" t="s">
        <v>20</v>
      </c>
      <c r="E1330" s="29">
        <v>46207</v>
      </c>
      <c r="F1330" t="s">
        <v>5</v>
      </c>
      <c r="G1330" s="28">
        <v>0.62777777777777777</v>
      </c>
      <c r="H1330" s="28">
        <v>0.64861111111111114</v>
      </c>
      <c r="I1330">
        <v>1</v>
      </c>
      <c r="J1330" t="s">
        <v>146</v>
      </c>
      <c r="K1330">
        <v>2</v>
      </c>
      <c r="L1330" t="s">
        <v>147</v>
      </c>
      <c r="M1330" t="s">
        <v>3764</v>
      </c>
      <c r="N1330" t="s">
        <v>3765</v>
      </c>
      <c r="O1330" t="s">
        <v>3766</v>
      </c>
      <c r="P1330" t="s">
        <v>3767</v>
      </c>
    </row>
    <row r="1331" spans="1:16" x14ac:dyDescent="0.35">
      <c r="A1331" t="s">
        <v>98</v>
      </c>
      <c r="B1331">
        <v>1322845173</v>
      </c>
      <c r="C1331" t="s">
        <v>18</v>
      </c>
      <c r="D1331" t="s">
        <v>20</v>
      </c>
      <c r="E1331" s="29">
        <v>46207</v>
      </c>
      <c r="F1331" t="s">
        <v>5</v>
      </c>
      <c r="G1331" s="28">
        <v>0.65555555555555556</v>
      </c>
      <c r="H1331" s="28">
        <v>0.65555555555555556</v>
      </c>
      <c r="I1331">
        <v>0</v>
      </c>
      <c r="J1331" t="s">
        <v>174</v>
      </c>
      <c r="K1331">
        <v>0</v>
      </c>
      <c r="L1331" t="s">
        <v>3768</v>
      </c>
      <c r="M1331" t="s">
        <v>3769</v>
      </c>
      <c r="N1331" t="s">
        <v>3770</v>
      </c>
      <c r="O1331" t="s">
        <v>3771</v>
      </c>
      <c r="P1331" t="s">
        <v>3772</v>
      </c>
    </row>
    <row r="1332" spans="1:16" x14ac:dyDescent="0.35">
      <c r="A1332" t="s">
        <v>98</v>
      </c>
      <c r="B1332">
        <v>1322845173</v>
      </c>
      <c r="C1332" t="s">
        <v>18</v>
      </c>
      <c r="D1332" t="s">
        <v>20</v>
      </c>
      <c r="E1332" s="29">
        <v>46207</v>
      </c>
      <c r="F1332" t="s">
        <v>5</v>
      </c>
      <c r="G1332" s="28">
        <v>0.66249999999999998</v>
      </c>
      <c r="H1332" s="28">
        <v>0.66249999999999998</v>
      </c>
      <c r="I1332">
        <v>0</v>
      </c>
      <c r="J1332" t="s">
        <v>174</v>
      </c>
      <c r="K1332">
        <v>0</v>
      </c>
      <c r="L1332" t="s">
        <v>389</v>
      </c>
      <c r="M1332" t="s">
        <v>3773</v>
      </c>
      <c r="N1332" t="s">
        <v>3774</v>
      </c>
      <c r="O1332" t="s">
        <v>3775</v>
      </c>
      <c r="P1332" t="s">
        <v>3776</v>
      </c>
    </row>
    <row r="1333" spans="1:16" x14ac:dyDescent="0.35">
      <c r="A1333" t="s">
        <v>98</v>
      </c>
      <c r="B1333">
        <v>1322845173</v>
      </c>
      <c r="C1333" t="s">
        <v>18</v>
      </c>
      <c r="D1333" t="s">
        <v>20</v>
      </c>
      <c r="E1333" s="29">
        <v>46207</v>
      </c>
      <c r="F1333" t="s">
        <v>5</v>
      </c>
      <c r="G1333" s="28">
        <v>0.6694444444444444</v>
      </c>
      <c r="H1333" s="28">
        <v>0.6694444444444444</v>
      </c>
      <c r="I1333">
        <v>0</v>
      </c>
      <c r="J1333" t="s">
        <v>174</v>
      </c>
      <c r="K1333">
        <v>0</v>
      </c>
      <c r="L1333" t="s">
        <v>2851</v>
      </c>
      <c r="M1333" t="s">
        <v>3777</v>
      </c>
      <c r="N1333" t="s">
        <v>3778</v>
      </c>
      <c r="O1333" t="s">
        <v>3779</v>
      </c>
      <c r="P1333" t="s">
        <v>3780</v>
      </c>
    </row>
    <row r="1334" spans="1:16" x14ac:dyDescent="0.35">
      <c r="A1334" t="s">
        <v>98</v>
      </c>
      <c r="B1334">
        <v>1322845173</v>
      </c>
      <c r="C1334" t="s">
        <v>18</v>
      </c>
      <c r="D1334" t="s">
        <v>20</v>
      </c>
      <c r="E1334" s="29">
        <v>46207</v>
      </c>
      <c r="F1334" t="s">
        <v>5</v>
      </c>
      <c r="G1334" s="28">
        <v>0.67638888888888893</v>
      </c>
      <c r="H1334" s="28">
        <v>0.67638888888888893</v>
      </c>
      <c r="I1334">
        <v>0</v>
      </c>
      <c r="J1334" t="s">
        <v>174</v>
      </c>
      <c r="K1334">
        <v>0</v>
      </c>
      <c r="L1334" t="s">
        <v>3781</v>
      </c>
      <c r="M1334" t="s">
        <v>3782</v>
      </c>
      <c r="N1334" t="s">
        <v>3783</v>
      </c>
      <c r="O1334" t="s">
        <v>3784</v>
      </c>
      <c r="P1334" t="s">
        <v>3785</v>
      </c>
    </row>
    <row r="1335" spans="1:16" x14ac:dyDescent="0.35">
      <c r="A1335" t="s">
        <v>98</v>
      </c>
      <c r="B1335">
        <v>1322845173</v>
      </c>
      <c r="C1335" t="s">
        <v>18</v>
      </c>
      <c r="D1335" t="s">
        <v>20</v>
      </c>
      <c r="E1335" s="29">
        <v>46207</v>
      </c>
      <c r="F1335" t="s">
        <v>5</v>
      </c>
      <c r="G1335" s="28">
        <v>0.68333333333333335</v>
      </c>
      <c r="H1335" s="28">
        <v>0.71805555555555556</v>
      </c>
      <c r="I1335">
        <v>1</v>
      </c>
      <c r="J1335" t="s">
        <v>146</v>
      </c>
      <c r="K1335">
        <v>2</v>
      </c>
      <c r="L1335" t="s">
        <v>147</v>
      </c>
      <c r="M1335" t="s">
        <v>3786</v>
      </c>
      <c r="N1335" t="s">
        <v>3787</v>
      </c>
      <c r="O1335" t="s">
        <v>3788</v>
      </c>
      <c r="P1335" t="s">
        <v>3789</v>
      </c>
    </row>
    <row r="1336" spans="1:16" x14ac:dyDescent="0.35">
      <c r="A1336" t="s">
        <v>98</v>
      </c>
      <c r="B1336">
        <v>1322845173</v>
      </c>
      <c r="C1336" t="s">
        <v>18</v>
      </c>
      <c r="D1336" t="s">
        <v>20</v>
      </c>
      <c r="E1336" s="29">
        <v>46207</v>
      </c>
      <c r="F1336" t="s">
        <v>5</v>
      </c>
      <c r="G1336" s="28">
        <v>0.72499999999999998</v>
      </c>
      <c r="H1336" s="28">
        <v>0.7319444444444444</v>
      </c>
      <c r="I1336">
        <v>0</v>
      </c>
      <c r="J1336" t="s">
        <v>146</v>
      </c>
      <c r="K1336">
        <v>0</v>
      </c>
      <c r="L1336" t="s">
        <v>147</v>
      </c>
      <c r="M1336" t="s">
        <v>3790</v>
      </c>
      <c r="N1336" t="s">
        <v>3791</v>
      </c>
      <c r="O1336" t="s">
        <v>3792</v>
      </c>
      <c r="P1336" t="s">
        <v>3793</v>
      </c>
    </row>
    <row r="1337" spans="1:16" x14ac:dyDescent="0.35">
      <c r="A1337" t="s">
        <v>98</v>
      </c>
      <c r="B1337">
        <v>1322845173</v>
      </c>
      <c r="C1337" t="s">
        <v>18</v>
      </c>
      <c r="D1337" t="s">
        <v>20</v>
      </c>
      <c r="E1337" s="29">
        <v>46207</v>
      </c>
      <c r="F1337" t="s">
        <v>5</v>
      </c>
      <c r="G1337" s="28">
        <v>0.73958333333333337</v>
      </c>
      <c r="H1337" s="28">
        <v>0.73958333333333337</v>
      </c>
      <c r="I1337">
        <v>0</v>
      </c>
      <c r="J1337" t="s">
        <v>174</v>
      </c>
      <c r="K1337">
        <v>0</v>
      </c>
      <c r="L1337" t="s">
        <v>638</v>
      </c>
      <c r="M1337" t="s">
        <v>3794</v>
      </c>
      <c r="N1337" t="s">
        <v>3795</v>
      </c>
      <c r="O1337" t="s">
        <v>3796</v>
      </c>
      <c r="P1337" t="s">
        <v>3797</v>
      </c>
    </row>
    <row r="1338" spans="1:16" x14ac:dyDescent="0.35">
      <c r="A1338" t="s">
        <v>98</v>
      </c>
      <c r="B1338">
        <v>1322845173</v>
      </c>
      <c r="C1338" t="s">
        <v>18</v>
      </c>
      <c r="D1338" t="s">
        <v>20</v>
      </c>
      <c r="E1338" s="29">
        <v>46207</v>
      </c>
      <c r="F1338" t="s">
        <v>5</v>
      </c>
      <c r="G1338" s="28">
        <v>0.74583333333333335</v>
      </c>
      <c r="H1338" s="28">
        <v>0.74583333333333335</v>
      </c>
      <c r="I1338">
        <v>0</v>
      </c>
      <c r="J1338" t="s">
        <v>174</v>
      </c>
      <c r="K1338">
        <v>0</v>
      </c>
      <c r="L1338" t="s">
        <v>1125</v>
      </c>
      <c r="M1338" t="s">
        <v>3798</v>
      </c>
      <c r="N1338" t="s">
        <v>3799</v>
      </c>
      <c r="O1338" t="s">
        <v>3800</v>
      </c>
      <c r="P1338" t="s">
        <v>3801</v>
      </c>
    </row>
    <row r="1339" spans="1:16" x14ac:dyDescent="0.35">
      <c r="A1339" t="s">
        <v>98</v>
      </c>
      <c r="B1339">
        <v>1322845173</v>
      </c>
      <c r="C1339" t="s">
        <v>18</v>
      </c>
      <c r="D1339" t="s">
        <v>20</v>
      </c>
      <c r="E1339" s="29">
        <v>46207</v>
      </c>
      <c r="F1339" t="s">
        <v>5</v>
      </c>
      <c r="G1339" s="28">
        <v>0.75277777777777777</v>
      </c>
      <c r="H1339" s="28">
        <v>0.7944444444444444</v>
      </c>
      <c r="I1339">
        <v>1</v>
      </c>
      <c r="J1339" t="s">
        <v>146</v>
      </c>
      <c r="K1339">
        <v>3</v>
      </c>
      <c r="L1339" t="s">
        <v>147</v>
      </c>
      <c r="M1339" t="s">
        <v>3802</v>
      </c>
      <c r="N1339" t="s">
        <v>3803</v>
      </c>
      <c r="O1339" t="s">
        <v>3804</v>
      </c>
      <c r="P1339" t="s">
        <v>3805</v>
      </c>
    </row>
    <row r="1340" spans="1:16" x14ac:dyDescent="0.35">
      <c r="A1340" t="s">
        <v>98</v>
      </c>
      <c r="B1340">
        <v>1322845173</v>
      </c>
      <c r="C1340" t="s">
        <v>18</v>
      </c>
      <c r="D1340" t="s">
        <v>20</v>
      </c>
      <c r="E1340" s="29">
        <v>46208</v>
      </c>
      <c r="F1340" t="s">
        <v>6</v>
      </c>
      <c r="G1340" s="28">
        <v>0.37777777777777777</v>
      </c>
      <c r="H1340" s="28">
        <v>0.37777777777777777</v>
      </c>
      <c r="I1340">
        <v>0</v>
      </c>
      <c r="J1340" t="s">
        <v>174</v>
      </c>
      <c r="K1340">
        <v>0</v>
      </c>
      <c r="L1340" t="s">
        <v>1901</v>
      </c>
      <c r="M1340" t="s">
        <v>3806</v>
      </c>
      <c r="N1340" t="s">
        <v>3807</v>
      </c>
      <c r="O1340" t="s">
        <v>3808</v>
      </c>
      <c r="P1340" t="s">
        <v>3809</v>
      </c>
    </row>
    <row r="1341" spans="1:16" x14ac:dyDescent="0.35">
      <c r="A1341" t="s">
        <v>98</v>
      </c>
      <c r="B1341">
        <v>1322845173</v>
      </c>
      <c r="C1341" t="s">
        <v>18</v>
      </c>
      <c r="D1341" t="s">
        <v>20</v>
      </c>
      <c r="E1341" s="29">
        <v>46208</v>
      </c>
      <c r="F1341" t="s">
        <v>6</v>
      </c>
      <c r="G1341" s="28">
        <v>0.38472222222222224</v>
      </c>
      <c r="H1341" s="28">
        <v>0.38472222222222224</v>
      </c>
      <c r="I1341">
        <v>0</v>
      </c>
      <c r="J1341" t="s">
        <v>174</v>
      </c>
      <c r="K1341">
        <v>0</v>
      </c>
      <c r="L1341" t="s">
        <v>3810</v>
      </c>
      <c r="M1341" t="s">
        <v>3811</v>
      </c>
      <c r="N1341" t="s">
        <v>3812</v>
      </c>
      <c r="O1341" t="s">
        <v>3813</v>
      </c>
      <c r="P1341" t="s">
        <v>3814</v>
      </c>
    </row>
    <row r="1342" spans="1:16" x14ac:dyDescent="0.35">
      <c r="A1342" t="s">
        <v>98</v>
      </c>
      <c r="B1342">
        <v>1322845173</v>
      </c>
      <c r="C1342" t="s">
        <v>18</v>
      </c>
      <c r="D1342" t="s">
        <v>20</v>
      </c>
      <c r="E1342" s="29">
        <v>46208</v>
      </c>
      <c r="F1342" t="s">
        <v>6</v>
      </c>
      <c r="G1342" s="28">
        <v>0.39166666666666666</v>
      </c>
      <c r="H1342" s="28">
        <v>0.39166666666666666</v>
      </c>
      <c r="I1342">
        <v>0</v>
      </c>
      <c r="J1342" t="s">
        <v>174</v>
      </c>
      <c r="K1342">
        <v>0</v>
      </c>
      <c r="L1342" t="s">
        <v>3815</v>
      </c>
      <c r="M1342" t="s">
        <v>3816</v>
      </c>
      <c r="N1342" t="s">
        <v>3817</v>
      </c>
      <c r="O1342" t="s">
        <v>3818</v>
      </c>
      <c r="P1342" t="s">
        <v>3819</v>
      </c>
    </row>
    <row r="1343" spans="1:16" x14ac:dyDescent="0.35">
      <c r="A1343" t="s">
        <v>98</v>
      </c>
      <c r="B1343">
        <v>1322845173</v>
      </c>
      <c r="C1343" t="s">
        <v>18</v>
      </c>
      <c r="D1343" t="s">
        <v>20</v>
      </c>
      <c r="E1343" s="29">
        <v>46208</v>
      </c>
      <c r="F1343" t="s">
        <v>6</v>
      </c>
      <c r="G1343" s="28">
        <v>0.39861111111111114</v>
      </c>
      <c r="H1343" s="28">
        <v>0.39861111111111114</v>
      </c>
      <c r="I1343">
        <v>0</v>
      </c>
      <c r="J1343" t="s">
        <v>174</v>
      </c>
      <c r="K1343">
        <v>0</v>
      </c>
      <c r="L1343" t="s">
        <v>1535</v>
      </c>
      <c r="M1343" t="s">
        <v>3820</v>
      </c>
      <c r="N1343" t="s">
        <v>3821</v>
      </c>
      <c r="O1343" t="s">
        <v>3822</v>
      </c>
      <c r="P1343" t="s">
        <v>3823</v>
      </c>
    </row>
    <row r="1344" spans="1:16" x14ac:dyDescent="0.35">
      <c r="A1344" t="s">
        <v>98</v>
      </c>
      <c r="B1344">
        <v>1322845173</v>
      </c>
      <c r="C1344" t="s">
        <v>18</v>
      </c>
      <c r="D1344" t="s">
        <v>20</v>
      </c>
      <c r="E1344" s="29">
        <v>46208</v>
      </c>
      <c r="F1344" t="s">
        <v>6</v>
      </c>
      <c r="G1344" s="28">
        <v>0.40555555555555556</v>
      </c>
      <c r="H1344" s="28">
        <v>0.40555555555555556</v>
      </c>
      <c r="I1344">
        <v>0</v>
      </c>
      <c r="J1344" t="s">
        <v>174</v>
      </c>
      <c r="K1344">
        <v>0</v>
      </c>
      <c r="L1344" t="s">
        <v>1855</v>
      </c>
      <c r="M1344" t="s">
        <v>3824</v>
      </c>
      <c r="N1344" t="s">
        <v>3825</v>
      </c>
      <c r="O1344" t="s">
        <v>3826</v>
      </c>
      <c r="P1344" t="s">
        <v>3827</v>
      </c>
    </row>
    <row r="1345" spans="1:16" x14ac:dyDescent="0.35">
      <c r="A1345" t="s">
        <v>98</v>
      </c>
      <c r="B1345">
        <v>1322845173</v>
      </c>
      <c r="C1345" t="s">
        <v>18</v>
      </c>
      <c r="D1345" t="s">
        <v>20</v>
      </c>
      <c r="E1345" s="29">
        <v>46208</v>
      </c>
      <c r="F1345" t="s">
        <v>6</v>
      </c>
      <c r="G1345" s="28">
        <v>0.41249999999999998</v>
      </c>
      <c r="H1345" s="28">
        <v>0.41249999999999998</v>
      </c>
      <c r="I1345">
        <v>0</v>
      </c>
      <c r="J1345" t="s">
        <v>174</v>
      </c>
      <c r="K1345">
        <v>0</v>
      </c>
      <c r="L1345" t="s">
        <v>3526</v>
      </c>
      <c r="M1345" t="s">
        <v>3828</v>
      </c>
      <c r="N1345" t="s">
        <v>3829</v>
      </c>
      <c r="O1345" t="s">
        <v>3830</v>
      </c>
      <c r="P1345" t="s">
        <v>3831</v>
      </c>
    </row>
    <row r="1346" spans="1:16" x14ac:dyDescent="0.35">
      <c r="A1346" t="s">
        <v>98</v>
      </c>
      <c r="B1346">
        <v>1322845173</v>
      </c>
      <c r="C1346" t="s">
        <v>18</v>
      </c>
      <c r="D1346" t="s">
        <v>20</v>
      </c>
      <c r="E1346" s="29">
        <v>46208</v>
      </c>
      <c r="F1346" t="s">
        <v>6</v>
      </c>
      <c r="G1346" s="28">
        <v>0.41944444444444445</v>
      </c>
      <c r="H1346" s="28">
        <v>0.41944444444444445</v>
      </c>
      <c r="I1346">
        <v>0</v>
      </c>
      <c r="J1346" t="s">
        <v>174</v>
      </c>
      <c r="K1346">
        <v>0</v>
      </c>
      <c r="L1346" t="s">
        <v>2785</v>
      </c>
      <c r="M1346" t="s">
        <v>3832</v>
      </c>
      <c r="N1346" t="s">
        <v>3833</v>
      </c>
      <c r="O1346" t="s">
        <v>3834</v>
      </c>
      <c r="P1346" t="s">
        <v>3835</v>
      </c>
    </row>
    <row r="1347" spans="1:16" x14ac:dyDescent="0.35">
      <c r="A1347" t="s">
        <v>98</v>
      </c>
      <c r="B1347">
        <v>1322845173</v>
      </c>
      <c r="C1347" t="s">
        <v>18</v>
      </c>
      <c r="D1347" t="s">
        <v>20</v>
      </c>
      <c r="E1347" s="29">
        <v>46208</v>
      </c>
      <c r="F1347" t="s">
        <v>6</v>
      </c>
      <c r="G1347" s="28">
        <v>0.57222222222222219</v>
      </c>
      <c r="H1347" s="28">
        <v>0.57222222222222219</v>
      </c>
      <c r="I1347">
        <v>0</v>
      </c>
      <c r="J1347" t="s">
        <v>174</v>
      </c>
      <c r="K1347">
        <v>0</v>
      </c>
      <c r="L1347" t="s">
        <v>3836</v>
      </c>
      <c r="M1347" t="s">
        <v>3837</v>
      </c>
      <c r="N1347" t="s">
        <v>3838</v>
      </c>
      <c r="O1347" t="s">
        <v>3839</v>
      </c>
      <c r="P1347" t="s">
        <v>3840</v>
      </c>
    </row>
    <row r="1348" spans="1:16" x14ac:dyDescent="0.35">
      <c r="A1348" t="s">
        <v>98</v>
      </c>
      <c r="B1348">
        <v>1322845173</v>
      </c>
      <c r="C1348" t="s">
        <v>18</v>
      </c>
      <c r="D1348" t="s">
        <v>20</v>
      </c>
      <c r="E1348" s="29">
        <v>46208</v>
      </c>
      <c r="F1348" t="s">
        <v>6</v>
      </c>
      <c r="G1348" s="28">
        <v>0.57916666666666672</v>
      </c>
      <c r="H1348" s="28">
        <v>0.57916666666666672</v>
      </c>
      <c r="I1348">
        <v>0</v>
      </c>
      <c r="J1348" t="s">
        <v>174</v>
      </c>
      <c r="K1348">
        <v>0</v>
      </c>
      <c r="L1348" t="s">
        <v>1266</v>
      </c>
      <c r="M1348" t="s">
        <v>3841</v>
      </c>
      <c r="N1348" t="s">
        <v>3842</v>
      </c>
      <c r="O1348" t="s">
        <v>3843</v>
      </c>
      <c r="P1348" t="s">
        <v>3844</v>
      </c>
    </row>
    <row r="1349" spans="1:16" x14ac:dyDescent="0.35">
      <c r="A1349" t="s">
        <v>98</v>
      </c>
      <c r="B1349">
        <v>1322845173</v>
      </c>
      <c r="C1349" t="s">
        <v>18</v>
      </c>
      <c r="D1349" t="s">
        <v>20</v>
      </c>
      <c r="E1349" s="29">
        <v>46208</v>
      </c>
      <c r="F1349" t="s">
        <v>6</v>
      </c>
      <c r="G1349" s="28">
        <v>0.59305555555555556</v>
      </c>
      <c r="H1349" s="28">
        <v>0.59305555555555556</v>
      </c>
      <c r="I1349">
        <v>0</v>
      </c>
      <c r="J1349" t="s">
        <v>174</v>
      </c>
      <c r="K1349">
        <v>0</v>
      </c>
      <c r="L1349" t="s">
        <v>3845</v>
      </c>
      <c r="M1349" t="s">
        <v>3846</v>
      </c>
      <c r="N1349" t="s">
        <v>3847</v>
      </c>
      <c r="O1349" t="s">
        <v>3848</v>
      </c>
      <c r="P1349" t="s">
        <v>3849</v>
      </c>
    </row>
    <row r="1350" spans="1:16" x14ac:dyDescent="0.35">
      <c r="A1350" t="s">
        <v>98</v>
      </c>
      <c r="B1350">
        <v>1322845173</v>
      </c>
      <c r="C1350" t="s">
        <v>18</v>
      </c>
      <c r="D1350" t="s">
        <v>20</v>
      </c>
      <c r="E1350" s="29">
        <v>46208</v>
      </c>
      <c r="F1350" t="s">
        <v>6</v>
      </c>
      <c r="G1350" s="28">
        <v>0.6</v>
      </c>
      <c r="H1350" s="28">
        <v>0.6</v>
      </c>
      <c r="I1350">
        <v>0</v>
      </c>
      <c r="J1350" t="s">
        <v>174</v>
      </c>
      <c r="K1350">
        <v>0</v>
      </c>
      <c r="L1350" t="s">
        <v>3850</v>
      </c>
      <c r="M1350" t="s">
        <v>3851</v>
      </c>
      <c r="N1350" t="s">
        <v>3852</v>
      </c>
      <c r="O1350" t="s">
        <v>3853</v>
      </c>
      <c r="P1350" t="s">
        <v>3854</v>
      </c>
    </row>
    <row r="1351" spans="1:16" x14ac:dyDescent="0.35">
      <c r="A1351" t="s">
        <v>98</v>
      </c>
      <c r="B1351">
        <v>1322845173</v>
      </c>
      <c r="C1351" t="s">
        <v>18</v>
      </c>
      <c r="D1351" t="s">
        <v>20</v>
      </c>
      <c r="E1351" s="29">
        <v>46208</v>
      </c>
      <c r="F1351" t="s">
        <v>6</v>
      </c>
      <c r="G1351" s="28">
        <v>0.6069444444444444</v>
      </c>
      <c r="H1351" s="28">
        <v>0.6069444444444444</v>
      </c>
      <c r="I1351">
        <v>0</v>
      </c>
      <c r="J1351" t="s">
        <v>174</v>
      </c>
      <c r="K1351">
        <v>0</v>
      </c>
      <c r="L1351" t="s">
        <v>3855</v>
      </c>
      <c r="M1351" t="s">
        <v>3856</v>
      </c>
      <c r="N1351" t="s">
        <v>3857</v>
      </c>
      <c r="O1351" t="s">
        <v>3858</v>
      </c>
      <c r="P1351" t="s">
        <v>3859</v>
      </c>
    </row>
    <row r="1352" spans="1:16" x14ac:dyDescent="0.35">
      <c r="A1352" t="s">
        <v>98</v>
      </c>
      <c r="B1352">
        <v>1322845173</v>
      </c>
      <c r="C1352" t="s">
        <v>18</v>
      </c>
      <c r="D1352" t="s">
        <v>20</v>
      </c>
      <c r="E1352" s="29">
        <v>46208</v>
      </c>
      <c r="F1352" t="s">
        <v>6</v>
      </c>
      <c r="G1352" s="28">
        <v>0.61388888888888893</v>
      </c>
      <c r="H1352" s="28">
        <v>0.61388888888888893</v>
      </c>
      <c r="I1352">
        <v>0</v>
      </c>
      <c r="J1352" t="s">
        <v>174</v>
      </c>
      <c r="K1352">
        <v>0</v>
      </c>
      <c r="L1352" t="s">
        <v>2018</v>
      </c>
      <c r="M1352" t="s">
        <v>3846</v>
      </c>
      <c r="N1352" t="s">
        <v>3847</v>
      </c>
      <c r="O1352" t="s">
        <v>3848</v>
      </c>
      <c r="P1352" t="s">
        <v>3849</v>
      </c>
    </row>
    <row r="1353" spans="1:16" x14ac:dyDescent="0.35">
      <c r="A1353" t="s">
        <v>98</v>
      </c>
      <c r="B1353">
        <v>1322845173</v>
      </c>
      <c r="C1353" t="s">
        <v>18</v>
      </c>
      <c r="D1353" t="s">
        <v>20</v>
      </c>
      <c r="E1353" s="29">
        <v>46208</v>
      </c>
      <c r="F1353" t="s">
        <v>6</v>
      </c>
      <c r="G1353" s="28">
        <v>0.62083333333333335</v>
      </c>
      <c r="H1353" s="28">
        <v>0.62083333333333335</v>
      </c>
      <c r="I1353">
        <v>0</v>
      </c>
      <c r="J1353" t="s">
        <v>174</v>
      </c>
      <c r="K1353">
        <v>0</v>
      </c>
      <c r="L1353" t="s">
        <v>3178</v>
      </c>
      <c r="M1353" t="s">
        <v>3860</v>
      </c>
      <c r="N1353" t="s">
        <v>3861</v>
      </c>
      <c r="O1353" t="s">
        <v>3862</v>
      </c>
      <c r="P1353" t="s">
        <v>3863</v>
      </c>
    </row>
    <row r="1354" spans="1:16" x14ac:dyDescent="0.35">
      <c r="A1354" t="s">
        <v>98</v>
      </c>
      <c r="B1354">
        <v>1322845173</v>
      </c>
      <c r="C1354" t="s">
        <v>18</v>
      </c>
      <c r="D1354" t="s">
        <v>20</v>
      </c>
      <c r="E1354" s="29">
        <v>46208</v>
      </c>
      <c r="F1354" t="s">
        <v>6</v>
      </c>
      <c r="G1354" s="28">
        <v>0.62777777777777777</v>
      </c>
      <c r="H1354" s="28">
        <v>0.62777777777777777</v>
      </c>
      <c r="I1354">
        <v>0</v>
      </c>
      <c r="J1354" t="s">
        <v>174</v>
      </c>
      <c r="K1354">
        <v>0</v>
      </c>
      <c r="L1354" t="s">
        <v>3608</v>
      </c>
      <c r="M1354" t="s">
        <v>3864</v>
      </c>
      <c r="N1354" t="s">
        <v>3865</v>
      </c>
      <c r="O1354" t="s">
        <v>3866</v>
      </c>
      <c r="P1354" t="s">
        <v>3867</v>
      </c>
    </row>
    <row r="1355" spans="1:16" x14ac:dyDescent="0.35">
      <c r="A1355" t="s">
        <v>98</v>
      </c>
      <c r="B1355">
        <v>1322845173</v>
      </c>
      <c r="C1355" t="s">
        <v>18</v>
      </c>
      <c r="D1355" t="s">
        <v>20</v>
      </c>
      <c r="E1355" s="29">
        <v>46208</v>
      </c>
      <c r="F1355" t="s">
        <v>6</v>
      </c>
      <c r="G1355" s="28">
        <v>0.63472222222222219</v>
      </c>
      <c r="H1355" s="28">
        <v>0.63472222222222219</v>
      </c>
      <c r="I1355">
        <v>0</v>
      </c>
      <c r="J1355" t="s">
        <v>174</v>
      </c>
      <c r="K1355">
        <v>0</v>
      </c>
      <c r="L1355" t="s">
        <v>685</v>
      </c>
      <c r="M1355" t="s">
        <v>3868</v>
      </c>
      <c r="N1355" t="s">
        <v>3869</v>
      </c>
      <c r="O1355" t="s">
        <v>3870</v>
      </c>
      <c r="P1355" t="s">
        <v>3871</v>
      </c>
    </row>
    <row r="1356" spans="1:16" x14ac:dyDescent="0.35">
      <c r="A1356" t="s">
        <v>98</v>
      </c>
      <c r="B1356">
        <v>1322845173</v>
      </c>
      <c r="C1356" t="s">
        <v>18</v>
      </c>
      <c r="D1356" t="s">
        <v>20</v>
      </c>
      <c r="E1356" s="29">
        <v>46208</v>
      </c>
      <c r="F1356" t="s">
        <v>6</v>
      </c>
      <c r="G1356" s="28">
        <v>0.64166666666666672</v>
      </c>
      <c r="H1356" s="28">
        <v>0.64166666666666672</v>
      </c>
      <c r="I1356">
        <v>0</v>
      </c>
      <c r="J1356" t="s">
        <v>174</v>
      </c>
      <c r="K1356">
        <v>0</v>
      </c>
      <c r="L1356" t="s">
        <v>3872</v>
      </c>
      <c r="M1356" t="s">
        <v>3873</v>
      </c>
      <c r="N1356" t="s">
        <v>3874</v>
      </c>
      <c r="O1356" t="s">
        <v>3875</v>
      </c>
      <c r="P1356" t="s">
        <v>3876</v>
      </c>
    </row>
    <row r="1357" spans="1:16" x14ac:dyDescent="0.35">
      <c r="A1357" t="s">
        <v>98</v>
      </c>
      <c r="B1357">
        <v>1322845173</v>
      </c>
      <c r="C1357" t="s">
        <v>18</v>
      </c>
      <c r="D1357" t="s">
        <v>20</v>
      </c>
      <c r="E1357" s="29">
        <v>46208</v>
      </c>
      <c r="F1357" t="s">
        <v>6</v>
      </c>
      <c r="G1357" s="28">
        <v>0.64861111111111114</v>
      </c>
      <c r="H1357" s="28">
        <v>0.64861111111111114</v>
      </c>
      <c r="I1357">
        <v>0</v>
      </c>
      <c r="J1357" t="s">
        <v>174</v>
      </c>
      <c r="K1357">
        <v>0</v>
      </c>
      <c r="L1357" t="s">
        <v>2884</v>
      </c>
      <c r="M1357" t="s">
        <v>3669</v>
      </c>
      <c r="N1357" t="s">
        <v>3670</v>
      </c>
      <c r="O1357" t="s">
        <v>3671</v>
      </c>
      <c r="P1357" t="s">
        <v>3672</v>
      </c>
    </row>
    <row r="1358" spans="1:16" x14ac:dyDescent="0.35">
      <c r="A1358" t="s">
        <v>98</v>
      </c>
      <c r="B1358">
        <v>1322845173</v>
      </c>
      <c r="C1358" t="s">
        <v>18</v>
      </c>
      <c r="D1358" t="s">
        <v>20</v>
      </c>
      <c r="E1358" s="29">
        <v>46208</v>
      </c>
      <c r="F1358" t="s">
        <v>6</v>
      </c>
      <c r="G1358" s="28">
        <v>0.65555555555555556</v>
      </c>
      <c r="H1358" s="28">
        <v>0.67638888888888893</v>
      </c>
      <c r="I1358">
        <v>1</v>
      </c>
      <c r="J1358" t="s">
        <v>146</v>
      </c>
      <c r="K1358">
        <v>2</v>
      </c>
      <c r="L1358" t="s">
        <v>147</v>
      </c>
      <c r="M1358" t="s">
        <v>3659</v>
      </c>
      <c r="N1358" t="s">
        <v>3660</v>
      </c>
      <c r="O1358" t="s">
        <v>3661</v>
      </c>
      <c r="P1358" t="s">
        <v>3662</v>
      </c>
    </row>
    <row r="1359" spans="1:16" x14ac:dyDescent="0.35">
      <c r="A1359" t="s">
        <v>98</v>
      </c>
      <c r="B1359">
        <v>1322845173</v>
      </c>
      <c r="C1359" t="s">
        <v>18</v>
      </c>
      <c r="D1359" t="s">
        <v>20</v>
      </c>
      <c r="E1359" s="29">
        <v>46208</v>
      </c>
      <c r="F1359" t="s">
        <v>6</v>
      </c>
      <c r="G1359" s="28">
        <v>0.68333333333333335</v>
      </c>
      <c r="H1359" s="28">
        <v>0.71111111111111114</v>
      </c>
      <c r="I1359">
        <v>1</v>
      </c>
      <c r="J1359" t="s">
        <v>146</v>
      </c>
      <c r="K1359">
        <v>2</v>
      </c>
      <c r="L1359" t="s">
        <v>147</v>
      </c>
      <c r="M1359" t="s">
        <v>3663</v>
      </c>
      <c r="N1359" t="s">
        <v>3664</v>
      </c>
      <c r="O1359" t="s">
        <v>3665</v>
      </c>
      <c r="P1359" t="s">
        <v>3666</v>
      </c>
    </row>
    <row r="1360" spans="1:16" x14ac:dyDescent="0.35">
      <c r="A1360" t="s">
        <v>98</v>
      </c>
      <c r="B1360">
        <v>1322845173</v>
      </c>
      <c r="C1360" t="s">
        <v>18</v>
      </c>
      <c r="D1360" t="s">
        <v>20</v>
      </c>
      <c r="E1360" s="29">
        <v>46208</v>
      </c>
      <c r="F1360" t="s">
        <v>6</v>
      </c>
      <c r="G1360" s="28">
        <v>0.71805555555555556</v>
      </c>
      <c r="H1360" s="28">
        <v>0.73888888888888893</v>
      </c>
      <c r="I1360">
        <v>1</v>
      </c>
      <c r="J1360" t="s">
        <v>146</v>
      </c>
      <c r="K1360">
        <v>2</v>
      </c>
      <c r="L1360" t="s">
        <v>147</v>
      </c>
      <c r="M1360" t="s">
        <v>3659</v>
      </c>
      <c r="N1360" t="s">
        <v>3660</v>
      </c>
      <c r="O1360" t="s">
        <v>3661</v>
      </c>
      <c r="P1360" t="s">
        <v>3662</v>
      </c>
    </row>
    <row r="1361" spans="1:16" x14ac:dyDescent="0.35">
      <c r="A1361" t="s">
        <v>98</v>
      </c>
      <c r="B1361">
        <v>1322845173</v>
      </c>
      <c r="C1361" t="s">
        <v>18</v>
      </c>
      <c r="D1361" t="s">
        <v>20</v>
      </c>
      <c r="E1361" s="29">
        <v>46208</v>
      </c>
      <c r="F1361" t="s">
        <v>6</v>
      </c>
      <c r="G1361" s="28">
        <v>0.74583333333333335</v>
      </c>
      <c r="H1361" s="28">
        <v>0.76666666666666672</v>
      </c>
      <c r="I1361">
        <v>1</v>
      </c>
      <c r="J1361" t="s">
        <v>146</v>
      </c>
      <c r="K1361">
        <v>2</v>
      </c>
      <c r="L1361" t="s">
        <v>147</v>
      </c>
      <c r="M1361" t="s">
        <v>3663</v>
      </c>
      <c r="N1361" t="s">
        <v>3664</v>
      </c>
      <c r="O1361" t="s">
        <v>3665</v>
      </c>
      <c r="P1361" t="s">
        <v>3666</v>
      </c>
    </row>
    <row r="1362" spans="1:16" x14ac:dyDescent="0.35">
      <c r="A1362" t="s">
        <v>98</v>
      </c>
      <c r="B1362">
        <v>1322845173</v>
      </c>
      <c r="C1362" t="s">
        <v>18</v>
      </c>
      <c r="D1362" t="s">
        <v>20</v>
      </c>
      <c r="E1362" s="29">
        <v>46208</v>
      </c>
      <c r="F1362" t="s">
        <v>6</v>
      </c>
      <c r="G1362" s="28">
        <v>0.77361111111111114</v>
      </c>
      <c r="H1362" s="28">
        <v>0.77361111111111114</v>
      </c>
      <c r="I1362">
        <v>0</v>
      </c>
      <c r="J1362" t="s">
        <v>174</v>
      </c>
      <c r="K1362">
        <v>0</v>
      </c>
      <c r="L1362" t="s">
        <v>3658</v>
      </c>
      <c r="M1362" t="s">
        <v>3667</v>
      </c>
      <c r="N1362" t="s">
        <v>3660</v>
      </c>
      <c r="O1362" t="s">
        <v>3661</v>
      </c>
      <c r="P1362" t="s">
        <v>3662</v>
      </c>
    </row>
    <row r="1363" spans="1:16" x14ac:dyDescent="0.35">
      <c r="A1363" t="s">
        <v>98</v>
      </c>
      <c r="B1363">
        <v>1322845173</v>
      </c>
      <c r="C1363" t="s">
        <v>18</v>
      </c>
      <c r="D1363" t="s">
        <v>20</v>
      </c>
      <c r="E1363" s="29">
        <v>46208</v>
      </c>
      <c r="F1363" t="s">
        <v>6</v>
      </c>
      <c r="G1363" s="28">
        <v>0.78055555555555556</v>
      </c>
      <c r="H1363" s="28">
        <v>0.7944444444444444</v>
      </c>
      <c r="I1363">
        <v>0</v>
      </c>
      <c r="J1363" t="s">
        <v>146</v>
      </c>
      <c r="K1363">
        <v>1</v>
      </c>
      <c r="L1363" t="s">
        <v>147</v>
      </c>
      <c r="M1363" t="s">
        <v>3663</v>
      </c>
      <c r="N1363" t="s">
        <v>3664</v>
      </c>
      <c r="O1363" t="s">
        <v>3665</v>
      </c>
      <c r="P1363" t="s">
        <v>3666</v>
      </c>
    </row>
    <row r="1364" spans="1:16" x14ac:dyDescent="0.35">
      <c r="A1364" t="s">
        <v>114</v>
      </c>
      <c r="B1364">
        <v>1335197833</v>
      </c>
      <c r="C1364" t="s">
        <v>18</v>
      </c>
      <c r="D1364" t="s">
        <v>21</v>
      </c>
      <c r="E1364" s="29">
        <v>46204</v>
      </c>
      <c r="F1364" t="s">
        <v>3</v>
      </c>
      <c r="G1364" s="28">
        <v>0.37708333333333333</v>
      </c>
      <c r="H1364" s="28">
        <v>0.4465277777777778</v>
      </c>
      <c r="I1364">
        <v>2</v>
      </c>
      <c r="J1364" t="s">
        <v>146</v>
      </c>
      <c r="K1364">
        <v>5</v>
      </c>
      <c r="L1364" t="s">
        <v>147</v>
      </c>
      <c r="M1364" t="s">
        <v>3687</v>
      </c>
      <c r="N1364" t="s">
        <v>3688</v>
      </c>
      <c r="O1364" t="s">
        <v>3689</v>
      </c>
      <c r="P1364" t="s">
        <v>3877</v>
      </c>
    </row>
    <row r="1365" spans="1:16" x14ac:dyDescent="0.35">
      <c r="A1365" t="s">
        <v>114</v>
      </c>
      <c r="B1365">
        <v>1335197833</v>
      </c>
      <c r="C1365" t="s">
        <v>18</v>
      </c>
      <c r="D1365" t="s">
        <v>21</v>
      </c>
      <c r="E1365" s="29">
        <v>46204</v>
      </c>
      <c r="F1365" t="s">
        <v>3</v>
      </c>
      <c r="G1365" s="28">
        <v>0.45347222222222222</v>
      </c>
      <c r="H1365" s="28">
        <v>0.45347222222222222</v>
      </c>
      <c r="I1365">
        <v>0</v>
      </c>
      <c r="J1365" t="s">
        <v>174</v>
      </c>
      <c r="K1365">
        <v>0</v>
      </c>
      <c r="L1365" t="s">
        <v>1176</v>
      </c>
      <c r="M1365" t="s">
        <v>3878</v>
      </c>
      <c r="N1365" t="s">
        <v>3879</v>
      </c>
      <c r="O1365" t="s">
        <v>3880</v>
      </c>
      <c r="P1365" t="s">
        <v>3881</v>
      </c>
    </row>
    <row r="1366" spans="1:16" x14ac:dyDescent="0.35">
      <c r="A1366" t="s">
        <v>114</v>
      </c>
      <c r="B1366">
        <v>1335197833</v>
      </c>
      <c r="C1366" t="s">
        <v>18</v>
      </c>
      <c r="D1366" t="s">
        <v>21</v>
      </c>
      <c r="E1366" s="29">
        <v>46204</v>
      </c>
      <c r="F1366" t="s">
        <v>3</v>
      </c>
      <c r="G1366" s="28">
        <v>0.46041666666666664</v>
      </c>
      <c r="H1366" s="28">
        <v>0.46041666666666664</v>
      </c>
      <c r="I1366">
        <v>0</v>
      </c>
      <c r="J1366" t="s">
        <v>174</v>
      </c>
      <c r="K1366">
        <v>0</v>
      </c>
      <c r="L1366" t="s">
        <v>3882</v>
      </c>
      <c r="M1366" t="s">
        <v>3883</v>
      </c>
      <c r="N1366" t="s">
        <v>3884</v>
      </c>
      <c r="O1366" t="s">
        <v>3885</v>
      </c>
      <c r="P1366" t="s">
        <v>3886</v>
      </c>
    </row>
    <row r="1367" spans="1:16" x14ac:dyDescent="0.35">
      <c r="A1367" t="s">
        <v>114</v>
      </c>
      <c r="B1367">
        <v>1335197833</v>
      </c>
      <c r="C1367" t="s">
        <v>18</v>
      </c>
      <c r="D1367" t="s">
        <v>21</v>
      </c>
      <c r="E1367" s="29">
        <v>46204</v>
      </c>
      <c r="F1367" t="s">
        <v>3</v>
      </c>
      <c r="G1367" s="28">
        <v>0.46736111111111112</v>
      </c>
      <c r="H1367" s="28">
        <v>0.46736111111111112</v>
      </c>
      <c r="I1367">
        <v>0</v>
      </c>
      <c r="J1367" t="s">
        <v>174</v>
      </c>
      <c r="K1367">
        <v>0</v>
      </c>
      <c r="L1367" t="s">
        <v>3887</v>
      </c>
      <c r="M1367" t="s">
        <v>3888</v>
      </c>
      <c r="N1367" t="s">
        <v>3889</v>
      </c>
      <c r="O1367" t="s">
        <v>3890</v>
      </c>
      <c r="P1367" t="s">
        <v>3891</v>
      </c>
    </row>
    <row r="1368" spans="1:16" x14ac:dyDescent="0.35">
      <c r="A1368" t="s">
        <v>114</v>
      </c>
      <c r="B1368">
        <v>1335197833</v>
      </c>
      <c r="C1368" t="s">
        <v>18</v>
      </c>
      <c r="D1368" t="s">
        <v>21</v>
      </c>
      <c r="E1368" s="29">
        <v>46204</v>
      </c>
      <c r="F1368" t="s">
        <v>3</v>
      </c>
      <c r="G1368" s="28">
        <v>0.47430555555555554</v>
      </c>
      <c r="H1368" s="28">
        <v>0.48125000000000001</v>
      </c>
      <c r="I1368">
        <v>0</v>
      </c>
      <c r="J1368" t="s">
        <v>146</v>
      </c>
      <c r="K1368">
        <v>1</v>
      </c>
      <c r="L1368" t="s">
        <v>147</v>
      </c>
      <c r="M1368" t="s">
        <v>3892</v>
      </c>
      <c r="N1368" t="s">
        <v>3701</v>
      </c>
      <c r="O1368" t="s">
        <v>3702</v>
      </c>
      <c r="P1368" t="s">
        <v>3891</v>
      </c>
    </row>
    <row r="1369" spans="1:16" x14ac:dyDescent="0.35">
      <c r="A1369" t="s">
        <v>114</v>
      </c>
      <c r="B1369">
        <v>1335197833</v>
      </c>
      <c r="C1369" t="s">
        <v>18</v>
      </c>
      <c r="D1369" t="s">
        <v>21</v>
      </c>
      <c r="E1369" s="29">
        <v>46204</v>
      </c>
      <c r="F1369" t="s">
        <v>3</v>
      </c>
      <c r="G1369" s="28">
        <v>0.48819444444444443</v>
      </c>
      <c r="H1369" s="28">
        <v>0.52986111111111112</v>
      </c>
      <c r="I1369">
        <v>1</v>
      </c>
      <c r="J1369" t="s">
        <v>146</v>
      </c>
      <c r="K1369">
        <v>3</v>
      </c>
      <c r="L1369" t="s">
        <v>147</v>
      </c>
      <c r="M1369" t="s">
        <v>3893</v>
      </c>
      <c r="N1369" t="s">
        <v>3894</v>
      </c>
      <c r="O1369" t="s">
        <v>3895</v>
      </c>
      <c r="P1369" t="s">
        <v>3896</v>
      </c>
    </row>
    <row r="1370" spans="1:16" x14ac:dyDescent="0.35">
      <c r="A1370" t="s">
        <v>114</v>
      </c>
      <c r="B1370">
        <v>1335197833</v>
      </c>
      <c r="C1370" t="s">
        <v>18</v>
      </c>
      <c r="D1370" t="s">
        <v>21</v>
      </c>
      <c r="E1370" s="29">
        <v>46204</v>
      </c>
      <c r="F1370" t="s">
        <v>3</v>
      </c>
      <c r="G1370" s="28">
        <v>0.53680555555555554</v>
      </c>
      <c r="H1370" s="28">
        <v>0.53680555555555554</v>
      </c>
      <c r="I1370">
        <v>0</v>
      </c>
      <c r="J1370" t="s">
        <v>174</v>
      </c>
      <c r="K1370">
        <v>0</v>
      </c>
      <c r="L1370" t="s">
        <v>3897</v>
      </c>
      <c r="M1370" t="s">
        <v>3898</v>
      </c>
      <c r="N1370" t="s">
        <v>3899</v>
      </c>
      <c r="O1370" t="s">
        <v>3900</v>
      </c>
      <c r="P1370" t="s">
        <v>3901</v>
      </c>
    </row>
    <row r="1371" spans="1:16" x14ac:dyDescent="0.35">
      <c r="A1371" t="s">
        <v>114</v>
      </c>
      <c r="B1371">
        <v>1335197833</v>
      </c>
      <c r="C1371" t="s">
        <v>18</v>
      </c>
      <c r="D1371" t="s">
        <v>21</v>
      </c>
      <c r="E1371" s="29">
        <v>46204</v>
      </c>
      <c r="F1371" t="s">
        <v>3</v>
      </c>
      <c r="G1371" s="28">
        <v>0.54374999999999996</v>
      </c>
      <c r="H1371" s="28">
        <v>0.54374999999999996</v>
      </c>
      <c r="I1371">
        <v>0</v>
      </c>
      <c r="J1371" t="s">
        <v>174</v>
      </c>
      <c r="K1371">
        <v>0</v>
      </c>
      <c r="L1371" t="s">
        <v>3025</v>
      </c>
      <c r="M1371" t="s">
        <v>3902</v>
      </c>
      <c r="N1371" t="s">
        <v>3903</v>
      </c>
      <c r="O1371" t="s">
        <v>3904</v>
      </c>
      <c r="P1371" t="s">
        <v>3905</v>
      </c>
    </row>
    <row r="1372" spans="1:16" x14ac:dyDescent="0.35">
      <c r="A1372" t="s">
        <v>114</v>
      </c>
      <c r="B1372">
        <v>1335197833</v>
      </c>
      <c r="C1372" t="s">
        <v>18</v>
      </c>
      <c r="D1372" t="s">
        <v>21</v>
      </c>
      <c r="E1372" s="29">
        <v>46204</v>
      </c>
      <c r="F1372" t="s">
        <v>3</v>
      </c>
      <c r="G1372" s="28">
        <v>0.55069444444444449</v>
      </c>
      <c r="H1372" s="28">
        <v>0.64097222222222228</v>
      </c>
      <c r="I1372">
        <v>2</v>
      </c>
      <c r="J1372" t="s">
        <v>146</v>
      </c>
      <c r="K1372">
        <v>6</v>
      </c>
      <c r="L1372" t="s">
        <v>147</v>
      </c>
      <c r="M1372" t="s">
        <v>3673</v>
      </c>
      <c r="N1372" t="s">
        <v>3674</v>
      </c>
      <c r="O1372" t="s">
        <v>3675</v>
      </c>
      <c r="P1372" t="s">
        <v>3906</v>
      </c>
    </row>
    <row r="1373" spans="1:16" x14ac:dyDescent="0.35">
      <c r="A1373" t="s">
        <v>114</v>
      </c>
      <c r="B1373">
        <v>1335197833</v>
      </c>
      <c r="C1373" t="s">
        <v>18</v>
      </c>
      <c r="D1373" t="s">
        <v>21</v>
      </c>
      <c r="E1373" s="29">
        <v>46204</v>
      </c>
      <c r="F1373" t="s">
        <v>3</v>
      </c>
      <c r="G1373" s="28">
        <v>0.6479166666666667</v>
      </c>
      <c r="H1373" s="28">
        <v>0.6479166666666667</v>
      </c>
      <c r="I1373">
        <v>0</v>
      </c>
      <c r="J1373" t="s">
        <v>174</v>
      </c>
      <c r="K1373">
        <v>0</v>
      </c>
      <c r="L1373" t="s">
        <v>3907</v>
      </c>
      <c r="M1373" t="s">
        <v>3667</v>
      </c>
      <c r="N1373" t="s">
        <v>2502</v>
      </c>
      <c r="O1373" t="s">
        <v>3908</v>
      </c>
      <c r="P1373" t="s">
        <v>3909</v>
      </c>
    </row>
    <row r="1374" spans="1:16" x14ac:dyDescent="0.35">
      <c r="A1374" t="s">
        <v>114</v>
      </c>
      <c r="B1374">
        <v>1335197833</v>
      </c>
      <c r="C1374" t="s">
        <v>18</v>
      </c>
      <c r="D1374" t="s">
        <v>21</v>
      </c>
      <c r="E1374" s="29">
        <v>46204</v>
      </c>
      <c r="F1374" t="s">
        <v>3</v>
      </c>
      <c r="G1374" s="28">
        <v>0.65486111111111112</v>
      </c>
      <c r="H1374" s="28">
        <v>0.65486111111111112</v>
      </c>
      <c r="I1374">
        <v>0</v>
      </c>
      <c r="J1374" t="s">
        <v>174</v>
      </c>
      <c r="K1374">
        <v>0</v>
      </c>
      <c r="L1374" t="s">
        <v>3668</v>
      </c>
      <c r="M1374" t="s">
        <v>3673</v>
      </c>
      <c r="N1374" t="s">
        <v>3674</v>
      </c>
      <c r="O1374" t="s">
        <v>3675</v>
      </c>
      <c r="P1374" t="s">
        <v>3906</v>
      </c>
    </row>
    <row r="1375" spans="1:16" x14ac:dyDescent="0.35">
      <c r="A1375" t="s">
        <v>114</v>
      </c>
      <c r="B1375">
        <v>1335197833</v>
      </c>
      <c r="C1375" t="s">
        <v>18</v>
      </c>
      <c r="D1375" t="s">
        <v>21</v>
      </c>
      <c r="E1375" s="29">
        <v>46204</v>
      </c>
      <c r="F1375" t="s">
        <v>3</v>
      </c>
      <c r="G1375" s="28">
        <v>0.66180555555555554</v>
      </c>
      <c r="H1375" s="28">
        <v>0.66874999999999996</v>
      </c>
      <c r="I1375">
        <v>0</v>
      </c>
      <c r="J1375" t="s">
        <v>146</v>
      </c>
      <c r="K1375">
        <v>0</v>
      </c>
      <c r="L1375" t="s">
        <v>147</v>
      </c>
      <c r="M1375" t="s">
        <v>3669</v>
      </c>
      <c r="N1375" t="s">
        <v>3670</v>
      </c>
      <c r="O1375" t="s">
        <v>3671</v>
      </c>
      <c r="P1375" t="s">
        <v>3910</v>
      </c>
    </row>
    <row r="1376" spans="1:16" x14ac:dyDescent="0.35">
      <c r="A1376" t="s">
        <v>114</v>
      </c>
      <c r="B1376">
        <v>1335197833</v>
      </c>
      <c r="C1376" t="s">
        <v>18</v>
      </c>
      <c r="D1376" t="s">
        <v>21</v>
      </c>
      <c r="E1376" s="29">
        <v>46204</v>
      </c>
      <c r="F1376" t="s">
        <v>3</v>
      </c>
      <c r="G1376" s="28">
        <v>0.67569444444444449</v>
      </c>
      <c r="H1376" s="28">
        <v>0.67569444444444449</v>
      </c>
      <c r="I1376">
        <v>0</v>
      </c>
      <c r="J1376" t="s">
        <v>174</v>
      </c>
      <c r="K1376">
        <v>0</v>
      </c>
      <c r="L1376" t="s">
        <v>3911</v>
      </c>
      <c r="M1376" t="s">
        <v>3673</v>
      </c>
      <c r="N1376" t="s">
        <v>3674</v>
      </c>
      <c r="O1376" t="s">
        <v>3675</v>
      </c>
      <c r="P1376" t="s">
        <v>3906</v>
      </c>
    </row>
    <row r="1377" spans="1:16" x14ac:dyDescent="0.35">
      <c r="A1377" t="s">
        <v>114</v>
      </c>
      <c r="B1377">
        <v>1335197833</v>
      </c>
      <c r="C1377" t="s">
        <v>18</v>
      </c>
      <c r="D1377" t="s">
        <v>21</v>
      </c>
      <c r="E1377" s="29">
        <v>46204</v>
      </c>
      <c r="F1377" t="s">
        <v>3</v>
      </c>
      <c r="G1377" s="28">
        <v>0.68263888888888891</v>
      </c>
      <c r="H1377" s="28">
        <v>0.73819444444444449</v>
      </c>
      <c r="I1377">
        <v>1</v>
      </c>
      <c r="J1377" t="s">
        <v>146</v>
      </c>
      <c r="K1377">
        <v>4</v>
      </c>
      <c r="L1377" t="s">
        <v>147</v>
      </c>
      <c r="M1377" t="s">
        <v>3663</v>
      </c>
      <c r="N1377" t="s">
        <v>3664</v>
      </c>
      <c r="O1377" t="s">
        <v>3665</v>
      </c>
      <c r="P1377" t="s">
        <v>3905</v>
      </c>
    </row>
    <row r="1378" spans="1:16" x14ac:dyDescent="0.35">
      <c r="A1378" t="s">
        <v>114</v>
      </c>
      <c r="B1378">
        <v>1335197833</v>
      </c>
      <c r="C1378" t="s">
        <v>18</v>
      </c>
      <c r="D1378" t="s">
        <v>21</v>
      </c>
      <c r="E1378" s="29">
        <v>46204</v>
      </c>
      <c r="F1378" t="s">
        <v>3</v>
      </c>
      <c r="G1378" s="28">
        <v>0.74513888888888891</v>
      </c>
      <c r="H1378" s="28">
        <v>0.76597222222222228</v>
      </c>
      <c r="I1378">
        <v>1</v>
      </c>
      <c r="J1378" t="s">
        <v>146</v>
      </c>
      <c r="K1378">
        <v>2</v>
      </c>
      <c r="L1378" t="s">
        <v>147</v>
      </c>
      <c r="M1378" t="s">
        <v>3659</v>
      </c>
      <c r="N1378" t="s">
        <v>3660</v>
      </c>
      <c r="O1378" t="s">
        <v>3661</v>
      </c>
      <c r="P1378" t="s">
        <v>3653</v>
      </c>
    </row>
    <row r="1379" spans="1:16" x14ac:dyDescent="0.35">
      <c r="A1379" t="s">
        <v>114</v>
      </c>
      <c r="B1379">
        <v>1335197833</v>
      </c>
      <c r="C1379" t="s">
        <v>18</v>
      </c>
      <c r="D1379" t="s">
        <v>21</v>
      </c>
      <c r="E1379" s="29">
        <v>46204</v>
      </c>
      <c r="F1379" t="s">
        <v>3</v>
      </c>
      <c r="G1379" s="28">
        <v>0.7729166666666667</v>
      </c>
      <c r="H1379" s="28">
        <v>0.7729166666666667</v>
      </c>
      <c r="I1379">
        <v>0</v>
      </c>
      <c r="J1379" t="s">
        <v>174</v>
      </c>
      <c r="K1379">
        <v>0</v>
      </c>
      <c r="L1379" t="s">
        <v>3912</v>
      </c>
      <c r="M1379" t="s">
        <v>3663</v>
      </c>
      <c r="N1379" t="s">
        <v>3664</v>
      </c>
      <c r="O1379" t="s">
        <v>3665</v>
      </c>
      <c r="P1379" t="s">
        <v>3905</v>
      </c>
    </row>
    <row r="1380" spans="1:16" x14ac:dyDescent="0.35">
      <c r="A1380" t="s">
        <v>114</v>
      </c>
      <c r="B1380">
        <v>1335197833</v>
      </c>
      <c r="C1380" t="s">
        <v>18</v>
      </c>
      <c r="D1380" t="s">
        <v>21</v>
      </c>
      <c r="E1380" s="29">
        <v>46204</v>
      </c>
      <c r="F1380" t="s">
        <v>3</v>
      </c>
      <c r="G1380" s="28">
        <v>0.77986111111111112</v>
      </c>
      <c r="H1380" s="28">
        <v>0.79374999999999996</v>
      </c>
      <c r="I1380">
        <v>0</v>
      </c>
      <c r="J1380" t="s">
        <v>146</v>
      </c>
      <c r="K1380">
        <v>1</v>
      </c>
      <c r="L1380" t="s">
        <v>147</v>
      </c>
      <c r="M1380" t="s">
        <v>3913</v>
      </c>
      <c r="N1380" t="s">
        <v>3914</v>
      </c>
      <c r="O1380" t="s">
        <v>3915</v>
      </c>
      <c r="P1380" t="s">
        <v>3916</v>
      </c>
    </row>
    <row r="1381" spans="1:16" x14ac:dyDescent="0.35">
      <c r="A1381" t="s">
        <v>114</v>
      </c>
      <c r="B1381">
        <v>1335197833</v>
      </c>
      <c r="C1381" t="s">
        <v>18</v>
      </c>
      <c r="D1381" t="s">
        <v>21</v>
      </c>
      <c r="E1381" s="29">
        <v>46205</v>
      </c>
      <c r="F1381" t="s">
        <v>4</v>
      </c>
      <c r="G1381" s="28">
        <v>0.37708333333333333</v>
      </c>
      <c r="H1381" s="28">
        <v>0.37708333333333333</v>
      </c>
      <c r="I1381">
        <v>0</v>
      </c>
      <c r="J1381" t="s">
        <v>174</v>
      </c>
      <c r="K1381">
        <v>0</v>
      </c>
      <c r="L1381" t="s">
        <v>1236</v>
      </c>
      <c r="M1381" t="s">
        <v>3917</v>
      </c>
      <c r="N1381" t="s">
        <v>3918</v>
      </c>
      <c r="O1381" t="s">
        <v>3919</v>
      </c>
      <c r="P1381" t="s">
        <v>3920</v>
      </c>
    </row>
    <row r="1382" spans="1:16" x14ac:dyDescent="0.35">
      <c r="A1382" t="s">
        <v>114</v>
      </c>
      <c r="B1382">
        <v>1335197833</v>
      </c>
      <c r="C1382" t="s">
        <v>18</v>
      </c>
      <c r="D1382" t="s">
        <v>21</v>
      </c>
      <c r="E1382" s="29">
        <v>46205</v>
      </c>
      <c r="F1382" t="s">
        <v>4</v>
      </c>
      <c r="G1382" s="28">
        <v>0.3840277777777778</v>
      </c>
      <c r="H1382" s="28">
        <v>0.3840277777777778</v>
      </c>
      <c r="I1382">
        <v>0</v>
      </c>
      <c r="J1382" t="s">
        <v>174</v>
      </c>
      <c r="K1382">
        <v>0</v>
      </c>
      <c r="L1382" t="s">
        <v>1520</v>
      </c>
      <c r="M1382" t="s">
        <v>3921</v>
      </c>
      <c r="N1382" t="s">
        <v>3922</v>
      </c>
      <c r="O1382" t="s">
        <v>3923</v>
      </c>
      <c r="P1382" t="s">
        <v>3924</v>
      </c>
    </row>
    <row r="1383" spans="1:16" x14ac:dyDescent="0.35">
      <c r="A1383" t="s">
        <v>114</v>
      </c>
      <c r="B1383">
        <v>1335197833</v>
      </c>
      <c r="C1383" t="s">
        <v>18</v>
      </c>
      <c r="D1383" t="s">
        <v>21</v>
      </c>
      <c r="E1383" s="29">
        <v>46205</v>
      </c>
      <c r="F1383" t="s">
        <v>4</v>
      </c>
      <c r="G1383" s="28">
        <v>0.39097222222222222</v>
      </c>
      <c r="H1383" s="28">
        <v>0.39097222222222222</v>
      </c>
      <c r="I1383">
        <v>0</v>
      </c>
      <c r="J1383" t="s">
        <v>174</v>
      </c>
      <c r="K1383">
        <v>0</v>
      </c>
      <c r="L1383" t="s">
        <v>574</v>
      </c>
      <c r="M1383" t="s">
        <v>3925</v>
      </c>
      <c r="N1383" t="s">
        <v>3926</v>
      </c>
      <c r="O1383" t="s">
        <v>3927</v>
      </c>
      <c r="P1383" t="s">
        <v>3928</v>
      </c>
    </row>
    <row r="1384" spans="1:16" x14ac:dyDescent="0.35">
      <c r="A1384" t="s">
        <v>114</v>
      </c>
      <c r="B1384">
        <v>1335197833</v>
      </c>
      <c r="C1384" t="s">
        <v>18</v>
      </c>
      <c r="D1384" t="s">
        <v>21</v>
      </c>
      <c r="E1384" s="29">
        <v>46205</v>
      </c>
      <c r="F1384" t="s">
        <v>4</v>
      </c>
      <c r="G1384" s="28">
        <v>0.39791666666666664</v>
      </c>
      <c r="H1384" s="28">
        <v>0.39791666666666664</v>
      </c>
      <c r="I1384">
        <v>0</v>
      </c>
      <c r="J1384" t="s">
        <v>174</v>
      </c>
      <c r="K1384">
        <v>0</v>
      </c>
      <c r="L1384" t="s">
        <v>3929</v>
      </c>
      <c r="M1384" t="s">
        <v>3930</v>
      </c>
      <c r="N1384" t="s">
        <v>3931</v>
      </c>
      <c r="O1384" t="s">
        <v>3932</v>
      </c>
      <c r="P1384" t="s">
        <v>3933</v>
      </c>
    </row>
    <row r="1385" spans="1:16" x14ac:dyDescent="0.35">
      <c r="A1385" t="s">
        <v>114</v>
      </c>
      <c r="B1385">
        <v>1335197833</v>
      </c>
      <c r="C1385" t="s">
        <v>18</v>
      </c>
      <c r="D1385" t="s">
        <v>21</v>
      </c>
      <c r="E1385" s="29">
        <v>46205</v>
      </c>
      <c r="F1385" t="s">
        <v>4</v>
      </c>
      <c r="G1385" s="28">
        <v>0.40486111111111112</v>
      </c>
      <c r="H1385" s="28">
        <v>0.41180555555555554</v>
      </c>
      <c r="I1385">
        <v>0</v>
      </c>
      <c r="J1385" t="s">
        <v>146</v>
      </c>
      <c r="K1385">
        <v>0</v>
      </c>
      <c r="L1385" t="s">
        <v>147</v>
      </c>
      <c r="M1385" t="s">
        <v>3934</v>
      </c>
      <c r="N1385" t="s">
        <v>3935</v>
      </c>
      <c r="O1385" t="s">
        <v>3936</v>
      </c>
      <c r="P1385" t="s">
        <v>3937</v>
      </c>
    </row>
    <row r="1386" spans="1:16" x14ac:dyDescent="0.35">
      <c r="A1386" t="s">
        <v>114</v>
      </c>
      <c r="B1386">
        <v>1335197833</v>
      </c>
      <c r="C1386" t="s">
        <v>18</v>
      </c>
      <c r="D1386" t="s">
        <v>21</v>
      </c>
      <c r="E1386" s="29">
        <v>46205</v>
      </c>
      <c r="F1386" t="s">
        <v>4</v>
      </c>
      <c r="G1386" s="28">
        <v>0.41875000000000001</v>
      </c>
      <c r="H1386" s="28">
        <v>0.41875000000000001</v>
      </c>
      <c r="I1386">
        <v>0</v>
      </c>
      <c r="J1386" t="s">
        <v>174</v>
      </c>
      <c r="K1386">
        <v>0</v>
      </c>
      <c r="L1386" t="s">
        <v>340</v>
      </c>
      <c r="M1386" t="s">
        <v>3938</v>
      </c>
      <c r="N1386" t="s">
        <v>3939</v>
      </c>
      <c r="O1386" t="s">
        <v>3940</v>
      </c>
      <c r="P1386" t="s">
        <v>3941</v>
      </c>
    </row>
    <row r="1387" spans="1:16" x14ac:dyDescent="0.35">
      <c r="A1387" t="s">
        <v>114</v>
      </c>
      <c r="B1387">
        <v>1335197833</v>
      </c>
      <c r="C1387" t="s">
        <v>18</v>
      </c>
      <c r="D1387" t="s">
        <v>21</v>
      </c>
      <c r="E1387" s="29">
        <v>46205</v>
      </c>
      <c r="F1387" t="s">
        <v>4</v>
      </c>
      <c r="G1387" s="28">
        <v>0.42569444444444443</v>
      </c>
      <c r="H1387" s="28">
        <v>0.43263888888888891</v>
      </c>
      <c r="I1387">
        <v>0</v>
      </c>
      <c r="J1387" t="s">
        <v>146</v>
      </c>
      <c r="K1387">
        <v>1</v>
      </c>
      <c r="L1387" t="s">
        <v>147</v>
      </c>
      <c r="M1387" t="s">
        <v>3942</v>
      </c>
      <c r="N1387" t="s">
        <v>3943</v>
      </c>
      <c r="O1387" t="s">
        <v>3944</v>
      </c>
      <c r="P1387" t="s">
        <v>3945</v>
      </c>
    </row>
    <row r="1388" spans="1:16" x14ac:dyDescent="0.35">
      <c r="A1388" t="s">
        <v>114</v>
      </c>
      <c r="B1388">
        <v>1335197833</v>
      </c>
      <c r="C1388" t="s">
        <v>18</v>
      </c>
      <c r="D1388" t="s">
        <v>21</v>
      </c>
      <c r="E1388" s="29">
        <v>46205</v>
      </c>
      <c r="F1388" t="s">
        <v>4</v>
      </c>
      <c r="G1388" s="28">
        <v>0.43958333333333333</v>
      </c>
      <c r="H1388" s="28">
        <v>0.43958333333333333</v>
      </c>
      <c r="I1388">
        <v>0</v>
      </c>
      <c r="J1388" t="s">
        <v>174</v>
      </c>
      <c r="K1388">
        <v>0</v>
      </c>
      <c r="L1388" t="s">
        <v>3946</v>
      </c>
      <c r="M1388" t="s">
        <v>3934</v>
      </c>
      <c r="N1388" t="s">
        <v>3935</v>
      </c>
      <c r="O1388" t="s">
        <v>3936</v>
      </c>
      <c r="P1388" t="s">
        <v>3937</v>
      </c>
    </row>
    <row r="1389" spans="1:16" x14ac:dyDescent="0.35">
      <c r="A1389" t="s">
        <v>114</v>
      </c>
      <c r="B1389">
        <v>1335197833</v>
      </c>
      <c r="C1389" t="s">
        <v>18</v>
      </c>
      <c r="D1389" t="s">
        <v>21</v>
      </c>
      <c r="E1389" s="29">
        <v>46205</v>
      </c>
      <c r="F1389" t="s">
        <v>4</v>
      </c>
      <c r="G1389" s="28">
        <v>0.4465277777777778</v>
      </c>
      <c r="H1389" s="28">
        <v>0.47430555555555554</v>
      </c>
      <c r="I1389">
        <v>1</v>
      </c>
      <c r="J1389" t="s">
        <v>146</v>
      </c>
      <c r="K1389">
        <v>2</v>
      </c>
      <c r="L1389" t="s">
        <v>147</v>
      </c>
      <c r="M1389" t="s">
        <v>3942</v>
      </c>
      <c r="N1389" t="s">
        <v>3943</v>
      </c>
      <c r="O1389" t="s">
        <v>3944</v>
      </c>
      <c r="P1389" t="s">
        <v>3945</v>
      </c>
    </row>
    <row r="1390" spans="1:16" x14ac:dyDescent="0.35">
      <c r="A1390" t="s">
        <v>114</v>
      </c>
      <c r="B1390">
        <v>1335197833</v>
      </c>
      <c r="C1390" t="s">
        <v>18</v>
      </c>
      <c r="D1390" t="s">
        <v>21</v>
      </c>
      <c r="E1390" s="29">
        <v>46205</v>
      </c>
      <c r="F1390" t="s">
        <v>4</v>
      </c>
      <c r="G1390" s="28">
        <v>0.48125000000000001</v>
      </c>
      <c r="H1390" s="28">
        <v>0.52986111111111112</v>
      </c>
      <c r="I1390">
        <v>1</v>
      </c>
      <c r="J1390" t="s">
        <v>146</v>
      </c>
      <c r="K1390">
        <v>4</v>
      </c>
      <c r="L1390" t="s">
        <v>147</v>
      </c>
      <c r="M1390" t="s">
        <v>3938</v>
      </c>
      <c r="N1390" t="s">
        <v>3939</v>
      </c>
      <c r="O1390" t="s">
        <v>3940</v>
      </c>
      <c r="P1390" t="s">
        <v>3941</v>
      </c>
    </row>
    <row r="1391" spans="1:16" x14ac:dyDescent="0.35">
      <c r="A1391" t="s">
        <v>114</v>
      </c>
      <c r="B1391">
        <v>1335197833</v>
      </c>
      <c r="C1391" t="s">
        <v>18</v>
      </c>
      <c r="D1391" t="s">
        <v>21</v>
      </c>
      <c r="E1391" s="29">
        <v>46205</v>
      </c>
      <c r="F1391" t="s">
        <v>4</v>
      </c>
      <c r="G1391" s="28">
        <v>0.53680555555555554</v>
      </c>
      <c r="H1391" s="28">
        <v>0.54374999999999996</v>
      </c>
      <c r="I1391">
        <v>0</v>
      </c>
      <c r="J1391" t="s">
        <v>146</v>
      </c>
      <c r="K1391">
        <v>0</v>
      </c>
      <c r="L1391" t="s">
        <v>147</v>
      </c>
      <c r="M1391" t="s">
        <v>3942</v>
      </c>
      <c r="N1391" t="s">
        <v>3943</v>
      </c>
      <c r="O1391" t="s">
        <v>3944</v>
      </c>
      <c r="P1391" t="s">
        <v>3945</v>
      </c>
    </row>
    <row r="1392" spans="1:16" x14ac:dyDescent="0.35">
      <c r="A1392" t="s">
        <v>114</v>
      </c>
      <c r="B1392">
        <v>1335197833</v>
      </c>
      <c r="C1392" t="s">
        <v>18</v>
      </c>
      <c r="D1392" t="s">
        <v>21</v>
      </c>
      <c r="E1392" s="29">
        <v>46205</v>
      </c>
      <c r="F1392" t="s">
        <v>4</v>
      </c>
      <c r="G1392" s="28">
        <v>0.55069444444444449</v>
      </c>
      <c r="H1392" s="28">
        <v>0.55069444444444449</v>
      </c>
      <c r="I1392">
        <v>0</v>
      </c>
      <c r="J1392" t="s">
        <v>174</v>
      </c>
      <c r="K1392">
        <v>0</v>
      </c>
      <c r="L1392" t="s">
        <v>340</v>
      </c>
      <c r="M1392" t="s">
        <v>3938</v>
      </c>
      <c r="N1392" t="s">
        <v>3939</v>
      </c>
      <c r="O1392" t="s">
        <v>3940</v>
      </c>
      <c r="P1392" t="s">
        <v>3941</v>
      </c>
    </row>
    <row r="1393" spans="1:16" x14ac:dyDescent="0.35">
      <c r="A1393" t="s">
        <v>114</v>
      </c>
      <c r="B1393">
        <v>1335197833</v>
      </c>
      <c r="C1393" t="s">
        <v>18</v>
      </c>
      <c r="D1393" t="s">
        <v>21</v>
      </c>
      <c r="E1393" s="29">
        <v>46205</v>
      </c>
      <c r="F1393" t="s">
        <v>4</v>
      </c>
      <c r="G1393" s="28">
        <v>0.55763888888888891</v>
      </c>
      <c r="H1393" s="28">
        <v>0.56458333333333333</v>
      </c>
      <c r="I1393">
        <v>0</v>
      </c>
      <c r="J1393" t="s">
        <v>146</v>
      </c>
      <c r="K1393">
        <v>0</v>
      </c>
      <c r="L1393" t="s">
        <v>147</v>
      </c>
      <c r="M1393" t="s">
        <v>3942</v>
      </c>
      <c r="N1393" t="s">
        <v>3943</v>
      </c>
      <c r="O1393" t="s">
        <v>3944</v>
      </c>
      <c r="P1393" t="s">
        <v>3945</v>
      </c>
    </row>
    <row r="1394" spans="1:16" x14ac:dyDescent="0.35">
      <c r="A1394" t="s">
        <v>114</v>
      </c>
      <c r="B1394">
        <v>1335197833</v>
      </c>
      <c r="C1394" t="s">
        <v>18</v>
      </c>
      <c r="D1394" t="s">
        <v>21</v>
      </c>
      <c r="E1394" s="29">
        <v>46205</v>
      </c>
      <c r="F1394" t="s">
        <v>4</v>
      </c>
      <c r="G1394" s="28">
        <v>0.57152777777777775</v>
      </c>
      <c r="H1394" s="28">
        <v>0.59236111111111112</v>
      </c>
      <c r="I1394">
        <v>1</v>
      </c>
      <c r="J1394" t="s">
        <v>146</v>
      </c>
      <c r="K1394">
        <v>2</v>
      </c>
      <c r="L1394" t="s">
        <v>147</v>
      </c>
      <c r="M1394" t="s">
        <v>3938</v>
      </c>
      <c r="N1394" t="s">
        <v>3939</v>
      </c>
      <c r="O1394" t="s">
        <v>3940</v>
      </c>
      <c r="P1394" t="s">
        <v>3941</v>
      </c>
    </row>
    <row r="1395" spans="1:16" x14ac:dyDescent="0.35">
      <c r="A1395" t="s">
        <v>114</v>
      </c>
      <c r="B1395">
        <v>1335197833</v>
      </c>
      <c r="C1395" t="s">
        <v>18</v>
      </c>
      <c r="D1395" t="s">
        <v>21</v>
      </c>
      <c r="E1395" s="29">
        <v>46205</v>
      </c>
      <c r="F1395" t="s">
        <v>4</v>
      </c>
      <c r="G1395" s="28">
        <v>0.59930555555555554</v>
      </c>
      <c r="H1395" s="28">
        <v>0.59930555555555554</v>
      </c>
      <c r="I1395">
        <v>0</v>
      </c>
      <c r="J1395" t="s">
        <v>174</v>
      </c>
      <c r="K1395">
        <v>0</v>
      </c>
      <c r="L1395" t="s">
        <v>3810</v>
      </c>
      <c r="M1395" t="s">
        <v>3947</v>
      </c>
      <c r="N1395" t="s">
        <v>3948</v>
      </c>
      <c r="O1395" t="s">
        <v>3949</v>
      </c>
      <c r="P1395" t="s">
        <v>3950</v>
      </c>
    </row>
    <row r="1396" spans="1:16" x14ac:dyDescent="0.35">
      <c r="A1396" t="s">
        <v>114</v>
      </c>
      <c r="B1396">
        <v>1335197833</v>
      </c>
      <c r="C1396" t="s">
        <v>18</v>
      </c>
      <c r="D1396" t="s">
        <v>21</v>
      </c>
      <c r="E1396" s="29">
        <v>46205</v>
      </c>
      <c r="F1396" t="s">
        <v>4</v>
      </c>
      <c r="G1396" s="28">
        <v>0.60624999999999996</v>
      </c>
      <c r="H1396" s="28">
        <v>0.60624999999999996</v>
      </c>
      <c r="I1396">
        <v>0</v>
      </c>
      <c r="J1396" t="s">
        <v>174</v>
      </c>
      <c r="K1396">
        <v>0</v>
      </c>
      <c r="L1396" t="s">
        <v>273</v>
      </c>
      <c r="M1396" t="s">
        <v>3951</v>
      </c>
      <c r="N1396" t="s">
        <v>3952</v>
      </c>
      <c r="O1396" t="s">
        <v>3953</v>
      </c>
      <c r="P1396" t="s">
        <v>3954</v>
      </c>
    </row>
    <row r="1397" spans="1:16" x14ac:dyDescent="0.35">
      <c r="A1397" t="s">
        <v>114</v>
      </c>
      <c r="B1397">
        <v>1335197833</v>
      </c>
      <c r="C1397" t="s">
        <v>18</v>
      </c>
      <c r="D1397" t="s">
        <v>21</v>
      </c>
      <c r="E1397" s="29">
        <v>46205</v>
      </c>
      <c r="F1397" t="s">
        <v>4</v>
      </c>
      <c r="G1397" s="28">
        <v>0.61319444444444449</v>
      </c>
      <c r="H1397" s="28">
        <v>0.61319444444444449</v>
      </c>
      <c r="I1397">
        <v>0</v>
      </c>
      <c r="J1397" t="s">
        <v>174</v>
      </c>
      <c r="K1397">
        <v>0</v>
      </c>
      <c r="L1397" t="s">
        <v>3955</v>
      </c>
      <c r="M1397" t="s">
        <v>3956</v>
      </c>
      <c r="N1397" t="s">
        <v>3957</v>
      </c>
      <c r="O1397" t="s">
        <v>3958</v>
      </c>
      <c r="P1397" t="s">
        <v>3959</v>
      </c>
    </row>
    <row r="1398" spans="1:16" x14ac:dyDescent="0.35">
      <c r="A1398" t="s">
        <v>114</v>
      </c>
      <c r="B1398">
        <v>1335197833</v>
      </c>
      <c r="C1398" t="s">
        <v>18</v>
      </c>
      <c r="D1398" t="s">
        <v>21</v>
      </c>
      <c r="E1398" s="29">
        <v>46205</v>
      </c>
      <c r="F1398" t="s">
        <v>4</v>
      </c>
      <c r="G1398" s="28">
        <v>0.62013888888888891</v>
      </c>
      <c r="H1398" s="28">
        <v>0.62013888888888891</v>
      </c>
      <c r="I1398">
        <v>0</v>
      </c>
      <c r="J1398" t="s">
        <v>174</v>
      </c>
      <c r="K1398">
        <v>0</v>
      </c>
      <c r="L1398" t="s">
        <v>2539</v>
      </c>
      <c r="M1398" t="s">
        <v>3960</v>
      </c>
      <c r="N1398" t="s">
        <v>3961</v>
      </c>
      <c r="O1398" t="s">
        <v>3962</v>
      </c>
      <c r="P1398" t="s">
        <v>3963</v>
      </c>
    </row>
    <row r="1399" spans="1:16" x14ac:dyDescent="0.35">
      <c r="A1399" t="s">
        <v>114</v>
      </c>
      <c r="B1399">
        <v>1335197833</v>
      </c>
      <c r="C1399" t="s">
        <v>18</v>
      </c>
      <c r="D1399" t="s">
        <v>21</v>
      </c>
      <c r="E1399" s="29">
        <v>46205</v>
      </c>
      <c r="F1399" t="s">
        <v>4</v>
      </c>
      <c r="G1399" s="28">
        <v>0.62708333333333333</v>
      </c>
      <c r="H1399" s="28">
        <v>0.66874999999999996</v>
      </c>
      <c r="I1399">
        <v>1</v>
      </c>
      <c r="J1399" t="s">
        <v>146</v>
      </c>
      <c r="K1399">
        <v>3</v>
      </c>
      <c r="L1399" t="s">
        <v>147</v>
      </c>
      <c r="M1399" t="s">
        <v>3964</v>
      </c>
      <c r="N1399" t="s">
        <v>3965</v>
      </c>
      <c r="O1399" t="s">
        <v>3966</v>
      </c>
      <c r="P1399" t="s">
        <v>3967</v>
      </c>
    </row>
    <row r="1400" spans="1:16" x14ac:dyDescent="0.35">
      <c r="A1400" t="s">
        <v>114</v>
      </c>
      <c r="B1400">
        <v>1335197833</v>
      </c>
      <c r="C1400" t="s">
        <v>18</v>
      </c>
      <c r="D1400" t="s">
        <v>21</v>
      </c>
      <c r="E1400" s="29">
        <v>46205</v>
      </c>
      <c r="F1400" t="s">
        <v>4</v>
      </c>
      <c r="G1400" s="28">
        <v>0.67569444444444449</v>
      </c>
      <c r="H1400" s="28">
        <v>0.67569444444444449</v>
      </c>
      <c r="I1400">
        <v>0</v>
      </c>
      <c r="J1400" t="s">
        <v>174</v>
      </c>
      <c r="K1400">
        <v>0</v>
      </c>
      <c r="L1400" t="s">
        <v>186</v>
      </c>
      <c r="M1400" t="s">
        <v>3968</v>
      </c>
      <c r="N1400" t="s">
        <v>3969</v>
      </c>
      <c r="O1400" t="s">
        <v>3970</v>
      </c>
      <c r="P1400" t="s">
        <v>3971</v>
      </c>
    </row>
    <row r="1401" spans="1:16" x14ac:dyDescent="0.35">
      <c r="A1401" t="s">
        <v>114</v>
      </c>
      <c r="B1401">
        <v>1335197833</v>
      </c>
      <c r="C1401" t="s">
        <v>18</v>
      </c>
      <c r="D1401" t="s">
        <v>21</v>
      </c>
      <c r="E1401" s="29">
        <v>46205</v>
      </c>
      <c r="F1401" t="s">
        <v>4</v>
      </c>
      <c r="G1401" s="28">
        <v>0.68263888888888891</v>
      </c>
      <c r="H1401" s="28">
        <v>0.69652777777777775</v>
      </c>
      <c r="I1401">
        <v>0</v>
      </c>
      <c r="J1401" t="s">
        <v>146</v>
      </c>
      <c r="K1401">
        <v>1</v>
      </c>
      <c r="L1401" t="s">
        <v>147</v>
      </c>
      <c r="M1401" t="s">
        <v>3972</v>
      </c>
      <c r="N1401" t="s">
        <v>3973</v>
      </c>
      <c r="O1401" t="s">
        <v>3974</v>
      </c>
      <c r="P1401" t="s">
        <v>3975</v>
      </c>
    </row>
    <row r="1402" spans="1:16" x14ac:dyDescent="0.35">
      <c r="A1402" t="s">
        <v>114</v>
      </c>
      <c r="B1402">
        <v>1335197833</v>
      </c>
      <c r="C1402" t="s">
        <v>18</v>
      </c>
      <c r="D1402" t="s">
        <v>21</v>
      </c>
      <c r="E1402" s="29">
        <v>46205</v>
      </c>
      <c r="F1402" t="s">
        <v>4</v>
      </c>
      <c r="G1402" s="28">
        <v>0.70347222222222228</v>
      </c>
      <c r="H1402" s="28">
        <v>0.76597222222222228</v>
      </c>
      <c r="I1402">
        <v>2</v>
      </c>
      <c r="J1402" t="s">
        <v>146</v>
      </c>
      <c r="K1402">
        <v>4</v>
      </c>
      <c r="L1402" t="s">
        <v>147</v>
      </c>
      <c r="M1402" t="s">
        <v>3917</v>
      </c>
      <c r="N1402" t="s">
        <v>3976</v>
      </c>
      <c r="O1402" t="s">
        <v>3977</v>
      </c>
      <c r="P1402" t="s">
        <v>3978</v>
      </c>
    </row>
    <row r="1403" spans="1:16" x14ac:dyDescent="0.35">
      <c r="A1403" t="s">
        <v>114</v>
      </c>
      <c r="B1403">
        <v>1335197833</v>
      </c>
      <c r="C1403" t="s">
        <v>18</v>
      </c>
      <c r="D1403" t="s">
        <v>21</v>
      </c>
      <c r="E1403" s="29">
        <v>46205</v>
      </c>
      <c r="F1403" t="s">
        <v>4</v>
      </c>
      <c r="G1403" s="28">
        <v>0.7729166666666667</v>
      </c>
      <c r="H1403" s="28">
        <v>0.7729166666666667</v>
      </c>
      <c r="I1403">
        <v>0</v>
      </c>
      <c r="J1403" t="s">
        <v>174</v>
      </c>
      <c r="K1403">
        <v>0</v>
      </c>
      <c r="L1403" t="s">
        <v>3979</v>
      </c>
      <c r="M1403" t="s">
        <v>3980</v>
      </c>
      <c r="N1403" t="s">
        <v>3981</v>
      </c>
      <c r="O1403" t="s">
        <v>3982</v>
      </c>
      <c r="P1403" t="s">
        <v>3983</v>
      </c>
    </row>
    <row r="1404" spans="1:16" x14ac:dyDescent="0.35">
      <c r="A1404" t="s">
        <v>114</v>
      </c>
      <c r="B1404">
        <v>1335197833</v>
      </c>
      <c r="C1404" t="s">
        <v>18</v>
      </c>
      <c r="D1404" t="s">
        <v>21</v>
      </c>
      <c r="E1404" s="29">
        <v>46205</v>
      </c>
      <c r="F1404" t="s">
        <v>4</v>
      </c>
      <c r="G1404" s="28">
        <v>0.77986111111111112</v>
      </c>
      <c r="H1404" s="28">
        <v>0.77986111111111112</v>
      </c>
      <c r="I1404">
        <v>0</v>
      </c>
      <c r="J1404" t="s">
        <v>174</v>
      </c>
      <c r="K1404">
        <v>0</v>
      </c>
      <c r="L1404" t="s">
        <v>579</v>
      </c>
      <c r="M1404" t="s">
        <v>3917</v>
      </c>
      <c r="N1404" t="s">
        <v>3976</v>
      </c>
      <c r="O1404" t="s">
        <v>3977</v>
      </c>
      <c r="P1404" t="s">
        <v>3978</v>
      </c>
    </row>
    <row r="1405" spans="1:16" x14ac:dyDescent="0.35">
      <c r="A1405" t="s">
        <v>114</v>
      </c>
      <c r="B1405">
        <v>1335197833</v>
      </c>
      <c r="C1405" t="s">
        <v>18</v>
      </c>
      <c r="D1405" t="s">
        <v>21</v>
      </c>
      <c r="E1405" s="29">
        <v>46205</v>
      </c>
      <c r="F1405" t="s">
        <v>4</v>
      </c>
      <c r="G1405" s="28">
        <v>0.78680555555555554</v>
      </c>
      <c r="H1405" s="28">
        <v>0.79374999999999996</v>
      </c>
      <c r="I1405">
        <v>0</v>
      </c>
      <c r="J1405" t="s">
        <v>146</v>
      </c>
      <c r="K1405">
        <v>0</v>
      </c>
      <c r="L1405" t="s">
        <v>147</v>
      </c>
      <c r="M1405" t="s">
        <v>3984</v>
      </c>
      <c r="N1405" t="s">
        <v>3985</v>
      </c>
      <c r="O1405" t="s">
        <v>3986</v>
      </c>
      <c r="P1405" t="s">
        <v>3987</v>
      </c>
    </row>
    <row r="1406" spans="1:16" x14ac:dyDescent="0.35">
      <c r="A1406" t="s">
        <v>114</v>
      </c>
      <c r="B1406">
        <v>1335197833</v>
      </c>
      <c r="C1406" t="s">
        <v>18</v>
      </c>
      <c r="D1406" t="s">
        <v>21</v>
      </c>
      <c r="E1406" s="29">
        <v>46207</v>
      </c>
      <c r="F1406" t="s">
        <v>5</v>
      </c>
      <c r="G1406" s="28">
        <v>0.37708333333333333</v>
      </c>
      <c r="H1406" s="28">
        <v>0.37708333333333333</v>
      </c>
      <c r="I1406">
        <v>0</v>
      </c>
      <c r="J1406" t="s">
        <v>174</v>
      </c>
      <c r="K1406">
        <v>0</v>
      </c>
      <c r="L1406" t="s">
        <v>2466</v>
      </c>
      <c r="M1406" t="s">
        <v>3988</v>
      </c>
      <c r="N1406" t="s">
        <v>3989</v>
      </c>
      <c r="O1406" t="s">
        <v>3990</v>
      </c>
      <c r="P1406" t="s">
        <v>3991</v>
      </c>
    </row>
    <row r="1407" spans="1:16" x14ac:dyDescent="0.35">
      <c r="A1407" t="s">
        <v>114</v>
      </c>
      <c r="B1407">
        <v>1335197833</v>
      </c>
      <c r="C1407" t="s">
        <v>18</v>
      </c>
      <c r="D1407" t="s">
        <v>21</v>
      </c>
      <c r="E1407" s="29">
        <v>46207</v>
      </c>
      <c r="F1407" t="s">
        <v>5</v>
      </c>
      <c r="G1407" s="28">
        <v>0.39097222222222222</v>
      </c>
      <c r="H1407" s="28">
        <v>0.39097222222222222</v>
      </c>
      <c r="I1407">
        <v>0</v>
      </c>
      <c r="J1407" t="s">
        <v>174</v>
      </c>
      <c r="K1407">
        <v>0</v>
      </c>
      <c r="L1407" t="s">
        <v>3992</v>
      </c>
      <c r="M1407" t="s">
        <v>3993</v>
      </c>
      <c r="N1407" t="s">
        <v>3994</v>
      </c>
      <c r="O1407" t="s">
        <v>3995</v>
      </c>
      <c r="P1407" t="s">
        <v>3996</v>
      </c>
    </row>
    <row r="1408" spans="1:16" x14ac:dyDescent="0.35">
      <c r="A1408" t="s">
        <v>114</v>
      </c>
      <c r="B1408">
        <v>1335197833</v>
      </c>
      <c r="C1408" t="s">
        <v>18</v>
      </c>
      <c r="D1408" t="s">
        <v>21</v>
      </c>
      <c r="E1408" s="29">
        <v>46207</v>
      </c>
      <c r="F1408" t="s">
        <v>5</v>
      </c>
      <c r="G1408" s="28">
        <v>0.39791666666666664</v>
      </c>
      <c r="H1408" s="28">
        <v>0.39791666666666664</v>
      </c>
      <c r="I1408">
        <v>0</v>
      </c>
      <c r="J1408" t="s">
        <v>174</v>
      </c>
      <c r="K1408">
        <v>0</v>
      </c>
      <c r="L1408" t="s">
        <v>3997</v>
      </c>
      <c r="M1408" t="s">
        <v>3998</v>
      </c>
      <c r="N1408" t="s">
        <v>3999</v>
      </c>
      <c r="O1408" t="s">
        <v>4000</v>
      </c>
      <c r="P1408" t="s">
        <v>4001</v>
      </c>
    </row>
    <row r="1409" spans="1:16" x14ac:dyDescent="0.35">
      <c r="A1409" t="s">
        <v>114</v>
      </c>
      <c r="B1409">
        <v>1335197833</v>
      </c>
      <c r="C1409" t="s">
        <v>18</v>
      </c>
      <c r="D1409" t="s">
        <v>21</v>
      </c>
      <c r="E1409" s="29">
        <v>46207</v>
      </c>
      <c r="F1409" t="s">
        <v>5</v>
      </c>
      <c r="G1409" s="28">
        <v>0.40486111111111112</v>
      </c>
      <c r="H1409" s="28">
        <v>0.40486111111111112</v>
      </c>
      <c r="I1409">
        <v>0</v>
      </c>
      <c r="J1409" t="s">
        <v>174</v>
      </c>
      <c r="K1409">
        <v>0</v>
      </c>
      <c r="L1409" t="s">
        <v>1031</v>
      </c>
      <c r="M1409" t="s">
        <v>4002</v>
      </c>
      <c r="N1409" t="s">
        <v>4003</v>
      </c>
      <c r="O1409" t="s">
        <v>4004</v>
      </c>
      <c r="P1409" t="s">
        <v>4005</v>
      </c>
    </row>
    <row r="1410" spans="1:16" x14ac:dyDescent="0.35">
      <c r="A1410" t="s">
        <v>114</v>
      </c>
      <c r="B1410">
        <v>1335197833</v>
      </c>
      <c r="C1410" t="s">
        <v>18</v>
      </c>
      <c r="D1410" t="s">
        <v>21</v>
      </c>
      <c r="E1410" s="29">
        <v>46207</v>
      </c>
      <c r="F1410" t="s">
        <v>5</v>
      </c>
      <c r="G1410" s="28">
        <v>0.41180555555555554</v>
      </c>
      <c r="H1410" s="28">
        <v>0.41180555555555554</v>
      </c>
      <c r="I1410">
        <v>0</v>
      </c>
      <c r="J1410" t="s">
        <v>174</v>
      </c>
      <c r="K1410">
        <v>0</v>
      </c>
      <c r="L1410" t="s">
        <v>3091</v>
      </c>
      <c r="M1410" t="s">
        <v>4006</v>
      </c>
      <c r="N1410" t="s">
        <v>4007</v>
      </c>
      <c r="O1410" t="s">
        <v>4008</v>
      </c>
      <c r="P1410" t="s">
        <v>4009</v>
      </c>
    </row>
    <row r="1411" spans="1:16" x14ac:dyDescent="0.35">
      <c r="A1411" t="s">
        <v>114</v>
      </c>
      <c r="B1411">
        <v>1335197833</v>
      </c>
      <c r="C1411" t="s">
        <v>18</v>
      </c>
      <c r="D1411" t="s">
        <v>21</v>
      </c>
      <c r="E1411" s="29">
        <v>46207</v>
      </c>
      <c r="F1411" t="s">
        <v>5</v>
      </c>
      <c r="G1411" s="28">
        <v>0.41875000000000001</v>
      </c>
      <c r="H1411" s="28">
        <v>0.41875000000000001</v>
      </c>
      <c r="I1411">
        <v>0</v>
      </c>
      <c r="J1411" t="s">
        <v>174</v>
      </c>
      <c r="K1411">
        <v>0</v>
      </c>
      <c r="L1411" t="s">
        <v>4010</v>
      </c>
      <c r="M1411" t="s">
        <v>4011</v>
      </c>
      <c r="N1411" t="s">
        <v>4012</v>
      </c>
      <c r="O1411" t="s">
        <v>4013</v>
      </c>
      <c r="P1411" t="s">
        <v>4014</v>
      </c>
    </row>
    <row r="1412" spans="1:16" x14ac:dyDescent="0.35">
      <c r="A1412" t="s">
        <v>114</v>
      </c>
      <c r="B1412">
        <v>1335197833</v>
      </c>
      <c r="C1412" t="s">
        <v>18</v>
      </c>
      <c r="D1412" t="s">
        <v>21</v>
      </c>
      <c r="E1412" s="29">
        <v>46207</v>
      </c>
      <c r="F1412" t="s">
        <v>5</v>
      </c>
      <c r="G1412" s="28">
        <v>0.42569444444444443</v>
      </c>
      <c r="H1412" s="28">
        <v>0.42569444444444443</v>
      </c>
      <c r="I1412">
        <v>0</v>
      </c>
      <c r="J1412" t="s">
        <v>174</v>
      </c>
      <c r="K1412">
        <v>0</v>
      </c>
      <c r="L1412" t="s">
        <v>4015</v>
      </c>
      <c r="M1412" t="s">
        <v>4016</v>
      </c>
      <c r="N1412" t="s">
        <v>4017</v>
      </c>
      <c r="O1412" t="s">
        <v>4018</v>
      </c>
      <c r="P1412" t="s">
        <v>4019</v>
      </c>
    </row>
    <row r="1413" spans="1:16" x14ac:dyDescent="0.35">
      <c r="A1413" t="s">
        <v>114</v>
      </c>
      <c r="B1413">
        <v>1335197833</v>
      </c>
      <c r="C1413" t="s">
        <v>18</v>
      </c>
      <c r="D1413" t="s">
        <v>21</v>
      </c>
      <c r="E1413" s="29">
        <v>46207</v>
      </c>
      <c r="F1413" t="s">
        <v>5</v>
      </c>
      <c r="G1413" s="28">
        <v>0.43263888888888891</v>
      </c>
      <c r="H1413" s="28">
        <v>0.43263888888888891</v>
      </c>
      <c r="I1413">
        <v>0</v>
      </c>
      <c r="J1413" t="s">
        <v>174</v>
      </c>
      <c r="K1413">
        <v>0</v>
      </c>
      <c r="L1413" t="s">
        <v>4020</v>
      </c>
      <c r="M1413" t="s">
        <v>4021</v>
      </c>
      <c r="N1413" t="s">
        <v>4022</v>
      </c>
      <c r="O1413" t="s">
        <v>4023</v>
      </c>
      <c r="P1413" t="s">
        <v>4024</v>
      </c>
    </row>
    <row r="1414" spans="1:16" x14ac:dyDescent="0.35">
      <c r="A1414" t="s">
        <v>114</v>
      </c>
      <c r="B1414">
        <v>1335197833</v>
      </c>
      <c r="C1414" t="s">
        <v>18</v>
      </c>
      <c r="D1414" t="s">
        <v>21</v>
      </c>
      <c r="E1414" s="29">
        <v>46207</v>
      </c>
      <c r="F1414" t="s">
        <v>5</v>
      </c>
      <c r="G1414" s="28">
        <v>0.43958333333333333</v>
      </c>
      <c r="H1414" s="28">
        <v>0.43958333333333333</v>
      </c>
      <c r="I1414">
        <v>0</v>
      </c>
      <c r="J1414" t="s">
        <v>174</v>
      </c>
      <c r="K1414">
        <v>0</v>
      </c>
      <c r="L1414" t="s">
        <v>4025</v>
      </c>
      <c r="M1414" t="s">
        <v>4026</v>
      </c>
      <c r="N1414" t="s">
        <v>4027</v>
      </c>
      <c r="O1414" t="s">
        <v>4028</v>
      </c>
      <c r="P1414" t="s">
        <v>4029</v>
      </c>
    </row>
    <row r="1415" spans="1:16" x14ac:dyDescent="0.35">
      <c r="A1415" t="s">
        <v>114</v>
      </c>
      <c r="B1415">
        <v>1335197833</v>
      </c>
      <c r="C1415" t="s">
        <v>18</v>
      </c>
      <c r="D1415" t="s">
        <v>21</v>
      </c>
      <c r="E1415" s="29">
        <v>46207</v>
      </c>
      <c r="F1415" t="s">
        <v>5</v>
      </c>
      <c r="G1415" s="28">
        <v>0.4465277777777778</v>
      </c>
      <c r="H1415" s="28">
        <v>0.4465277777777778</v>
      </c>
      <c r="I1415">
        <v>0</v>
      </c>
      <c r="J1415" t="s">
        <v>174</v>
      </c>
      <c r="K1415">
        <v>0</v>
      </c>
      <c r="L1415" t="s">
        <v>4030</v>
      </c>
      <c r="M1415" t="s">
        <v>4031</v>
      </c>
      <c r="N1415" t="s">
        <v>4032</v>
      </c>
      <c r="O1415" t="s">
        <v>4033</v>
      </c>
      <c r="P1415" t="s">
        <v>4034</v>
      </c>
    </row>
    <row r="1416" spans="1:16" x14ac:dyDescent="0.35">
      <c r="A1416" t="s">
        <v>114</v>
      </c>
      <c r="B1416">
        <v>1335197833</v>
      </c>
      <c r="C1416" t="s">
        <v>18</v>
      </c>
      <c r="D1416" t="s">
        <v>21</v>
      </c>
      <c r="E1416" s="29">
        <v>46207</v>
      </c>
      <c r="F1416" t="s">
        <v>5</v>
      </c>
      <c r="G1416" s="28">
        <v>0.45347222222222222</v>
      </c>
      <c r="H1416" s="28">
        <v>0.46736111111111112</v>
      </c>
      <c r="I1416">
        <v>0</v>
      </c>
      <c r="J1416" t="s">
        <v>146</v>
      </c>
      <c r="K1416">
        <v>1</v>
      </c>
      <c r="L1416" t="s">
        <v>147</v>
      </c>
      <c r="M1416" t="s">
        <v>4035</v>
      </c>
      <c r="N1416" t="s">
        <v>4036</v>
      </c>
      <c r="O1416" t="s">
        <v>4037</v>
      </c>
      <c r="P1416" t="s">
        <v>4038</v>
      </c>
    </row>
    <row r="1417" spans="1:16" x14ac:dyDescent="0.35">
      <c r="A1417" t="s">
        <v>114</v>
      </c>
      <c r="B1417">
        <v>1335197833</v>
      </c>
      <c r="C1417" t="s">
        <v>18</v>
      </c>
      <c r="D1417" t="s">
        <v>21</v>
      </c>
      <c r="E1417" s="29">
        <v>46207</v>
      </c>
      <c r="F1417" t="s">
        <v>5</v>
      </c>
      <c r="G1417" s="28">
        <v>0.47430555555555554</v>
      </c>
      <c r="H1417" s="28">
        <v>0.47430555555555554</v>
      </c>
      <c r="I1417">
        <v>0</v>
      </c>
      <c r="J1417" t="s">
        <v>174</v>
      </c>
      <c r="K1417">
        <v>0</v>
      </c>
      <c r="L1417" t="s">
        <v>4039</v>
      </c>
      <c r="M1417" t="s">
        <v>4031</v>
      </c>
      <c r="N1417" t="s">
        <v>4032</v>
      </c>
      <c r="O1417" t="s">
        <v>4033</v>
      </c>
      <c r="P1417" t="s">
        <v>4034</v>
      </c>
    </row>
    <row r="1418" spans="1:16" x14ac:dyDescent="0.35">
      <c r="A1418" t="s">
        <v>114</v>
      </c>
      <c r="B1418">
        <v>1335197833</v>
      </c>
      <c r="C1418" t="s">
        <v>18</v>
      </c>
      <c r="D1418" t="s">
        <v>21</v>
      </c>
      <c r="E1418" s="29">
        <v>46207</v>
      </c>
      <c r="F1418" t="s">
        <v>5</v>
      </c>
      <c r="G1418" s="28">
        <v>0.48125000000000001</v>
      </c>
      <c r="H1418" s="28">
        <v>0.48125000000000001</v>
      </c>
      <c r="I1418">
        <v>0</v>
      </c>
      <c r="J1418" t="s">
        <v>174</v>
      </c>
      <c r="K1418">
        <v>0</v>
      </c>
      <c r="L1418" t="s">
        <v>4040</v>
      </c>
      <c r="M1418" t="s">
        <v>4041</v>
      </c>
      <c r="N1418" t="s">
        <v>4042</v>
      </c>
      <c r="O1418" t="s">
        <v>4043</v>
      </c>
      <c r="P1418" t="s">
        <v>4044</v>
      </c>
    </row>
    <row r="1419" spans="1:16" x14ac:dyDescent="0.35">
      <c r="A1419" t="s">
        <v>114</v>
      </c>
      <c r="B1419">
        <v>1335197833</v>
      </c>
      <c r="C1419" t="s">
        <v>18</v>
      </c>
      <c r="D1419" t="s">
        <v>21</v>
      </c>
      <c r="E1419" s="29">
        <v>46207</v>
      </c>
      <c r="F1419" t="s">
        <v>5</v>
      </c>
      <c r="G1419" s="28">
        <v>0.48819444444444443</v>
      </c>
      <c r="H1419" s="28">
        <v>0.48819444444444443</v>
      </c>
      <c r="I1419">
        <v>0</v>
      </c>
      <c r="J1419" t="s">
        <v>174</v>
      </c>
      <c r="K1419">
        <v>0</v>
      </c>
      <c r="L1419" t="s">
        <v>4040</v>
      </c>
      <c r="M1419" t="s">
        <v>4035</v>
      </c>
      <c r="N1419" t="s">
        <v>4036</v>
      </c>
      <c r="O1419" t="s">
        <v>4037</v>
      </c>
      <c r="P1419" t="s">
        <v>4038</v>
      </c>
    </row>
    <row r="1420" spans="1:16" x14ac:dyDescent="0.35">
      <c r="A1420" t="s">
        <v>114</v>
      </c>
      <c r="B1420">
        <v>1335197833</v>
      </c>
      <c r="C1420" t="s">
        <v>18</v>
      </c>
      <c r="D1420" t="s">
        <v>21</v>
      </c>
      <c r="E1420" s="29">
        <v>46207</v>
      </c>
      <c r="F1420" t="s">
        <v>5</v>
      </c>
      <c r="G1420" s="28">
        <v>0.49513888888888891</v>
      </c>
      <c r="H1420" s="28">
        <v>0.49513888888888891</v>
      </c>
      <c r="I1420">
        <v>0</v>
      </c>
      <c r="J1420" t="s">
        <v>174</v>
      </c>
      <c r="K1420">
        <v>0</v>
      </c>
      <c r="L1420" t="s">
        <v>4040</v>
      </c>
      <c r="M1420" t="s">
        <v>4041</v>
      </c>
      <c r="N1420" t="s">
        <v>4042</v>
      </c>
      <c r="O1420" t="s">
        <v>4043</v>
      </c>
      <c r="P1420" t="s">
        <v>4044</v>
      </c>
    </row>
    <row r="1421" spans="1:16" x14ac:dyDescent="0.35">
      <c r="A1421" t="s">
        <v>114</v>
      </c>
      <c r="B1421">
        <v>1335197833</v>
      </c>
      <c r="C1421" t="s">
        <v>18</v>
      </c>
      <c r="D1421" t="s">
        <v>21</v>
      </c>
      <c r="E1421" s="29">
        <v>46207</v>
      </c>
      <c r="F1421" t="s">
        <v>5</v>
      </c>
      <c r="G1421" s="28">
        <v>0.50208333333333333</v>
      </c>
      <c r="H1421" s="28">
        <v>0.51597222222222228</v>
      </c>
      <c r="I1421">
        <v>0</v>
      </c>
      <c r="J1421" t="s">
        <v>146</v>
      </c>
      <c r="K1421">
        <v>1</v>
      </c>
      <c r="L1421" t="s">
        <v>147</v>
      </c>
      <c r="M1421" t="s">
        <v>4035</v>
      </c>
      <c r="N1421" t="s">
        <v>4036</v>
      </c>
      <c r="O1421" t="s">
        <v>4037</v>
      </c>
      <c r="P1421" t="s">
        <v>4038</v>
      </c>
    </row>
    <row r="1422" spans="1:16" x14ac:dyDescent="0.35">
      <c r="A1422" t="s">
        <v>114</v>
      </c>
      <c r="B1422">
        <v>1335197833</v>
      </c>
      <c r="C1422" t="s">
        <v>18</v>
      </c>
      <c r="D1422" t="s">
        <v>21</v>
      </c>
      <c r="E1422" s="29">
        <v>46207</v>
      </c>
      <c r="F1422" t="s">
        <v>5</v>
      </c>
      <c r="G1422" s="28">
        <v>0.5229166666666667</v>
      </c>
      <c r="H1422" s="28">
        <v>0.5229166666666667</v>
      </c>
      <c r="I1422">
        <v>0</v>
      </c>
      <c r="J1422" t="s">
        <v>174</v>
      </c>
      <c r="K1422">
        <v>0</v>
      </c>
      <c r="L1422" t="s">
        <v>4045</v>
      </c>
      <c r="M1422" t="s">
        <v>4041</v>
      </c>
      <c r="N1422" t="s">
        <v>4042</v>
      </c>
      <c r="O1422" t="s">
        <v>4043</v>
      </c>
      <c r="P1422" t="s">
        <v>4044</v>
      </c>
    </row>
    <row r="1423" spans="1:16" x14ac:dyDescent="0.35">
      <c r="A1423" t="s">
        <v>114</v>
      </c>
      <c r="B1423">
        <v>1335197833</v>
      </c>
      <c r="C1423" t="s">
        <v>18</v>
      </c>
      <c r="D1423" t="s">
        <v>21</v>
      </c>
      <c r="E1423" s="29">
        <v>46207</v>
      </c>
      <c r="F1423" t="s">
        <v>5</v>
      </c>
      <c r="G1423" s="28">
        <v>0.52986111111111112</v>
      </c>
      <c r="H1423" s="28">
        <v>0.52986111111111112</v>
      </c>
      <c r="I1423">
        <v>0</v>
      </c>
      <c r="J1423" t="s">
        <v>174</v>
      </c>
      <c r="K1423">
        <v>0</v>
      </c>
      <c r="L1423" t="s">
        <v>4046</v>
      </c>
      <c r="M1423" t="s">
        <v>4047</v>
      </c>
      <c r="N1423" t="s">
        <v>4048</v>
      </c>
      <c r="O1423" t="s">
        <v>3689</v>
      </c>
      <c r="P1423" t="s">
        <v>4049</v>
      </c>
    </row>
    <row r="1424" spans="1:16" x14ac:dyDescent="0.35">
      <c r="A1424" t="s">
        <v>114</v>
      </c>
      <c r="B1424">
        <v>1335197833</v>
      </c>
      <c r="C1424" t="s">
        <v>18</v>
      </c>
      <c r="D1424" t="s">
        <v>21</v>
      </c>
      <c r="E1424" s="29">
        <v>46207</v>
      </c>
      <c r="F1424" t="s">
        <v>5</v>
      </c>
      <c r="G1424" s="28">
        <v>0.53680555555555554</v>
      </c>
      <c r="H1424" s="28">
        <v>0.54374999999999996</v>
      </c>
      <c r="I1424">
        <v>0</v>
      </c>
      <c r="J1424" t="s">
        <v>146</v>
      </c>
      <c r="K1424">
        <v>0</v>
      </c>
      <c r="L1424" t="s">
        <v>147</v>
      </c>
      <c r="M1424" t="s">
        <v>3687</v>
      </c>
      <c r="N1424" t="s">
        <v>3688</v>
      </c>
      <c r="O1424" t="s">
        <v>3689</v>
      </c>
      <c r="P1424" t="s">
        <v>3877</v>
      </c>
    </row>
    <row r="1425" spans="1:16" x14ac:dyDescent="0.35">
      <c r="A1425" t="s">
        <v>114</v>
      </c>
      <c r="B1425">
        <v>1335197833</v>
      </c>
      <c r="C1425" t="s">
        <v>18</v>
      </c>
      <c r="D1425" t="s">
        <v>21</v>
      </c>
      <c r="E1425" s="29">
        <v>46207</v>
      </c>
      <c r="F1425" t="s">
        <v>5</v>
      </c>
      <c r="G1425" s="28">
        <v>0.55069444444444449</v>
      </c>
      <c r="H1425" s="28">
        <v>0.55069444444444449</v>
      </c>
      <c r="I1425">
        <v>0</v>
      </c>
      <c r="J1425" t="s">
        <v>174</v>
      </c>
      <c r="K1425">
        <v>0</v>
      </c>
      <c r="L1425" t="s">
        <v>3091</v>
      </c>
      <c r="M1425" t="s">
        <v>4006</v>
      </c>
      <c r="N1425" t="s">
        <v>4007</v>
      </c>
      <c r="O1425" t="s">
        <v>4008</v>
      </c>
      <c r="P1425" t="s">
        <v>4009</v>
      </c>
    </row>
    <row r="1426" spans="1:16" x14ac:dyDescent="0.35">
      <c r="A1426" t="s">
        <v>114</v>
      </c>
      <c r="B1426">
        <v>1335197833</v>
      </c>
      <c r="C1426" t="s">
        <v>18</v>
      </c>
      <c r="D1426" t="s">
        <v>21</v>
      </c>
      <c r="E1426" s="29">
        <v>46207</v>
      </c>
      <c r="F1426" t="s">
        <v>5</v>
      </c>
      <c r="G1426" s="28">
        <v>0.55763888888888891</v>
      </c>
      <c r="H1426" s="28">
        <v>0.57847222222222228</v>
      </c>
      <c r="I1426">
        <v>1</v>
      </c>
      <c r="J1426" t="s">
        <v>146</v>
      </c>
      <c r="K1426">
        <v>2</v>
      </c>
      <c r="L1426" t="s">
        <v>147</v>
      </c>
      <c r="M1426" t="s">
        <v>4011</v>
      </c>
      <c r="N1426" t="s">
        <v>4012</v>
      </c>
      <c r="O1426" t="s">
        <v>4013</v>
      </c>
      <c r="P1426" t="s">
        <v>4014</v>
      </c>
    </row>
    <row r="1427" spans="1:16" x14ac:dyDescent="0.35">
      <c r="A1427" t="s">
        <v>114</v>
      </c>
      <c r="B1427">
        <v>1335197833</v>
      </c>
      <c r="C1427" t="s">
        <v>18</v>
      </c>
      <c r="D1427" t="s">
        <v>21</v>
      </c>
      <c r="E1427" s="29">
        <v>46207</v>
      </c>
      <c r="F1427" t="s">
        <v>5</v>
      </c>
      <c r="G1427" s="28">
        <v>0.5854166666666667</v>
      </c>
      <c r="H1427" s="28">
        <v>0.59930555555555554</v>
      </c>
      <c r="I1427">
        <v>0</v>
      </c>
      <c r="J1427" t="s">
        <v>146</v>
      </c>
      <c r="K1427">
        <v>1</v>
      </c>
      <c r="L1427" t="s">
        <v>147</v>
      </c>
      <c r="M1427" t="s">
        <v>4050</v>
      </c>
      <c r="N1427" t="s">
        <v>4051</v>
      </c>
      <c r="O1427" t="s">
        <v>4052</v>
      </c>
      <c r="P1427" t="s">
        <v>4053</v>
      </c>
    </row>
    <row r="1428" spans="1:16" x14ac:dyDescent="0.35">
      <c r="A1428" t="s">
        <v>114</v>
      </c>
      <c r="B1428">
        <v>1335197833</v>
      </c>
      <c r="C1428" t="s">
        <v>18</v>
      </c>
      <c r="D1428" t="s">
        <v>21</v>
      </c>
      <c r="E1428" s="29">
        <v>46207</v>
      </c>
      <c r="F1428" t="s">
        <v>5</v>
      </c>
      <c r="G1428" s="28">
        <v>0.60624999999999996</v>
      </c>
      <c r="H1428" s="28">
        <v>0.62013888888888891</v>
      </c>
      <c r="I1428">
        <v>0</v>
      </c>
      <c r="J1428" t="s">
        <v>146</v>
      </c>
      <c r="K1428">
        <v>1</v>
      </c>
      <c r="L1428" t="s">
        <v>147</v>
      </c>
      <c r="M1428" t="s">
        <v>4011</v>
      </c>
      <c r="N1428" t="s">
        <v>4012</v>
      </c>
      <c r="O1428" t="s">
        <v>4013</v>
      </c>
      <c r="P1428" t="s">
        <v>4014</v>
      </c>
    </row>
    <row r="1429" spans="1:16" x14ac:dyDescent="0.35">
      <c r="A1429" t="s">
        <v>114</v>
      </c>
      <c r="B1429">
        <v>1335197833</v>
      </c>
      <c r="C1429" t="s">
        <v>18</v>
      </c>
      <c r="D1429" t="s">
        <v>21</v>
      </c>
      <c r="E1429" s="29">
        <v>46207</v>
      </c>
      <c r="F1429" t="s">
        <v>5</v>
      </c>
      <c r="G1429" s="28">
        <v>0.62708333333333333</v>
      </c>
      <c r="H1429" s="28">
        <v>0.62708333333333333</v>
      </c>
      <c r="I1429">
        <v>0</v>
      </c>
      <c r="J1429" t="s">
        <v>174</v>
      </c>
      <c r="K1429">
        <v>0</v>
      </c>
      <c r="L1429" t="s">
        <v>359</v>
      </c>
      <c r="M1429" t="s">
        <v>4006</v>
      </c>
      <c r="N1429" t="s">
        <v>4007</v>
      </c>
      <c r="O1429" t="s">
        <v>4008</v>
      </c>
      <c r="P1429" t="s">
        <v>4009</v>
      </c>
    </row>
    <row r="1430" spans="1:16" x14ac:dyDescent="0.35">
      <c r="A1430" t="s">
        <v>114</v>
      </c>
      <c r="B1430">
        <v>1335197833</v>
      </c>
      <c r="C1430" t="s">
        <v>18</v>
      </c>
      <c r="D1430" t="s">
        <v>21</v>
      </c>
      <c r="E1430" s="29">
        <v>46207</v>
      </c>
      <c r="F1430" t="s">
        <v>5</v>
      </c>
      <c r="G1430" s="28">
        <v>0.63402777777777775</v>
      </c>
      <c r="H1430" s="28">
        <v>0.63402777777777775</v>
      </c>
      <c r="I1430">
        <v>0</v>
      </c>
      <c r="J1430" t="s">
        <v>174</v>
      </c>
      <c r="K1430">
        <v>0</v>
      </c>
      <c r="L1430" t="s">
        <v>4054</v>
      </c>
      <c r="M1430" t="s">
        <v>4055</v>
      </c>
      <c r="N1430" t="s">
        <v>4056</v>
      </c>
      <c r="O1430" t="s">
        <v>4057</v>
      </c>
      <c r="P1430" t="s">
        <v>4058</v>
      </c>
    </row>
    <row r="1431" spans="1:16" x14ac:dyDescent="0.35">
      <c r="A1431" t="s">
        <v>114</v>
      </c>
      <c r="B1431">
        <v>1335197833</v>
      </c>
      <c r="C1431" t="s">
        <v>18</v>
      </c>
      <c r="D1431" t="s">
        <v>21</v>
      </c>
      <c r="E1431" s="29">
        <v>46207</v>
      </c>
      <c r="F1431" t="s">
        <v>5</v>
      </c>
      <c r="G1431" s="28">
        <v>0.64097222222222228</v>
      </c>
      <c r="H1431" s="28">
        <v>0.64097222222222228</v>
      </c>
      <c r="I1431">
        <v>0</v>
      </c>
      <c r="J1431" t="s">
        <v>174</v>
      </c>
      <c r="K1431">
        <v>0</v>
      </c>
      <c r="L1431" t="s">
        <v>4059</v>
      </c>
      <c r="M1431" t="s">
        <v>4060</v>
      </c>
      <c r="N1431" t="s">
        <v>4061</v>
      </c>
      <c r="O1431" t="s">
        <v>4062</v>
      </c>
      <c r="P1431" t="s">
        <v>4063</v>
      </c>
    </row>
    <row r="1432" spans="1:16" x14ac:dyDescent="0.35">
      <c r="A1432" t="s">
        <v>114</v>
      </c>
      <c r="B1432">
        <v>1335197833</v>
      </c>
      <c r="C1432" t="s">
        <v>18</v>
      </c>
      <c r="D1432" t="s">
        <v>21</v>
      </c>
      <c r="E1432" s="29">
        <v>46207</v>
      </c>
      <c r="F1432" t="s">
        <v>5</v>
      </c>
      <c r="G1432" s="28">
        <v>0.6479166666666667</v>
      </c>
      <c r="H1432" s="28">
        <v>0.6479166666666667</v>
      </c>
      <c r="I1432">
        <v>0</v>
      </c>
      <c r="J1432" t="s">
        <v>174</v>
      </c>
      <c r="K1432">
        <v>0</v>
      </c>
      <c r="L1432" t="s">
        <v>4064</v>
      </c>
      <c r="M1432" t="s">
        <v>4065</v>
      </c>
      <c r="N1432" t="s">
        <v>4066</v>
      </c>
      <c r="O1432" t="s">
        <v>4067</v>
      </c>
      <c r="P1432" t="s">
        <v>4068</v>
      </c>
    </row>
    <row r="1433" spans="1:16" x14ac:dyDescent="0.35">
      <c r="A1433" t="s">
        <v>114</v>
      </c>
      <c r="B1433">
        <v>1335197833</v>
      </c>
      <c r="C1433" t="s">
        <v>18</v>
      </c>
      <c r="D1433" t="s">
        <v>21</v>
      </c>
      <c r="E1433" s="29">
        <v>46207</v>
      </c>
      <c r="F1433" t="s">
        <v>5</v>
      </c>
      <c r="G1433" s="28">
        <v>0.65486111111111112</v>
      </c>
      <c r="H1433" s="28">
        <v>0.66180555555555554</v>
      </c>
      <c r="I1433">
        <v>0</v>
      </c>
      <c r="J1433" t="s">
        <v>146</v>
      </c>
      <c r="K1433">
        <v>0</v>
      </c>
      <c r="L1433" t="s">
        <v>147</v>
      </c>
      <c r="M1433" t="s">
        <v>3613</v>
      </c>
      <c r="N1433" t="s">
        <v>3614</v>
      </c>
      <c r="O1433" t="s">
        <v>3615</v>
      </c>
      <c r="P1433" t="s">
        <v>2207</v>
      </c>
    </row>
    <row r="1434" spans="1:16" x14ac:dyDescent="0.35">
      <c r="A1434" t="s">
        <v>114</v>
      </c>
      <c r="B1434">
        <v>1335197833</v>
      </c>
      <c r="C1434" t="s">
        <v>18</v>
      </c>
      <c r="D1434" t="s">
        <v>21</v>
      </c>
      <c r="E1434" s="29">
        <v>46207</v>
      </c>
      <c r="F1434" t="s">
        <v>5</v>
      </c>
      <c r="G1434" s="28">
        <v>0.66874999999999996</v>
      </c>
      <c r="H1434" s="28">
        <v>0.66874999999999996</v>
      </c>
      <c r="I1434">
        <v>0</v>
      </c>
      <c r="J1434" t="s">
        <v>174</v>
      </c>
      <c r="K1434">
        <v>0</v>
      </c>
      <c r="L1434" t="s">
        <v>4064</v>
      </c>
      <c r="M1434" t="s">
        <v>4065</v>
      </c>
      <c r="N1434" t="s">
        <v>4066</v>
      </c>
      <c r="O1434" t="s">
        <v>4067</v>
      </c>
      <c r="P1434" t="s">
        <v>4068</v>
      </c>
    </row>
    <row r="1435" spans="1:16" x14ac:dyDescent="0.35">
      <c r="A1435" t="s">
        <v>114</v>
      </c>
      <c r="B1435">
        <v>1335197833</v>
      </c>
      <c r="C1435" t="s">
        <v>18</v>
      </c>
      <c r="D1435" t="s">
        <v>21</v>
      </c>
      <c r="E1435" s="29">
        <v>46207</v>
      </c>
      <c r="F1435" t="s">
        <v>5</v>
      </c>
      <c r="G1435" s="28">
        <v>0.67569444444444449</v>
      </c>
      <c r="H1435" s="28">
        <v>0.7104166666666667</v>
      </c>
      <c r="I1435">
        <v>1</v>
      </c>
      <c r="J1435" t="s">
        <v>146</v>
      </c>
      <c r="K1435">
        <v>2</v>
      </c>
      <c r="L1435" t="s">
        <v>147</v>
      </c>
      <c r="M1435" t="s">
        <v>3613</v>
      </c>
      <c r="N1435" t="s">
        <v>3614</v>
      </c>
      <c r="O1435" t="s">
        <v>3615</v>
      </c>
      <c r="P1435" t="s">
        <v>2207</v>
      </c>
    </row>
    <row r="1436" spans="1:16" x14ac:dyDescent="0.35">
      <c r="A1436" t="s">
        <v>114</v>
      </c>
      <c r="B1436">
        <v>1335197833</v>
      </c>
      <c r="C1436" t="s">
        <v>18</v>
      </c>
      <c r="D1436" t="s">
        <v>21</v>
      </c>
      <c r="E1436" s="29">
        <v>46207</v>
      </c>
      <c r="F1436" t="s">
        <v>5</v>
      </c>
      <c r="G1436" s="28">
        <v>0.71736111111111112</v>
      </c>
      <c r="H1436" s="28">
        <v>0.71736111111111112</v>
      </c>
      <c r="I1436">
        <v>0</v>
      </c>
      <c r="J1436" t="s">
        <v>174</v>
      </c>
      <c r="K1436">
        <v>0</v>
      </c>
      <c r="L1436" t="s">
        <v>629</v>
      </c>
      <c r="M1436" t="s">
        <v>2214</v>
      </c>
      <c r="N1436" t="s">
        <v>2215</v>
      </c>
      <c r="O1436" t="s">
        <v>2216</v>
      </c>
      <c r="P1436" t="s">
        <v>4069</v>
      </c>
    </row>
    <row r="1437" spans="1:16" x14ac:dyDescent="0.35">
      <c r="A1437" t="s">
        <v>114</v>
      </c>
      <c r="B1437">
        <v>1335197833</v>
      </c>
      <c r="C1437" t="s">
        <v>18</v>
      </c>
      <c r="D1437" t="s">
        <v>21</v>
      </c>
      <c r="E1437" s="29">
        <v>46207</v>
      </c>
      <c r="F1437" t="s">
        <v>5</v>
      </c>
      <c r="G1437" s="28">
        <v>0.72430555555555554</v>
      </c>
      <c r="H1437" s="28">
        <v>0.72430555555555554</v>
      </c>
      <c r="I1437">
        <v>0</v>
      </c>
      <c r="J1437" t="s">
        <v>174</v>
      </c>
      <c r="K1437">
        <v>0</v>
      </c>
      <c r="L1437" t="s">
        <v>1923</v>
      </c>
      <c r="M1437" t="s">
        <v>4055</v>
      </c>
      <c r="N1437" t="s">
        <v>4056</v>
      </c>
      <c r="O1437" t="s">
        <v>4057</v>
      </c>
      <c r="P1437" t="s">
        <v>4058</v>
      </c>
    </row>
    <row r="1438" spans="1:16" x14ac:dyDescent="0.35">
      <c r="A1438" t="s">
        <v>114</v>
      </c>
      <c r="B1438">
        <v>1335197833</v>
      </c>
      <c r="C1438" t="s">
        <v>18</v>
      </c>
      <c r="D1438" t="s">
        <v>21</v>
      </c>
      <c r="E1438" s="29">
        <v>46207</v>
      </c>
      <c r="F1438" t="s">
        <v>5</v>
      </c>
      <c r="G1438" s="28">
        <v>0.73124999999999996</v>
      </c>
      <c r="H1438" s="28">
        <v>0.73124999999999996</v>
      </c>
      <c r="I1438">
        <v>0</v>
      </c>
      <c r="J1438" t="s">
        <v>174</v>
      </c>
      <c r="K1438">
        <v>0</v>
      </c>
      <c r="L1438" t="s">
        <v>480</v>
      </c>
      <c r="M1438" t="s">
        <v>3687</v>
      </c>
      <c r="N1438" t="s">
        <v>3688</v>
      </c>
      <c r="O1438" t="s">
        <v>3689</v>
      </c>
      <c r="P1438" t="s">
        <v>3877</v>
      </c>
    </row>
    <row r="1439" spans="1:16" x14ac:dyDescent="0.35">
      <c r="A1439" t="s">
        <v>114</v>
      </c>
      <c r="B1439">
        <v>1335197833</v>
      </c>
      <c r="C1439" t="s">
        <v>18</v>
      </c>
      <c r="D1439" t="s">
        <v>21</v>
      </c>
      <c r="E1439" s="29">
        <v>46207</v>
      </c>
      <c r="F1439" t="s">
        <v>5</v>
      </c>
      <c r="G1439" s="28">
        <v>0.73819444444444449</v>
      </c>
      <c r="H1439" s="28">
        <v>0.73819444444444449</v>
      </c>
      <c r="I1439">
        <v>0</v>
      </c>
      <c r="J1439" t="s">
        <v>174</v>
      </c>
      <c r="K1439">
        <v>0</v>
      </c>
      <c r="L1439" t="s">
        <v>4070</v>
      </c>
      <c r="M1439" t="s">
        <v>4071</v>
      </c>
      <c r="N1439" t="s">
        <v>4072</v>
      </c>
      <c r="O1439" t="s">
        <v>4073</v>
      </c>
      <c r="P1439" t="s">
        <v>4074</v>
      </c>
    </row>
    <row r="1440" spans="1:16" x14ac:dyDescent="0.35">
      <c r="A1440" t="s">
        <v>114</v>
      </c>
      <c r="B1440">
        <v>1335197833</v>
      </c>
      <c r="C1440" t="s">
        <v>18</v>
      </c>
      <c r="D1440" t="s">
        <v>21</v>
      </c>
      <c r="E1440" s="29">
        <v>46207</v>
      </c>
      <c r="F1440" t="s">
        <v>5</v>
      </c>
      <c r="G1440" s="28">
        <v>0.74513888888888891</v>
      </c>
      <c r="H1440" s="28">
        <v>0.74513888888888891</v>
      </c>
      <c r="I1440">
        <v>0</v>
      </c>
      <c r="J1440" t="s">
        <v>174</v>
      </c>
      <c r="K1440">
        <v>0</v>
      </c>
      <c r="L1440" t="s">
        <v>4075</v>
      </c>
      <c r="M1440" t="s">
        <v>4076</v>
      </c>
      <c r="N1440" t="s">
        <v>4077</v>
      </c>
      <c r="O1440" t="s">
        <v>4078</v>
      </c>
      <c r="P1440" t="s">
        <v>4079</v>
      </c>
    </row>
    <row r="1441" spans="1:16" x14ac:dyDescent="0.35">
      <c r="A1441" t="s">
        <v>114</v>
      </c>
      <c r="B1441">
        <v>1335197833</v>
      </c>
      <c r="C1441" t="s">
        <v>18</v>
      </c>
      <c r="D1441" t="s">
        <v>21</v>
      </c>
      <c r="E1441" s="29">
        <v>46207</v>
      </c>
      <c r="F1441" t="s">
        <v>5</v>
      </c>
      <c r="G1441" s="28">
        <v>0.75208333333333333</v>
      </c>
      <c r="H1441" s="28">
        <v>0.75208333333333333</v>
      </c>
      <c r="I1441">
        <v>0</v>
      </c>
      <c r="J1441" t="s">
        <v>174</v>
      </c>
      <c r="K1441">
        <v>0</v>
      </c>
      <c r="L1441" t="s">
        <v>4075</v>
      </c>
      <c r="M1441" t="s">
        <v>4076</v>
      </c>
      <c r="N1441" t="s">
        <v>4080</v>
      </c>
      <c r="O1441" t="s">
        <v>4081</v>
      </c>
      <c r="P1441" t="s">
        <v>4082</v>
      </c>
    </row>
    <row r="1442" spans="1:16" x14ac:dyDescent="0.35">
      <c r="A1442" t="s">
        <v>114</v>
      </c>
      <c r="B1442">
        <v>1335197833</v>
      </c>
      <c r="C1442" t="s">
        <v>18</v>
      </c>
      <c r="D1442" t="s">
        <v>21</v>
      </c>
      <c r="E1442" s="29">
        <v>46207</v>
      </c>
      <c r="F1442" t="s">
        <v>5</v>
      </c>
      <c r="G1442" s="28">
        <v>0.75902777777777775</v>
      </c>
      <c r="H1442" s="28">
        <v>0.76597222222222228</v>
      </c>
      <c r="I1442">
        <v>0</v>
      </c>
      <c r="J1442" t="s">
        <v>146</v>
      </c>
      <c r="K1442">
        <v>1</v>
      </c>
      <c r="L1442" t="s">
        <v>147</v>
      </c>
      <c r="M1442" t="s">
        <v>4076</v>
      </c>
      <c r="N1442" t="s">
        <v>4077</v>
      </c>
      <c r="O1442" t="s">
        <v>4078</v>
      </c>
      <c r="P1442" t="s">
        <v>4079</v>
      </c>
    </row>
    <row r="1443" spans="1:16" x14ac:dyDescent="0.35">
      <c r="A1443" t="s">
        <v>114</v>
      </c>
      <c r="B1443">
        <v>1335197833</v>
      </c>
      <c r="C1443" t="s">
        <v>18</v>
      </c>
      <c r="D1443" t="s">
        <v>21</v>
      </c>
      <c r="E1443" s="29">
        <v>46207</v>
      </c>
      <c r="F1443" t="s">
        <v>5</v>
      </c>
      <c r="G1443" s="28">
        <v>0.77361111111111114</v>
      </c>
      <c r="H1443" s="28">
        <v>0.78055555555555556</v>
      </c>
      <c r="I1443">
        <v>0</v>
      </c>
      <c r="J1443" t="s">
        <v>146</v>
      </c>
      <c r="K1443">
        <v>0</v>
      </c>
      <c r="L1443" t="s">
        <v>147</v>
      </c>
      <c r="M1443" t="s">
        <v>4076</v>
      </c>
      <c r="N1443" t="s">
        <v>4080</v>
      </c>
      <c r="O1443" t="s">
        <v>4081</v>
      </c>
      <c r="P1443" t="s">
        <v>4082</v>
      </c>
    </row>
    <row r="1444" spans="1:16" x14ac:dyDescent="0.35">
      <c r="A1444" t="s">
        <v>114</v>
      </c>
      <c r="B1444">
        <v>1335197833</v>
      </c>
      <c r="C1444" t="s">
        <v>18</v>
      </c>
      <c r="D1444" t="s">
        <v>21</v>
      </c>
      <c r="E1444" s="29">
        <v>46208</v>
      </c>
      <c r="F1444" t="s">
        <v>6</v>
      </c>
      <c r="G1444" s="28">
        <v>0.39097222222222222</v>
      </c>
      <c r="H1444" s="28">
        <v>0.39097222222222222</v>
      </c>
      <c r="I1444">
        <v>0</v>
      </c>
      <c r="J1444" t="s">
        <v>174</v>
      </c>
      <c r="K1444">
        <v>0</v>
      </c>
      <c r="L1444" t="s">
        <v>4083</v>
      </c>
      <c r="M1444" t="s">
        <v>4021</v>
      </c>
      <c r="N1444" t="s">
        <v>4022</v>
      </c>
      <c r="O1444" t="s">
        <v>4023</v>
      </c>
      <c r="P1444" t="s">
        <v>4024</v>
      </c>
    </row>
    <row r="1445" spans="1:16" x14ac:dyDescent="0.35">
      <c r="A1445" t="s">
        <v>114</v>
      </c>
      <c r="B1445">
        <v>1335197833</v>
      </c>
      <c r="C1445" t="s">
        <v>18</v>
      </c>
      <c r="D1445" t="s">
        <v>21</v>
      </c>
      <c r="E1445" s="29">
        <v>46208</v>
      </c>
      <c r="F1445" t="s">
        <v>6</v>
      </c>
      <c r="G1445" s="28">
        <v>0.39791666666666664</v>
      </c>
      <c r="H1445" s="28">
        <v>0.39791666666666664</v>
      </c>
      <c r="I1445">
        <v>0</v>
      </c>
      <c r="J1445" t="s">
        <v>174</v>
      </c>
      <c r="K1445">
        <v>0</v>
      </c>
      <c r="L1445" t="s">
        <v>4084</v>
      </c>
      <c r="M1445" t="s">
        <v>4055</v>
      </c>
      <c r="N1445" t="s">
        <v>4056</v>
      </c>
      <c r="O1445" t="s">
        <v>4057</v>
      </c>
      <c r="P1445" t="s">
        <v>4058</v>
      </c>
    </row>
    <row r="1446" spans="1:16" x14ac:dyDescent="0.35">
      <c r="A1446" t="s">
        <v>114</v>
      </c>
      <c r="B1446">
        <v>1335197833</v>
      </c>
      <c r="C1446" t="s">
        <v>18</v>
      </c>
      <c r="D1446" t="s">
        <v>21</v>
      </c>
      <c r="E1446" s="29">
        <v>46208</v>
      </c>
      <c r="F1446" t="s">
        <v>6</v>
      </c>
      <c r="G1446" s="28">
        <v>0.40486111111111112</v>
      </c>
      <c r="H1446" s="28">
        <v>0.43263888888888891</v>
      </c>
      <c r="I1446">
        <v>1</v>
      </c>
      <c r="J1446" t="s">
        <v>146</v>
      </c>
      <c r="K1446">
        <v>2</v>
      </c>
      <c r="L1446" t="s">
        <v>147</v>
      </c>
      <c r="M1446" t="s">
        <v>4035</v>
      </c>
      <c r="N1446" t="s">
        <v>4036</v>
      </c>
      <c r="O1446" t="s">
        <v>4037</v>
      </c>
      <c r="P1446" t="s">
        <v>4038</v>
      </c>
    </row>
    <row r="1447" spans="1:16" x14ac:dyDescent="0.35">
      <c r="A1447" t="s">
        <v>114</v>
      </c>
      <c r="B1447">
        <v>1335197833</v>
      </c>
      <c r="C1447" t="s">
        <v>18</v>
      </c>
      <c r="D1447" t="s">
        <v>21</v>
      </c>
      <c r="E1447" s="29">
        <v>46208</v>
      </c>
      <c r="F1447" t="s">
        <v>6</v>
      </c>
      <c r="G1447" s="28">
        <v>0.43958333333333333</v>
      </c>
      <c r="H1447" s="28">
        <v>0.43958333333333333</v>
      </c>
      <c r="I1447">
        <v>0</v>
      </c>
      <c r="J1447" t="s">
        <v>174</v>
      </c>
      <c r="K1447">
        <v>0</v>
      </c>
      <c r="L1447" t="s">
        <v>4040</v>
      </c>
      <c r="M1447" t="s">
        <v>4041</v>
      </c>
      <c r="N1447" t="s">
        <v>4042</v>
      </c>
      <c r="O1447" t="s">
        <v>4043</v>
      </c>
      <c r="P1447" t="s">
        <v>4044</v>
      </c>
    </row>
    <row r="1448" spans="1:16" x14ac:dyDescent="0.35">
      <c r="A1448" t="s">
        <v>114</v>
      </c>
      <c r="B1448">
        <v>1335197833</v>
      </c>
      <c r="C1448" t="s">
        <v>18</v>
      </c>
      <c r="D1448" t="s">
        <v>21</v>
      </c>
      <c r="E1448" s="29">
        <v>46208</v>
      </c>
      <c r="F1448" t="s">
        <v>6</v>
      </c>
      <c r="G1448" s="28">
        <v>0.4465277777777778</v>
      </c>
      <c r="H1448" s="28">
        <v>0.45347222222222222</v>
      </c>
      <c r="I1448">
        <v>0</v>
      </c>
      <c r="J1448" t="s">
        <v>146</v>
      </c>
      <c r="K1448">
        <v>0</v>
      </c>
      <c r="L1448" t="s">
        <v>147</v>
      </c>
      <c r="M1448" t="s">
        <v>4035</v>
      </c>
      <c r="N1448" t="s">
        <v>4036</v>
      </c>
      <c r="O1448" t="s">
        <v>4037</v>
      </c>
      <c r="P1448" t="s">
        <v>4038</v>
      </c>
    </row>
    <row r="1449" spans="1:16" x14ac:dyDescent="0.35">
      <c r="A1449" t="s">
        <v>114</v>
      </c>
      <c r="B1449">
        <v>1335197833</v>
      </c>
      <c r="C1449" t="s">
        <v>18</v>
      </c>
      <c r="D1449" t="s">
        <v>21</v>
      </c>
      <c r="E1449" s="29">
        <v>46208</v>
      </c>
      <c r="F1449" t="s">
        <v>6</v>
      </c>
      <c r="G1449" s="28">
        <v>0.46041666666666664</v>
      </c>
      <c r="H1449" s="28">
        <v>0.46041666666666664</v>
      </c>
      <c r="I1449">
        <v>0</v>
      </c>
      <c r="J1449" t="s">
        <v>174</v>
      </c>
      <c r="K1449">
        <v>0</v>
      </c>
      <c r="L1449" t="s">
        <v>4085</v>
      </c>
      <c r="M1449" t="s">
        <v>4055</v>
      </c>
      <c r="N1449" t="s">
        <v>4056</v>
      </c>
      <c r="O1449" t="s">
        <v>4057</v>
      </c>
      <c r="P1449" t="s">
        <v>4058</v>
      </c>
    </row>
    <row r="1450" spans="1:16" x14ac:dyDescent="0.35">
      <c r="A1450" t="s">
        <v>114</v>
      </c>
      <c r="B1450">
        <v>1335197833</v>
      </c>
      <c r="C1450" t="s">
        <v>18</v>
      </c>
      <c r="D1450" t="s">
        <v>21</v>
      </c>
      <c r="E1450" s="29">
        <v>46208</v>
      </c>
      <c r="F1450" t="s">
        <v>6</v>
      </c>
      <c r="G1450" s="28">
        <v>0.46736111111111112</v>
      </c>
      <c r="H1450" s="28">
        <v>0.46736111111111112</v>
      </c>
      <c r="I1450">
        <v>0</v>
      </c>
      <c r="J1450" t="s">
        <v>174</v>
      </c>
      <c r="K1450">
        <v>0</v>
      </c>
      <c r="L1450" t="s">
        <v>471</v>
      </c>
      <c r="M1450" t="s">
        <v>4041</v>
      </c>
      <c r="N1450" t="s">
        <v>4042</v>
      </c>
      <c r="O1450" t="s">
        <v>4043</v>
      </c>
      <c r="P1450" t="s">
        <v>4044</v>
      </c>
    </row>
    <row r="1451" spans="1:16" x14ac:dyDescent="0.35">
      <c r="A1451" t="s">
        <v>114</v>
      </c>
      <c r="B1451">
        <v>1335197833</v>
      </c>
      <c r="C1451" t="s">
        <v>18</v>
      </c>
      <c r="D1451" t="s">
        <v>21</v>
      </c>
      <c r="E1451" s="29">
        <v>46208</v>
      </c>
      <c r="F1451" t="s">
        <v>6</v>
      </c>
      <c r="G1451" s="28">
        <v>0.47430555555555554</v>
      </c>
      <c r="H1451" s="28">
        <v>0.50902777777777775</v>
      </c>
      <c r="I1451">
        <v>1</v>
      </c>
      <c r="J1451" t="s">
        <v>146</v>
      </c>
      <c r="K1451">
        <v>2</v>
      </c>
      <c r="L1451" t="s">
        <v>147</v>
      </c>
      <c r="M1451" t="s">
        <v>3687</v>
      </c>
      <c r="N1451" t="s">
        <v>3688</v>
      </c>
      <c r="O1451" t="s">
        <v>3689</v>
      </c>
      <c r="P1451" t="s">
        <v>3877</v>
      </c>
    </row>
    <row r="1452" spans="1:16" x14ac:dyDescent="0.35">
      <c r="A1452" t="s">
        <v>114</v>
      </c>
      <c r="B1452">
        <v>1335197833</v>
      </c>
      <c r="C1452" t="s">
        <v>18</v>
      </c>
      <c r="D1452" t="s">
        <v>21</v>
      </c>
      <c r="E1452" s="29">
        <v>46208</v>
      </c>
      <c r="F1452" t="s">
        <v>6</v>
      </c>
      <c r="G1452" s="28">
        <v>0.51597222222222228</v>
      </c>
      <c r="H1452" s="28">
        <v>0.51597222222222228</v>
      </c>
      <c r="I1452">
        <v>0</v>
      </c>
      <c r="J1452" t="s">
        <v>174</v>
      </c>
      <c r="K1452">
        <v>0</v>
      </c>
      <c r="L1452" t="s">
        <v>4086</v>
      </c>
      <c r="M1452" t="s">
        <v>4087</v>
      </c>
      <c r="N1452" t="s">
        <v>4088</v>
      </c>
      <c r="O1452" t="s">
        <v>4089</v>
      </c>
      <c r="P1452" t="s">
        <v>4090</v>
      </c>
    </row>
    <row r="1453" spans="1:16" x14ac:dyDescent="0.35">
      <c r="A1453" t="s">
        <v>114</v>
      </c>
      <c r="B1453">
        <v>1335197833</v>
      </c>
      <c r="C1453" t="s">
        <v>18</v>
      </c>
      <c r="D1453" t="s">
        <v>21</v>
      </c>
      <c r="E1453" s="29">
        <v>46208</v>
      </c>
      <c r="F1453" t="s">
        <v>6</v>
      </c>
      <c r="G1453" s="28">
        <v>0.5229166666666667</v>
      </c>
      <c r="H1453" s="28">
        <v>0.5229166666666667</v>
      </c>
      <c r="I1453">
        <v>0</v>
      </c>
      <c r="J1453" t="s">
        <v>174</v>
      </c>
      <c r="K1453">
        <v>0</v>
      </c>
      <c r="L1453" t="s">
        <v>4091</v>
      </c>
      <c r="M1453" t="s">
        <v>2195</v>
      </c>
      <c r="N1453" t="s">
        <v>2196</v>
      </c>
      <c r="O1453" t="s">
        <v>2197</v>
      </c>
      <c r="P1453" t="s">
        <v>4092</v>
      </c>
    </row>
    <row r="1454" spans="1:16" x14ac:dyDescent="0.35">
      <c r="A1454" t="s">
        <v>114</v>
      </c>
      <c r="B1454">
        <v>1335197833</v>
      </c>
      <c r="C1454" t="s">
        <v>18</v>
      </c>
      <c r="D1454" t="s">
        <v>21</v>
      </c>
      <c r="E1454" s="29">
        <v>46208</v>
      </c>
      <c r="F1454" t="s">
        <v>6</v>
      </c>
      <c r="G1454" s="28">
        <v>0.52986111111111112</v>
      </c>
      <c r="H1454" s="28">
        <v>0.52986111111111112</v>
      </c>
      <c r="I1454">
        <v>0</v>
      </c>
      <c r="J1454" t="s">
        <v>174</v>
      </c>
      <c r="K1454">
        <v>0</v>
      </c>
      <c r="L1454" t="s">
        <v>793</v>
      </c>
      <c r="M1454" t="s">
        <v>4093</v>
      </c>
      <c r="N1454" t="s">
        <v>4094</v>
      </c>
      <c r="O1454" t="s">
        <v>4095</v>
      </c>
      <c r="P1454" t="s">
        <v>2317</v>
      </c>
    </row>
    <row r="1455" spans="1:16" x14ac:dyDescent="0.35">
      <c r="A1455" t="s">
        <v>114</v>
      </c>
      <c r="B1455">
        <v>1335197833</v>
      </c>
      <c r="C1455" t="s">
        <v>18</v>
      </c>
      <c r="D1455" t="s">
        <v>21</v>
      </c>
      <c r="E1455" s="29">
        <v>46208</v>
      </c>
      <c r="F1455" t="s">
        <v>6</v>
      </c>
      <c r="G1455" s="28">
        <v>0.53680555555555554</v>
      </c>
      <c r="H1455" s="28">
        <v>0.53680555555555554</v>
      </c>
      <c r="I1455">
        <v>0</v>
      </c>
      <c r="J1455" t="s">
        <v>174</v>
      </c>
      <c r="K1455">
        <v>0</v>
      </c>
      <c r="L1455" t="s">
        <v>2772</v>
      </c>
      <c r="M1455" t="s">
        <v>4096</v>
      </c>
      <c r="N1455" t="s">
        <v>3999</v>
      </c>
      <c r="O1455" t="s">
        <v>4097</v>
      </c>
      <c r="P1455" t="s">
        <v>4098</v>
      </c>
    </row>
    <row r="1456" spans="1:16" x14ac:dyDescent="0.35">
      <c r="A1456" t="s">
        <v>114</v>
      </c>
      <c r="B1456">
        <v>1335197833</v>
      </c>
      <c r="C1456" t="s">
        <v>18</v>
      </c>
      <c r="D1456" t="s">
        <v>21</v>
      </c>
      <c r="E1456" s="29">
        <v>46208</v>
      </c>
      <c r="F1456" t="s">
        <v>6</v>
      </c>
      <c r="G1456" s="28">
        <v>0.54374999999999996</v>
      </c>
      <c r="H1456" s="28">
        <v>0.54374999999999996</v>
      </c>
      <c r="I1456">
        <v>0</v>
      </c>
      <c r="J1456" t="s">
        <v>174</v>
      </c>
      <c r="K1456">
        <v>0</v>
      </c>
      <c r="L1456" t="s">
        <v>4099</v>
      </c>
      <c r="M1456" t="s">
        <v>4100</v>
      </c>
      <c r="N1456" t="s">
        <v>4101</v>
      </c>
      <c r="O1456" t="s">
        <v>4102</v>
      </c>
      <c r="P1456" t="s">
        <v>4103</v>
      </c>
    </row>
    <row r="1457" spans="1:16" x14ac:dyDescent="0.35">
      <c r="A1457" t="s">
        <v>114</v>
      </c>
      <c r="B1457">
        <v>1335197833</v>
      </c>
      <c r="C1457" t="s">
        <v>18</v>
      </c>
      <c r="D1457" t="s">
        <v>21</v>
      </c>
      <c r="E1457" s="29">
        <v>46208</v>
      </c>
      <c r="F1457" t="s">
        <v>6</v>
      </c>
      <c r="G1457" s="28">
        <v>0.55069444444444449</v>
      </c>
      <c r="H1457" s="28">
        <v>0.59236111111111112</v>
      </c>
      <c r="I1457">
        <v>1</v>
      </c>
      <c r="J1457" t="s">
        <v>146</v>
      </c>
      <c r="K1457">
        <v>3</v>
      </c>
      <c r="L1457" t="s">
        <v>147</v>
      </c>
      <c r="M1457" t="s">
        <v>4104</v>
      </c>
      <c r="N1457" t="s">
        <v>4105</v>
      </c>
      <c r="O1457" t="s">
        <v>4106</v>
      </c>
      <c r="P1457" t="s">
        <v>4107</v>
      </c>
    </row>
    <row r="1458" spans="1:16" x14ac:dyDescent="0.35">
      <c r="A1458" t="s">
        <v>114</v>
      </c>
      <c r="B1458">
        <v>1335197833</v>
      </c>
      <c r="C1458" t="s">
        <v>18</v>
      </c>
      <c r="D1458" t="s">
        <v>21</v>
      </c>
      <c r="E1458" s="29">
        <v>46208</v>
      </c>
      <c r="F1458" t="s">
        <v>6</v>
      </c>
      <c r="G1458" s="28">
        <v>0.59930555555555554</v>
      </c>
      <c r="H1458" s="28">
        <v>0.59930555555555554</v>
      </c>
      <c r="I1458">
        <v>0</v>
      </c>
      <c r="J1458" t="s">
        <v>174</v>
      </c>
      <c r="K1458">
        <v>0</v>
      </c>
      <c r="L1458" t="s">
        <v>4108</v>
      </c>
      <c r="M1458" t="s">
        <v>4100</v>
      </c>
      <c r="N1458" t="s">
        <v>4101</v>
      </c>
      <c r="O1458" t="s">
        <v>4102</v>
      </c>
      <c r="P1458" t="s">
        <v>4103</v>
      </c>
    </row>
    <row r="1459" spans="1:16" x14ac:dyDescent="0.35">
      <c r="A1459" t="s">
        <v>114</v>
      </c>
      <c r="B1459">
        <v>1335197833</v>
      </c>
      <c r="C1459" t="s">
        <v>18</v>
      </c>
      <c r="D1459" t="s">
        <v>21</v>
      </c>
      <c r="E1459" s="29">
        <v>46208</v>
      </c>
      <c r="F1459" t="s">
        <v>6</v>
      </c>
      <c r="G1459" s="28">
        <v>0.60624999999999996</v>
      </c>
      <c r="H1459" s="28">
        <v>0.62708333333333333</v>
      </c>
      <c r="I1459">
        <v>1</v>
      </c>
      <c r="J1459" t="s">
        <v>146</v>
      </c>
      <c r="K1459">
        <v>2</v>
      </c>
      <c r="L1459" t="s">
        <v>147</v>
      </c>
      <c r="M1459" t="s">
        <v>3998</v>
      </c>
      <c r="N1459" t="s">
        <v>4109</v>
      </c>
      <c r="O1459" t="s">
        <v>4110</v>
      </c>
      <c r="P1459" t="s">
        <v>4111</v>
      </c>
    </row>
    <row r="1460" spans="1:16" x14ac:dyDescent="0.35">
      <c r="A1460" t="s">
        <v>114</v>
      </c>
      <c r="B1460">
        <v>1335197833</v>
      </c>
      <c r="C1460" t="s">
        <v>18</v>
      </c>
      <c r="D1460" t="s">
        <v>21</v>
      </c>
      <c r="E1460" s="29">
        <v>46208</v>
      </c>
      <c r="F1460" t="s">
        <v>6</v>
      </c>
      <c r="G1460" s="28">
        <v>0.63402777777777775</v>
      </c>
      <c r="H1460" s="28">
        <v>0.63402777777777775</v>
      </c>
      <c r="I1460">
        <v>0</v>
      </c>
      <c r="J1460" t="s">
        <v>174</v>
      </c>
      <c r="K1460">
        <v>0</v>
      </c>
      <c r="L1460" t="s">
        <v>4108</v>
      </c>
      <c r="M1460" t="s">
        <v>4100</v>
      </c>
      <c r="N1460" t="s">
        <v>4101</v>
      </c>
      <c r="O1460" t="s">
        <v>4102</v>
      </c>
      <c r="P1460" t="s">
        <v>4103</v>
      </c>
    </row>
    <row r="1461" spans="1:16" x14ac:dyDescent="0.35">
      <c r="A1461" t="s">
        <v>114</v>
      </c>
      <c r="B1461">
        <v>1335197833</v>
      </c>
      <c r="C1461" t="s">
        <v>18</v>
      </c>
      <c r="D1461" t="s">
        <v>21</v>
      </c>
      <c r="E1461" s="29">
        <v>46208</v>
      </c>
      <c r="F1461" t="s">
        <v>6</v>
      </c>
      <c r="G1461" s="28">
        <v>0.64097222222222228</v>
      </c>
      <c r="H1461" s="28">
        <v>0.64097222222222228</v>
      </c>
      <c r="I1461">
        <v>0</v>
      </c>
      <c r="J1461" t="s">
        <v>174</v>
      </c>
      <c r="K1461">
        <v>0</v>
      </c>
      <c r="L1461" t="s">
        <v>4112</v>
      </c>
      <c r="M1461" t="s">
        <v>3998</v>
      </c>
      <c r="N1461" t="s">
        <v>4109</v>
      </c>
      <c r="O1461" t="s">
        <v>4110</v>
      </c>
      <c r="P1461" t="s">
        <v>4111</v>
      </c>
    </row>
    <row r="1462" spans="1:16" x14ac:dyDescent="0.35">
      <c r="A1462" t="s">
        <v>114</v>
      </c>
      <c r="B1462">
        <v>1335197833</v>
      </c>
      <c r="C1462" t="s">
        <v>18</v>
      </c>
      <c r="D1462" t="s">
        <v>21</v>
      </c>
      <c r="E1462" s="29">
        <v>46208</v>
      </c>
      <c r="F1462" t="s">
        <v>6</v>
      </c>
      <c r="G1462" s="28">
        <v>0.6479166666666667</v>
      </c>
      <c r="H1462" s="28">
        <v>0.6479166666666667</v>
      </c>
      <c r="I1462">
        <v>0</v>
      </c>
      <c r="J1462" t="s">
        <v>174</v>
      </c>
      <c r="K1462">
        <v>0</v>
      </c>
      <c r="L1462" t="s">
        <v>3250</v>
      </c>
      <c r="M1462" t="s">
        <v>4002</v>
      </c>
      <c r="N1462" t="s">
        <v>4003</v>
      </c>
      <c r="O1462" t="s">
        <v>4004</v>
      </c>
      <c r="P1462" t="s">
        <v>4005</v>
      </c>
    </row>
    <row r="1463" spans="1:16" x14ac:dyDescent="0.35">
      <c r="A1463" t="s">
        <v>114</v>
      </c>
      <c r="B1463">
        <v>1335197833</v>
      </c>
      <c r="C1463" t="s">
        <v>18</v>
      </c>
      <c r="D1463" t="s">
        <v>21</v>
      </c>
      <c r="E1463" s="29">
        <v>46208</v>
      </c>
      <c r="F1463" t="s">
        <v>6</v>
      </c>
      <c r="G1463" s="28">
        <v>0.65486111111111112</v>
      </c>
      <c r="H1463" s="28">
        <v>0.65486111111111112</v>
      </c>
      <c r="I1463">
        <v>0</v>
      </c>
      <c r="J1463" t="s">
        <v>174</v>
      </c>
      <c r="K1463">
        <v>0</v>
      </c>
      <c r="L1463" t="s">
        <v>480</v>
      </c>
      <c r="M1463" t="s">
        <v>2195</v>
      </c>
      <c r="N1463" t="s">
        <v>2196</v>
      </c>
      <c r="O1463" t="s">
        <v>2197</v>
      </c>
      <c r="P1463" t="s">
        <v>4092</v>
      </c>
    </row>
    <row r="1464" spans="1:16" x14ac:dyDescent="0.35">
      <c r="A1464" t="s">
        <v>114</v>
      </c>
      <c r="B1464">
        <v>1335197833</v>
      </c>
      <c r="C1464" t="s">
        <v>18</v>
      </c>
      <c r="D1464" t="s">
        <v>21</v>
      </c>
      <c r="E1464" s="29">
        <v>46208</v>
      </c>
      <c r="F1464" t="s">
        <v>6</v>
      </c>
      <c r="G1464" s="28">
        <v>0.66180555555555554</v>
      </c>
      <c r="H1464" s="28">
        <v>0.69652777777777775</v>
      </c>
      <c r="I1464">
        <v>1</v>
      </c>
      <c r="J1464" t="s">
        <v>146</v>
      </c>
      <c r="K1464">
        <v>2</v>
      </c>
      <c r="L1464" t="s">
        <v>147</v>
      </c>
      <c r="M1464" t="s">
        <v>3687</v>
      </c>
      <c r="N1464" t="s">
        <v>3688</v>
      </c>
      <c r="O1464" t="s">
        <v>3689</v>
      </c>
      <c r="P1464" t="s">
        <v>3877</v>
      </c>
    </row>
    <row r="1465" spans="1:16" x14ac:dyDescent="0.35">
      <c r="A1465" t="s">
        <v>114</v>
      </c>
      <c r="B1465">
        <v>1335197833</v>
      </c>
      <c r="C1465" t="s">
        <v>18</v>
      </c>
      <c r="D1465" t="s">
        <v>21</v>
      </c>
      <c r="E1465" s="29">
        <v>46208</v>
      </c>
      <c r="F1465" t="s">
        <v>6</v>
      </c>
      <c r="G1465" s="28">
        <v>0.70347222222222228</v>
      </c>
      <c r="H1465" s="28">
        <v>0.7104166666666667</v>
      </c>
      <c r="I1465">
        <v>0</v>
      </c>
      <c r="J1465" t="s">
        <v>146</v>
      </c>
      <c r="K1465">
        <v>0</v>
      </c>
      <c r="L1465" t="s">
        <v>147</v>
      </c>
      <c r="M1465" t="s">
        <v>2199</v>
      </c>
      <c r="N1465" t="s">
        <v>4113</v>
      </c>
      <c r="O1465" t="s">
        <v>4114</v>
      </c>
      <c r="P1465" t="s">
        <v>4115</v>
      </c>
    </row>
    <row r="1466" spans="1:16" x14ac:dyDescent="0.35">
      <c r="A1466" t="s">
        <v>114</v>
      </c>
      <c r="B1466">
        <v>1335197833</v>
      </c>
      <c r="C1466" t="s">
        <v>18</v>
      </c>
      <c r="D1466" t="s">
        <v>21</v>
      </c>
      <c r="E1466" s="29">
        <v>46208</v>
      </c>
      <c r="F1466" t="s">
        <v>6</v>
      </c>
      <c r="G1466" s="28">
        <v>0.71736111111111112</v>
      </c>
      <c r="H1466" s="28">
        <v>0.72430555555555554</v>
      </c>
      <c r="I1466">
        <v>0</v>
      </c>
      <c r="J1466" t="s">
        <v>146</v>
      </c>
      <c r="K1466">
        <v>0</v>
      </c>
      <c r="L1466" t="s">
        <v>147</v>
      </c>
      <c r="M1466" t="s">
        <v>3687</v>
      </c>
      <c r="N1466" t="s">
        <v>3688</v>
      </c>
      <c r="O1466" t="s">
        <v>3689</v>
      </c>
      <c r="P1466" t="s">
        <v>3877</v>
      </c>
    </row>
    <row r="1467" spans="1:16" x14ac:dyDescent="0.35">
      <c r="A1467" t="s">
        <v>114</v>
      </c>
      <c r="B1467">
        <v>1335197833</v>
      </c>
      <c r="C1467" t="s">
        <v>18</v>
      </c>
      <c r="D1467" t="s">
        <v>21</v>
      </c>
      <c r="E1467" s="29">
        <v>46208</v>
      </c>
      <c r="F1467" t="s">
        <v>6</v>
      </c>
      <c r="G1467" s="28">
        <v>0.73124999999999996</v>
      </c>
      <c r="H1467" s="28">
        <v>0.73124999999999996</v>
      </c>
      <c r="I1467">
        <v>0</v>
      </c>
      <c r="J1467" t="s">
        <v>174</v>
      </c>
      <c r="K1467">
        <v>0</v>
      </c>
      <c r="L1467" t="s">
        <v>4116</v>
      </c>
      <c r="M1467" t="s">
        <v>2199</v>
      </c>
      <c r="N1467" t="s">
        <v>4113</v>
      </c>
      <c r="O1467" t="s">
        <v>4114</v>
      </c>
      <c r="P1467" t="s">
        <v>4115</v>
      </c>
    </row>
    <row r="1468" spans="1:16" x14ac:dyDescent="0.35">
      <c r="A1468" t="s">
        <v>114</v>
      </c>
      <c r="B1468">
        <v>1335197833</v>
      </c>
      <c r="C1468" t="s">
        <v>18</v>
      </c>
      <c r="D1468" t="s">
        <v>21</v>
      </c>
      <c r="E1468" s="29">
        <v>46208</v>
      </c>
      <c r="F1468" t="s">
        <v>6</v>
      </c>
      <c r="G1468" s="28">
        <v>0.73819444444444449</v>
      </c>
      <c r="H1468" s="28">
        <v>0.73819444444444449</v>
      </c>
      <c r="I1468">
        <v>0</v>
      </c>
      <c r="J1468" t="s">
        <v>174</v>
      </c>
      <c r="K1468">
        <v>0</v>
      </c>
      <c r="L1468" t="s">
        <v>4116</v>
      </c>
      <c r="M1468" t="s">
        <v>3687</v>
      </c>
      <c r="N1468" t="s">
        <v>3688</v>
      </c>
      <c r="O1468" t="s">
        <v>3689</v>
      </c>
      <c r="P1468" t="s">
        <v>3877</v>
      </c>
    </row>
    <row r="1469" spans="1:16" x14ac:dyDescent="0.35">
      <c r="A1469" t="s">
        <v>114</v>
      </c>
      <c r="B1469">
        <v>1335197833</v>
      </c>
      <c r="C1469" t="s">
        <v>18</v>
      </c>
      <c r="D1469" t="s">
        <v>21</v>
      </c>
      <c r="E1469" s="29">
        <v>46208</v>
      </c>
      <c r="F1469" t="s">
        <v>6</v>
      </c>
      <c r="G1469" s="28">
        <v>0.74513888888888891</v>
      </c>
      <c r="H1469" s="28">
        <v>0.74513888888888891</v>
      </c>
      <c r="I1469">
        <v>0</v>
      </c>
      <c r="J1469" t="s">
        <v>174</v>
      </c>
      <c r="K1469">
        <v>0</v>
      </c>
      <c r="L1469" t="s">
        <v>4116</v>
      </c>
      <c r="M1469" t="s">
        <v>2199</v>
      </c>
      <c r="N1469" t="s">
        <v>4113</v>
      </c>
      <c r="O1469" t="s">
        <v>4114</v>
      </c>
      <c r="P1469" t="s">
        <v>4115</v>
      </c>
    </row>
    <row r="1470" spans="1:16" x14ac:dyDescent="0.35">
      <c r="A1470" t="s">
        <v>114</v>
      </c>
      <c r="B1470">
        <v>1335197833</v>
      </c>
      <c r="C1470" t="s">
        <v>18</v>
      </c>
      <c r="D1470" t="s">
        <v>21</v>
      </c>
      <c r="E1470" s="29">
        <v>46208</v>
      </c>
      <c r="F1470" t="s">
        <v>6</v>
      </c>
      <c r="G1470" s="28">
        <v>0.75208333333333333</v>
      </c>
      <c r="H1470" s="28">
        <v>0.75902777777777775</v>
      </c>
      <c r="I1470">
        <v>0</v>
      </c>
      <c r="J1470" t="s">
        <v>146</v>
      </c>
      <c r="K1470">
        <v>0</v>
      </c>
      <c r="L1470" t="s">
        <v>147</v>
      </c>
      <c r="M1470" t="s">
        <v>3687</v>
      </c>
      <c r="N1470" t="s">
        <v>3688</v>
      </c>
      <c r="O1470" t="s">
        <v>3689</v>
      </c>
      <c r="P1470" t="s">
        <v>3877</v>
      </c>
    </row>
    <row r="1471" spans="1:16" x14ac:dyDescent="0.35">
      <c r="A1471" t="s">
        <v>114</v>
      </c>
      <c r="B1471">
        <v>1335197833</v>
      </c>
      <c r="C1471" t="s">
        <v>18</v>
      </c>
      <c r="D1471" t="s">
        <v>21</v>
      </c>
      <c r="E1471" s="29">
        <v>46208</v>
      </c>
      <c r="F1471" t="s">
        <v>6</v>
      </c>
      <c r="G1471" s="28">
        <v>0.76597222222222228</v>
      </c>
      <c r="H1471" s="28">
        <v>0.76597222222222228</v>
      </c>
      <c r="I1471">
        <v>0</v>
      </c>
      <c r="J1471" t="s">
        <v>174</v>
      </c>
      <c r="K1471">
        <v>0</v>
      </c>
      <c r="L1471" t="s">
        <v>4117</v>
      </c>
      <c r="M1471" t="s">
        <v>4021</v>
      </c>
      <c r="N1471" t="s">
        <v>4022</v>
      </c>
      <c r="O1471" t="s">
        <v>4023</v>
      </c>
      <c r="P1471" t="s">
        <v>4024</v>
      </c>
    </row>
    <row r="1472" spans="1:16" x14ac:dyDescent="0.35">
      <c r="A1472" t="s">
        <v>114</v>
      </c>
      <c r="B1472">
        <v>1335197833</v>
      </c>
      <c r="C1472" t="s">
        <v>18</v>
      </c>
      <c r="D1472" t="s">
        <v>21</v>
      </c>
      <c r="E1472" s="29">
        <v>46208</v>
      </c>
      <c r="F1472" t="s">
        <v>6</v>
      </c>
      <c r="G1472" s="28">
        <v>0.7729166666666667</v>
      </c>
      <c r="H1472" s="28">
        <v>0.7729166666666667</v>
      </c>
      <c r="I1472">
        <v>0</v>
      </c>
      <c r="J1472" t="s">
        <v>174</v>
      </c>
      <c r="K1472">
        <v>0</v>
      </c>
      <c r="L1472" t="s">
        <v>4118</v>
      </c>
      <c r="M1472" t="s">
        <v>4041</v>
      </c>
      <c r="N1472" t="s">
        <v>4119</v>
      </c>
      <c r="O1472" t="s">
        <v>4120</v>
      </c>
      <c r="P1472" t="s">
        <v>4121</v>
      </c>
    </row>
    <row r="1473" spans="1:16" x14ac:dyDescent="0.35">
      <c r="A1473" t="s">
        <v>114</v>
      </c>
      <c r="B1473">
        <v>1335197833</v>
      </c>
      <c r="C1473" t="s">
        <v>18</v>
      </c>
      <c r="D1473" t="s">
        <v>21</v>
      </c>
      <c r="E1473" s="29">
        <v>46208</v>
      </c>
      <c r="F1473" t="s">
        <v>6</v>
      </c>
      <c r="G1473" s="28">
        <v>0.77986111111111112</v>
      </c>
      <c r="H1473" s="28">
        <v>0.77986111111111112</v>
      </c>
      <c r="I1473">
        <v>0</v>
      </c>
      <c r="J1473" t="s">
        <v>174</v>
      </c>
      <c r="K1473">
        <v>0</v>
      </c>
      <c r="L1473" t="s">
        <v>4122</v>
      </c>
      <c r="M1473" t="s">
        <v>4026</v>
      </c>
      <c r="N1473" t="s">
        <v>4027</v>
      </c>
      <c r="O1473" t="s">
        <v>4028</v>
      </c>
      <c r="P1473" t="s">
        <v>4029</v>
      </c>
    </row>
    <row r="1474" spans="1:16" x14ac:dyDescent="0.35">
      <c r="A1474" t="s">
        <v>114</v>
      </c>
      <c r="B1474">
        <v>1335197833</v>
      </c>
      <c r="C1474" t="s">
        <v>18</v>
      </c>
      <c r="D1474" t="s">
        <v>21</v>
      </c>
      <c r="E1474" s="29">
        <v>46208</v>
      </c>
      <c r="F1474" t="s">
        <v>6</v>
      </c>
      <c r="G1474" s="28">
        <v>0.78680555555555554</v>
      </c>
      <c r="H1474" s="28">
        <v>0.80069444444444449</v>
      </c>
      <c r="I1474">
        <v>0</v>
      </c>
      <c r="J1474" t="s">
        <v>146</v>
      </c>
      <c r="K1474">
        <v>1</v>
      </c>
      <c r="L1474" t="s">
        <v>147</v>
      </c>
      <c r="M1474" t="s">
        <v>4041</v>
      </c>
      <c r="N1474" t="s">
        <v>4042</v>
      </c>
      <c r="O1474" t="s">
        <v>4043</v>
      </c>
      <c r="P1474" t="s">
        <v>4044</v>
      </c>
    </row>
    <row r="1475" spans="1:16" x14ac:dyDescent="0.35">
      <c r="A1475" t="s">
        <v>104</v>
      </c>
      <c r="B1475">
        <v>1324725622</v>
      </c>
      <c r="C1475" t="s">
        <v>18</v>
      </c>
      <c r="D1475" t="s">
        <v>21</v>
      </c>
      <c r="E1475" s="29">
        <v>46204</v>
      </c>
      <c r="F1475" t="s">
        <v>3</v>
      </c>
      <c r="G1475" s="28">
        <v>0.39513888888888887</v>
      </c>
      <c r="H1475" s="28">
        <v>0.39513888888888887</v>
      </c>
      <c r="I1475">
        <v>0</v>
      </c>
      <c r="J1475" t="s">
        <v>174</v>
      </c>
      <c r="K1475">
        <v>0</v>
      </c>
      <c r="L1475" t="s">
        <v>1201</v>
      </c>
      <c r="M1475" t="s">
        <v>4123</v>
      </c>
      <c r="N1475" t="s">
        <v>4124</v>
      </c>
      <c r="O1475" t="s">
        <v>4125</v>
      </c>
      <c r="P1475" t="s">
        <v>4126</v>
      </c>
    </row>
    <row r="1476" spans="1:16" x14ac:dyDescent="0.35">
      <c r="A1476" t="s">
        <v>104</v>
      </c>
      <c r="B1476">
        <v>1324725622</v>
      </c>
      <c r="C1476" t="s">
        <v>18</v>
      </c>
      <c r="D1476" t="s">
        <v>21</v>
      </c>
      <c r="E1476" s="29">
        <v>46204</v>
      </c>
      <c r="F1476" t="s">
        <v>3</v>
      </c>
      <c r="G1476" s="28">
        <v>0.40208333333333335</v>
      </c>
      <c r="H1476" s="28">
        <v>0.45763888888888887</v>
      </c>
      <c r="I1476">
        <v>1</v>
      </c>
      <c r="J1476" t="s">
        <v>146</v>
      </c>
      <c r="K1476">
        <v>4</v>
      </c>
      <c r="L1476" t="s">
        <v>147</v>
      </c>
      <c r="M1476" t="s">
        <v>4127</v>
      </c>
      <c r="N1476" t="s">
        <v>4128</v>
      </c>
      <c r="O1476" t="s">
        <v>4129</v>
      </c>
      <c r="P1476" t="s">
        <v>4130</v>
      </c>
    </row>
    <row r="1477" spans="1:16" x14ac:dyDescent="0.35">
      <c r="A1477" t="s">
        <v>104</v>
      </c>
      <c r="B1477">
        <v>1324725622</v>
      </c>
      <c r="C1477" t="s">
        <v>18</v>
      </c>
      <c r="D1477" t="s">
        <v>21</v>
      </c>
      <c r="E1477" s="29">
        <v>46204</v>
      </c>
      <c r="F1477" t="s">
        <v>3</v>
      </c>
      <c r="G1477" s="28">
        <v>0.46458333333333335</v>
      </c>
      <c r="H1477" s="28">
        <v>0.58958333333333335</v>
      </c>
      <c r="I1477">
        <v>3</v>
      </c>
      <c r="J1477" t="s">
        <v>146</v>
      </c>
      <c r="K1477">
        <v>9</v>
      </c>
      <c r="L1477" t="s">
        <v>147</v>
      </c>
      <c r="M1477" t="s">
        <v>4131</v>
      </c>
      <c r="N1477" t="s">
        <v>4132</v>
      </c>
      <c r="O1477" t="s">
        <v>4133</v>
      </c>
      <c r="P1477" t="s">
        <v>4134</v>
      </c>
    </row>
    <row r="1478" spans="1:16" x14ac:dyDescent="0.35">
      <c r="A1478" t="s">
        <v>104</v>
      </c>
      <c r="B1478">
        <v>1324725622</v>
      </c>
      <c r="C1478" t="s">
        <v>18</v>
      </c>
      <c r="D1478" t="s">
        <v>21</v>
      </c>
      <c r="E1478" s="29">
        <v>46204</v>
      </c>
      <c r="F1478" t="s">
        <v>3</v>
      </c>
      <c r="G1478" s="28">
        <v>0.59652777777777777</v>
      </c>
      <c r="H1478" s="28">
        <v>0.61041666666666672</v>
      </c>
      <c r="I1478">
        <v>0</v>
      </c>
      <c r="J1478" t="s">
        <v>146</v>
      </c>
      <c r="K1478">
        <v>1</v>
      </c>
      <c r="L1478" t="s">
        <v>147</v>
      </c>
      <c r="M1478" t="s">
        <v>4135</v>
      </c>
      <c r="N1478" t="s">
        <v>4136</v>
      </c>
      <c r="O1478" t="s">
        <v>2780</v>
      </c>
      <c r="P1478" t="s">
        <v>4137</v>
      </c>
    </row>
    <row r="1479" spans="1:16" x14ac:dyDescent="0.35">
      <c r="A1479" t="s">
        <v>104</v>
      </c>
      <c r="B1479">
        <v>1324725622</v>
      </c>
      <c r="C1479" t="s">
        <v>18</v>
      </c>
      <c r="D1479" t="s">
        <v>21</v>
      </c>
      <c r="E1479" s="29">
        <v>46204</v>
      </c>
      <c r="F1479" t="s">
        <v>3</v>
      </c>
      <c r="G1479" s="28">
        <v>0.61736111111111114</v>
      </c>
      <c r="H1479" s="28">
        <v>0.68680555555555556</v>
      </c>
      <c r="I1479">
        <v>2</v>
      </c>
      <c r="J1479" t="s">
        <v>146</v>
      </c>
      <c r="K1479">
        <v>5</v>
      </c>
      <c r="L1479" t="s">
        <v>147</v>
      </c>
      <c r="M1479" t="s">
        <v>4138</v>
      </c>
      <c r="N1479" t="s">
        <v>4132</v>
      </c>
      <c r="O1479" t="s">
        <v>4133</v>
      </c>
      <c r="P1479" t="s">
        <v>4134</v>
      </c>
    </row>
    <row r="1480" spans="1:16" x14ac:dyDescent="0.35">
      <c r="A1480" t="s">
        <v>104</v>
      </c>
      <c r="B1480">
        <v>1324725622</v>
      </c>
      <c r="C1480" t="s">
        <v>18</v>
      </c>
      <c r="D1480" t="s">
        <v>21</v>
      </c>
      <c r="E1480" s="29">
        <v>46204</v>
      </c>
      <c r="F1480" t="s">
        <v>3</v>
      </c>
      <c r="G1480" s="28">
        <v>0.69374999999999998</v>
      </c>
      <c r="H1480" s="28">
        <v>0.69374999999999998</v>
      </c>
      <c r="I1480">
        <v>0</v>
      </c>
      <c r="J1480" t="s">
        <v>174</v>
      </c>
      <c r="K1480">
        <v>0</v>
      </c>
      <c r="L1480" t="s">
        <v>4139</v>
      </c>
      <c r="M1480" t="s">
        <v>4140</v>
      </c>
      <c r="N1480" t="s">
        <v>4141</v>
      </c>
      <c r="O1480" t="s">
        <v>4142</v>
      </c>
      <c r="P1480" t="s">
        <v>4143</v>
      </c>
    </row>
    <row r="1481" spans="1:16" x14ac:dyDescent="0.35">
      <c r="A1481" t="s">
        <v>104</v>
      </c>
      <c r="B1481">
        <v>1324725622</v>
      </c>
      <c r="C1481" t="s">
        <v>18</v>
      </c>
      <c r="D1481" t="s">
        <v>21</v>
      </c>
      <c r="E1481" s="29">
        <v>46204</v>
      </c>
      <c r="F1481" t="s">
        <v>3</v>
      </c>
      <c r="G1481" s="28">
        <v>0.7006944444444444</v>
      </c>
      <c r="H1481" s="28">
        <v>0.71458333333333335</v>
      </c>
      <c r="I1481">
        <v>0</v>
      </c>
      <c r="J1481" t="s">
        <v>146</v>
      </c>
      <c r="K1481">
        <v>1</v>
      </c>
      <c r="L1481" t="s">
        <v>147</v>
      </c>
      <c r="M1481" t="s">
        <v>4144</v>
      </c>
      <c r="N1481" t="s">
        <v>4145</v>
      </c>
      <c r="O1481" t="s">
        <v>2750</v>
      </c>
      <c r="P1481" t="s">
        <v>4146</v>
      </c>
    </row>
    <row r="1482" spans="1:16" x14ac:dyDescent="0.35">
      <c r="A1482" t="s">
        <v>104</v>
      </c>
      <c r="B1482">
        <v>1324725622</v>
      </c>
      <c r="C1482" t="s">
        <v>18</v>
      </c>
      <c r="D1482" t="s">
        <v>21</v>
      </c>
      <c r="E1482" s="29">
        <v>46204</v>
      </c>
      <c r="F1482" t="s">
        <v>3</v>
      </c>
      <c r="G1482" s="28">
        <v>0.72152777777777777</v>
      </c>
      <c r="H1482" s="28">
        <v>0.77708333333333335</v>
      </c>
      <c r="I1482">
        <v>1</v>
      </c>
      <c r="J1482" t="s">
        <v>146</v>
      </c>
      <c r="K1482">
        <v>4</v>
      </c>
      <c r="L1482" t="s">
        <v>147</v>
      </c>
      <c r="M1482" t="s">
        <v>4147</v>
      </c>
      <c r="N1482" t="s">
        <v>4148</v>
      </c>
      <c r="O1482" t="s">
        <v>4149</v>
      </c>
      <c r="P1482" t="s">
        <v>4150</v>
      </c>
    </row>
    <row r="1483" spans="1:16" x14ac:dyDescent="0.35">
      <c r="A1483" t="s">
        <v>104</v>
      </c>
      <c r="B1483">
        <v>1324725622</v>
      </c>
      <c r="C1483" t="s">
        <v>18</v>
      </c>
      <c r="D1483" t="s">
        <v>21</v>
      </c>
      <c r="E1483" s="29">
        <v>46204</v>
      </c>
      <c r="F1483" t="s">
        <v>3</v>
      </c>
      <c r="G1483" s="28">
        <v>0.78402777777777777</v>
      </c>
      <c r="H1483" s="28">
        <v>0.78402777777777777</v>
      </c>
      <c r="I1483">
        <v>0</v>
      </c>
      <c r="J1483" t="s">
        <v>174</v>
      </c>
      <c r="K1483">
        <v>0</v>
      </c>
      <c r="L1483" t="s">
        <v>213</v>
      </c>
      <c r="M1483" t="s">
        <v>4151</v>
      </c>
      <c r="N1483" t="s">
        <v>4152</v>
      </c>
      <c r="O1483" t="s">
        <v>4153</v>
      </c>
      <c r="P1483" t="s">
        <v>4154</v>
      </c>
    </row>
    <row r="1484" spans="1:16" x14ac:dyDescent="0.35">
      <c r="A1484" t="s">
        <v>104</v>
      </c>
      <c r="B1484">
        <v>1324725622</v>
      </c>
      <c r="C1484" t="s">
        <v>18</v>
      </c>
      <c r="D1484" t="s">
        <v>21</v>
      </c>
      <c r="E1484" s="29">
        <v>46204</v>
      </c>
      <c r="F1484" t="s">
        <v>3</v>
      </c>
      <c r="G1484" s="28">
        <v>0.79097222222222219</v>
      </c>
      <c r="H1484" s="28">
        <v>0.81874999999999998</v>
      </c>
      <c r="I1484">
        <v>1</v>
      </c>
      <c r="J1484" t="s">
        <v>146</v>
      </c>
      <c r="K1484">
        <v>2</v>
      </c>
      <c r="L1484" t="s">
        <v>147</v>
      </c>
      <c r="M1484" t="s">
        <v>4147</v>
      </c>
      <c r="N1484" t="s">
        <v>4155</v>
      </c>
      <c r="O1484" t="s">
        <v>4156</v>
      </c>
      <c r="P1484" t="s">
        <v>4157</v>
      </c>
    </row>
    <row r="1485" spans="1:16" x14ac:dyDescent="0.35">
      <c r="A1485" t="s">
        <v>104</v>
      </c>
      <c r="B1485">
        <v>1324725622</v>
      </c>
      <c r="C1485" t="s">
        <v>18</v>
      </c>
      <c r="D1485" t="s">
        <v>21</v>
      </c>
      <c r="E1485" s="29">
        <v>46205</v>
      </c>
      <c r="F1485" t="s">
        <v>4</v>
      </c>
      <c r="G1485" s="28">
        <v>0.39513888888888887</v>
      </c>
      <c r="H1485" s="28">
        <v>0.39513888888888887</v>
      </c>
      <c r="I1485">
        <v>0</v>
      </c>
      <c r="J1485" t="s">
        <v>174</v>
      </c>
      <c r="K1485">
        <v>0</v>
      </c>
      <c r="L1485" t="s">
        <v>4158</v>
      </c>
      <c r="M1485" t="s">
        <v>4159</v>
      </c>
      <c r="N1485" t="s">
        <v>4160</v>
      </c>
      <c r="O1485" t="s">
        <v>4161</v>
      </c>
      <c r="P1485" t="s">
        <v>4162</v>
      </c>
    </row>
    <row r="1486" spans="1:16" x14ac:dyDescent="0.35">
      <c r="A1486" t="s">
        <v>104</v>
      </c>
      <c r="B1486">
        <v>1324725622</v>
      </c>
      <c r="C1486" t="s">
        <v>18</v>
      </c>
      <c r="D1486" t="s">
        <v>21</v>
      </c>
      <c r="E1486" s="29">
        <v>46205</v>
      </c>
      <c r="F1486" t="s">
        <v>4</v>
      </c>
      <c r="G1486" s="28">
        <v>0.40208333333333335</v>
      </c>
      <c r="H1486" s="28">
        <v>0.40208333333333335</v>
      </c>
      <c r="I1486">
        <v>0</v>
      </c>
      <c r="J1486" t="s">
        <v>174</v>
      </c>
      <c r="K1486">
        <v>0</v>
      </c>
      <c r="L1486" t="s">
        <v>4163</v>
      </c>
      <c r="M1486" t="s">
        <v>4164</v>
      </c>
      <c r="N1486" t="s">
        <v>4165</v>
      </c>
      <c r="O1486" t="s">
        <v>4166</v>
      </c>
      <c r="P1486" t="s">
        <v>4167</v>
      </c>
    </row>
    <row r="1487" spans="1:16" x14ac:dyDescent="0.35">
      <c r="A1487" t="s">
        <v>104</v>
      </c>
      <c r="B1487">
        <v>1324725622</v>
      </c>
      <c r="C1487" t="s">
        <v>18</v>
      </c>
      <c r="D1487" t="s">
        <v>21</v>
      </c>
      <c r="E1487" s="29">
        <v>46205</v>
      </c>
      <c r="F1487" t="s">
        <v>4</v>
      </c>
      <c r="G1487" s="28">
        <v>0.40902777777777777</v>
      </c>
      <c r="H1487" s="28">
        <v>0.40902777777777777</v>
      </c>
      <c r="I1487">
        <v>0</v>
      </c>
      <c r="J1487" t="s">
        <v>174</v>
      </c>
      <c r="K1487">
        <v>0</v>
      </c>
      <c r="L1487" t="s">
        <v>4168</v>
      </c>
      <c r="M1487" t="s">
        <v>4169</v>
      </c>
      <c r="N1487" t="s">
        <v>4170</v>
      </c>
      <c r="O1487" t="s">
        <v>4171</v>
      </c>
      <c r="P1487" t="s">
        <v>4172</v>
      </c>
    </row>
    <row r="1488" spans="1:16" x14ac:dyDescent="0.35">
      <c r="A1488" t="s">
        <v>104</v>
      </c>
      <c r="B1488">
        <v>1324725622</v>
      </c>
      <c r="C1488" t="s">
        <v>18</v>
      </c>
      <c r="D1488" t="s">
        <v>21</v>
      </c>
      <c r="E1488" s="29">
        <v>46205</v>
      </c>
      <c r="F1488" t="s">
        <v>4</v>
      </c>
      <c r="G1488" s="28">
        <v>0.41597222222222224</v>
      </c>
      <c r="H1488" s="28">
        <v>0.41597222222222224</v>
      </c>
      <c r="I1488">
        <v>0</v>
      </c>
      <c r="J1488" t="s">
        <v>174</v>
      </c>
      <c r="K1488">
        <v>0</v>
      </c>
      <c r="L1488" t="s">
        <v>4173</v>
      </c>
      <c r="M1488" t="s">
        <v>4174</v>
      </c>
      <c r="N1488" t="s">
        <v>4175</v>
      </c>
      <c r="O1488" t="s">
        <v>4176</v>
      </c>
      <c r="P1488" t="s">
        <v>4177</v>
      </c>
    </row>
    <row r="1489" spans="1:16" x14ac:dyDescent="0.35">
      <c r="A1489" t="s">
        <v>104</v>
      </c>
      <c r="B1489">
        <v>1324725622</v>
      </c>
      <c r="C1489" t="s">
        <v>18</v>
      </c>
      <c r="D1489" t="s">
        <v>21</v>
      </c>
      <c r="E1489" s="29">
        <v>46205</v>
      </c>
      <c r="F1489" t="s">
        <v>4</v>
      </c>
      <c r="G1489" s="28">
        <v>0.42291666666666666</v>
      </c>
      <c r="H1489" s="28">
        <v>0.45763888888888887</v>
      </c>
      <c r="I1489">
        <v>1</v>
      </c>
      <c r="J1489" t="s">
        <v>146</v>
      </c>
      <c r="K1489">
        <v>2</v>
      </c>
      <c r="L1489" t="s">
        <v>147</v>
      </c>
      <c r="M1489" t="s">
        <v>4178</v>
      </c>
      <c r="N1489" t="s">
        <v>4179</v>
      </c>
      <c r="O1489" t="s">
        <v>4180</v>
      </c>
      <c r="P1489" t="s">
        <v>4181</v>
      </c>
    </row>
    <row r="1490" spans="1:16" x14ac:dyDescent="0.35">
      <c r="A1490" t="s">
        <v>104</v>
      </c>
      <c r="B1490">
        <v>1324725622</v>
      </c>
      <c r="C1490" t="s">
        <v>18</v>
      </c>
      <c r="D1490" t="s">
        <v>21</v>
      </c>
      <c r="E1490" s="29">
        <v>46205</v>
      </c>
      <c r="F1490" t="s">
        <v>4</v>
      </c>
      <c r="G1490" s="28">
        <v>0.46458333333333335</v>
      </c>
      <c r="H1490" s="28">
        <v>0.46458333333333335</v>
      </c>
      <c r="I1490">
        <v>0</v>
      </c>
      <c r="J1490" t="s">
        <v>174</v>
      </c>
      <c r="K1490">
        <v>0</v>
      </c>
      <c r="L1490" t="s">
        <v>399</v>
      </c>
      <c r="M1490" t="s">
        <v>4182</v>
      </c>
      <c r="N1490" t="s">
        <v>4183</v>
      </c>
      <c r="O1490" t="s">
        <v>4184</v>
      </c>
      <c r="P1490" t="s">
        <v>4185</v>
      </c>
    </row>
    <row r="1491" spans="1:16" x14ac:dyDescent="0.35">
      <c r="A1491" t="s">
        <v>104</v>
      </c>
      <c r="B1491">
        <v>1324725622</v>
      </c>
      <c r="C1491" t="s">
        <v>18</v>
      </c>
      <c r="D1491" t="s">
        <v>21</v>
      </c>
      <c r="E1491" s="29">
        <v>46205</v>
      </c>
      <c r="F1491" t="s">
        <v>4</v>
      </c>
      <c r="G1491" s="28">
        <v>0.47152777777777777</v>
      </c>
      <c r="H1491" s="28">
        <v>0.54097222222222219</v>
      </c>
      <c r="I1491">
        <v>2</v>
      </c>
      <c r="J1491" t="s">
        <v>146</v>
      </c>
      <c r="K1491">
        <v>5</v>
      </c>
      <c r="L1491" t="s">
        <v>147</v>
      </c>
      <c r="M1491" t="s">
        <v>4178</v>
      </c>
      <c r="N1491" t="s">
        <v>4179</v>
      </c>
      <c r="O1491" t="s">
        <v>4180</v>
      </c>
      <c r="P1491" t="s">
        <v>4181</v>
      </c>
    </row>
    <row r="1492" spans="1:16" x14ac:dyDescent="0.35">
      <c r="A1492" t="s">
        <v>104</v>
      </c>
      <c r="B1492">
        <v>1324725622</v>
      </c>
      <c r="C1492" t="s">
        <v>18</v>
      </c>
      <c r="D1492" t="s">
        <v>21</v>
      </c>
      <c r="E1492" s="29">
        <v>46205</v>
      </c>
      <c r="F1492" t="s">
        <v>4</v>
      </c>
      <c r="G1492" s="28">
        <v>0.54791666666666672</v>
      </c>
      <c r="H1492" s="28">
        <v>0.54791666666666672</v>
      </c>
      <c r="I1492">
        <v>0</v>
      </c>
      <c r="J1492" t="s">
        <v>174</v>
      </c>
      <c r="K1492">
        <v>0</v>
      </c>
      <c r="L1492" t="s">
        <v>2918</v>
      </c>
      <c r="M1492" t="s">
        <v>4186</v>
      </c>
      <c r="N1492" t="s">
        <v>4187</v>
      </c>
      <c r="O1492" t="s">
        <v>4188</v>
      </c>
      <c r="P1492" t="s">
        <v>4189</v>
      </c>
    </row>
    <row r="1493" spans="1:16" x14ac:dyDescent="0.35">
      <c r="A1493" t="s">
        <v>104</v>
      </c>
      <c r="B1493">
        <v>1324725622</v>
      </c>
      <c r="C1493" t="s">
        <v>18</v>
      </c>
      <c r="D1493" t="s">
        <v>21</v>
      </c>
      <c r="E1493" s="29">
        <v>46205</v>
      </c>
      <c r="F1493" t="s">
        <v>4</v>
      </c>
      <c r="G1493" s="28">
        <v>0.55486111111111114</v>
      </c>
      <c r="H1493" s="28">
        <v>0.67986111111111114</v>
      </c>
      <c r="I1493">
        <v>3</v>
      </c>
      <c r="J1493" t="s">
        <v>146</v>
      </c>
      <c r="K1493">
        <v>9</v>
      </c>
      <c r="L1493" t="s">
        <v>147</v>
      </c>
      <c r="M1493" t="s">
        <v>4178</v>
      </c>
      <c r="N1493" t="s">
        <v>4179</v>
      </c>
      <c r="O1493" t="s">
        <v>4180</v>
      </c>
      <c r="P1493" t="s">
        <v>4181</v>
      </c>
    </row>
    <row r="1494" spans="1:16" x14ac:dyDescent="0.35">
      <c r="A1494" t="s">
        <v>104</v>
      </c>
      <c r="B1494">
        <v>1324725622</v>
      </c>
      <c r="C1494" t="s">
        <v>18</v>
      </c>
      <c r="D1494" t="s">
        <v>21</v>
      </c>
      <c r="E1494" s="29">
        <v>46205</v>
      </c>
      <c r="F1494" t="s">
        <v>4</v>
      </c>
      <c r="G1494" s="28">
        <v>0.68680555555555556</v>
      </c>
      <c r="H1494" s="28">
        <v>0.68680555555555556</v>
      </c>
      <c r="I1494">
        <v>0</v>
      </c>
      <c r="J1494" t="s">
        <v>174</v>
      </c>
      <c r="K1494">
        <v>0</v>
      </c>
      <c r="L1494" t="s">
        <v>4190</v>
      </c>
      <c r="M1494" t="s">
        <v>4191</v>
      </c>
      <c r="N1494" t="s">
        <v>4192</v>
      </c>
      <c r="O1494" t="s">
        <v>4193</v>
      </c>
      <c r="P1494" t="s">
        <v>4194</v>
      </c>
    </row>
    <row r="1495" spans="1:16" x14ac:dyDescent="0.35">
      <c r="A1495" t="s">
        <v>104</v>
      </c>
      <c r="B1495">
        <v>1324725622</v>
      </c>
      <c r="C1495" t="s">
        <v>18</v>
      </c>
      <c r="D1495" t="s">
        <v>21</v>
      </c>
      <c r="E1495" s="29">
        <v>46205</v>
      </c>
      <c r="F1495" t="s">
        <v>4</v>
      </c>
      <c r="G1495" s="28">
        <v>0.69374999999999998</v>
      </c>
      <c r="H1495" s="28">
        <v>0.69374999999999998</v>
      </c>
      <c r="I1495">
        <v>0</v>
      </c>
      <c r="J1495" t="s">
        <v>174</v>
      </c>
      <c r="K1495">
        <v>0</v>
      </c>
      <c r="L1495" t="s">
        <v>4195</v>
      </c>
      <c r="M1495" t="s">
        <v>4196</v>
      </c>
      <c r="N1495" t="s">
        <v>4197</v>
      </c>
      <c r="O1495" t="s">
        <v>4198</v>
      </c>
      <c r="P1495" t="s">
        <v>4199</v>
      </c>
    </row>
    <row r="1496" spans="1:16" x14ac:dyDescent="0.35">
      <c r="A1496" t="s">
        <v>104</v>
      </c>
      <c r="B1496">
        <v>1324725622</v>
      </c>
      <c r="C1496" t="s">
        <v>18</v>
      </c>
      <c r="D1496" t="s">
        <v>21</v>
      </c>
      <c r="E1496" s="29">
        <v>46205</v>
      </c>
      <c r="F1496" t="s">
        <v>4</v>
      </c>
      <c r="G1496" s="28">
        <v>0.7006944444444444</v>
      </c>
      <c r="H1496" s="28">
        <v>0.7006944444444444</v>
      </c>
      <c r="I1496">
        <v>0</v>
      </c>
      <c r="J1496" t="s">
        <v>174</v>
      </c>
      <c r="K1496">
        <v>0</v>
      </c>
      <c r="L1496" t="s">
        <v>2218</v>
      </c>
      <c r="M1496" t="s">
        <v>4200</v>
      </c>
      <c r="N1496" t="s">
        <v>4201</v>
      </c>
      <c r="O1496" t="s">
        <v>4202</v>
      </c>
      <c r="P1496" t="s">
        <v>4203</v>
      </c>
    </row>
    <row r="1497" spans="1:16" x14ac:dyDescent="0.35">
      <c r="A1497" t="s">
        <v>104</v>
      </c>
      <c r="B1497">
        <v>1324725622</v>
      </c>
      <c r="C1497" t="s">
        <v>18</v>
      </c>
      <c r="D1497" t="s">
        <v>21</v>
      </c>
      <c r="E1497" s="29">
        <v>46205</v>
      </c>
      <c r="F1497" t="s">
        <v>4</v>
      </c>
      <c r="G1497" s="28">
        <v>0.70763888888888893</v>
      </c>
      <c r="H1497" s="28">
        <v>0.70763888888888893</v>
      </c>
      <c r="I1497">
        <v>0</v>
      </c>
      <c r="J1497" t="s">
        <v>174</v>
      </c>
      <c r="K1497">
        <v>0</v>
      </c>
      <c r="L1497" t="s">
        <v>2218</v>
      </c>
      <c r="M1497" t="s">
        <v>4200</v>
      </c>
      <c r="N1497" t="s">
        <v>4204</v>
      </c>
      <c r="O1497" t="s">
        <v>4205</v>
      </c>
      <c r="P1497" t="s">
        <v>4206</v>
      </c>
    </row>
    <row r="1498" spans="1:16" x14ac:dyDescent="0.35">
      <c r="A1498" t="s">
        <v>104</v>
      </c>
      <c r="B1498">
        <v>1324725622</v>
      </c>
      <c r="C1498" t="s">
        <v>18</v>
      </c>
      <c r="D1498" t="s">
        <v>21</v>
      </c>
      <c r="E1498" s="29">
        <v>46205</v>
      </c>
      <c r="F1498" t="s">
        <v>4</v>
      </c>
      <c r="G1498" s="28">
        <v>0.71458333333333335</v>
      </c>
      <c r="H1498" s="28">
        <v>0.74236111111111114</v>
      </c>
      <c r="I1498">
        <v>1</v>
      </c>
      <c r="J1498" t="s">
        <v>146</v>
      </c>
      <c r="K1498">
        <v>2</v>
      </c>
      <c r="L1498" t="s">
        <v>147</v>
      </c>
      <c r="M1498" t="s">
        <v>4200</v>
      </c>
      <c r="N1498" t="s">
        <v>4201</v>
      </c>
      <c r="O1498" t="s">
        <v>4202</v>
      </c>
      <c r="P1498" t="s">
        <v>4203</v>
      </c>
    </row>
    <row r="1499" spans="1:16" x14ac:dyDescent="0.35">
      <c r="A1499" t="s">
        <v>104</v>
      </c>
      <c r="B1499">
        <v>1324725622</v>
      </c>
      <c r="C1499" t="s">
        <v>18</v>
      </c>
      <c r="D1499" t="s">
        <v>21</v>
      </c>
      <c r="E1499" s="29">
        <v>46205</v>
      </c>
      <c r="F1499" t="s">
        <v>4</v>
      </c>
      <c r="G1499" s="28">
        <v>0.74930555555555556</v>
      </c>
      <c r="H1499" s="28">
        <v>0.74930555555555556</v>
      </c>
      <c r="I1499">
        <v>0</v>
      </c>
      <c r="J1499" t="s">
        <v>174</v>
      </c>
      <c r="K1499">
        <v>0</v>
      </c>
      <c r="L1499" t="s">
        <v>340</v>
      </c>
      <c r="M1499" t="s">
        <v>4207</v>
      </c>
      <c r="N1499" t="s">
        <v>4208</v>
      </c>
      <c r="O1499" t="s">
        <v>4209</v>
      </c>
      <c r="P1499" t="s">
        <v>4210</v>
      </c>
    </row>
    <row r="1500" spans="1:16" x14ac:dyDescent="0.35">
      <c r="A1500" t="s">
        <v>104</v>
      </c>
      <c r="B1500">
        <v>1324725622</v>
      </c>
      <c r="C1500" t="s">
        <v>18</v>
      </c>
      <c r="D1500" t="s">
        <v>21</v>
      </c>
      <c r="E1500" s="29">
        <v>46205</v>
      </c>
      <c r="F1500" t="s">
        <v>4</v>
      </c>
      <c r="G1500" s="28">
        <v>0.75624999999999998</v>
      </c>
      <c r="H1500" s="28">
        <v>0.75624999999999998</v>
      </c>
      <c r="I1500">
        <v>0</v>
      </c>
      <c r="J1500" t="s">
        <v>174</v>
      </c>
      <c r="K1500">
        <v>0</v>
      </c>
      <c r="L1500" t="s">
        <v>4211</v>
      </c>
      <c r="M1500" t="s">
        <v>4212</v>
      </c>
      <c r="N1500" t="s">
        <v>4213</v>
      </c>
      <c r="O1500" t="s">
        <v>4214</v>
      </c>
      <c r="P1500" t="s">
        <v>4215</v>
      </c>
    </row>
    <row r="1501" spans="1:16" x14ac:dyDescent="0.35">
      <c r="A1501" t="s">
        <v>104</v>
      </c>
      <c r="B1501">
        <v>1324725622</v>
      </c>
      <c r="C1501" t="s">
        <v>18</v>
      </c>
      <c r="D1501" t="s">
        <v>21</v>
      </c>
      <c r="E1501" s="29">
        <v>46205</v>
      </c>
      <c r="F1501" t="s">
        <v>4</v>
      </c>
      <c r="G1501" s="28">
        <v>0.7631944444444444</v>
      </c>
      <c r="H1501" s="28">
        <v>0.7631944444444444</v>
      </c>
      <c r="I1501">
        <v>0</v>
      </c>
      <c r="J1501" t="s">
        <v>174</v>
      </c>
      <c r="K1501">
        <v>0</v>
      </c>
      <c r="L1501" t="s">
        <v>4054</v>
      </c>
      <c r="M1501" t="s">
        <v>4216</v>
      </c>
      <c r="N1501" t="s">
        <v>4217</v>
      </c>
      <c r="O1501" t="s">
        <v>4218</v>
      </c>
      <c r="P1501" t="s">
        <v>4219</v>
      </c>
    </row>
    <row r="1502" spans="1:16" x14ac:dyDescent="0.35">
      <c r="A1502" t="s">
        <v>104</v>
      </c>
      <c r="B1502">
        <v>1324725622</v>
      </c>
      <c r="C1502" t="s">
        <v>18</v>
      </c>
      <c r="D1502" t="s">
        <v>21</v>
      </c>
      <c r="E1502" s="29">
        <v>46205</v>
      </c>
      <c r="F1502" t="s">
        <v>4</v>
      </c>
      <c r="G1502" s="28">
        <v>0.77013888888888893</v>
      </c>
      <c r="H1502" s="28">
        <v>0.77013888888888893</v>
      </c>
      <c r="I1502">
        <v>0</v>
      </c>
      <c r="J1502" t="s">
        <v>174</v>
      </c>
      <c r="K1502">
        <v>0</v>
      </c>
      <c r="L1502" t="s">
        <v>4220</v>
      </c>
      <c r="M1502" t="s">
        <v>4221</v>
      </c>
      <c r="N1502" t="s">
        <v>4222</v>
      </c>
      <c r="O1502" t="s">
        <v>4223</v>
      </c>
      <c r="P1502" t="s">
        <v>4224</v>
      </c>
    </row>
    <row r="1503" spans="1:16" x14ac:dyDescent="0.35">
      <c r="A1503" t="s">
        <v>104</v>
      </c>
      <c r="B1503">
        <v>1324725622</v>
      </c>
      <c r="C1503" t="s">
        <v>18</v>
      </c>
      <c r="D1503" t="s">
        <v>21</v>
      </c>
      <c r="E1503" s="29">
        <v>46205</v>
      </c>
      <c r="F1503" t="s">
        <v>4</v>
      </c>
      <c r="G1503" s="28">
        <v>0.77708333333333335</v>
      </c>
      <c r="H1503" s="28">
        <v>0.77708333333333335</v>
      </c>
      <c r="I1503">
        <v>0</v>
      </c>
      <c r="J1503" t="s">
        <v>174</v>
      </c>
      <c r="K1503">
        <v>0</v>
      </c>
      <c r="L1503" t="s">
        <v>4225</v>
      </c>
      <c r="M1503" t="s">
        <v>4226</v>
      </c>
      <c r="N1503" t="s">
        <v>4227</v>
      </c>
      <c r="O1503" t="s">
        <v>4228</v>
      </c>
      <c r="P1503" t="s">
        <v>4229</v>
      </c>
    </row>
    <row r="1504" spans="1:16" x14ac:dyDescent="0.35">
      <c r="A1504" t="s">
        <v>104</v>
      </c>
      <c r="B1504">
        <v>1324725622</v>
      </c>
      <c r="C1504" t="s">
        <v>18</v>
      </c>
      <c r="D1504" t="s">
        <v>21</v>
      </c>
      <c r="E1504" s="29">
        <v>46205</v>
      </c>
      <c r="F1504" t="s">
        <v>4</v>
      </c>
      <c r="G1504" s="28">
        <v>0.78402777777777777</v>
      </c>
      <c r="H1504" s="28">
        <v>0.78402777777777777</v>
      </c>
      <c r="I1504">
        <v>0</v>
      </c>
      <c r="J1504" t="s">
        <v>174</v>
      </c>
      <c r="K1504">
        <v>0</v>
      </c>
      <c r="L1504" t="s">
        <v>4230</v>
      </c>
      <c r="M1504" t="s">
        <v>4231</v>
      </c>
      <c r="N1504" t="s">
        <v>4232</v>
      </c>
      <c r="O1504" t="s">
        <v>4233</v>
      </c>
      <c r="P1504" t="s">
        <v>4234</v>
      </c>
    </row>
    <row r="1505" spans="1:16" x14ac:dyDescent="0.35">
      <c r="A1505" t="s">
        <v>104</v>
      </c>
      <c r="B1505">
        <v>1324725622</v>
      </c>
      <c r="C1505" t="s">
        <v>18</v>
      </c>
      <c r="D1505" t="s">
        <v>21</v>
      </c>
      <c r="E1505" s="29">
        <v>46205</v>
      </c>
      <c r="F1505" t="s">
        <v>4</v>
      </c>
      <c r="G1505" s="28">
        <v>0.79097222222222219</v>
      </c>
      <c r="H1505" s="28">
        <v>0.79097222222222219</v>
      </c>
      <c r="I1505">
        <v>0</v>
      </c>
      <c r="J1505" t="s">
        <v>174</v>
      </c>
      <c r="K1505">
        <v>0</v>
      </c>
      <c r="L1505" t="s">
        <v>1947</v>
      </c>
      <c r="M1505" t="s">
        <v>4235</v>
      </c>
      <c r="N1505" t="s">
        <v>4236</v>
      </c>
      <c r="O1505" t="s">
        <v>4237</v>
      </c>
      <c r="P1505" t="s">
        <v>4238</v>
      </c>
    </row>
    <row r="1506" spans="1:16" x14ac:dyDescent="0.35">
      <c r="A1506" t="s">
        <v>104</v>
      </c>
      <c r="B1506">
        <v>1324725622</v>
      </c>
      <c r="C1506" t="s">
        <v>18</v>
      </c>
      <c r="D1506" t="s">
        <v>21</v>
      </c>
      <c r="E1506" s="29">
        <v>46207</v>
      </c>
      <c r="F1506" t="s">
        <v>5</v>
      </c>
      <c r="G1506" s="28">
        <v>0.38124999999999998</v>
      </c>
      <c r="H1506" s="28">
        <v>0.38124999999999998</v>
      </c>
      <c r="I1506">
        <v>0</v>
      </c>
      <c r="J1506" t="s">
        <v>174</v>
      </c>
      <c r="K1506">
        <v>0</v>
      </c>
      <c r="L1506" t="s">
        <v>4239</v>
      </c>
      <c r="M1506" t="s">
        <v>4240</v>
      </c>
      <c r="N1506" t="s">
        <v>4241</v>
      </c>
      <c r="O1506" t="s">
        <v>4242</v>
      </c>
      <c r="P1506" t="s">
        <v>4243</v>
      </c>
    </row>
    <row r="1507" spans="1:16" x14ac:dyDescent="0.35">
      <c r="A1507" t="s">
        <v>104</v>
      </c>
      <c r="B1507">
        <v>1324725622</v>
      </c>
      <c r="C1507" t="s">
        <v>18</v>
      </c>
      <c r="D1507" t="s">
        <v>21</v>
      </c>
      <c r="E1507" s="29">
        <v>46207</v>
      </c>
      <c r="F1507" t="s">
        <v>5</v>
      </c>
      <c r="G1507" s="28">
        <v>0.38819444444444445</v>
      </c>
      <c r="H1507" s="28">
        <v>0.49930555555555556</v>
      </c>
      <c r="I1507">
        <v>3</v>
      </c>
      <c r="J1507" t="s">
        <v>146</v>
      </c>
      <c r="K1507">
        <v>8</v>
      </c>
      <c r="L1507" t="s">
        <v>147</v>
      </c>
      <c r="M1507" t="s">
        <v>4131</v>
      </c>
      <c r="N1507" t="s">
        <v>4132</v>
      </c>
      <c r="O1507" t="s">
        <v>4133</v>
      </c>
      <c r="P1507" t="s">
        <v>4134</v>
      </c>
    </row>
    <row r="1508" spans="1:16" x14ac:dyDescent="0.35">
      <c r="A1508" t="s">
        <v>104</v>
      </c>
      <c r="B1508">
        <v>1324725622</v>
      </c>
      <c r="C1508" t="s">
        <v>18</v>
      </c>
      <c r="D1508" t="s">
        <v>21</v>
      </c>
      <c r="E1508" s="29">
        <v>46207</v>
      </c>
      <c r="F1508" t="s">
        <v>5</v>
      </c>
      <c r="G1508" s="28">
        <v>0.50624999999999998</v>
      </c>
      <c r="H1508" s="28">
        <v>0.5131944444444444</v>
      </c>
      <c r="I1508">
        <v>0</v>
      </c>
      <c r="J1508" t="s">
        <v>146</v>
      </c>
      <c r="K1508">
        <v>0</v>
      </c>
      <c r="L1508" t="s">
        <v>147</v>
      </c>
      <c r="M1508" t="s">
        <v>4135</v>
      </c>
      <c r="N1508" t="s">
        <v>4136</v>
      </c>
      <c r="O1508" t="s">
        <v>2780</v>
      </c>
      <c r="P1508" t="s">
        <v>4137</v>
      </c>
    </row>
    <row r="1509" spans="1:16" x14ac:dyDescent="0.35">
      <c r="A1509" t="s">
        <v>104</v>
      </c>
      <c r="B1509">
        <v>1324725622</v>
      </c>
      <c r="C1509" t="s">
        <v>18</v>
      </c>
      <c r="D1509" t="s">
        <v>21</v>
      </c>
      <c r="E1509" s="29">
        <v>46207</v>
      </c>
      <c r="F1509" t="s">
        <v>5</v>
      </c>
      <c r="G1509" s="28">
        <v>0.52013888888888893</v>
      </c>
      <c r="H1509" s="28">
        <v>0.61041666666666672</v>
      </c>
      <c r="I1509">
        <v>2</v>
      </c>
      <c r="J1509" t="s">
        <v>146</v>
      </c>
      <c r="K1509">
        <v>6</v>
      </c>
      <c r="L1509" t="s">
        <v>147</v>
      </c>
      <c r="M1509" t="s">
        <v>4131</v>
      </c>
      <c r="N1509" t="s">
        <v>4132</v>
      </c>
      <c r="O1509" t="s">
        <v>4133</v>
      </c>
      <c r="P1509" t="s">
        <v>4134</v>
      </c>
    </row>
    <row r="1510" spans="1:16" x14ac:dyDescent="0.35">
      <c r="A1510" t="s">
        <v>104</v>
      </c>
      <c r="B1510">
        <v>1324725622</v>
      </c>
      <c r="C1510" t="s">
        <v>18</v>
      </c>
      <c r="D1510" t="s">
        <v>21</v>
      </c>
      <c r="E1510" s="29">
        <v>46207</v>
      </c>
      <c r="F1510" t="s">
        <v>5</v>
      </c>
      <c r="G1510" s="28">
        <v>0.61736111111111114</v>
      </c>
      <c r="H1510" s="28">
        <v>0.61736111111111114</v>
      </c>
      <c r="I1510">
        <v>0</v>
      </c>
      <c r="J1510" t="s">
        <v>174</v>
      </c>
      <c r="K1510">
        <v>0</v>
      </c>
      <c r="L1510" t="s">
        <v>1589</v>
      </c>
      <c r="M1510" t="s">
        <v>4135</v>
      </c>
      <c r="N1510" t="s">
        <v>4136</v>
      </c>
      <c r="O1510" t="s">
        <v>2780</v>
      </c>
      <c r="P1510" t="s">
        <v>4137</v>
      </c>
    </row>
    <row r="1511" spans="1:16" x14ac:dyDescent="0.35">
      <c r="A1511" t="s">
        <v>104</v>
      </c>
      <c r="B1511">
        <v>1324725622</v>
      </c>
      <c r="C1511" t="s">
        <v>18</v>
      </c>
      <c r="D1511" t="s">
        <v>21</v>
      </c>
      <c r="E1511" s="29">
        <v>46207</v>
      </c>
      <c r="F1511" t="s">
        <v>5</v>
      </c>
      <c r="G1511" s="28">
        <v>0.62430555555555556</v>
      </c>
      <c r="H1511" s="28">
        <v>0.67291666666666672</v>
      </c>
      <c r="I1511">
        <v>1</v>
      </c>
      <c r="J1511" t="s">
        <v>146</v>
      </c>
      <c r="K1511">
        <v>4</v>
      </c>
      <c r="L1511" t="s">
        <v>147</v>
      </c>
      <c r="M1511" t="s">
        <v>4244</v>
      </c>
      <c r="N1511" t="s">
        <v>4132</v>
      </c>
      <c r="O1511" t="s">
        <v>4133</v>
      </c>
      <c r="P1511" t="s">
        <v>4134</v>
      </c>
    </row>
    <row r="1512" spans="1:16" x14ac:dyDescent="0.35">
      <c r="A1512" t="s">
        <v>104</v>
      </c>
      <c r="B1512">
        <v>1324725622</v>
      </c>
      <c r="C1512" t="s">
        <v>18</v>
      </c>
      <c r="D1512" t="s">
        <v>21</v>
      </c>
      <c r="E1512" s="29">
        <v>46207</v>
      </c>
      <c r="F1512" t="s">
        <v>5</v>
      </c>
      <c r="G1512" s="28">
        <v>0.67986111111111114</v>
      </c>
      <c r="H1512" s="28">
        <v>0.67986111111111114</v>
      </c>
      <c r="I1512">
        <v>0</v>
      </c>
      <c r="J1512" t="s">
        <v>174</v>
      </c>
      <c r="K1512">
        <v>0</v>
      </c>
      <c r="L1512" t="s">
        <v>4245</v>
      </c>
      <c r="M1512" t="s">
        <v>4246</v>
      </c>
      <c r="N1512" t="s">
        <v>4247</v>
      </c>
      <c r="O1512" t="s">
        <v>4133</v>
      </c>
      <c r="P1512" t="s">
        <v>4248</v>
      </c>
    </row>
    <row r="1513" spans="1:16" x14ac:dyDescent="0.35">
      <c r="A1513" t="s">
        <v>104</v>
      </c>
      <c r="B1513">
        <v>1324725622</v>
      </c>
      <c r="C1513" t="s">
        <v>18</v>
      </c>
      <c r="D1513" t="s">
        <v>21</v>
      </c>
      <c r="E1513" s="29">
        <v>46207</v>
      </c>
      <c r="F1513" t="s">
        <v>5</v>
      </c>
      <c r="G1513" s="28">
        <v>0.68680555555555556</v>
      </c>
      <c r="H1513" s="28">
        <v>0.70763888888888893</v>
      </c>
      <c r="I1513">
        <v>1</v>
      </c>
      <c r="J1513" t="s">
        <v>146</v>
      </c>
      <c r="K1513">
        <v>2</v>
      </c>
      <c r="L1513" t="s">
        <v>147</v>
      </c>
      <c r="M1513" t="s">
        <v>4244</v>
      </c>
      <c r="N1513" t="s">
        <v>4132</v>
      </c>
      <c r="O1513" t="s">
        <v>4133</v>
      </c>
      <c r="P1513" t="s">
        <v>4134</v>
      </c>
    </row>
    <row r="1514" spans="1:16" x14ac:dyDescent="0.35">
      <c r="A1514" t="s">
        <v>104</v>
      </c>
      <c r="B1514">
        <v>1324725622</v>
      </c>
      <c r="C1514" t="s">
        <v>18</v>
      </c>
      <c r="D1514" t="s">
        <v>21</v>
      </c>
      <c r="E1514" s="29">
        <v>46207</v>
      </c>
      <c r="F1514" t="s">
        <v>5</v>
      </c>
      <c r="G1514" s="28">
        <v>0.71458333333333335</v>
      </c>
      <c r="H1514" s="28">
        <v>0.71458333333333335</v>
      </c>
      <c r="I1514">
        <v>0</v>
      </c>
      <c r="J1514" t="s">
        <v>174</v>
      </c>
      <c r="K1514">
        <v>0</v>
      </c>
      <c r="L1514" t="s">
        <v>4249</v>
      </c>
      <c r="M1514" t="s">
        <v>4250</v>
      </c>
      <c r="N1514" t="s">
        <v>4251</v>
      </c>
      <c r="O1514" t="s">
        <v>4252</v>
      </c>
      <c r="P1514" t="s">
        <v>4253</v>
      </c>
    </row>
    <row r="1515" spans="1:16" x14ac:dyDescent="0.35">
      <c r="A1515" t="s">
        <v>104</v>
      </c>
      <c r="B1515">
        <v>1324725622</v>
      </c>
      <c r="C1515" t="s">
        <v>18</v>
      </c>
      <c r="D1515" t="s">
        <v>21</v>
      </c>
      <c r="E1515" s="29">
        <v>46207</v>
      </c>
      <c r="F1515" t="s">
        <v>5</v>
      </c>
      <c r="G1515" s="28">
        <v>0.72152777777777777</v>
      </c>
      <c r="H1515" s="28">
        <v>0.72152777777777777</v>
      </c>
      <c r="I1515">
        <v>0</v>
      </c>
      <c r="J1515" t="s">
        <v>174</v>
      </c>
      <c r="K1515">
        <v>0</v>
      </c>
      <c r="L1515" t="s">
        <v>247</v>
      </c>
      <c r="M1515" t="s">
        <v>4127</v>
      </c>
      <c r="N1515" t="s">
        <v>4128</v>
      </c>
      <c r="O1515" t="s">
        <v>4129</v>
      </c>
      <c r="P1515" t="s">
        <v>4130</v>
      </c>
    </row>
    <row r="1516" spans="1:16" x14ac:dyDescent="0.35">
      <c r="A1516" t="s">
        <v>104</v>
      </c>
      <c r="B1516">
        <v>1324725622</v>
      </c>
      <c r="C1516" t="s">
        <v>18</v>
      </c>
      <c r="D1516" t="s">
        <v>21</v>
      </c>
      <c r="E1516" s="29">
        <v>46207</v>
      </c>
      <c r="F1516" t="s">
        <v>5</v>
      </c>
      <c r="G1516" s="28">
        <v>0.72847222222222219</v>
      </c>
      <c r="H1516" s="28">
        <v>0.73541666666666672</v>
      </c>
      <c r="I1516">
        <v>0</v>
      </c>
      <c r="J1516" t="s">
        <v>146</v>
      </c>
      <c r="K1516">
        <v>1</v>
      </c>
      <c r="L1516" t="s">
        <v>147</v>
      </c>
      <c r="M1516" t="s">
        <v>4147</v>
      </c>
      <c r="N1516" t="s">
        <v>4155</v>
      </c>
      <c r="O1516" t="s">
        <v>4156</v>
      </c>
      <c r="P1516" t="s">
        <v>4157</v>
      </c>
    </row>
    <row r="1517" spans="1:16" x14ac:dyDescent="0.35">
      <c r="A1517" t="s">
        <v>104</v>
      </c>
      <c r="B1517">
        <v>1324725622</v>
      </c>
      <c r="C1517" t="s">
        <v>18</v>
      </c>
      <c r="D1517" t="s">
        <v>21</v>
      </c>
      <c r="E1517" s="29">
        <v>46207</v>
      </c>
      <c r="F1517" t="s">
        <v>5</v>
      </c>
      <c r="G1517" s="28">
        <v>0.74236111111111114</v>
      </c>
      <c r="H1517" s="28">
        <v>0.77708333333333335</v>
      </c>
      <c r="I1517">
        <v>1</v>
      </c>
      <c r="J1517" t="s">
        <v>146</v>
      </c>
      <c r="K1517">
        <v>2</v>
      </c>
      <c r="L1517" t="s">
        <v>147</v>
      </c>
      <c r="M1517" t="s">
        <v>4127</v>
      </c>
      <c r="N1517" t="s">
        <v>4128</v>
      </c>
      <c r="O1517" t="s">
        <v>4129</v>
      </c>
      <c r="P1517" t="s">
        <v>4130</v>
      </c>
    </row>
    <row r="1518" spans="1:16" x14ac:dyDescent="0.35">
      <c r="A1518" t="s">
        <v>104</v>
      </c>
      <c r="B1518">
        <v>1324725622</v>
      </c>
      <c r="C1518" t="s">
        <v>18</v>
      </c>
      <c r="D1518" t="s">
        <v>21</v>
      </c>
      <c r="E1518" s="29">
        <v>46207</v>
      </c>
      <c r="F1518" t="s">
        <v>5</v>
      </c>
      <c r="G1518" s="28">
        <v>0.78402777777777777</v>
      </c>
      <c r="H1518" s="28">
        <v>0.78402777777777777</v>
      </c>
      <c r="I1518">
        <v>0</v>
      </c>
      <c r="J1518" t="s">
        <v>174</v>
      </c>
      <c r="K1518">
        <v>0</v>
      </c>
      <c r="L1518" t="s">
        <v>1589</v>
      </c>
      <c r="M1518" t="s">
        <v>4254</v>
      </c>
      <c r="N1518" t="s">
        <v>4255</v>
      </c>
      <c r="O1518" t="s">
        <v>4256</v>
      </c>
      <c r="P1518" t="s">
        <v>4257</v>
      </c>
    </row>
    <row r="1519" spans="1:16" x14ac:dyDescent="0.35">
      <c r="A1519" t="s">
        <v>104</v>
      </c>
      <c r="B1519">
        <v>1324725622</v>
      </c>
      <c r="C1519" t="s">
        <v>18</v>
      </c>
      <c r="D1519" t="s">
        <v>21</v>
      </c>
      <c r="E1519" s="29">
        <v>46207</v>
      </c>
      <c r="F1519" t="s">
        <v>5</v>
      </c>
      <c r="G1519" s="28">
        <v>0.79097222222222219</v>
      </c>
      <c r="H1519" s="28">
        <v>0.83958333333333335</v>
      </c>
      <c r="I1519">
        <v>1</v>
      </c>
      <c r="J1519" t="s">
        <v>146</v>
      </c>
      <c r="K1519">
        <v>4</v>
      </c>
      <c r="L1519" t="s">
        <v>147</v>
      </c>
      <c r="M1519" t="s">
        <v>4258</v>
      </c>
      <c r="N1519" t="s">
        <v>4259</v>
      </c>
      <c r="O1519" t="s">
        <v>4260</v>
      </c>
      <c r="P1519" t="s">
        <v>4261</v>
      </c>
    </row>
    <row r="1520" spans="1:16" x14ac:dyDescent="0.35">
      <c r="A1520" t="s">
        <v>104</v>
      </c>
      <c r="B1520">
        <v>1324725622</v>
      </c>
      <c r="C1520" t="s">
        <v>18</v>
      </c>
      <c r="D1520" t="s">
        <v>21</v>
      </c>
      <c r="E1520" s="29">
        <v>46208</v>
      </c>
      <c r="F1520" t="s">
        <v>6</v>
      </c>
      <c r="G1520" s="28">
        <v>0.38819444444444445</v>
      </c>
      <c r="H1520" s="28">
        <v>0.38819444444444445</v>
      </c>
      <c r="I1520">
        <v>0</v>
      </c>
      <c r="J1520" t="s">
        <v>174</v>
      </c>
      <c r="K1520">
        <v>0</v>
      </c>
      <c r="L1520" t="s">
        <v>4262</v>
      </c>
      <c r="M1520" t="s">
        <v>4263</v>
      </c>
      <c r="N1520" t="s">
        <v>4264</v>
      </c>
      <c r="O1520" t="s">
        <v>4265</v>
      </c>
      <c r="P1520" t="s">
        <v>4266</v>
      </c>
    </row>
    <row r="1521" spans="1:16" x14ac:dyDescent="0.35">
      <c r="A1521" t="s">
        <v>104</v>
      </c>
      <c r="B1521">
        <v>1324725622</v>
      </c>
      <c r="C1521" t="s">
        <v>18</v>
      </c>
      <c r="D1521" t="s">
        <v>21</v>
      </c>
      <c r="E1521" s="29">
        <v>46208</v>
      </c>
      <c r="F1521" t="s">
        <v>6</v>
      </c>
      <c r="G1521" s="28">
        <v>0.39513888888888887</v>
      </c>
      <c r="H1521" s="28">
        <v>0.39513888888888887</v>
      </c>
      <c r="I1521">
        <v>0</v>
      </c>
      <c r="J1521" t="s">
        <v>174</v>
      </c>
      <c r="K1521">
        <v>0</v>
      </c>
      <c r="L1521" t="s">
        <v>4267</v>
      </c>
      <c r="M1521" t="s">
        <v>4268</v>
      </c>
      <c r="N1521" t="s">
        <v>4269</v>
      </c>
      <c r="O1521" t="s">
        <v>4270</v>
      </c>
      <c r="P1521" t="s">
        <v>4271</v>
      </c>
    </row>
    <row r="1522" spans="1:16" x14ac:dyDescent="0.35">
      <c r="A1522" t="s">
        <v>104</v>
      </c>
      <c r="B1522">
        <v>1324725622</v>
      </c>
      <c r="C1522" t="s">
        <v>18</v>
      </c>
      <c r="D1522" t="s">
        <v>21</v>
      </c>
      <c r="E1522" s="29">
        <v>46208</v>
      </c>
      <c r="F1522" t="s">
        <v>6</v>
      </c>
      <c r="G1522" s="28">
        <v>0.40208333333333335</v>
      </c>
      <c r="H1522" s="28">
        <v>0.40208333333333335</v>
      </c>
      <c r="I1522">
        <v>0</v>
      </c>
      <c r="J1522" t="s">
        <v>174</v>
      </c>
      <c r="K1522">
        <v>0</v>
      </c>
      <c r="L1522" t="s">
        <v>4272</v>
      </c>
      <c r="M1522" t="s">
        <v>4273</v>
      </c>
      <c r="N1522" t="s">
        <v>4274</v>
      </c>
      <c r="O1522" t="s">
        <v>4275</v>
      </c>
      <c r="P1522" t="s">
        <v>4276</v>
      </c>
    </row>
    <row r="1523" spans="1:16" x14ac:dyDescent="0.35">
      <c r="A1523" t="s">
        <v>104</v>
      </c>
      <c r="B1523">
        <v>1324725622</v>
      </c>
      <c r="C1523" t="s">
        <v>18</v>
      </c>
      <c r="D1523" t="s">
        <v>21</v>
      </c>
      <c r="E1523" s="29">
        <v>46208</v>
      </c>
      <c r="F1523" t="s">
        <v>6</v>
      </c>
      <c r="G1523" s="28">
        <v>0.40902777777777777</v>
      </c>
      <c r="H1523" s="28">
        <v>0.40902777777777777</v>
      </c>
      <c r="I1523">
        <v>0</v>
      </c>
      <c r="J1523" t="s">
        <v>174</v>
      </c>
      <c r="K1523">
        <v>0</v>
      </c>
      <c r="L1523" t="s">
        <v>4277</v>
      </c>
      <c r="M1523" t="s">
        <v>4278</v>
      </c>
      <c r="N1523" t="s">
        <v>4279</v>
      </c>
      <c r="O1523" t="s">
        <v>4280</v>
      </c>
      <c r="P1523" t="s">
        <v>4281</v>
      </c>
    </row>
    <row r="1524" spans="1:16" x14ac:dyDescent="0.35">
      <c r="A1524" t="s">
        <v>104</v>
      </c>
      <c r="B1524">
        <v>1324725622</v>
      </c>
      <c r="C1524" t="s">
        <v>18</v>
      </c>
      <c r="D1524" t="s">
        <v>21</v>
      </c>
      <c r="E1524" s="29">
        <v>46208</v>
      </c>
      <c r="F1524" t="s">
        <v>6</v>
      </c>
      <c r="G1524" s="28">
        <v>0.41597222222222224</v>
      </c>
      <c r="H1524" s="28">
        <v>0.41597222222222224</v>
      </c>
      <c r="I1524">
        <v>0</v>
      </c>
      <c r="J1524" t="s">
        <v>174</v>
      </c>
      <c r="K1524">
        <v>0</v>
      </c>
      <c r="L1524" t="s">
        <v>4282</v>
      </c>
      <c r="M1524" t="s">
        <v>4283</v>
      </c>
      <c r="N1524" t="s">
        <v>4284</v>
      </c>
      <c r="O1524" t="s">
        <v>4285</v>
      </c>
      <c r="P1524" t="s">
        <v>4286</v>
      </c>
    </row>
    <row r="1525" spans="1:16" x14ac:dyDescent="0.35">
      <c r="A1525" t="s">
        <v>104</v>
      </c>
      <c r="B1525">
        <v>1324725622</v>
      </c>
      <c r="C1525" t="s">
        <v>18</v>
      </c>
      <c r="D1525" t="s">
        <v>21</v>
      </c>
      <c r="E1525" s="29">
        <v>46208</v>
      </c>
      <c r="F1525" t="s">
        <v>6</v>
      </c>
      <c r="G1525" s="28">
        <v>0.42291666666666666</v>
      </c>
      <c r="H1525" s="28">
        <v>0.42291666666666666</v>
      </c>
      <c r="I1525">
        <v>0</v>
      </c>
      <c r="J1525" t="s">
        <v>174</v>
      </c>
      <c r="K1525">
        <v>0</v>
      </c>
      <c r="L1525" t="s">
        <v>3257</v>
      </c>
      <c r="M1525" t="s">
        <v>4287</v>
      </c>
      <c r="N1525" t="s">
        <v>4288</v>
      </c>
      <c r="O1525" t="s">
        <v>4289</v>
      </c>
      <c r="P1525" t="s">
        <v>4290</v>
      </c>
    </row>
    <row r="1526" spans="1:16" x14ac:dyDescent="0.35">
      <c r="A1526" t="s">
        <v>104</v>
      </c>
      <c r="B1526">
        <v>1324725622</v>
      </c>
      <c r="C1526" t="s">
        <v>18</v>
      </c>
      <c r="D1526" t="s">
        <v>21</v>
      </c>
      <c r="E1526" s="29">
        <v>46208</v>
      </c>
      <c r="F1526" t="s">
        <v>6</v>
      </c>
      <c r="G1526" s="28">
        <v>0.42986111111111114</v>
      </c>
      <c r="H1526" s="28">
        <v>0.56180555555555556</v>
      </c>
      <c r="I1526">
        <v>3</v>
      </c>
      <c r="J1526" t="s">
        <v>146</v>
      </c>
      <c r="K1526">
        <v>10</v>
      </c>
      <c r="L1526" t="s">
        <v>147</v>
      </c>
      <c r="M1526" t="s">
        <v>4291</v>
      </c>
      <c r="N1526" t="s">
        <v>4292</v>
      </c>
      <c r="O1526" t="s">
        <v>4293</v>
      </c>
      <c r="P1526" t="s">
        <v>4294</v>
      </c>
    </row>
    <row r="1527" spans="1:16" x14ac:dyDescent="0.35">
      <c r="A1527" t="s">
        <v>104</v>
      </c>
      <c r="B1527">
        <v>1324725622</v>
      </c>
      <c r="C1527" t="s">
        <v>18</v>
      </c>
      <c r="D1527" t="s">
        <v>21</v>
      </c>
      <c r="E1527" s="29">
        <v>46208</v>
      </c>
      <c r="F1527" t="s">
        <v>6</v>
      </c>
      <c r="G1527" s="28">
        <v>0.56874999999999998</v>
      </c>
      <c r="H1527" s="28">
        <v>0.56874999999999998</v>
      </c>
      <c r="I1527">
        <v>0</v>
      </c>
      <c r="J1527" t="s">
        <v>174</v>
      </c>
      <c r="K1527">
        <v>0</v>
      </c>
      <c r="L1527" t="s">
        <v>2416</v>
      </c>
      <c r="M1527" t="s">
        <v>4295</v>
      </c>
      <c r="N1527" t="s">
        <v>4296</v>
      </c>
      <c r="O1527" t="s">
        <v>4297</v>
      </c>
      <c r="P1527" t="s">
        <v>4298</v>
      </c>
    </row>
    <row r="1528" spans="1:16" x14ac:dyDescent="0.35">
      <c r="A1528" t="s">
        <v>104</v>
      </c>
      <c r="B1528">
        <v>1324725622</v>
      </c>
      <c r="C1528" t="s">
        <v>18</v>
      </c>
      <c r="D1528" t="s">
        <v>21</v>
      </c>
      <c r="E1528" s="29">
        <v>46208</v>
      </c>
      <c r="F1528" t="s">
        <v>6</v>
      </c>
      <c r="G1528" s="28">
        <v>0.5756944444444444</v>
      </c>
      <c r="H1528" s="28">
        <v>0.5756944444444444</v>
      </c>
      <c r="I1528">
        <v>0</v>
      </c>
      <c r="J1528" t="s">
        <v>174</v>
      </c>
      <c r="K1528">
        <v>0</v>
      </c>
      <c r="L1528" t="s">
        <v>2416</v>
      </c>
      <c r="M1528" t="s">
        <v>4291</v>
      </c>
      <c r="N1528" t="s">
        <v>4292</v>
      </c>
      <c r="O1528" t="s">
        <v>4293</v>
      </c>
      <c r="P1528" t="s">
        <v>4294</v>
      </c>
    </row>
    <row r="1529" spans="1:16" x14ac:dyDescent="0.35">
      <c r="A1529" t="s">
        <v>104</v>
      </c>
      <c r="B1529">
        <v>1324725622</v>
      </c>
      <c r="C1529" t="s">
        <v>18</v>
      </c>
      <c r="D1529" t="s">
        <v>21</v>
      </c>
      <c r="E1529" s="29">
        <v>46208</v>
      </c>
      <c r="F1529" t="s">
        <v>6</v>
      </c>
      <c r="G1529" s="28">
        <v>0.58263888888888893</v>
      </c>
      <c r="H1529" s="28">
        <v>0.61041666666666672</v>
      </c>
      <c r="I1529">
        <v>1</v>
      </c>
      <c r="J1529" t="s">
        <v>146</v>
      </c>
      <c r="K1529">
        <v>2</v>
      </c>
      <c r="L1529" t="s">
        <v>147</v>
      </c>
      <c r="M1529" t="s">
        <v>4295</v>
      </c>
      <c r="N1529" t="s">
        <v>4296</v>
      </c>
      <c r="O1529" t="s">
        <v>4297</v>
      </c>
      <c r="P1529" t="s">
        <v>4298</v>
      </c>
    </row>
    <row r="1530" spans="1:16" x14ac:dyDescent="0.35">
      <c r="A1530" t="s">
        <v>104</v>
      </c>
      <c r="B1530">
        <v>1324725622</v>
      </c>
      <c r="C1530" t="s">
        <v>18</v>
      </c>
      <c r="D1530" t="s">
        <v>21</v>
      </c>
      <c r="E1530" s="29">
        <v>46208</v>
      </c>
      <c r="F1530" t="s">
        <v>6</v>
      </c>
      <c r="G1530" s="28">
        <v>0.61736111111111114</v>
      </c>
      <c r="H1530" s="28">
        <v>0.61736111111111114</v>
      </c>
      <c r="I1530">
        <v>0</v>
      </c>
      <c r="J1530" t="s">
        <v>174</v>
      </c>
      <c r="K1530">
        <v>0</v>
      </c>
      <c r="L1530" t="s">
        <v>2416</v>
      </c>
      <c r="M1530" t="s">
        <v>4291</v>
      </c>
      <c r="N1530" t="s">
        <v>4292</v>
      </c>
      <c r="O1530" t="s">
        <v>4293</v>
      </c>
      <c r="P1530" t="s">
        <v>4294</v>
      </c>
    </row>
    <row r="1531" spans="1:16" x14ac:dyDescent="0.35">
      <c r="A1531" t="s">
        <v>104</v>
      </c>
      <c r="B1531">
        <v>1324725622</v>
      </c>
      <c r="C1531" t="s">
        <v>18</v>
      </c>
      <c r="D1531" t="s">
        <v>21</v>
      </c>
      <c r="E1531" s="29">
        <v>46208</v>
      </c>
      <c r="F1531" t="s">
        <v>6</v>
      </c>
      <c r="G1531" s="28">
        <v>0.62430555555555556</v>
      </c>
      <c r="H1531" s="28">
        <v>0.62430555555555556</v>
      </c>
      <c r="I1531">
        <v>0</v>
      </c>
      <c r="J1531" t="s">
        <v>174</v>
      </c>
      <c r="K1531">
        <v>0</v>
      </c>
      <c r="L1531" t="s">
        <v>1589</v>
      </c>
      <c r="M1531" t="s">
        <v>4295</v>
      </c>
      <c r="N1531" t="s">
        <v>4296</v>
      </c>
      <c r="O1531" t="s">
        <v>4297</v>
      </c>
      <c r="P1531" t="s">
        <v>4298</v>
      </c>
    </row>
    <row r="1532" spans="1:16" x14ac:dyDescent="0.35">
      <c r="A1532" t="s">
        <v>104</v>
      </c>
      <c r="B1532">
        <v>1324725622</v>
      </c>
      <c r="C1532" t="s">
        <v>18</v>
      </c>
      <c r="D1532" t="s">
        <v>21</v>
      </c>
      <c r="E1532" s="29">
        <v>46208</v>
      </c>
      <c r="F1532" t="s">
        <v>6</v>
      </c>
      <c r="G1532" s="28">
        <v>0.63124999999999998</v>
      </c>
      <c r="H1532" s="28">
        <v>0.63124999999999998</v>
      </c>
      <c r="I1532">
        <v>0</v>
      </c>
      <c r="J1532" t="s">
        <v>174</v>
      </c>
      <c r="K1532">
        <v>0</v>
      </c>
      <c r="L1532" t="s">
        <v>2416</v>
      </c>
      <c r="M1532" t="s">
        <v>4299</v>
      </c>
      <c r="N1532" t="s">
        <v>4300</v>
      </c>
      <c r="O1532" t="s">
        <v>4301</v>
      </c>
      <c r="P1532" t="s">
        <v>4302</v>
      </c>
    </row>
    <row r="1533" spans="1:16" x14ac:dyDescent="0.35">
      <c r="A1533" t="s">
        <v>104</v>
      </c>
      <c r="B1533">
        <v>1324725622</v>
      </c>
      <c r="C1533" t="s">
        <v>18</v>
      </c>
      <c r="D1533" t="s">
        <v>21</v>
      </c>
      <c r="E1533" s="29">
        <v>46208</v>
      </c>
      <c r="F1533" t="s">
        <v>6</v>
      </c>
      <c r="G1533" s="28">
        <v>0.6381944444444444</v>
      </c>
      <c r="H1533" s="28">
        <v>0.68680555555555556</v>
      </c>
      <c r="I1533">
        <v>1</v>
      </c>
      <c r="J1533" t="s">
        <v>146</v>
      </c>
      <c r="K1533">
        <v>4</v>
      </c>
      <c r="L1533" t="s">
        <v>147</v>
      </c>
      <c r="M1533" t="s">
        <v>4291</v>
      </c>
      <c r="N1533" t="s">
        <v>4292</v>
      </c>
      <c r="O1533" t="s">
        <v>4293</v>
      </c>
      <c r="P1533" t="s">
        <v>4294</v>
      </c>
    </row>
    <row r="1534" spans="1:16" x14ac:dyDescent="0.35">
      <c r="A1534" t="s">
        <v>104</v>
      </c>
      <c r="B1534">
        <v>1324725622</v>
      </c>
      <c r="C1534" t="s">
        <v>18</v>
      </c>
      <c r="D1534" t="s">
        <v>21</v>
      </c>
      <c r="E1534" s="29">
        <v>46208</v>
      </c>
      <c r="F1534" t="s">
        <v>6</v>
      </c>
      <c r="G1534" s="28">
        <v>0.69374999999999998</v>
      </c>
      <c r="H1534" s="28">
        <v>0.7006944444444444</v>
      </c>
      <c r="I1534">
        <v>0</v>
      </c>
      <c r="J1534" t="s">
        <v>146</v>
      </c>
      <c r="K1534">
        <v>0</v>
      </c>
      <c r="L1534" t="s">
        <v>147</v>
      </c>
      <c r="M1534" t="s">
        <v>4295</v>
      </c>
      <c r="N1534" t="s">
        <v>4296</v>
      </c>
      <c r="O1534" t="s">
        <v>4297</v>
      </c>
      <c r="P1534" t="s">
        <v>4298</v>
      </c>
    </row>
    <row r="1535" spans="1:16" x14ac:dyDescent="0.35">
      <c r="A1535" t="s">
        <v>104</v>
      </c>
      <c r="B1535">
        <v>1324725622</v>
      </c>
      <c r="C1535" t="s">
        <v>18</v>
      </c>
      <c r="D1535" t="s">
        <v>21</v>
      </c>
      <c r="E1535" s="29">
        <v>46208</v>
      </c>
      <c r="F1535" t="s">
        <v>6</v>
      </c>
      <c r="G1535" s="28">
        <v>0.70763888888888893</v>
      </c>
      <c r="H1535" s="28">
        <v>0.70763888888888893</v>
      </c>
      <c r="I1535">
        <v>0</v>
      </c>
      <c r="J1535" t="s">
        <v>174</v>
      </c>
      <c r="K1535">
        <v>0</v>
      </c>
      <c r="L1535" t="s">
        <v>1415</v>
      </c>
      <c r="M1535" t="s">
        <v>4303</v>
      </c>
      <c r="N1535" t="s">
        <v>4304</v>
      </c>
      <c r="O1535" t="s">
        <v>4305</v>
      </c>
      <c r="P1535" t="s">
        <v>4306</v>
      </c>
    </row>
    <row r="1536" spans="1:16" x14ac:dyDescent="0.35">
      <c r="A1536" t="s">
        <v>104</v>
      </c>
      <c r="B1536">
        <v>1324725622</v>
      </c>
      <c r="C1536" t="s">
        <v>18</v>
      </c>
      <c r="D1536" t="s">
        <v>21</v>
      </c>
      <c r="E1536" s="29">
        <v>46208</v>
      </c>
      <c r="F1536" t="s">
        <v>6</v>
      </c>
      <c r="G1536" s="28">
        <v>0.71458333333333335</v>
      </c>
      <c r="H1536" s="28">
        <v>0.71458333333333335</v>
      </c>
      <c r="I1536">
        <v>0</v>
      </c>
      <c r="J1536" t="s">
        <v>174</v>
      </c>
      <c r="K1536">
        <v>0</v>
      </c>
      <c r="L1536" t="s">
        <v>379</v>
      </c>
      <c r="M1536" t="s">
        <v>4307</v>
      </c>
      <c r="N1536" t="s">
        <v>4308</v>
      </c>
      <c r="O1536" t="s">
        <v>4309</v>
      </c>
      <c r="P1536" t="s">
        <v>4310</v>
      </c>
    </row>
    <row r="1537" spans="1:16" x14ac:dyDescent="0.35">
      <c r="A1537" t="s">
        <v>104</v>
      </c>
      <c r="B1537">
        <v>1324725622</v>
      </c>
      <c r="C1537" t="s">
        <v>18</v>
      </c>
      <c r="D1537" t="s">
        <v>21</v>
      </c>
      <c r="E1537" s="29">
        <v>46208</v>
      </c>
      <c r="F1537" t="s">
        <v>6</v>
      </c>
      <c r="G1537" s="28">
        <v>0.72152777777777777</v>
      </c>
      <c r="H1537" s="28">
        <v>0.72152777777777777</v>
      </c>
      <c r="I1537">
        <v>0</v>
      </c>
      <c r="J1537" t="s">
        <v>174</v>
      </c>
      <c r="K1537">
        <v>0</v>
      </c>
      <c r="L1537" t="s">
        <v>4311</v>
      </c>
      <c r="M1537" t="s">
        <v>4312</v>
      </c>
      <c r="N1537" t="s">
        <v>4313</v>
      </c>
      <c r="O1537" t="s">
        <v>4314</v>
      </c>
      <c r="P1537" t="s">
        <v>4315</v>
      </c>
    </row>
    <row r="1538" spans="1:16" x14ac:dyDescent="0.35">
      <c r="A1538" t="s">
        <v>104</v>
      </c>
      <c r="B1538">
        <v>1324725622</v>
      </c>
      <c r="C1538" t="s">
        <v>18</v>
      </c>
      <c r="D1538" t="s">
        <v>21</v>
      </c>
      <c r="E1538" s="29">
        <v>46208</v>
      </c>
      <c r="F1538" t="s">
        <v>6</v>
      </c>
      <c r="G1538" s="28">
        <v>0.72847222222222219</v>
      </c>
      <c r="H1538" s="28">
        <v>0.72847222222222219</v>
      </c>
      <c r="I1538">
        <v>0</v>
      </c>
      <c r="J1538" t="s">
        <v>174</v>
      </c>
      <c r="K1538">
        <v>0</v>
      </c>
      <c r="L1538" t="s">
        <v>4316</v>
      </c>
      <c r="M1538" t="s">
        <v>4278</v>
      </c>
      <c r="N1538" t="s">
        <v>4279</v>
      </c>
      <c r="O1538" t="s">
        <v>4280</v>
      </c>
      <c r="P1538" t="s">
        <v>4281</v>
      </c>
    </row>
    <row r="1539" spans="1:16" x14ac:dyDescent="0.35">
      <c r="A1539" t="s">
        <v>104</v>
      </c>
      <c r="B1539">
        <v>1324725622</v>
      </c>
      <c r="C1539" t="s">
        <v>18</v>
      </c>
      <c r="D1539" t="s">
        <v>21</v>
      </c>
      <c r="E1539" s="29">
        <v>46208</v>
      </c>
      <c r="F1539" t="s">
        <v>6</v>
      </c>
      <c r="G1539" s="28">
        <v>0.73541666666666672</v>
      </c>
      <c r="H1539" s="28">
        <v>0.73541666666666672</v>
      </c>
      <c r="I1539">
        <v>0</v>
      </c>
      <c r="J1539" t="s">
        <v>174</v>
      </c>
      <c r="K1539">
        <v>0</v>
      </c>
      <c r="L1539" t="s">
        <v>4317</v>
      </c>
      <c r="M1539" t="s">
        <v>4318</v>
      </c>
      <c r="N1539" t="s">
        <v>4319</v>
      </c>
      <c r="O1539" t="s">
        <v>4320</v>
      </c>
      <c r="P1539" t="s">
        <v>4321</v>
      </c>
    </row>
    <row r="1540" spans="1:16" x14ac:dyDescent="0.35">
      <c r="A1540" t="s">
        <v>104</v>
      </c>
      <c r="B1540">
        <v>1324725622</v>
      </c>
      <c r="C1540" t="s">
        <v>18</v>
      </c>
      <c r="D1540" t="s">
        <v>21</v>
      </c>
      <c r="E1540" s="29">
        <v>46208</v>
      </c>
      <c r="F1540" t="s">
        <v>6</v>
      </c>
      <c r="G1540" s="28">
        <v>0.74236111111111114</v>
      </c>
      <c r="H1540" s="28">
        <v>0.74236111111111114</v>
      </c>
      <c r="I1540">
        <v>0</v>
      </c>
      <c r="J1540" t="s">
        <v>174</v>
      </c>
      <c r="K1540">
        <v>0</v>
      </c>
      <c r="L1540" t="s">
        <v>2008</v>
      </c>
      <c r="M1540" t="s">
        <v>4322</v>
      </c>
      <c r="N1540" t="s">
        <v>4323</v>
      </c>
      <c r="O1540" t="s">
        <v>4324</v>
      </c>
      <c r="P1540" t="s">
        <v>4325</v>
      </c>
    </row>
    <row r="1541" spans="1:16" x14ac:dyDescent="0.35">
      <c r="A1541" t="s">
        <v>104</v>
      </c>
      <c r="B1541">
        <v>1324725622</v>
      </c>
      <c r="C1541" t="s">
        <v>18</v>
      </c>
      <c r="D1541" t="s">
        <v>21</v>
      </c>
      <c r="E1541" s="29">
        <v>46208</v>
      </c>
      <c r="F1541" t="s">
        <v>6</v>
      </c>
      <c r="G1541" s="28">
        <v>0.74930555555555556</v>
      </c>
      <c r="H1541" s="28">
        <v>0.74930555555555556</v>
      </c>
      <c r="I1541">
        <v>0</v>
      </c>
      <c r="J1541" t="s">
        <v>174</v>
      </c>
      <c r="K1541">
        <v>0</v>
      </c>
      <c r="L1541" t="s">
        <v>3526</v>
      </c>
      <c r="M1541" t="s">
        <v>4326</v>
      </c>
      <c r="N1541" t="s">
        <v>4327</v>
      </c>
      <c r="O1541" t="s">
        <v>4328</v>
      </c>
      <c r="P1541" t="s">
        <v>4329</v>
      </c>
    </row>
    <row r="1542" spans="1:16" x14ac:dyDescent="0.35">
      <c r="A1542" t="s">
        <v>104</v>
      </c>
      <c r="B1542">
        <v>1324725622</v>
      </c>
      <c r="C1542" t="s">
        <v>18</v>
      </c>
      <c r="D1542" t="s">
        <v>21</v>
      </c>
      <c r="E1542" s="29">
        <v>46208</v>
      </c>
      <c r="F1542" t="s">
        <v>6</v>
      </c>
      <c r="G1542" s="28">
        <v>0.75624999999999998</v>
      </c>
      <c r="H1542" s="28">
        <v>0.75624999999999998</v>
      </c>
      <c r="I1542">
        <v>0</v>
      </c>
      <c r="J1542" t="s">
        <v>174</v>
      </c>
      <c r="K1542">
        <v>0</v>
      </c>
      <c r="L1542" t="s">
        <v>4330</v>
      </c>
      <c r="M1542" t="s">
        <v>4331</v>
      </c>
      <c r="N1542" t="s">
        <v>4332</v>
      </c>
      <c r="O1542" t="s">
        <v>4333</v>
      </c>
      <c r="P1542" t="s">
        <v>4334</v>
      </c>
    </row>
    <row r="1543" spans="1:16" x14ac:dyDescent="0.35">
      <c r="A1543" t="s">
        <v>104</v>
      </c>
      <c r="B1543">
        <v>1324725622</v>
      </c>
      <c r="C1543" t="s">
        <v>18</v>
      </c>
      <c r="D1543" t="s">
        <v>21</v>
      </c>
      <c r="E1543" s="29">
        <v>46208</v>
      </c>
      <c r="F1543" t="s">
        <v>6</v>
      </c>
      <c r="G1543" s="28">
        <v>0.7631944444444444</v>
      </c>
      <c r="H1543" s="28">
        <v>0.7631944444444444</v>
      </c>
      <c r="I1543">
        <v>0</v>
      </c>
      <c r="J1543" t="s">
        <v>174</v>
      </c>
      <c r="K1543">
        <v>0</v>
      </c>
      <c r="L1543" t="s">
        <v>186</v>
      </c>
      <c r="M1543" t="s">
        <v>4335</v>
      </c>
      <c r="N1543" t="s">
        <v>4336</v>
      </c>
      <c r="O1543" t="s">
        <v>4337</v>
      </c>
      <c r="P1543" t="s">
        <v>4338</v>
      </c>
    </row>
    <row r="1544" spans="1:16" x14ac:dyDescent="0.35">
      <c r="A1544" t="s">
        <v>104</v>
      </c>
      <c r="B1544">
        <v>1324725622</v>
      </c>
      <c r="C1544" t="s">
        <v>18</v>
      </c>
      <c r="D1544" t="s">
        <v>21</v>
      </c>
      <c r="E1544" s="29">
        <v>46208</v>
      </c>
      <c r="F1544" t="s">
        <v>6</v>
      </c>
      <c r="G1544" s="28">
        <v>0.77013888888888893</v>
      </c>
      <c r="H1544" s="28">
        <v>0.77013888888888893</v>
      </c>
      <c r="I1544">
        <v>0</v>
      </c>
      <c r="J1544" t="s">
        <v>174</v>
      </c>
      <c r="K1544">
        <v>0</v>
      </c>
      <c r="L1544" t="s">
        <v>3526</v>
      </c>
      <c r="M1544" t="s">
        <v>4131</v>
      </c>
      <c r="N1544" t="s">
        <v>4132</v>
      </c>
      <c r="O1544" t="s">
        <v>4133</v>
      </c>
      <c r="P1544" t="s">
        <v>4134</v>
      </c>
    </row>
    <row r="1545" spans="1:16" x14ac:dyDescent="0.35">
      <c r="A1545" t="s">
        <v>104</v>
      </c>
      <c r="B1545">
        <v>1324725622</v>
      </c>
      <c r="C1545" t="s">
        <v>18</v>
      </c>
      <c r="D1545" t="s">
        <v>21</v>
      </c>
      <c r="E1545" s="29">
        <v>46208</v>
      </c>
      <c r="F1545" t="s">
        <v>6</v>
      </c>
      <c r="G1545" s="28">
        <v>0.77708333333333335</v>
      </c>
      <c r="H1545" s="28">
        <v>0.77708333333333335</v>
      </c>
      <c r="I1545">
        <v>0</v>
      </c>
      <c r="J1545" t="s">
        <v>174</v>
      </c>
      <c r="K1545">
        <v>0</v>
      </c>
      <c r="L1545" t="s">
        <v>3241</v>
      </c>
      <c r="M1545" t="s">
        <v>4339</v>
      </c>
      <c r="N1545" t="s">
        <v>4340</v>
      </c>
      <c r="O1545" t="s">
        <v>4341</v>
      </c>
      <c r="P1545" t="s">
        <v>4342</v>
      </c>
    </row>
    <row r="1546" spans="1:16" x14ac:dyDescent="0.35">
      <c r="A1546" t="s">
        <v>104</v>
      </c>
      <c r="B1546">
        <v>1324725622</v>
      </c>
      <c r="C1546" t="s">
        <v>18</v>
      </c>
      <c r="D1546" t="s">
        <v>21</v>
      </c>
      <c r="E1546" s="29">
        <v>46208</v>
      </c>
      <c r="F1546" t="s">
        <v>6</v>
      </c>
      <c r="G1546" s="28">
        <v>0.78402777777777777</v>
      </c>
      <c r="H1546" s="28">
        <v>0.78402777777777777</v>
      </c>
      <c r="I1546">
        <v>0</v>
      </c>
      <c r="J1546" t="s">
        <v>174</v>
      </c>
      <c r="K1546">
        <v>0</v>
      </c>
      <c r="L1546" t="s">
        <v>3241</v>
      </c>
      <c r="M1546" t="s">
        <v>4240</v>
      </c>
      <c r="N1546" t="s">
        <v>4241</v>
      </c>
      <c r="O1546" t="s">
        <v>4242</v>
      </c>
      <c r="P1546" t="s">
        <v>4243</v>
      </c>
    </row>
    <row r="1547" spans="1:16" x14ac:dyDescent="0.35">
      <c r="A1547" t="s">
        <v>104</v>
      </c>
      <c r="B1547">
        <v>1324725622</v>
      </c>
      <c r="C1547" t="s">
        <v>18</v>
      </c>
      <c r="D1547" t="s">
        <v>21</v>
      </c>
      <c r="E1547" s="29">
        <v>46208</v>
      </c>
      <c r="F1547" t="s">
        <v>6</v>
      </c>
      <c r="G1547" s="28">
        <v>0.79097222222222219</v>
      </c>
      <c r="H1547" s="28">
        <v>0.79097222222222219</v>
      </c>
      <c r="I1547">
        <v>0</v>
      </c>
      <c r="J1547" t="s">
        <v>174</v>
      </c>
      <c r="K1547">
        <v>0</v>
      </c>
      <c r="L1547" t="s">
        <v>4343</v>
      </c>
      <c r="M1547" t="s">
        <v>4339</v>
      </c>
      <c r="N1547" t="s">
        <v>4340</v>
      </c>
      <c r="O1547" t="s">
        <v>4341</v>
      </c>
      <c r="P1547" t="s">
        <v>4342</v>
      </c>
    </row>
    <row r="1548" spans="1:16" x14ac:dyDescent="0.35">
      <c r="A1548" t="s">
        <v>124</v>
      </c>
      <c r="B1548">
        <v>1701216134</v>
      </c>
      <c r="C1548" t="s">
        <v>18</v>
      </c>
      <c r="D1548" t="s">
        <v>20</v>
      </c>
      <c r="E1548" s="29">
        <v>46204</v>
      </c>
      <c r="F1548" t="s">
        <v>3</v>
      </c>
      <c r="G1548" s="28">
        <v>0.39930555555555558</v>
      </c>
      <c r="H1548" s="28">
        <v>0.40625</v>
      </c>
      <c r="I1548">
        <v>0</v>
      </c>
      <c r="J1548" t="s">
        <v>146</v>
      </c>
      <c r="K1548">
        <v>0</v>
      </c>
      <c r="L1548" t="s">
        <v>147</v>
      </c>
      <c r="M1548" t="s">
        <v>4344</v>
      </c>
      <c r="N1548" t="s">
        <v>4345</v>
      </c>
      <c r="O1548" t="s">
        <v>4346</v>
      </c>
      <c r="P1548" t="s">
        <v>4347</v>
      </c>
    </row>
    <row r="1549" spans="1:16" x14ac:dyDescent="0.35">
      <c r="A1549" t="s">
        <v>124</v>
      </c>
      <c r="B1549">
        <v>1701216134</v>
      </c>
      <c r="C1549" t="s">
        <v>18</v>
      </c>
      <c r="D1549" t="s">
        <v>20</v>
      </c>
      <c r="E1549" s="29">
        <v>46204</v>
      </c>
      <c r="F1549" t="s">
        <v>3</v>
      </c>
      <c r="G1549" s="28">
        <v>0.41319444444444442</v>
      </c>
      <c r="H1549" s="28">
        <v>0.48958333333333331</v>
      </c>
      <c r="I1549">
        <v>2</v>
      </c>
      <c r="J1549" t="s">
        <v>146</v>
      </c>
      <c r="K1549">
        <v>6</v>
      </c>
      <c r="L1549" t="s">
        <v>147</v>
      </c>
      <c r="M1549" t="s">
        <v>4348</v>
      </c>
      <c r="N1549" t="s">
        <v>4349</v>
      </c>
      <c r="O1549" t="s">
        <v>4350</v>
      </c>
      <c r="P1549" t="s">
        <v>4351</v>
      </c>
    </row>
    <row r="1550" spans="1:16" x14ac:dyDescent="0.35">
      <c r="A1550" t="s">
        <v>124</v>
      </c>
      <c r="B1550">
        <v>1701216134</v>
      </c>
      <c r="C1550" t="s">
        <v>18</v>
      </c>
      <c r="D1550" t="s">
        <v>20</v>
      </c>
      <c r="E1550" s="29">
        <v>46204</v>
      </c>
      <c r="F1550" t="s">
        <v>3</v>
      </c>
      <c r="G1550" s="28">
        <v>0.49652777777777779</v>
      </c>
      <c r="H1550" s="28">
        <v>0.49652777777777779</v>
      </c>
      <c r="I1550">
        <v>0</v>
      </c>
      <c r="J1550" t="s">
        <v>174</v>
      </c>
      <c r="K1550">
        <v>0</v>
      </c>
      <c r="L1550" t="s">
        <v>4352</v>
      </c>
      <c r="M1550" t="s">
        <v>4353</v>
      </c>
      <c r="N1550" t="s">
        <v>4354</v>
      </c>
      <c r="O1550" t="s">
        <v>4355</v>
      </c>
      <c r="P1550" t="s">
        <v>4356</v>
      </c>
    </row>
    <row r="1551" spans="1:16" x14ac:dyDescent="0.35">
      <c r="A1551" t="s">
        <v>124</v>
      </c>
      <c r="B1551">
        <v>1701216134</v>
      </c>
      <c r="C1551" t="s">
        <v>18</v>
      </c>
      <c r="D1551" t="s">
        <v>20</v>
      </c>
      <c r="E1551" s="29">
        <v>46204</v>
      </c>
      <c r="F1551" t="s">
        <v>3</v>
      </c>
      <c r="G1551" s="28">
        <v>0.50347222222222221</v>
      </c>
      <c r="H1551" s="28">
        <v>0.50347222222222221</v>
      </c>
      <c r="I1551">
        <v>0</v>
      </c>
      <c r="J1551" t="s">
        <v>174</v>
      </c>
      <c r="K1551">
        <v>0</v>
      </c>
      <c r="L1551" t="s">
        <v>293</v>
      </c>
      <c r="M1551" t="s">
        <v>4357</v>
      </c>
      <c r="N1551" t="s">
        <v>4358</v>
      </c>
      <c r="O1551" t="s">
        <v>4359</v>
      </c>
      <c r="P1551" t="s">
        <v>4360</v>
      </c>
    </row>
    <row r="1552" spans="1:16" x14ac:dyDescent="0.35">
      <c r="A1552" t="s">
        <v>124</v>
      </c>
      <c r="B1552">
        <v>1701216134</v>
      </c>
      <c r="C1552" t="s">
        <v>18</v>
      </c>
      <c r="D1552" t="s">
        <v>20</v>
      </c>
      <c r="E1552" s="29">
        <v>46204</v>
      </c>
      <c r="F1552" t="s">
        <v>3</v>
      </c>
      <c r="G1552" s="28">
        <v>0.51041666666666663</v>
      </c>
      <c r="H1552" s="28">
        <v>0.53125</v>
      </c>
      <c r="I1552">
        <v>1</v>
      </c>
      <c r="J1552" t="s">
        <v>146</v>
      </c>
      <c r="K1552">
        <v>2</v>
      </c>
      <c r="L1552" t="s">
        <v>147</v>
      </c>
      <c r="M1552" t="s">
        <v>4361</v>
      </c>
      <c r="N1552" t="s">
        <v>4362</v>
      </c>
      <c r="O1552" t="s">
        <v>4363</v>
      </c>
      <c r="P1552" t="s">
        <v>4364</v>
      </c>
    </row>
    <row r="1553" spans="1:16" x14ac:dyDescent="0.35">
      <c r="A1553" t="s">
        <v>124</v>
      </c>
      <c r="B1553">
        <v>1701216134</v>
      </c>
      <c r="C1553" t="s">
        <v>18</v>
      </c>
      <c r="D1553" t="s">
        <v>20</v>
      </c>
      <c r="E1553" s="29">
        <v>46204</v>
      </c>
      <c r="F1553" t="s">
        <v>3</v>
      </c>
      <c r="G1553" s="28">
        <v>0.53819444444444442</v>
      </c>
      <c r="H1553" s="28">
        <v>0.53819444444444442</v>
      </c>
      <c r="I1553">
        <v>0</v>
      </c>
      <c r="J1553" t="s">
        <v>174</v>
      </c>
      <c r="K1553">
        <v>0</v>
      </c>
      <c r="L1553" t="s">
        <v>680</v>
      </c>
      <c r="M1553" t="s">
        <v>4365</v>
      </c>
      <c r="N1553" t="s">
        <v>4366</v>
      </c>
      <c r="O1553" t="s">
        <v>4367</v>
      </c>
      <c r="P1553" t="s">
        <v>4368</v>
      </c>
    </row>
    <row r="1554" spans="1:16" x14ac:dyDescent="0.35">
      <c r="A1554" t="s">
        <v>124</v>
      </c>
      <c r="B1554">
        <v>1701216134</v>
      </c>
      <c r="C1554" t="s">
        <v>18</v>
      </c>
      <c r="D1554" t="s">
        <v>20</v>
      </c>
      <c r="E1554" s="29">
        <v>46204</v>
      </c>
      <c r="F1554" t="s">
        <v>3</v>
      </c>
      <c r="G1554" s="28">
        <v>0.54513888888888884</v>
      </c>
      <c r="H1554" s="28">
        <v>0.54513888888888884</v>
      </c>
      <c r="I1554">
        <v>0</v>
      </c>
      <c r="J1554" t="s">
        <v>174</v>
      </c>
      <c r="K1554">
        <v>0</v>
      </c>
      <c r="L1554" t="s">
        <v>2029</v>
      </c>
      <c r="M1554" t="s">
        <v>4369</v>
      </c>
      <c r="N1554" t="s">
        <v>4370</v>
      </c>
      <c r="O1554" t="s">
        <v>4371</v>
      </c>
      <c r="P1554" t="s">
        <v>4372</v>
      </c>
    </row>
    <row r="1555" spans="1:16" x14ac:dyDescent="0.35">
      <c r="A1555" t="s">
        <v>124</v>
      </c>
      <c r="B1555">
        <v>1701216134</v>
      </c>
      <c r="C1555" t="s">
        <v>18</v>
      </c>
      <c r="D1555" t="s">
        <v>20</v>
      </c>
      <c r="E1555" s="29">
        <v>46204</v>
      </c>
      <c r="F1555" t="s">
        <v>3</v>
      </c>
      <c r="G1555" s="28">
        <v>0.55208333333333337</v>
      </c>
      <c r="H1555" s="28">
        <v>0.55208333333333337</v>
      </c>
      <c r="I1555">
        <v>0</v>
      </c>
      <c r="J1555" t="s">
        <v>174</v>
      </c>
      <c r="K1555">
        <v>0</v>
      </c>
      <c r="L1555" t="s">
        <v>3686</v>
      </c>
      <c r="M1555" t="s">
        <v>4373</v>
      </c>
      <c r="N1555" t="s">
        <v>4374</v>
      </c>
      <c r="O1555" t="s">
        <v>4375</v>
      </c>
      <c r="P1555" t="s">
        <v>4376</v>
      </c>
    </row>
    <row r="1556" spans="1:16" x14ac:dyDescent="0.35">
      <c r="A1556" t="s">
        <v>124</v>
      </c>
      <c r="B1556">
        <v>1701216134</v>
      </c>
      <c r="C1556" t="s">
        <v>18</v>
      </c>
      <c r="D1556" t="s">
        <v>20</v>
      </c>
      <c r="E1556" s="29">
        <v>46204</v>
      </c>
      <c r="F1556" t="s">
        <v>3</v>
      </c>
      <c r="G1556" s="28">
        <v>0.55902777777777779</v>
      </c>
      <c r="H1556" s="28">
        <v>0.55902777777777779</v>
      </c>
      <c r="I1556">
        <v>0</v>
      </c>
      <c r="J1556" t="s">
        <v>174</v>
      </c>
      <c r="K1556">
        <v>0</v>
      </c>
      <c r="L1556" t="s">
        <v>2623</v>
      </c>
      <c r="M1556" t="s">
        <v>4377</v>
      </c>
      <c r="N1556" t="s">
        <v>4378</v>
      </c>
      <c r="O1556" t="s">
        <v>4379</v>
      </c>
      <c r="P1556" t="s">
        <v>4380</v>
      </c>
    </row>
    <row r="1557" spans="1:16" x14ac:dyDescent="0.35">
      <c r="A1557" t="s">
        <v>124</v>
      </c>
      <c r="B1557">
        <v>1701216134</v>
      </c>
      <c r="C1557" t="s">
        <v>18</v>
      </c>
      <c r="D1557" t="s">
        <v>20</v>
      </c>
      <c r="E1557" s="29">
        <v>46204</v>
      </c>
      <c r="F1557" t="s">
        <v>3</v>
      </c>
      <c r="G1557" s="28">
        <v>0.56597222222222221</v>
      </c>
      <c r="H1557" s="28">
        <v>0.56597222222222221</v>
      </c>
      <c r="I1557">
        <v>0</v>
      </c>
      <c r="J1557" t="s">
        <v>174</v>
      </c>
      <c r="K1557">
        <v>0</v>
      </c>
      <c r="L1557" t="s">
        <v>4381</v>
      </c>
      <c r="M1557" t="s">
        <v>4382</v>
      </c>
      <c r="N1557" t="s">
        <v>4383</v>
      </c>
      <c r="O1557" t="s">
        <v>4384</v>
      </c>
      <c r="P1557" t="s">
        <v>4385</v>
      </c>
    </row>
    <row r="1558" spans="1:16" x14ac:dyDescent="0.35">
      <c r="A1558" t="s">
        <v>124</v>
      </c>
      <c r="B1558">
        <v>1701216134</v>
      </c>
      <c r="C1558" t="s">
        <v>18</v>
      </c>
      <c r="D1558" t="s">
        <v>20</v>
      </c>
      <c r="E1558" s="29">
        <v>46204</v>
      </c>
      <c r="F1558" t="s">
        <v>3</v>
      </c>
      <c r="G1558" s="28">
        <v>0.57291666666666663</v>
      </c>
      <c r="H1558" s="28">
        <v>0.57291666666666663</v>
      </c>
      <c r="I1558">
        <v>0</v>
      </c>
      <c r="J1558" t="s">
        <v>174</v>
      </c>
      <c r="K1558">
        <v>0</v>
      </c>
      <c r="L1558" t="s">
        <v>3096</v>
      </c>
      <c r="M1558" t="s">
        <v>4386</v>
      </c>
      <c r="N1558" t="s">
        <v>4387</v>
      </c>
      <c r="O1558" t="s">
        <v>4388</v>
      </c>
      <c r="P1558" t="s">
        <v>4389</v>
      </c>
    </row>
    <row r="1559" spans="1:16" x14ac:dyDescent="0.35">
      <c r="A1559" t="s">
        <v>124</v>
      </c>
      <c r="B1559">
        <v>1701216134</v>
      </c>
      <c r="C1559" t="s">
        <v>18</v>
      </c>
      <c r="D1559" t="s">
        <v>20</v>
      </c>
      <c r="E1559" s="29">
        <v>46204</v>
      </c>
      <c r="F1559" t="s">
        <v>3</v>
      </c>
      <c r="G1559" s="28">
        <v>0.57986111111111116</v>
      </c>
      <c r="H1559" s="28">
        <v>0.57986111111111116</v>
      </c>
      <c r="I1559">
        <v>0</v>
      </c>
      <c r="J1559" t="s">
        <v>174</v>
      </c>
      <c r="K1559">
        <v>0</v>
      </c>
      <c r="L1559" t="s">
        <v>1405</v>
      </c>
      <c r="M1559" t="s">
        <v>4390</v>
      </c>
      <c r="N1559" t="s">
        <v>4391</v>
      </c>
      <c r="O1559" t="s">
        <v>4392</v>
      </c>
      <c r="P1559" t="s">
        <v>4393</v>
      </c>
    </row>
    <row r="1560" spans="1:16" x14ac:dyDescent="0.35">
      <c r="A1560" t="s">
        <v>124</v>
      </c>
      <c r="B1560">
        <v>1701216134</v>
      </c>
      <c r="C1560" t="s">
        <v>18</v>
      </c>
      <c r="D1560" t="s">
        <v>20</v>
      </c>
      <c r="E1560" s="29">
        <v>46204</v>
      </c>
      <c r="F1560" t="s">
        <v>3</v>
      </c>
      <c r="G1560" s="28">
        <v>0.58680555555555558</v>
      </c>
      <c r="H1560" s="28">
        <v>0.58680555555555558</v>
      </c>
      <c r="I1560">
        <v>0</v>
      </c>
      <c r="J1560" t="s">
        <v>174</v>
      </c>
      <c r="K1560">
        <v>0</v>
      </c>
      <c r="L1560" t="s">
        <v>3179</v>
      </c>
      <c r="M1560" t="s">
        <v>4394</v>
      </c>
      <c r="N1560" t="s">
        <v>4395</v>
      </c>
      <c r="O1560" t="s">
        <v>4396</v>
      </c>
      <c r="P1560" t="s">
        <v>4397</v>
      </c>
    </row>
    <row r="1561" spans="1:16" x14ac:dyDescent="0.35">
      <c r="A1561" t="s">
        <v>124</v>
      </c>
      <c r="B1561">
        <v>1701216134</v>
      </c>
      <c r="C1561" t="s">
        <v>18</v>
      </c>
      <c r="D1561" t="s">
        <v>20</v>
      </c>
      <c r="E1561" s="29">
        <v>46204</v>
      </c>
      <c r="F1561" t="s">
        <v>3</v>
      </c>
      <c r="G1561" s="28">
        <v>0.59375</v>
      </c>
      <c r="H1561" s="28">
        <v>0.60069444444444442</v>
      </c>
      <c r="I1561">
        <v>0</v>
      </c>
      <c r="J1561" t="s">
        <v>146</v>
      </c>
      <c r="K1561">
        <v>0</v>
      </c>
      <c r="L1561" t="s">
        <v>147</v>
      </c>
      <c r="M1561" t="s">
        <v>4398</v>
      </c>
      <c r="N1561" t="s">
        <v>4399</v>
      </c>
      <c r="O1561" t="s">
        <v>4400</v>
      </c>
      <c r="P1561" t="s">
        <v>4401</v>
      </c>
    </row>
    <row r="1562" spans="1:16" x14ac:dyDescent="0.35">
      <c r="A1562" t="s">
        <v>124</v>
      </c>
      <c r="B1562">
        <v>1701216134</v>
      </c>
      <c r="C1562" t="s">
        <v>18</v>
      </c>
      <c r="D1562" t="s">
        <v>20</v>
      </c>
      <c r="E1562" s="29">
        <v>46204</v>
      </c>
      <c r="F1562" t="s">
        <v>3</v>
      </c>
      <c r="G1562" s="28">
        <v>0.60763888888888884</v>
      </c>
      <c r="H1562" s="28">
        <v>0.60763888888888884</v>
      </c>
      <c r="I1562">
        <v>0</v>
      </c>
      <c r="J1562" t="s">
        <v>174</v>
      </c>
      <c r="K1562">
        <v>0</v>
      </c>
      <c r="L1562" t="s">
        <v>4402</v>
      </c>
      <c r="M1562" t="s">
        <v>4403</v>
      </c>
      <c r="N1562" t="s">
        <v>4404</v>
      </c>
      <c r="O1562" t="s">
        <v>4405</v>
      </c>
      <c r="P1562" t="s">
        <v>4406</v>
      </c>
    </row>
    <row r="1563" spans="1:16" x14ac:dyDescent="0.35">
      <c r="A1563" t="s">
        <v>124</v>
      </c>
      <c r="B1563">
        <v>1701216134</v>
      </c>
      <c r="C1563" t="s">
        <v>18</v>
      </c>
      <c r="D1563" t="s">
        <v>20</v>
      </c>
      <c r="E1563" s="29">
        <v>46204</v>
      </c>
      <c r="F1563" t="s">
        <v>3</v>
      </c>
      <c r="G1563" s="28">
        <v>0.61458333333333337</v>
      </c>
      <c r="H1563" s="28">
        <v>0.61458333333333337</v>
      </c>
      <c r="I1563">
        <v>0</v>
      </c>
      <c r="J1563" t="s">
        <v>174</v>
      </c>
      <c r="K1563">
        <v>0</v>
      </c>
      <c r="L1563" t="s">
        <v>4407</v>
      </c>
      <c r="M1563" t="s">
        <v>4408</v>
      </c>
      <c r="N1563" t="s">
        <v>4409</v>
      </c>
      <c r="O1563" t="s">
        <v>4410</v>
      </c>
      <c r="P1563" t="s">
        <v>4411</v>
      </c>
    </row>
    <row r="1564" spans="1:16" x14ac:dyDescent="0.35">
      <c r="A1564" t="s">
        <v>124</v>
      </c>
      <c r="B1564">
        <v>1701216134</v>
      </c>
      <c r="C1564" t="s">
        <v>18</v>
      </c>
      <c r="D1564" t="s">
        <v>20</v>
      </c>
      <c r="E1564" s="29">
        <v>46204</v>
      </c>
      <c r="F1564" t="s">
        <v>3</v>
      </c>
      <c r="G1564" s="28">
        <v>0.62152777777777779</v>
      </c>
      <c r="H1564" s="28">
        <v>0.62152777777777779</v>
      </c>
      <c r="I1564">
        <v>0</v>
      </c>
      <c r="J1564" t="s">
        <v>174</v>
      </c>
      <c r="K1564">
        <v>0</v>
      </c>
      <c r="L1564" t="s">
        <v>4412</v>
      </c>
      <c r="M1564" t="s">
        <v>4413</v>
      </c>
      <c r="N1564" t="s">
        <v>4414</v>
      </c>
      <c r="O1564" t="s">
        <v>4415</v>
      </c>
      <c r="P1564" t="s">
        <v>4416</v>
      </c>
    </row>
    <row r="1565" spans="1:16" x14ac:dyDescent="0.35">
      <c r="A1565" t="s">
        <v>124</v>
      </c>
      <c r="B1565">
        <v>1701216134</v>
      </c>
      <c r="C1565" t="s">
        <v>18</v>
      </c>
      <c r="D1565" t="s">
        <v>20</v>
      </c>
      <c r="E1565" s="29">
        <v>46204</v>
      </c>
      <c r="F1565" t="s">
        <v>3</v>
      </c>
      <c r="G1565" s="28">
        <v>0.62916666666666665</v>
      </c>
      <c r="H1565" s="28">
        <v>0.62916666666666665</v>
      </c>
      <c r="I1565">
        <v>0</v>
      </c>
      <c r="J1565" t="s">
        <v>174</v>
      </c>
      <c r="K1565">
        <v>0</v>
      </c>
      <c r="L1565" t="s">
        <v>4417</v>
      </c>
      <c r="M1565" t="s">
        <v>4418</v>
      </c>
      <c r="N1565" t="s">
        <v>4419</v>
      </c>
      <c r="O1565" t="s">
        <v>4420</v>
      </c>
      <c r="P1565" t="s">
        <v>4421</v>
      </c>
    </row>
    <row r="1566" spans="1:16" x14ac:dyDescent="0.35">
      <c r="A1566" t="s">
        <v>124</v>
      </c>
      <c r="B1566">
        <v>1701216134</v>
      </c>
      <c r="C1566" t="s">
        <v>18</v>
      </c>
      <c r="D1566" t="s">
        <v>20</v>
      </c>
      <c r="E1566" s="29">
        <v>46204</v>
      </c>
      <c r="F1566" t="s">
        <v>3</v>
      </c>
      <c r="G1566" s="28">
        <v>0.63541666666666663</v>
      </c>
      <c r="H1566" s="28">
        <v>0.63541666666666663</v>
      </c>
      <c r="I1566">
        <v>0</v>
      </c>
      <c r="J1566" t="s">
        <v>174</v>
      </c>
      <c r="K1566">
        <v>0</v>
      </c>
      <c r="L1566" t="s">
        <v>2242</v>
      </c>
      <c r="M1566" t="s">
        <v>4422</v>
      </c>
      <c r="N1566" t="s">
        <v>4423</v>
      </c>
      <c r="O1566" t="s">
        <v>4424</v>
      </c>
      <c r="P1566" t="s">
        <v>4425</v>
      </c>
    </row>
    <row r="1567" spans="1:16" x14ac:dyDescent="0.35">
      <c r="A1567" t="s">
        <v>124</v>
      </c>
      <c r="B1567">
        <v>1701216134</v>
      </c>
      <c r="C1567" t="s">
        <v>18</v>
      </c>
      <c r="D1567" t="s">
        <v>20</v>
      </c>
      <c r="E1567" s="29">
        <v>46204</v>
      </c>
      <c r="F1567" t="s">
        <v>3</v>
      </c>
      <c r="G1567" s="28">
        <v>0.64236111111111116</v>
      </c>
      <c r="H1567" s="28">
        <v>0.67708333333333337</v>
      </c>
      <c r="I1567">
        <v>1</v>
      </c>
      <c r="J1567" t="s">
        <v>146</v>
      </c>
      <c r="K1567">
        <v>2</v>
      </c>
      <c r="L1567" t="s">
        <v>147</v>
      </c>
      <c r="M1567" t="s">
        <v>4426</v>
      </c>
      <c r="N1567" t="s">
        <v>4427</v>
      </c>
      <c r="O1567" t="s">
        <v>4428</v>
      </c>
      <c r="P1567" t="s">
        <v>4429</v>
      </c>
    </row>
    <row r="1568" spans="1:16" x14ac:dyDescent="0.35">
      <c r="A1568" t="s">
        <v>124</v>
      </c>
      <c r="B1568">
        <v>1701216134</v>
      </c>
      <c r="C1568" t="s">
        <v>18</v>
      </c>
      <c r="D1568" t="s">
        <v>20</v>
      </c>
      <c r="E1568" s="29">
        <v>46204</v>
      </c>
      <c r="F1568" t="s">
        <v>3</v>
      </c>
      <c r="G1568" s="28">
        <v>0.68402777777777779</v>
      </c>
      <c r="H1568" s="28">
        <v>0.68402777777777779</v>
      </c>
      <c r="I1568">
        <v>0</v>
      </c>
      <c r="J1568" t="s">
        <v>174</v>
      </c>
      <c r="K1568">
        <v>0</v>
      </c>
      <c r="L1568" t="s">
        <v>4430</v>
      </c>
      <c r="M1568" t="s">
        <v>4431</v>
      </c>
      <c r="N1568" t="s">
        <v>4432</v>
      </c>
      <c r="O1568" t="s">
        <v>4433</v>
      </c>
      <c r="P1568" t="s">
        <v>4434</v>
      </c>
    </row>
    <row r="1569" spans="1:16" x14ac:dyDescent="0.35">
      <c r="A1569" t="s">
        <v>124</v>
      </c>
      <c r="B1569">
        <v>1701216134</v>
      </c>
      <c r="C1569" t="s">
        <v>18</v>
      </c>
      <c r="D1569" t="s">
        <v>20</v>
      </c>
      <c r="E1569" s="29">
        <v>46204</v>
      </c>
      <c r="F1569" t="s">
        <v>3</v>
      </c>
      <c r="G1569" s="28">
        <v>0.69097222222222221</v>
      </c>
      <c r="H1569" s="28">
        <v>0.69097222222222221</v>
      </c>
      <c r="I1569">
        <v>0</v>
      </c>
      <c r="J1569" t="s">
        <v>174</v>
      </c>
      <c r="K1569">
        <v>0</v>
      </c>
      <c r="L1569" t="s">
        <v>3120</v>
      </c>
      <c r="M1569" t="s">
        <v>4435</v>
      </c>
      <c r="N1569" t="s">
        <v>4436</v>
      </c>
      <c r="O1569" t="s">
        <v>4437</v>
      </c>
      <c r="P1569" t="s">
        <v>4438</v>
      </c>
    </row>
    <row r="1570" spans="1:16" x14ac:dyDescent="0.35">
      <c r="A1570" t="s">
        <v>124</v>
      </c>
      <c r="B1570">
        <v>1701216134</v>
      </c>
      <c r="C1570" t="s">
        <v>18</v>
      </c>
      <c r="D1570" t="s">
        <v>20</v>
      </c>
      <c r="E1570" s="29">
        <v>46204</v>
      </c>
      <c r="F1570" t="s">
        <v>3</v>
      </c>
      <c r="G1570" s="28">
        <v>0.69791666666666663</v>
      </c>
      <c r="H1570" s="28">
        <v>0.69791666666666663</v>
      </c>
      <c r="I1570">
        <v>0</v>
      </c>
      <c r="J1570" t="s">
        <v>174</v>
      </c>
      <c r="K1570">
        <v>0</v>
      </c>
      <c r="L1570" t="s">
        <v>4439</v>
      </c>
      <c r="M1570" t="s">
        <v>4440</v>
      </c>
      <c r="N1570" t="s">
        <v>4441</v>
      </c>
      <c r="O1570" t="s">
        <v>4442</v>
      </c>
      <c r="P1570" t="s">
        <v>4443</v>
      </c>
    </row>
    <row r="1571" spans="1:16" x14ac:dyDescent="0.35">
      <c r="A1571" t="s">
        <v>124</v>
      </c>
      <c r="B1571">
        <v>1701216134</v>
      </c>
      <c r="C1571" t="s">
        <v>18</v>
      </c>
      <c r="D1571" t="s">
        <v>20</v>
      </c>
      <c r="E1571" s="29">
        <v>46204</v>
      </c>
      <c r="F1571" t="s">
        <v>3</v>
      </c>
      <c r="G1571" s="28">
        <v>0.70486111111111116</v>
      </c>
      <c r="H1571" s="28">
        <v>0.71180555555555558</v>
      </c>
      <c r="I1571">
        <v>0</v>
      </c>
      <c r="J1571" t="s">
        <v>146</v>
      </c>
      <c r="K1571">
        <v>0</v>
      </c>
      <c r="L1571" t="s">
        <v>147</v>
      </c>
      <c r="M1571" t="s">
        <v>4444</v>
      </c>
      <c r="N1571" t="s">
        <v>4445</v>
      </c>
      <c r="O1571" t="s">
        <v>4446</v>
      </c>
      <c r="P1571" t="s">
        <v>4447</v>
      </c>
    </row>
    <row r="1572" spans="1:16" x14ac:dyDescent="0.35">
      <c r="A1572" t="s">
        <v>124</v>
      </c>
      <c r="B1572">
        <v>1701216134</v>
      </c>
      <c r="C1572" t="s">
        <v>18</v>
      </c>
      <c r="D1572" t="s">
        <v>20</v>
      </c>
      <c r="E1572" s="29">
        <v>46204</v>
      </c>
      <c r="F1572" t="s">
        <v>3</v>
      </c>
      <c r="G1572" s="28">
        <v>0.71875</v>
      </c>
      <c r="H1572" s="28">
        <v>0.71875</v>
      </c>
      <c r="I1572">
        <v>0</v>
      </c>
      <c r="J1572" t="s">
        <v>174</v>
      </c>
      <c r="K1572">
        <v>0</v>
      </c>
      <c r="L1572" t="s">
        <v>1037</v>
      </c>
      <c r="M1572" t="s">
        <v>4448</v>
      </c>
      <c r="N1572" t="s">
        <v>4449</v>
      </c>
      <c r="O1572" t="s">
        <v>4450</v>
      </c>
      <c r="P1572" t="s">
        <v>4451</v>
      </c>
    </row>
    <row r="1573" spans="1:16" x14ac:dyDescent="0.35">
      <c r="A1573" t="s">
        <v>124</v>
      </c>
      <c r="B1573">
        <v>1701216134</v>
      </c>
      <c r="C1573" t="s">
        <v>18</v>
      </c>
      <c r="D1573" t="s">
        <v>20</v>
      </c>
      <c r="E1573" s="29">
        <v>46204</v>
      </c>
      <c r="F1573" t="s">
        <v>3</v>
      </c>
      <c r="G1573" s="28">
        <v>0.72569444444444442</v>
      </c>
      <c r="H1573" s="28">
        <v>0.73958333333333337</v>
      </c>
      <c r="I1573">
        <v>0</v>
      </c>
      <c r="J1573" t="s">
        <v>146</v>
      </c>
      <c r="K1573">
        <v>1</v>
      </c>
      <c r="L1573" t="s">
        <v>147</v>
      </c>
      <c r="M1573" t="s">
        <v>4452</v>
      </c>
      <c r="N1573" t="s">
        <v>4453</v>
      </c>
      <c r="O1573" t="s">
        <v>4454</v>
      </c>
      <c r="P1573" t="s">
        <v>4455</v>
      </c>
    </row>
    <row r="1574" spans="1:16" x14ac:dyDescent="0.35">
      <c r="A1574" t="s">
        <v>124</v>
      </c>
      <c r="B1574">
        <v>1701216134</v>
      </c>
      <c r="C1574" t="s">
        <v>18</v>
      </c>
      <c r="D1574" t="s">
        <v>20</v>
      </c>
      <c r="E1574" s="29">
        <v>46204</v>
      </c>
      <c r="F1574" t="s">
        <v>3</v>
      </c>
      <c r="G1574" s="28">
        <v>0.74652777777777779</v>
      </c>
      <c r="H1574" s="28">
        <v>0.74652777777777779</v>
      </c>
      <c r="I1574">
        <v>0</v>
      </c>
      <c r="J1574" t="s">
        <v>174</v>
      </c>
      <c r="K1574">
        <v>0</v>
      </c>
      <c r="L1574" t="s">
        <v>4456</v>
      </c>
      <c r="M1574" t="s">
        <v>4457</v>
      </c>
      <c r="N1574" t="s">
        <v>4458</v>
      </c>
      <c r="O1574" t="s">
        <v>4459</v>
      </c>
      <c r="P1574" t="s">
        <v>4460</v>
      </c>
    </row>
    <row r="1575" spans="1:16" x14ac:dyDescent="0.35">
      <c r="A1575" t="s">
        <v>124</v>
      </c>
      <c r="B1575">
        <v>1701216134</v>
      </c>
      <c r="C1575" t="s">
        <v>18</v>
      </c>
      <c r="D1575" t="s">
        <v>20</v>
      </c>
      <c r="E1575" s="29">
        <v>46204</v>
      </c>
      <c r="F1575" t="s">
        <v>3</v>
      </c>
      <c r="G1575" s="28">
        <v>0.75347222222222221</v>
      </c>
      <c r="H1575" s="28">
        <v>0.75347222222222221</v>
      </c>
      <c r="I1575">
        <v>0</v>
      </c>
      <c r="J1575" t="s">
        <v>174</v>
      </c>
      <c r="K1575">
        <v>0</v>
      </c>
      <c r="L1575" t="s">
        <v>4461</v>
      </c>
      <c r="M1575" t="s">
        <v>4462</v>
      </c>
      <c r="N1575" t="s">
        <v>4463</v>
      </c>
      <c r="O1575" t="s">
        <v>4464</v>
      </c>
      <c r="P1575" t="s">
        <v>4465</v>
      </c>
    </row>
    <row r="1576" spans="1:16" x14ac:dyDescent="0.35">
      <c r="A1576" t="s">
        <v>124</v>
      </c>
      <c r="B1576">
        <v>1701216134</v>
      </c>
      <c r="C1576" t="s">
        <v>18</v>
      </c>
      <c r="D1576" t="s">
        <v>20</v>
      </c>
      <c r="E1576" s="29">
        <v>46204</v>
      </c>
      <c r="F1576" t="s">
        <v>3</v>
      </c>
      <c r="G1576" s="28">
        <v>0.76041666666666663</v>
      </c>
      <c r="H1576" s="28">
        <v>0.85069444444444442</v>
      </c>
      <c r="I1576">
        <v>2</v>
      </c>
      <c r="J1576" t="s">
        <v>146</v>
      </c>
      <c r="K1576">
        <v>6</v>
      </c>
      <c r="L1576" t="s">
        <v>147</v>
      </c>
      <c r="M1576" t="s">
        <v>4466</v>
      </c>
      <c r="N1576" t="s">
        <v>4467</v>
      </c>
      <c r="O1576" t="s">
        <v>4468</v>
      </c>
      <c r="P1576" t="s">
        <v>4469</v>
      </c>
    </row>
    <row r="1577" spans="1:16" x14ac:dyDescent="0.35">
      <c r="A1577" t="s">
        <v>124</v>
      </c>
      <c r="B1577">
        <v>1701216134</v>
      </c>
      <c r="C1577" t="s">
        <v>18</v>
      </c>
      <c r="D1577" t="s">
        <v>20</v>
      </c>
      <c r="E1577" s="29">
        <v>46205</v>
      </c>
      <c r="F1577" t="s">
        <v>4</v>
      </c>
      <c r="G1577" s="28">
        <v>0.52430555555555558</v>
      </c>
      <c r="H1577" s="28">
        <v>0.52430555555555558</v>
      </c>
      <c r="I1577">
        <v>0</v>
      </c>
      <c r="J1577" t="s">
        <v>174</v>
      </c>
      <c r="K1577">
        <v>0</v>
      </c>
      <c r="L1577" t="s">
        <v>1369</v>
      </c>
      <c r="M1577" t="s">
        <v>4470</v>
      </c>
      <c r="N1577" t="s">
        <v>4471</v>
      </c>
      <c r="O1577" t="s">
        <v>4472</v>
      </c>
      <c r="P1577" t="s">
        <v>4473</v>
      </c>
    </row>
    <row r="1578" spans="1:16" x14ac:dyDescent="0.35">
      <c r="A1578" t="s">
        <v>124</v>
      </c>
      <c r="B1578">
        <v>1701216134</v>
      </c>
      <c r="C1578" t="s">
        <v>18</v>
      </c>
      <c r="D1578" t="s">
        <v>20</v>
      </c>
      <c r="E1578" s="29">
        <v>46205</v>
      </c>
      <c r="F1578" t="s">
        <v>4</v>
      </c>
      <c r="G1578" s="28">
        <v>0.53125</v>
      </c>
      <c r="H1578" s="28">
        <v>0.53819444444444442</v>
      </c>
      <c r="I1578">
        <v>0</v>
      </c>
      <c r="J1578" t="s">
        <v>146</v>
      </c>
      <c r="K1578">
        <v>0</v>
      </c>
      <c r="L1578" t="s">
        <v>147</v>
      </c>
      <c r="M1578" t="s">
        <v>4474</v>
      </c>
      <c r="N1578" t="s">
        <v>4475</v>
      </c>
      <c r="O1578" t="s">
        <v>4476</v>
      </c>
      <c r="P1578" t="s">
        <v>4477</v>
      </c>
    </row>
    <row r="1579" spans="1:16" x14ac:dyDescent="0.35">
      <c r="A1579" t="s">
        <v>124</v>
      </c>
      <c r="B1579">
        <v>1701216134</v>
      </c>
      <c r="C1579" t="s">
        <v>18</v>
      </c>
      <c r="D1579" t="s">
        <v>20</v>
      </c>
      <c r="E1579" s="29">
        <v>46205</v>
      </c>
      <c r="F1579" t="s">
        <v>4</v>
      </c>
      <c r="G1579" s="28">
        <v>0.54513888888888884</v>
      </c>
      <c r="H1579" s="28">
        <v>0.54513888888888884</v>
      </c>
      <c r="I1579">
        <v>0</v>
      </c>
      <c r="J1579" t="s">
        <v>174</v>
      </c>
      <c r="K1579">
        <v>0</v>
      </c>
      <c r="L1579" t="s">
        <v>4478</v>
      </c>
      <c r="M1579" t="s">
        <v>4479</v>
      </c>
      <c r="N1579" t="s">
        <v>4480</v>
      </c>
      <c r="O1579" t="s">
        <v>4481</v>
      </c>
      <c r="P1579" t="s">
        <v>4482</v>
      </c>
    </row>
    <row r="1580" spans="1:16" x14ac:dyDescent="0.35">
      <c r="A1580" t="s">
        <v>124</v>
      </c>
      <c r="B1580">
        <v>1701216134</v>
      </c>
      <c r="C1580" t="s">
        <v>18</v>
      </c>
      <c r="D1580" t="s">
        <v>20</v>
      </c>
      <c r="E1580" s="29">
        <v>46205</v>
      </c>
      <c r="F1580" t="s">
        <v>4</v>
      </c>
      <c r="G1580" s="28">
        <v>0.55208333333333337</v>
      </c>
      <c r="H1580" s="28">
        <v>0.55902777777777779</v>
      </c>
      <c r="I1580">
        <v>0</v>
      </c>
      <c r="J1580" t="s">
        <v>146</v>
      </c>
      <c r="K1580">
        <v>0</v>
      </c>
      <c r="L1580" t="s">
        <v>147</v>
      </c>
      <c r="M1580" t="s">
        <v>4483</v>
      </c>
      <c r="N1580" t="s">
        <v>4484</v>
      </c>
      <c r="O1580" t="s">
        <v>4485</v>
      </c>
      <c r="P1580" t="s">
        <v>4486</v>
      </c>
    </row>
    <row r="1581" spans="1:16" x14ac:dyDescent="0.35">
      <c r="A1581" t="s">
        <v>124</v>
      </c>
      <c r="B1581">
        <v>1701216134</v>
      </c>
      <c r="C1581" t="s">
        <v>18</v>
      </c>
      <c r="D1581" t="s">
        <v>20</v>
      </c>
      <c r="E1581" s="29">
        <v>46205</v>
      </c>
      <c r="F1581" t="s">
        <v>4</v>
      </c>
      <c r="G1581" s="28">
        <v>0.56597222222222221</v>
      </c>
      <c r="H1581" s="28">
        <v>0.56597222222222221</v>
      </c>
      <c r="I1581">
        <v>0</v>
      </c>
      <c r="J1581" t="s">
        <v>174</v>
      </c>
      <c r="K1581">
        <v>0</v>
      </c>
      <c r="L1581" t="s">
        <v>1089</v>
      </c>
      <c r="M1581" t="s">
        <v>4487</v>
      </c>
      <c r="N1581" t="s">
        <v>4488</v>
      </c>
      <c r="O1581" t="s">
        <v>4489</v>
      </c>
      <c r="P1581" t="s">
        <v>4490</v>
      </c>
    </row>
    <row r="1582" spans="1:16" x14ac:dyDescent="0.35">
      <c r="A1582" t="s">
        <v>124</v>
      </c>
      <c r="B1582">
        <v>1701216134</v>
      </c>
      <c r="C1582" t="s">
        <v>18</v>
      </c>
      <c r="D1582" t="s">
        <v>20</v>
      </c>
      <c r="E1582" s="29">
        <v>46205</v>
      </c>
      <c r="F1582" t="s">
        <v>4</v>
      </c>
      <c r="G1582" s="28">
        <v>0.57291666666666663</v>
      </c>
      <c r="H1582" s="28">
        <v>0.57291666666666663</v>
      </c>
      <c r="I1582">
        <v>0</v>
      </c>
      <c r="J1582" t="s">
        <v>174</v>
      </c>
      <c r="K1582">
        <v>0</v>
      </c>
      <c r="L1582" t="s">
        <v>1672</v>
      </c>
      <c r="M1582" t="s">
        <v>4491</v>
      </c>
      <c r="N1582" t="s">
        <v>4492</v>
      </c>
      <c r="O1582" t="s">
        <v>4493</v>
      </c>
      <c r="P1582" t="s">
        <v>4494</v>
      </c>
    </row>
    <row r="1583" spans="1:16" x14ac:dyDescent="0.35">
      <c r="A1583" t="s">
        <v>124</v>
      </c>
      <c r="B1583">
        <v>1701216134</v>
      </c>
      <c r="C1583" t="s">
        <v>18</v>
      </c>
      <c r="D1583" t="s">
        <v>20</v>
      </c>
      <c r="E1583" s="29">
        <v>46205</v>
      </c>
      <c r="F1583" t="s">
        <v>4</v>
      </c>
      <c r="G1583" s="28">
        <v>0.57986111111111116</v>
      </c>
      <c r="H1583" s="28">
        <v>0.57986111111111116</v>
      </c>
      <c r="I1583">
        <v>0</v>
      </c>
      <c r="J1583" t="s">
        <v>174</v>
      </c>
      <c r="K1583">
        <v>0</v>
      </c>
      <c r="L1583" t="s">
        <v>4495</v>
      </c>
      <c r="M1583" t="s">
        <v>4496</v>
      </c>
      <c r="N1583" t="s">
        <v>4497</v>
      </c>
      <c r="O1583" t="s">
        <v>4498</v>
      </c>
      <c r="P1583" t="s">
        <v>4499</v>
      </c>
    </row>
    <row r="1584" spans="1:16" x14ac:dyDescent="0.35">
      <c r="A1584" t="s">
        <v>124</v>
      </c>
      <c r="B1584">
        <v>1701216134</v>
      </c>
      <c r="C1584" t="s">
        <v>18</v>
      </c>
      <c r="D1584" t="s">
        <v>20</v>
      </c>
      <c r="E1584" s="29">
        <v>46205</v>
      </c>
      <c r="F1584" t="s">
        <v>4</v>
      </c>
      <c r="G1584" s="28">
        <v>0.58680555555555558</v>
      </c>
      <c r="H1584" s="28">
        <v>0.58680555555555558</v>
      </c>
      <c r="I1584">
        <v>0</v>
      </c>
      <c r="J1584" t="s">
        <v>174</v>
      </c>
      <c r="K1584">
        <v>0</v>
      </c>
      <c r="L1584" t="s">
        <v>815</v>
      </c>
      <c r="M1584" t="s">
        <v>4500</v>
      </c>
      <c r="N1584" t="s">
        <v>4501</v>
      </c>
      <c r="O1584" t="s">
        <v>4502</v>
      </c>
      <c r="P1584" t="s">
        <v>4503</v>
      </c>
    </row>
    <row r="1585" spans="1:16" x14ac:dyDescent="0.35">
      <c r="A1585" t="s">
        <v>124</v>
      </c>
      <c r="B1585">
        <v>1701216134</v>
      </c>
      <c r="C1585" t="s">
        <v>18</v>
      </c>
      <c r="D1585" t="s">
        <v>20</v>
      </c>
      <c r="E1585" s="29">
        <v>46205</v>
      </c>
      <c r="F1585" t="s">
        <v>4</v>
      </c>
      <c r="G1585" s="28">
        <v>0.59375</v>
      </c>
      <c r="H1585" s="28">
        <v>0.59375</v>
      </c>
      <c r="I1585">
        <v>0</v>
      </c>
      <c r="J1585" t="s">
        <v>174</v>
      </c>
      <c r="K1585">
        <v>0</v>
      </c>
      <c r="L1585" t="s">
        <v>4504</v>
      </c>
      <c r="M1585" t="s">
        <v>4505</v>
      </c>
      <c r="N1585" t="s">
        <v>4506</v>
      </c>
      <c r="O1585" t="s">
        <v>4507</v>
      </c>
      <c r="P1585" t="s">
        <v>4508</v>
      </c>
    </row>
    <row r="1586" spans="1:16" x14ac:dyDescent="0.35">
      <c r="A1586" t="s">
        <v>124</v>
      </c>
      <c r="B1586">
        <v>1701216134</v>
      </c>
      <c r="C1586" t="s">
        <v>18</v>
      </c>
      <c r="D1586" t="s">
        <v>20</v>
      </c>
      <c r="E1586" s="29">
        <v>46205</v>
      </c>
      <c r="F1586" t="s">
        <v>4</v>
      </c>
      <c r="G1586" s="28">
        <v>0.60069444444444442</v>
      </c>
      <c r="H1586" s="28">
        <v>0.60069444444444442</v>
      </c>
      <c r="I1586">
        <v>0</v>
      </c>
      <c r="J1586" t="s">
        <v>174</v>
      </c>
      <c r="K1586">
        <v>0</v>
      </c>
      <c r="L1586" t="s">
        <v>4509</v>
      </c>
      <c r="M1586" t="s">
        <v>4510</v>
      </c>
      <c r="N1586" t="s">
        <v>4511</v>
      </c>
      <c r="O1586" t="s">
        <v>4512</v>
      </c>
      <c r="P1586" t="s">
        <v>4513</v>
      </c>
    </row>
    <row r="1587" spans="1:16" x14ac:dyDescent="0.35">
      <c r="A1587" t="s">
        <v>124</v>
      </c>
      <c r="B1587">
        <v>1701216134</v>
      </c>
      <c r="C1587" t="s">
        <v>18</v>
      </c>
      <c r="D1587" t="s">
        <v>20</v>
      </c>
      <c r="E1587" s="29">
        <v>46205</v>
      </c>
      <c r="F1587" t="s">
        <v>4</v>
      </c>
      <c r="G1587" s="28">
        <v>0.60763888888888884</v>
      </c>
      <c r="H1587" s="28">
        <v>0.60763888888888884</v>
      </c>
      <c r="I1587">
        <v>0</v>
      </c>
      <c r="J1587" t="s">
        <v>174</v>
      </c>
      <c r="K1587">
        <v>0</v>
      </c>
      <c r="L1587" t="s">
        <v>4514</v>
      </c>
      <c r="M1587" t="s">
        <v>4515</v>
      </c>
      <c r="N1587" t="s">
        <v>4516</v>
      </c>
      <c r="O1587" t="s">
        <v>4517</v>
      </c>
      <c r="P1587" t="s">
        <v>4518</v>
      </c>
    </row>
    <row r="1588" spans="1:16" x14ac:dyDescent="0.35">
      <c r="A1588" t="s">
        <v>124</v>
      </c>
      <c r="B1588">
        <v>1701216134</v>
      </c>
      <c r="C1588" t="s">
        <v>18</v>
      </c>
      <c r="D1588" t="s">
        <v>20</v>
      </c>
      <c r="E1588" s="29">
        <v>46205</v>
      </c>
      <c r="F1588" t="s">
        <v>4</v>
      </c>
      <c r="G1588" s="28">
        <v>0.61458333333333337</v>
      </c>
      <c r="H1588" s="28">
        <v>0.61458333333333337</v>
      </c>
      <c r="I1588">
        <v>0</v>
      </c>
      <c r="J1588" t="s">
        <v>174</v>
      </c>
      <c r="K1588">
        <v>0</v>
      </c>
      <c r="L1588" t="s">
        <v>1965</v>
      </c>
      <c r="M1588" t="s">
        <v>4519</v>
      </c>
      <c r="N1588" t="s">
        <v>4520</v>
      </c>
      <c r="O1588" t="s">
        <v>4521</v>
      </c>
      <c r="P1588" t="s">
        <v>4522</v>
      </c>
    </row>
    <row r="1589" spans="1:16" x14ac:dyDescent="0.35">
      <c r="A1589" t="s">
        <v>124</v>
      </c>
      <c r="B1589">
        <v>1701216134</v>
      </c>
      <c r="C1589" t="s">
        <v>18</v>
      </c>
      <c r="D1589" t="s">
        <v>20</v>
      </c>
      <c r="E1589" s="29">
        <v>46205</v>
      </c>
      <c r="F1589" t="s">
        <v>4</v>
      </c>
      <c r="G1589" s="28">
        <v>0.62152777777777779</v>
      </c>
      <c r="H1589" s="28">
        <v>0.62152777777777779</v>
      </c>
      <c r="I1589">
        <v>0</v>
      </c>
      <c r="J1589" t="s">
        <v>174</v>
      </c>
      <c r="K1589">
        <v>0</v>
      </c>
      <c r="L1589" t="s">
        <v>4523</v>
      </c>
      <c r="M1589" t="s">
        <v>4524</v>
      </c>
      <c r="N1589" t="s">
        <v>4525</v>
      </c>
      <c r="O1589" t="s">
        <v>4526</v>
      </c>
      <c r="P1589" t="s">
        <v>4527</v>
      </c>
    </row>
    <row r="1590" spans="1:16" x14ac:dyDescent="0.35">
      <c r="A1590" t="s">
        <v>124</v>
      </c>
      <c r="B1590">
        <v>1701216134</v>
      </c>
      <c r="C1590" t="s">
        <v>18</v>
      </c>
      <c r="D1590" t="s">
        <v>20</v>
      </c>
      <c r="E1590" s="29">
        <v>46205</v>
      </c>
      <c r="F1590" t="s">
        <v>4</v>
      </c>
      <c r="G1590" s="28">
        <v>0.62847222222222221</v>
      </c>
      <c r="H1590" s="28">
        <v>0.62847222222222221</v>
      </c>
      <c r="I1590">
        <v>0</v>
      </c>
      <c r="J1590" t="s">
        <v>174</v>
      </c>
      <c r="K1590">
        <v>0</v>
      </c>
      <c r="L1590" t="s">
        <v>4528</v>
      </c>
      <c r="M1590" t="s">
        <v>4529</v>
      </c>
      <c r="N1590" t="s">
        <v>4530</v>
      </c>
      <c r="O1590" t="s">
        <v>4531</v>
      </c>
      <c r="P1590" t="s">
        <v>4532</v>
      </c>
    </row>
    <row r="1591" spans="1:16" x14ac:dyDescent="0.35">
      <c r="A1591" t="s">
        <v>124</v>
      </c>
      <c r="B1591">
        <v>1701216134</v>
      </c>
      <c r="C1591" t="s">
        <v>18</v>
      </c>
      <c r="D1591" t="s">
        <v>20</v>
      </c>
      <c r="E1591" s="29">
        <v>46205</v>
      </c>
      <c r="F1591" t="s">
        <v>4</v>
      </c>
      <c r="G1591" s="28">
        <v>0.63541666666666663</v>
      </c>
      <c r="H1591" s="28">
        <v>0.63541666666666663</v>
      </c>
      <c r="I1591">
        <v>0</v>
      </c>
      <c r="J1591" t="s">
        <v>174</v>
      </c>
      <c r="K1591">
        <v>0</v>
      </c>
      <c r="L1591" t="s">
        <v>1266</v>
      </c>
      <c r="M1591" t="s">
        <v>4533</v>
      </c>
      <c r="N1591" t="s">
        <v>4534</v>
      </c>
      <c r="O1591" t="s">
        <v>4535</v>
      </c>
      <c r="P1591" t="s">
        <v>4536</v>
      </c>
    </row>
    <row r="1592" spans="1:16" x14ac:dyDescent="0.35">
      <c r="A1592" t="s">
        <v>124</v>
      </c>
      <c r="B1592">
        <v>1701216134</v>
      </c>
      <c r="C1592" t="s">
        <v>18</v>
      </c>
      <c r="D1592" t="s">
        <v>20</v>
      </c>
      <c r="E1592" s="29">
        <v>46205</v>
      </c>
      <c r="F1592" t="s">
        <v>4</v>
      </c>
      <c r="G1592" s="28">
        <v>0.64236111111111116</v>
      </c>
      <c r="H1592" s="28">
        <v>0.64236111111111116</v>
      </c>
      <c r="I1592">
        <v>0</v>
      </c>
      <c r="J1592" t="s">
        <v>174</v>
      </c>
      <c r="K1592">
        <v>0</v>
      </c>
      <c r="L1592" t="s">
        <v>4537</v>
      </c>
      <c r="M1592" t="s">
        <v>4538</v>
      </c>
      <c r="N1592" t="s">
        <v>4539</v>
      </c>
      <c r="O1592" t="s">
        <v>4540</v>
      </c>
      <c r="P1592" t="s">
        <v>4541</v>
      </c>
    </row>
    <row r="1593" spans="1:16" x14ac:dyDescent="0.35">
      <c r="A1593" t="s">
        <v>124</v>
      </c>
      <c r="B1593">
        <v>1701216134</v>
      </c>
      <c r="C1593" t="s">
        <v>18</v>
      </c>
      <c r="D1593" t="s">
        <v>20</v>
      </c>
      <c r="E1593" s="29">
        <v>46205</v>
      </c>
      <c r="F1593" t="s">
        <v>4</v>
      </c>
      <c r="G1593" s="28">
        <v>0.64930555555555558</v>
      </c>
      <c r="H1593" s="28">
        <v>0.64930555555555558</v>
      </c>
      <c r="I1593">
        <v>0</v>
      </c>
      <c r="J1593" t="s">
        <v>174</v>
      </c>
      <c r="K1593">
        <v>0</v>
      </c>
      <c r="L1593" t="s">
        <v>4542</v>
      </c>
      <c r="M1593" t="s">
        <v>4543</v>
      </c>
      <c r="N1593" t="s">
        <v>4544</v>
      </c>
      <c r="O1593" t="s">
        <v>4545</v>
      </c>
      <c r="P1593" t="s">
        <v>4546</v>
      </c>
    </row>
    <row r="1594" spans="1:16" x14ac:dyDescent="0.35">
      <c r="A1594" t="s">
        <v>124</v>
      </c>
      <c r="B1594">
        <v>1701216134</v>
      </c>
      <c r="C1594" t="s">
        <v>18</v>
      </c>
      <c r="D1594" t="s">
        <v>20</v>
      </c>
      <c r="E1594" s="29">
        <v>46205</v>
      </c>
      <c r="F1594" t="s">
        <v>4</v>
      </c>
      <c r="G1594" s="28">
        <v>0.65625</v>
      </c>
      <c r="H1594" s="28">
        <v>0.65625</v>
      </c>
      <c r="I1594">
        <v>0</v>
      </c>
      <c r="J1594" t="s">
        <v>174</v>
      </c>
      <c r="K1594">
        <v>0</v>
      </c>
      <c r="L1594" t="s">
        <v>4547</v>
      </c>
      <c r="M1594" t="s">
        <v>4548</v>
      </c>
      <c r="N1594" t="s">
        <v>4549</v>
      </c>
      <c r="O1594" t="s">
        <v>4550</v>
      </c>
      <c r="P1594" t="s">
        <v>4551</v>
      </c>
    </row>
    <row r="1595" spans="1:16" x14ac:dyDescent="0.35">
      <c r="A1595" t="s">
        <v>124</v>
      </c>
      <c r="B1595">
        <v>1701216134</v>
      </c>
      <c r="C1595" t="s">
        <v>18</v>
      </c>
      <c r="D1595" t="s">
        <v>20</v>
      </c>
      <c r="E1595" s="29">
        <v>46205</v>
      </c>
      <c r="F1595" t="s">
        <v>4</v>
      </c>
      <c r="G1595" s="28">
        <v>0.66319444444444442</v>
      </c>
      <c r="H1595" s="28">
        <v>0.66319444444444442</v>
      </c>
      <c r="I1595">
        <v>0</v>
      </c>
      <c r="J1595" t="s">
        <v>174</v>
      </c>
      <c r="K1595">
        <v>0</v>
      </c>
      <c r="L1595" t="s">
        <v>690</v>
      </c>
      <c r="M1595" t="s">
        <v>4552</v>
      </c>
      <c r="N1595" t="s">
        <v>4553</v>
      </c>
      <c r="O1595" t="s">
        <v>4554</v>
      </c>
      <c r="P1595" t="s">
        <v>4555</v>
      </c>
    </row>
    <row r="1596" spans="1:16" x14ac:dyDescent="0.35">
      <c r="A1596" t="s">
        <v>124</v>
      </c>
      <c r="B1596">
        <v>1701216134</v>
      </c>
      <c r="C1596" t="s">
        <v>18</v>
      </c>
      <c r="D1596" t="s">
        <v>20</v>
      </c>
      <c r="E1596" s="29">
        <v>46205</v>
      </c>
      <c r="F1596" t="s">
        <v>4</v>
      </c>
      <c r="G1596" s="28">
        <v>0.67013888888888884</v>
      </c>
      <c r="H1596" s="28">
        <v>0.67013888888888884</v>
      </c>
      <c r="I1596">
        <v>0</v>
      </c>
      <c r="J1596" t="s">
        <v>174</v>
      </c>
      <c r="K1596">
        <v>0</v>
      </c>
      <c r="L1596" t="s">
        <v>4556</v>
      </c>
      <c r="M1596" t="s">
        <v>4557</v>
      </c>
      <c r="N1596" t="s">
        <v>4558</v>
      </c>
      <c r="O1596" t="s">
        <v>4559</v>
      </c>
      <c r="P1596" t="s">
        <v>4560</v>
      </c>
    </row>
    <row r="1597" spans="1:16" x14ac:dyDescent="0.35">
      <c r="A1597" t="s">
        <v>124</v>
      </c>
      <c r="B1597">
        <v>1701216134</v>
      </c>
      <c r="C1597" t="s">
        <v>18</v>
      </c>
      <c r="D1597" t="s">
        <v>20</v>
      </c>
      <c r="E1597" s="29">
        <v>46205</v>
      </c>
      <c r="F1597" t="s">
        <v>4</v>
      </c>
      <c r="G1597" s="28">
        <v>0.67708333333333337</v>
      </c>
      <c r="H1597" s="28">
        <v>0.67708333333333337</v>
      </c>
      <c r="I1597">
        <v>0</v>
      </c>
      <c r="J1597" t="s">
        <v>174</v>
      </c>
      <c r="K1597">
        <v>0</v>
      </c>
      <c r="L1597" t="s">
        <v>1430</v>
      </c>
      <c r="M1597" t="s">
        <v>3326</v>
      </c>
      <c r="N1597" t="s">
        <v>3327</v>
      </c>
      <c r="O1597" t="s">
        <v>3328</v>
      </c>
      <c r="P1597" t="s">
        <v>3329</v>
      </c>
    </row>
    <row r="1598" spans="1:16" x14ac:dyDescent="0.35">
      <c r="A1598" t="s">
        <v>124</v>
      </c>
      <c r="B1598">
        <v>1701216134</v>
      </c>
      <c r="C1598" t="s">
        <v>18</v>
      </c>
      <c r="D1598" t="s">
        <v>20</v>
      </c>
      <c r="E1598" s="29">
        <v>46205</v>
      </c>
      <c r="F1598" t="s">
        <v>4</v>
      </c>
      <c r="G1598" s="28">
        <v>0.68402777777777779</v>
      </c>
      <c r="H1598" s="28">
        <v>0.68402777777777779</v>
      </c>
      <c r="I1598">
        <v>0</v>
      </c>
      <c r="J1598" t="s">
        <v>174</v>
      </c>
      <c r="K1598">
        <v>0</v>
      </c>
      <c r="L1598" t="s">
        <v>1947</v>
      </c>
      <c r="M1598" t="s">
        <v>4561</v>
      </c>
      <c r="N1598" t="s">
        <v>4562</v>
      </c>
      <c r="O1598" t="s">
        <v>4563</v>
      </c>
      <c r="P1598" t="s">
        <v>4564</v>
      </c>
    </row>
    <row r="1599" spans="1:16" x14ac:dyDescent="0.35">
      <c r="A1599" t="s">
        <v>124</v>
      </c>
      <c r="B1599">
        <v>1701216134</v>
      </c>
      <c r="C1599" t="s">
        <v>18</v>
      </c>
      <c r="D1599" t="s">
        <v>20</v>
      </c>
      <c r="E1599" s="29">
        <v>46205</v>
      </c>
      <c r="F1599" t="s">
        <v>4</v>
      </c>
      <c r="G1599" s="28">
        <v>0.69097222222222221</v>
      </c>
      <c r="H1599" s="28">
        <v>0.69097222222222221</v>
      </c>
      <c r="I1599">
        <v>0</v>
      </c>
      <c r="J1599" t="s">
        <v>174</v>
      </c>
      <c r="K1599">
        <v>0</v>
      </c>
      <c r="L1599" t="s">
        <v>4565</v>
      </c>
      <c r="M1599" t="s">
        <v>4566</v>
      </c>
      <c r="N1599" t="s">
        <v>4567</v>
      </c>
      <c r="O1599" t="s">
        <v>4568</v>
      </c>
      <c r="P1599" t="s">
        <v>4569</v>
      </c>
    </row>
    <row r="1600" spans="1:16" x14ac:dyDescent="0.35">
      <c r="A1600" t="s">
        <v>124</v>
      </c>
      <c r="B1600">
        <v>1701216134</v>
      </c>
      <c r="C1600" t="s">
        <v>18</v>
      </c>
      <c r="D1600" t="s">
        <v>20</v>
      </c>
      <c r="E1600" s="29">
        <v>46205</v>
      </c>
      <c r="F1600" t="s">
        <v>4</v>
      </c>
      <c r="G1600" s="28">
        <v>0.69791666666666663</v>
      </c>
      <c r="H1600" s="28">
        <v>0.70486111111111116</v>
      </c>
      <c r="I1600">
        <v>0</v>
      </c>
      <c r="J1600" t="s">
        <v>146</v>
      </c>
      <c r="K1600">
        <v>1</v>
      </c>
      <c r="L1600" t="s">
        <v>147</v>
      </c>
      <c r="M1600" t="s">
        <v>3211</v>
      </c>
      <c r="N1600" t="s">
        <v>3212</v>
      </c>
      <c r="O1600" t="s">
        <v>3213</v>
      </c>
      <c r="P1600" t="s">
        <v>3214</v>
      </c>
    </row>
    <row r="1601" spans="1:16" x14ac:dyDescent="0.35">
      <c r="A1601" t="s">
        <v>124</v>
      </c>
      <c r="B1601">
        <v>1701216134</v>
      </c>
      <c r="C1601" t="s">
        <v>18</v>
      </c>
      <c r="D1601" t="s">
        <v>20</v>
      </c>
      <c r="E1601" s="29">
        <v>46205</v>
      </c>
      <c r="F1601" t="s">
        <v>4</v>
      </c>
      <c r="G1601" s="28">
        <v>0.71180555555555558</v>
      </c>
      <c r="H1601" s="28">
        <v>0.71180555555555558</v>
      </c>
      <c r="I1601">
        <v>0</v>
      </c>
      <c r="J1601" t="s">
        <v>174</v>
      </c>
      <c r="K1601">
        <v>0</v>
      </c>
      <c r="L1601" t="s">
        <v>4262</v>
      </c>
      <c r="M1601" t="s">
        <v>4570</v>
      </c>
      <c r="N1601" t="s">
        <v>4571</v>
      </c>
      <c r="O1601" t="s">
        <v>4572</v>
      </c>
      <c r="P1601" t="s">
        <v>4573</v>
      </c>
    </row>
    <row r="1602" spans="1:16" x14ac:dyDescent="0.35">
      <c r="A1602" t="s">
        <v>124</v>
      </c>
      <c r="B1602">
        <v>1701216134</v>
      </c>
      <c r="C1602" t="s">
        <v>18</v>
      </c>
      <c r="D1602" t="s">
        <v>20</v>
      </c>
      <c r="E1602" s="29">
        <v>46205</v>
      </c>
      <c r="F1602" t="s">
        <v>4</v>
      </c>
      <c r="G1602" s="28">
        <v>0.71875</v>
      </c>
      <c r="H1602" s="28">
        <v>0.71875</v>
      </c>
      <c r="I1602">
        <v>0</v>
      </c>
      <c r="J1602" t="s">
        <v>174</v>
      </c>
      <c r="K1602">
        <v>0</v>
      </c>
      <c r="L1602" t="s">
        <v>4574</v>
      </c>
      <c r="M1602" t="s">
        <v>4575</v>
      </c>
      <c r="N1602" t="s">
        <v>4576</v>
      </c>
      <c r="O1602" t="s">
        <v>4577</v>
      </c>
      <c r="P1602" t="s">
        <v>4578</v>
      </c>
    </row>
    <row r="1603" spans="1:16" x14ac:dyDescent="0.35">
      <c r="A1603" t="s">
        <v>124</v>
      </c>
      <c r="B1603">
        <v>1701216134</v>
      </c>
      <c r="C1603" t="s">
        <v>18</v>
      </c>
      <c r="D1603" t="s">
        <v>20</v>
      </c>
      <c r="E1603" s="29">
        <v>46205</v>
      </c>
      <c r="F1603" t="s">
        <v>4</v>
      </c>
      <c r="G1603" s="28">
        <v>0.72569444444444442</v>
      </c>
      <c r="H1603" s="28">
        <v>0.72569444444444442</v>
      </c>
      <c r="I1603">
        <v>0</v>
      </c>
      <c r="J1603" t="s">
        <v>174</v>
      </c>
      <c r="K1603">
        <v>0</v>
      </c>
      <c r="L1603" t="s">
        <v>2300</v>
      </c>
      <c r="M1603" t="s">
        <v>4579</v>
      </c>
      <c r="N1603" t="s">
        <v>4580</v>
      </c>
      <c r="O1603" t="s">
        <v>4581</v>
      </c>
      <c r="P1603" t="s">
        <v>4582</v>
      </c>
    </row>
    <row r="1604" spans="1:16" x14ac:dyDescent="0.35">
      <c r="A1604" t="s">
        <v>124</v>
      </c>
      <c r="B1604">
        <v>1701216134</v>
      </c>
      <c r="C1604" t="s">
        <v>18</v>
      </c>
      <c r="D1604" t="s">
        <v>20</v>
      </c>
      <c r="E1604" s="29">
        <v>46205</v>
      </c>
      <c r="F1604" t="s">
        <v>4</v>
      </c>
      <c r="G1604" s="28">
        <v>0.73263888888888884</v>
      </c>
      <c r="H1604" s="28">
        <v>0.73263888888888884</v>
      </c>
      <c r="I1604">
        <v>0</v>
      </c>
      <c r="J1604" t="s">
        <v>174</v>
      </c>
      <c r="K1604">
        <v>0</v>
      </c>
      <c r="L1604" t="s">
        <v>4583</v>
      </c>
      <c r="M1604" t="s">
        <v>4584</v>
      </c>
      <c r="N1604" t="s">
        <v>4585</v>
      </c>
      <c r="O1604" t="s">
        <v>4586</v>
      </c>
      <c r="P1604" t="s">
        <v>4587</v>
      </c>
    </row>
    <row r="1605" spans="1:16" x14ac:dyDescent="0.35">
      <c r="A1605" t="s">
        <v>124</v>
      </c>
      <c r="B1605">
        <v>1701216134</v>
      </c>
      <c r="C1605" t="s">
        <v>18</v>
      </c>
      <c r="D1605" t="s">
        <v>20</v>
      </c>
      <c r="E1605" s="29">
        <v>46205</v>
      </c>
      <c r="F1605" t="s">
        <v>4</v>
      </c>
      <c r="G1605" s="28">
        <v>0.73958333333333337</v>
      </c>
      <c r="H1605" s="28">
        <v>0.73958333333333337</v>
      </c>
      <c r="I1605">
        <v>0</v>
      </c>
      <c r="J1605" t="s">
        <v>174</v>
      </c>
      <c r="K1605">
        <v>0</v>
      </c>
      <c r="L1605" t="s">
        <v>4588</v>
      </c>
      <c r="M1605" t="s">
        <v>4589</v>
      </c>
      <c r="N1605" t="s">
        <v>4590</v>
      </c>
      <c r="O1605" t="s">
        <v>4591</v>
      </c>
      <c r="P1605" t="s">
        <v>4592</v>
      </c>
    </row>
    <row r="1606" spans="1:16" x14ac:dyDescent="0.35">
      <c r="A1606" t="s">
        <v>124</v>
      </c>
      <c r="B1606">
        <v>1701216134</v>
      </c>
      <c r="C1606" t="s">
        <v>18</v>
      </c>
      <c r="D1606" t="s">
        <v>20</v>
      </c>
      <c r="E1606" s="29">
        <v>46205</v>
      </c>
      <c r="F1606" t="s">
        <v>4</v>
      </c>
      <c r="G1606" s="28">
        <v>0.74652777777777779</v>
      </c>
      <c r="H1606" s="28">
        <v>0.74652777777777779</v>
      </c>
      <c r="I1606">
        <v>0</v>
      </c>
      <c r="J1606" t="s">
        <v>174</v>
      </c>
      <c r="K1606">
        <v>0</v>
      </c>
      <c r="L1606" t="s">
        <v>1027</v>
      </c>
      <c r="M1606" t="s">
        <v>4593</v>
      </c>
      <c r="N1606" t="s">
        <v>4594</v>
      </c>
      <c r="O1606" t="s">
        <v>4595</v>
      </c>
      <c r="P1606" t="s">
        <v>4596</v>
      </c>
    </row>
    <row r="1607" spans="1:16" x14ac:dyDescent="0.35">
      <c r="A1607" t="s">
        <v>124</v>
      </c>
      <c r="B1607">
        <v>1701216134</v>
      </c>
      <c r="C1607" t="s">
        <v>18</v>
      </c>
      <c r="D1607" t="s">
        <v>20</v>
      </c>
      <c r="E1607" s="29">
        <v>46205</v>
      </c>
      <c r="F1607" t="s">
        <v>4</v>
      </c>
      <c r="G1607" s="28">
        <v>0.75347222222222221</v>
      </c>
      <c r="H1607" s="28">
        <v>0.75347222222222221</v>
      </c>
      <c r="I1607">
        <v>0</v>
      </c>
      <c r="J1607" t="s">
        <v>174</v>
      </c>
      <c r="K1607">
        <v>0</v>
      </c>
      <c r="L1607" t="s">
        <v>1574</v>
      </c>
      <c r="M1607" t="s">
        <v>4597</v>
      </c>
      <c r="N1607" t="s">
        <v>4598</v>
      </c>
      <c r="O1607" t="s">
        <v>4599</v>
      </c>
      <c r="P1607" t="s">
        <v>4600</v>
      </c>
    </row>
    <row r="1608" spans="1:16" x14ac:dyDescent="0.35">
      <c r="A1608" t="s">
        <v>124</v>
      </c>
      <c r="B1608">
        <v>1701216134</v>
      </c>
      <c r="C1608" t="s">
        <v>18</v>
      </c>
      <c r="D1608" t="s">
        <v>20</v>
      </c>
      <c r="E1608" s="29">
        <v>46205</v>
      </c>
      <c r="F1608" t="s">
        <v>4</v>
      </c>
      <c r="G1608" s="28">
        <v>0.76041666666666663</v>
      </c>
      <c r="H1608" s="28">
        <v>0.76041666666666663</v>
      </c>
      <c r="I1608">
        <v>0</v>
      </c>
      <c r="J1608" t="s">
        <v>174</v>
      </c>
      <c r="K1608">
        <v>0</v>
      </c>
      <c r="L1608" t="s">
        <v>4601</v>
      </c>
      <c r="M1608" t="s">
        <v>4602</v>
      </c>
      <c r="N1608" t="s">
        <v>4603</v>
      </c>
      <c r="O1608" t="s">
        <v>4604</v>
      </c>
      <c r="P1608" t="s">
        <v>4605</v>
      </c>
    </row>
    <row r="1609" spans="1:16" x14ac:dyDescent="0.35">
      <c r="A1609" t="s">
        <v>124</v>
      </c>
      <c r="B1609">
        <v>1701216134</v>
      </c>
      <c r="C1609" t="s">
        <v>18</v>
      </c>
      <c r="D1609" t="s">
        <v>20</v>
      </c>
      <c r="E1609" s="29">
        <v>46205</v>
      </c>
      <c r="F1609" t="s">
        <v>4</v>
      </c>
      <c r="G1609" s="28">
        <v>0.76736111111111116</v>
      </c>
      <c r="H1609" s="28">
        <v>0.76736111111111116</v>
      </c>
      <c r="I1609">
        <v>0</v>
      </c>
      <c r="J1609" t="s">
        <v>174</v>
      </c>
      <c r="K1609">
        <v>0</v>
      </c>
      <c r="L1609" t="s">
        <v>2623</v>
      </c>
      <c r="M1609" t="s">
        <v>4606</v>
      </c>
      <c r="N1609" t="s">
        <v>4607</v>
      </c>
      <c r="O1609" t="s">
        <v>4608</v>
      </c>
      <c r="P1609" t="s">
        <v>4609</v>
      </c>
    </row>
    <row r="1610" spans="1:16" x14ac:dyDescent="0.35">
      <c r="A1610" t="s">
        <v>124</v>
      </c>
      <c r="B1610">
        <v>1701216134</v>
      </c>
      <c r="C1610" t="s">
        <v>18</v>
      </c>
      <c r="D1610" t="s">
        <v>20</v>
      </c>
      <c r="E1610" s="29">
        <v>46205</v>
      </c>
      <c r="F1610" t="s">
        <v>4</v>
      </c>
      <c r="G1610" s="28">
        <v>0.77430555555555558</v>
      </c>
      <c r="H1610" s="28">
        <v>0.78125</v>
      </c>
      <c r="I1610">
        <v>0</v>
      </c>
      <c r="J1610" t="s">
        <v>146</v>
      </c>
      <c r="K1610">
        <v>0</v>
      </c>
      <c r="L1610" t="s">
        <v>147</v>
      </c>
      <c r="M1610" t="s">
        <v>4610</v>
      </c>
      <c r="N1610" t="s">
        <v>4611</v>
      </c>
      <c r="O1610" t="s">
        <v>4612</v>
      </c>
      <c r="P1610" t="s">
        <v>4613</v>
      </c>
    </row>
    <row r="1611" spans="1:16" x14ac:dyDescent="0.35">
      <c r="A1611" t="s">
        <v>124</v>
      </c>
      <c r="B1611">
        <v>1701216134</v>
      </c>
      <c r="C1611" t="s">
        <v>18</v>
      </c>
      <c r="D1611" t="s">
        <v>20</v>
      </c>
      <c r="E1611" s="29">
        <v>46205</v>
      </c>
      <c r="F1611" t="s">
        <v>4</v>
      </c>
      <c r="G1611" s="28">
        <v>0.78819444444444442</v>
      </c>
      <c r="H1611" s="28">
        <v>0.78819444444444442</v>
      </c>
      <c r="I1611">
        <v>0</v>
      </c>
      <c r="J1611" t="s">
        <v>174</v>
      </c>
      <c r="K1611">
        <v>0</v>
      </c>
      <c r="L1611" t="s">
        <v>323</v>
      </c>
      <c r="M1611" t="s">
        <v>4610</v>
      </c>
      <c r="N1611" t="s">
        <v>4614</v>
      </c>
      <c r="O1611" t="s">
        <v>4615</v>
      </c>
      <c r="P1611" t="s">
        <v>4616</v>
      </c>
    </row>
    <row r="1612" spans="1:16" x14ac:dyDescent="0.35">
      <c r="A1612" t="s">
        <v>124</v>
      </c>
      <c r="B1612">
        <v>1701216134</v>
      </c>
      <c r="C1612" t="s">
        <v>18</v>
      </c>
      <c r="D1612" t="s">
        <v>20</v>
      </c>
      <c r="E1612" s="29">
        <v>46207</v>
      </c>
      <c r="F1612" t="s">
        <v>5</v>
      </c>
      <c r="G1612" s="28">
        <v>0.3923611111111111</v>
      </c>
      <c r="H1612" s="28">
        <v>0.39930555555555558</v>
      </c>
      <c r="I1612">
        <v>0</v>
      </c>
      <c r="J1612" t="s">
        <v>146</v>
      </c>
      <c r="K1612">
        <v>1</v>
      </c>
      <c r="L1612" t="s">
        <v>147</v>
      </c>
      <c r="M1612" t="s">
        <v>4617</v>
      </c>
      <c r="N1612" t="s">
        <v>4618</v>
      </c>
      <c r="O1612" t="s">
        <v>4619</v>
      </c>
      <c r="P1612" t="s">
        <v>4620</v>
      </c>
    </row>
    <row r="1613" spans="1:16" x14ac:dyDescent="0.35">
      <c r="A1613" t="s">
        <v>124</v>
      </c>
      <c r="B1613">
        <v>1701216134</v>
      </c>
      <c r="C1613" t="s">
        <v>18</v>
      </c>
      <c r="D1613" t="s">
        <v>20</v>
      </c>
      <c r="E1613" s="29">
        <v>46207</v>
      </c>
      <c r="F1613" t="s">
        <v>5</v>
      </c>
      <c r="G1613" s="28">
        <v>0.40625</v>
      </c>
      <c r="H1613" s="28">
        <v>0.40625</v>
      </c>
      <c r="I1613">
        <v>0</v>
      </c>
      <c r="J1613" t="s">
        <v>174</v>
      </c>
      <c r="K1613">
        <v>0</v>
      </c>
      <c r="L1613" t="s">
        <v>2772</v>
      </c>
      <c r="M1613" t="s">
        <v>4621</v>
      </c>
      <c r="N1613" t="s">
        <v>4622</v>
      </c>
      <c r="O1613" t="s">
        <v>4623</v>
      </c>
      <c r="P1613" t="s">
        <v>4624</v>
      </c>
    </row>
    <row r="1614" spans="1:16" x14ac:dyDescent="0.35">
      <c r="A1614" t="s">
        <v>124</v>
      </c>
      <c r="B1614">
        <v>1701216134</v>
      </c>
      <c r="C1614" t="s">
        <v>18</v>
      </c>
      <c r="D1614" t="s">
        <v>20</v>
      </c>
      <c r="E1614" s="29">
        <v>46207</v>
      </c>
      <c r="F1614" t="s">
        <v>5</v>
      </c>
      <c r="G1614" s="28">
        <v>0.41319444444444442</v>
      </c>
      <c r="H1614" s="28">
        <v>0.41319444444444442</v>
      </c>
      <c r="I1614">
        <v>0</v>
      </c>
      <c r="J1614" t="s">
        <v>174</v>
      </c>
      <c r="K1614">
        <v>0</v>
      </c>
      <c r="L1614" t="s">
        <v>2772</v>
      </c>
      <c r="M1614" t="s">
        <v>4617</v>
      </c>
      <c r="N1614" t="s">
        <v>4618</v>
      </c>
      <c r="O1614" t="s">
        <v>4619</v>
      </c>
      <c r="P1614" t="s">
        <v>4620</v>
      </c>
    </row>
    <row r="1615" spans="1:16" x14ac:dyDescent="0.35">
      <c r="A1615" t="s">
        <v>124</v>
      </c>
      <c r="B1615">
        <v>1701216134</v>
      </c>
      <c r="C1615" t="s">
        <v>18</v>
      </c>
      <c r="D1615" t="s">
        <v>20</v>
      </c>
      <c r="E1615" s="29">
        <v>46207</v>
      </c>
      <c r="F1615" t="s">
        <v>5</v>
      </c>
      <c r="G1615" s="28">
        <v>0.4201388888888889</v>
      </c>
      <c r="H1615" s="28">
        <v>0.4201388888888889</v>
      </c>
      <c r="I1615">
        <v>0</v>
      </c>
      <c r="J1615" t="s">
        <v>174</v>
      </c>
      <c r="K1615">
        <v>0</v>
      </c>
      <c r="L1615" t="s">
        <v>2772</v>
      </c>
      <c r="M1615" t="s">
        <v>4621</v>
      </c>
      <c r="N1615" t="s">
        <v>4622</v>
      </c>
      <c r="O1615" t="s">
        <v>4623</v>
      </c>
      <c r="P1615" t="s">
        <v>4624</v>
      </c>
    </row>
    <row r="1616" spans="1:16" x14ac:dyDescent="0.35">
      <c r="A1616" t="s">
        <v>124</v>
      </c>
      <c r="B1616">
        <v>1701216134</v>
      </c>
      <c r="C1616" t="s">
        <v>18</v>
      </c>
      <c r="D1616" t="s">
        <v>20</v>
      </c>
      <c r="E1616" s="29">
        <v>46207</v>
      </c>
      <c r="F1616" t="s">
        <v>5</v>
      </c>
      <c r="G1616" s="28">
        <v>0.42708333333333331</v>
      </c>
      <c r="H1616" s="28">
        <v>0.42708333333333331</v>
      </c>
      <c r="I1616">
        <v>0</v>
      </c>
      <c r="J1616" t="s">
        <v>174</v>
      </c>
      <c r="K1616">
        <v>0</v>
      </c>
      <c r="L1616" t="s">
        <v>775</v>
      </c>
      <c r="M1616" t="s">
        <v>4617</v>
      </c>
      <c r="N1616" t="s">
        <v>4618</v>
      </c>
      <c r="O1616" t="s">
        <v>4619</v>
      </c>
      <c r="P1616" t="s">
        <v>4620</v>
      </c>
    </row>
    <row r="1617" spans="1:16" x14ac:dyDescent="0.35">
      <c r="A1617" t="s">
        <v>124</v>
      </c>
      <c r="B1617">
        <v>1701216134</v>
      </c>
      <c r="C1617" t="s">
        <v>18</v>
      </c>
      <c r="D1617" t="s">
        <v>20</v>
      </c>
      <c r="E1617" s="29">
        <v>46207</v>
      </c>
      <c r="F1617" t="s">
        <v>5</v>
      </c>
      <c r="G1617" s="28">
        <v>0.43402777777777779</v>
      </c>
      <c r="H1617" s="28">
        <v>0.43402777777777779</v>
      </c>
      <c r="I1617">
        <v>0</v>
      </c>
      <c r="J1617" t="s">
        <v>174</v>
      </c>
      <c r="K1617">
        <v>0</v>
      </c>
      <c r="L1617" t="s">
        <v>323</v>
      </c>
      <c r="M1617" t="s">
        <v>4625</v>
      </c>
      <c r="N1617" t="s">
        <v>4626</v>
      </c>
      <c r="O1617" t="s">
        <v>4627</v>
      </c>
      <c r="P1617" t="s">
        <v>4628</v>
      </c>
    </row>
    <row r="1618" spans="1:16" x14ac:dyDescent="0.35">
      <c r="A1618" t="s">
        <v>124</v>
      </c>
      <c r="B1618">
        <v>1701216134</v>
      </c>
      <c r="C1618" t="s">
        <v>18</v>
      </c>
      <c r="D1618" t="s">
        <v>20</v>
      </c>
      <c r="E1618" s="29">
        <v>46207</v>
      </c>
      <c r="F1618" t="s">
        <v>5</v>
      </c>
      <c r="G1618" s="28">
        <v>0.44097222222222221</v>
      </c>
      <c r="H1618" s="28">
        <v>0.44097222222222221</v>
      </c>
      <c r="I1618">
        <v>0</v>
      </c>
      <c r="J1618" t="s">
        <v>174</v>
      </c>
      <c r="K1618">
        <v>0</v>
      </c>
      <c r="L1618" t="s">
        <v>4629</v>
      </c>
      <c r="M1618" t="s">
        <v>4610</v>
      </c>
      <c r="N1618" t="s">
        <v>4614</v>
      </c>
      <c r="O1618" t="s">
        <v>4615</v>
      </c>
      <c r="P1618" t="s">
        <v>4616</v>
      </c>
    </row>
    <row r="1619" spans="1:16" x14ac:dyDescent="0.35">
      <c r="A1619" t="s">
        <v>124</v>
      </c>
      <c r="B1619">
        <v>1701216134</v>
      </c>
      <c r="C1619" t="s">
        <v>18</v>
      </c>
      <c r="D1619" t="s">
        <v>20</v>
      </c>
      <c r="E1619" s="29">
        <v>46207</v>
      </c>
      <c r="F1619" t="s">
        <v>5</v>
      </c>
      <c r="G1619" s="28">
        <v>0.44861111111111113</v>
      </c>
      <c r="H1619" s="28">
        <v>0.44861111111111113</v>
      </c>
      <c r="I1619">
        <v>0</v>
      </c>
      <c r="J1619" t="s">
        <v>174</v>
      </c>
      <c r="K1619">
        <v>0</v>
      </c>
      <c r="L1619" t="s">
        <v>4630</v>
      </c>
      <c r="M1619" t="s">
        <v>4631</v>
      </c>
      <c r="N1619" t="s">
        <v>4632</v>
      </c>
      <c r="O1619" t="s">
        <v>4633</v>
      </c>
      <c r="P1619" t="s">
        <v>4634</v>
      </c>
    </row>
    <row r="1620" spans="1:16" x14ac:dyDescent="0.35">
      <c r="A1620" t="s">
        <v>124</v>
      </c>
      <c r="B1620">
        <v>1701216134</v>
      </c>
      <c r="C1620" t="s">
        <v>18</v>
      </c>
      <c r="D1620" t="s">
        <v>20</v>
      </c>
      <c r="E1620" s="29">
        <v>46207</v>
      </c>
      <c r="F1620" t="s">
        <v>5</v>
      </c>
      <c r="G1620" s="28">
        <v>0.4548611111111111</v>
      </c>
      <c r="H1620" s="28">
        <v>0.4548611111111111</v>
      </c>
      <c r="I1620">
        <v>0</v>
      </c>
      <c r="J1620" t="s">
        <v>174</v>
      </c>
      <c r="K1620">
        <v>0</v>
      </c>
      <c r="L1620" t="s">
        <v>4635</v>
      </c>
      <c r="M1620" t="s">
        <v>4610</v>
      </c>
      <c r="N1620" t="s">
        <v>4611</v>
      </c>
      <c r="O1620" t="s">
        <v>4612</v>
      </c>
      <c r="P1620" t="s">
        <v>4613</v>
      </c>
    </row>
    <row r="1621" spans="1:16" x14ac:dyDescent="0.35">
      <c r="A1621" t="s">
        <v>124</v>
      </c>
      <c r="B1621">
        <v>1701216134</v>
      </c>
      <c r="C1621" t="s">
        <v>18</v>
      </c>
      <c r="D1621" t="s">
        <v>20</v>
      </c>
      <c r="E1621" s="29">
        <v>46207</v>
      </c>
      <c r="F1621" t="s">
        <v>5</v>
      </c>
      <c r="G1621" s="28">
        <v>0.46180555555555558</v>
      </c>
      <c r="H1621" s="28">
        <v>0.46875</v>
      </c>
      <c r="I1621">
        <v>0</v>
      </c>
      <c r="J1621" t="s">
        <v>146</v>
      </c>
      <c r="K1621">
        <v>0</v>
      </c>
      <c r="L1621" t="s">
        <v>147</v>
      </c>
      <c r="M1621" t="s">
        <v>4610</v>
      </c>
      <c r="N1621" t="s">
        <v>4614</v>
      </c>
      <c r="O1621" t="s">
        <v>4615</v>
      </c>
      <c r="P1621" t="s">
        <v>4616</v>
      </c>
    </row>
    <row r="1622" spans="1:16" x14ac:dyDescent="0.35">
      <c r="A1622" t="s">
        <v>124</v>
      </c>
      <c r="B1622">
        <v>1701216134</v>
      </c>
      <c r="C1622" t="s">
        <v>18</v>
      </c>
      <c r="D1622" t="s">
        <v>20</v>
      </c>
      <c r="E1622" s="29">
        <v>46207</v>
      </c>
      <c r="F1622" t="s">
        <v>5</v>
      </c>
      <c r="G1622" s="28">
        <v>0.47569444444444442</v>
      </c>
      <c r="H1622" s="28">
        <v>0.47569444444444442</v>
      </c>
      <c r="I1622">
        <v>0</v>
      </c>
      <c r="J1622" t="s">
        <v>174</v>
      </c>
      <c r="K1622">
        <v>0</v>
      </c>
      <c r="L1622" t="s">
        <v>4636</v>
      </c>
      <c r="M1622" t="s">
        <v>4637</v>
      </c>
      <c r="N1622" t="s">
        <v>4638</v>
      </c>
      <c r="O1622" t="s">
        <v>4639</v>
      </c>
      <c r="P1622" t="s">
        <v>4613</v>
      </c>
    </row>
    <row r="1623" spans="1:16" x14ac:dyDescent="0.35">
      <c r="A1623" t="s">
        <v>124</v>
      </c>
      <c r="B1623">
        <v>1701216134</v>
      </c>
      <c r="C1623" t="s">
        <v>18</v>
      </c>
      <c r="D1623" t="s">
        <v>20</v>
      </c>
      <c r="E1623" s="29">
        <v>46207</v>
      </c>
      <c r="F1623" t="s">
        <v>5</v>
      </c>
      <c r="G1623" s="28">
        <v>0.4826388888888889</v>
      </c>
      <c r="H1623" s="28">
        <v>0.4826388888888889</v>
      </c>
      <c r="I1623">
        <v>0</v>
      </c>
      <c r="J1623" t="s">
        <v>174</v>
      </c>
      <c r="K1623">
        <v>0</v>
      </c>
      <c r="L1623" t="s">
        <v>2772</v>
      </c>
      <c r="M1623" t="s">
        <v>4617</v>
      </c>
      <c r="N1623" t="s">
        <v>4618</v>
      </c>
      <c r="O1623" t="s">
        <v>4619</v>
      </c>
      <c r="P1623" t="s">
        <v>4620</v>
      </c>
    </row>
    <row r="1624" spans="1:16" x14ac:dyDescent="0.35">
      <c r="A1624" t="s">
        <v>124</v>
      </c>
      <c r="B1624">
        <v>1701216134</v>
      </c>
      <c r="C1624" t="s">
        <v>18</v>
      </c>
      <c r="D1624" t="s">
        <v>20</v>
      </c>
      <c r="E1624" s="29">
        <v>46207</v>
      </c>
      <c r="F1624" t="s">
        <v>5</v>
      </c>
      <c r="G1624" s="28">
        <v>0.48958333333333331</v>
      </c>
      <c r="H1624" s="28">
        <v>0.49652777777777779</v>
      </c>
      <c r="I1624">
        <v>0</v>
      </c>
      <c r="J1624" t="s">
        <v>146</v>
      </c>
      <c r="K1624">
        <v>1</v>
      </c>
      <c r="L1624" t="s">
        <v>147</v>
      </c>
      <c r="M1624" t="s">
        <v>4621</v>
      </c>
      <c r="N1624" t="s">
        <v>4622</v>
      </c>
      <c r="O1624" t="s">
        <v>4623</v>
      </c>
      <c r="P1624" t="s">
        <v>4624</v>
      </c>
    </row>
    <row r="1625" spans="1:16" x14ac:dyDescent="0.35">
      <c r="A1625" t="s">
        <v>124</v>
      </c>
      <c r="B1625">
        <v>1701216134</v>
      </c>
      <c r="C1625" t="s">
        <v>18</v>
      </c>
      <c r="D1625" t="s">
        <v>20</v>
      </c>
      <c r="E1625" s="29">
        <v>46207</v>
      </c>
      <c r="F1625" t="s">
        <v>5</v>
      </c>
      <c r="G1625" s="28">
        <v>0.50347222222222221</v>
      </c>
      <c r="H1625" s="28">
        <v>0.54513888888888884</v>
      </c>
      <c r="I1625">
        <v>1</v>
      </c>
      <c r="J1625" t="s">
        <v>146</v>
      </c>
      <c r="K1625">
        <v>3</v>
      </c>
      <c r="L1625" t="s">
        <v>147</v>
      </c>
      <c r="M1625" t="s">
        <v>4617</v>
      </c>
      <c r="N1625" t="s">
        <v>4618</v>
      </c>
      <c r="O1625" t="s">
        <v>4619</v>
      </c>
      <c r="P1625" t="s">
        <v>4620</v>
      </c>
    </row>
    <row r="1626" spans="1:16" x14ac:dyDescent="0.35">
      <c r="A1626" t="s">
        <v>124</v>
      </c>
      <c r="B1626">
        <v>1701216134</v>
      </c>
      <c r="C1626" t="s">
        <v>18</v>
      </c>
      <c r="D1626" t="s">
        <v>20</v>
      </c>
      <c r="E1626" s="29">
        <v>46207</v>
      </c>
      <c r="F1626" t="s">
        <v>5</v>
      </c>
      <c r="G1626" s="28">
        <v>0.55208333333333337</v>
      </c>
      <c r="H1626" s="28">
        <v>0.65625</v>
      </c>
      <c r="I1626">
        <v>2</v>
      </c>
      <c r="J1626" t="s">
        <v>146</v>
      </c>
      <c r="K1626">
        <v>8</v>
      </c>
      <c r="L1626" t="s">
        <v>147</v>
      </c>
      <c r="M1626" t="s">
        <v>4621</v>
      </c>
      <c r="N1626" t="s">
        <v>4622</v>
      </c>
      <c r="O1626" t="s">
        <v>4623</v>
      </c>
      <c r="P1626" t="s">
        <v>4624</v>
      </c>
    </row>
    <row r="1627" spans="1:16" x14ac:dyDescent="0.35">
      <c r="A1627" t="s">
        <v>124</v>
      </c>
      <c r="B1627">
        <v>1701216134</v>
      </c>
      <c r="C1627" t="s">
        <v>18</v>
      </c>
      <c r="D1627" t="s">
        <v>20</v>
      </c>
      <c r="E1627" s="29">
        <v>46207</v>
      </c>
      <c r="F1627" t="s">
        <v>5</v>
      </c>
      <c r="G1627" s="28">
        <v>0.66319444444444442</v>
      </c>
      <c r="H1627" s="28">
        <v>0.67013888888888884</v>
      </c>
      <c r="I1627">
        <v>0</v>
      </c>
      <c r="J1627" t="s">
        <v>146</v>
      </c>
      <c r="K1627">
        <v>0</v>
      </c>
      <c r="L1627" t="s">
        <v>147</v>
      </c>
      <c r="M1627" t="s">
        <v>4617</v>
      </c>
      <c r="N1627" t="s">
        <v>4618</v>
      </c>
      <c r="O1627" t="s">
        <v>4619</v>
      </c>
      <c r="P1627" t="s">
        <v>4620</v>
      </c>
    </row>
    <row r="1628" spans="1:16" x14ac:dyDescent="0.35">
      <c r="A1628" t="s">
        <v>124</v>
      </c>
      <c r="B1628">
        <v>1701216134</v>
      </c>
      <c r="C1628" t="s">
        <v>18</v>
      </c>
      <c r="D1628" t="s">
        <v>20</v>
      </c>
      <c r="E1628" s="29">
        <v>46207</v>
      </c>
      <c r="F1628" t="s">
        <v>5</v>
      </c>
      <c r="G1628" s="28">
        <v>0.67708333333333337</v>
      </c>
      <c r="H1628" s="28">
        <v>0.68402777777777779</v>
      </c>
      <c r="I1628">
        <v>0</v>
      </c>
      <c r="J1628" t="s">
        <v>146</v>
      </c>
      <c r="K1628">
        <v>0</v>
      </c>
      <c r="L1628" t="s">
        <v>147</v>
      </c>
      <c r="M1628" t="s">
        <v>4621</v>
      </c>
      <c r="N1628" t="s">
        <v>4622</v>
      </c>
      <c r="O1628" t="s">
        <v>4623</v>
      </c>
      <c r="P1628" t="s">
        <v>4624</v>
      </c>
    </row>
    <row r="1629" spans="1:16" x14ac:dyDescent="0.35">
      <c r="A1629" t="s">
        <v>124</v>
      </c>
      <c r="B1629">
        <v>1701216134</v>
      </c>
      <c r="C1629" t="s">
        <v>18</v>
      </c>
      <c r="D1629" t="s">
        <v>20</v>
      </c>
      <c r="E1629" s="29">
        <v>46207</v>
      </c>
      <c r="F1629" t="s">
        <v>5</v>
      </c>
      <c r="G1629" s="28">
        <v>0.69097222222222221</v>
      </c>
      <c r="H1629" s="28">
        <v>0.69097222222222221</v>
      </c>
      <c r="I1629">
        <v>0</v>
      </c>
      <c r="J1629" t="s">
        <v>174</v>
      </c>
      <c r="K1629">
        <v>0</v>
      </c>
      <c r="L1629" t="s">
        <v>775</v>
      </c>
      <c r="M1629" t="s">
        <v>4617</v>
      </c>
      <c r="N1629" t="s">
        <v>4618</v>
      </c>
      <c r="O1629" t="s">
        <v>4619</v>
      </c>
      <c r="P1629" t="s">
        <v>4620</v>
      </c>
    </row>
    <row r="1630" spans="1:16" x14ac:dyDescent="0.35">
      <c r="A1630" t="s">
        <v>124</v>
      </c>
      <c r="B1630">
        <v>1701216134</v>
      </c>
      <c r="C1630" t="s">
        <v>18</v>
      </c>
      <c r="D1630" t="s">
        <v>20</v>
      </c>
      <c r="E1630" s="29">
        <v>46207</v>
      </c>
      <c r="F1630" t="s">
        <v>5</v>
      </c>
      <c r="G1630" s="28">
        <v>0.69791666666666663</v>
      </c>
      <c r="H1630" s="28">
        <v>0.69791666666666663</v>
      </c>
      <c r="I1630">
        <v>0</v>
      </c>
      <c r="J1630" t="s">
        <v>174</v>
      </c>
      <c r="K1630">
        <v>0</v>
      </c>
      <c r="L1630" t="s">
        <v>323</v>
      </c>
      <c r="M1630" t="s">
        <v>4625</v>
      </c>
      <c r="N1630" t="s">
        <v>4626</v>
      </c>
      <c r="O1630" t="s">
        <v>4627</v>
      </c>
      <c r="P1630" t="s">
        <v>4628</v>
      </c>
    </row>
    <row r="1631" spans="1:16" x14ac:dyDescent="0.35">
      <c r="A1631" t="s">
        <v>124</v>
      </c>
      <c r="B1631">
        <v>1701216134</v>
      </c>
      <c r="C1631" t="s">
        <v>18</v>
      </c>
      <c r="D1631" t="s">
        <v>20</v>
      </c>
      <c r="E1631" s="29">
        <v>46207</v>
      </c>
      <c r="F1631" t="s">
        <v>5</v>
      </c>
      <c r="G1631" s="28">
        <v>0.70486111111111116</v>
      </c>
      <c r="H1631" s="28">
        <v>0.71180555555555558</v>
      </c>
      <c r="I1631">
        <v>0</v>
      </c>
      <c r="J1631" t="s">
        <v>146</v>
      </c>
      <c r="K1631">
        <v>0</v>
      </c>
      <c r="L1631" t="s">
        <v>147</v>
      </c>
      <c r="M1631" t="s">
        <v>4610</v>
      </c>
      <c r="N1631" t="s">
        <v>4614</v>
      </c>
      <c r="O1631" t="s">
        <v>4615</v>
      </c>
      <c r="P1631" t="s">
        <v>4616</v>
      </c>
    </row>
    <row r="1632" spans="1:16" x14ac:dyDescent="0.35">
      <c r="A1632" t="s">
        <v>124</v>
      </c>
      <c r="B1632">
        <v>1701216134</v>
      </c>
      <c r="C1632" t="s">
        <v>18</v>
      </c>
      <c r="D1632" t="s">
        <v>20</v>
      </c>
      <c r="E1632" s="29">
        <v>46207</v>
      </c>
      <c r="F1632" t="s">
        <v>5</v>
      </c>
      <c r="G1632" s="28">
        <v>0.71875</v>
      </c>
      <c r="H1632" s="28">
        <v>0.71875</v>
      </c>
      <c r="I1632">
        <v>0</v>
      </c>
      <c r="J1632" t="s">
        <v>174</v>
      </c>
      <c r="K1632">
        <v>0</v>
      </c>
      <c r="L1632" t="s">
        <v>471</v>
      </c>
      <c r="M1632" t="s">
        <v>4631</v>
      </c>
      <c r="N1632" t="s">
        <v>4632</v>
      </c>
      <c r="O1632" t="s">
        <v>4633</v>
      </c>
      <c r="P1632" t="s">
        <v>4634</v>
      </c>
    </row>
    <row r="1633" spans="1:16" x14ac:dyDescent="0.35">
      <c r="A1633" t="s">
        <v>124</v>
      </c>
      <c r="B1633">
        <v>1701216134</v>
      </c>
      <c r="C1633" t="s">
        <v>18</v>
      </c>
      <c r="D1633" t="s">
        <v>20</v>
      </c>
      <c r="E1633" s="29">
        <v>46207</v>
      </c>
      <c r="F1633" t="s">
        <v>5</v>
      </c>
      <c r="G1633" s="28">
        <v>0.72569444444444442</v>
      </c>
      <c r="H1633" s="28">
        <v>0.72569444444444442</v>
      </c>
      <c r="I1633">
        <v>0</v>
      </c>
      <c r="J1633" t="s">
        <v>174</v>
      </c>
      <c r="K1633">
        <v>0</v>
      </c>
      <c r="L1633" t="s">
        <v>4640</v>
      </c>
      <c r="M1633" t="s">
        <v>4641</v>
      </c>
      <c r="N1633" t="s">
        <v>4642</v>
      </c>
      <c r="O1633" t="s">
        <v>4643</v>
      </c>
      <c r="P1633" t="s">
        <v>4644</v>
      </c>
    </row>
    <row r="1634" spans="1:16" x14ac:dyDescent="0.35">
      <c r="A1634" t="s">
        <v>124</v>
      </c>
      <c r="B1634">
        <v>1701216134</v>
      </c>
      <c r="C1634" t="s">
        <v>18</v>
      </c>
      <c r="D1634" t="s">
        <v>20</v>
      </c>
      <c r="E1634" s="29">
        <v>46207</v>
      </c>
      <c r="F1634" t="s">
        <v>5</v>
      </c>
      <c r="G1634" s="28">
        <v>0.73263888888888884</v>
      </c>
      <c r="H1634" s="28">
        <v>0.73263888888888884</v>
      </c>
      <c r="I1634">
        <v>0</v>
      </c>
      <c r="J1634" t="s">
        <v>174</v>
      </c>
      <c r="K1634">
        <v>0</v>
      </c>
      <c r="L1634" t="s">
        <v>1692</v>
      </c>
      <c r="M1634" t="s">
        <v>4645</v>
      </c>
      <c r="N1634" t="s">
        <v>4646</v>
      </c>
      <c r="O1634" t="s">
        <v>4647</v>
      </c>
      <c r="P1634" t="s">
        <v>4648</v>
      </c>
    </row>
    <row r="1635" spans="1:16" x14ac:dyDescent="0.35">
      <c r="A1635" t="s">
        <v>124</v>
      </c>
      <c r="B1635">
        <v>1701216134</v>
      </c>
      <c r="C1635" t="s">
        <v>18</v>
      </c>
      <c r="D1635" t="s">
        <v>20</v>
      </c>
      <c r="E1635" s="29">
        <v>46207</v>
      </c>
      <c r="F1635" t="s">
        <v>5</v>
      </c>
      <c r="G1635" s="28">
        <v>0.73958333333333337</v>
      </c>
      <c r="H1635" s="28">
        <v>0.73958333333333337</v>
      </c>
      <c r="I1635">
        <v>0</v>
      </c>
      <c r="J1635" t="s">
        <v>174</v>
      </c>
      <c r="K1635">
        <v>0</v>
      </c>
      <c r="L1635" t="s">
        <v>4649</v>
      </c>
      <c r="M1635" t="s">
        <v>4650</v>
      </c>
      <c r="N1635" t="s">
        <v>4651</v>
      </c>
      <c r="O1635" t="s">
        <v>4652</v>
      </c>
      <c r="P1635" t="s">
        <v>4653</v>
      </c>
    </row>
    <row r="1636" spans="1:16" x14ac:dyDescent="0.35">
      <c r="A1636" t="s">
        <v>124</v>
      </c>
      <c r="B1636">
        <v>1701216134</v>
      </c>
      <c r="C1636" t="s">
        <v>18</v>
      </c>
      <c r="D1636" t="s">
        <v>20</v>
      </c>
      <c r="E1636" s="29">
        <v>46207</v>
      </c>
      <c r="F1636" t="s">
        <v>5</v>
      </c>
      <c r="G1636" s="28">
        <v>0.74652777777777779</v>
      </c>
      <c r="H1636" s="28">
        <v>0.74652777777777779</v>
      </c>
      <c r="I1636">
        <v>0</v>
      </c>
      <c r="J1636" t="s">
        <v>174</v>
      </c>
      <c r="K1636">
        <v>0</v>
      </c>
      <c r="L1636" t="s">
        <v>4654</v>
      </c>
      <c r="M1636" t="s">
        <v>4597</v>
      </c>
      <c r="N1636" t="s">
        <v>4598</v>
      </c>
      <c r="O1636" t="s">
        <v>4599</v>
      </c>
      <c r="P1636" t="s">
        <v>4600</v>
      </c>
    </row>
    <row r="1637" spans="1:16" x14ac:dyDescent="0.35">
      <c r="A1637" t="s">
        <v>124</v>
      </c>
      <c r="B1637">
        <v>1701216134</v>
      </c>
      <c r="C1637" t="s">
        <v>18</v>
      </c>
      <c r="D1637" t="s">
        <v>20</v>
      </c>
      <c r="E1637" s="29">
        <v>46207</v>
      </c>
      <c r="F1637" t="s">
        <v>5</v>
      </c>
      <c r="G1637" s="28">
        <v>0.75347222222222221</v>
      </c>
      <c r="H1637" s="28">
        <v>0.75347222222222221</v>
      </c>
      <c r="I1637">
        <v>0</v>
      </c>
      <c r="J1637" t="s">
        <v>174</v>
      </c>
      <c r="K1637">
        <v>0</v>
      </c>
      <c r="L1637" t="s">
        <v>4655</v>
      </c>
      <c r="M1637" t="s">
        <v>4656</v>
      </c>
      <c r="N1637" t="s">
        <v>4657</v>
      </c>
      <c r="O1637" t="s">
        <v>4658</v>
      </c>
      <c r="P1637" t="s">
        <v>4659</v>
      </c>
    </row>
    <row r="1638" spans="1:16" x14ac:dyDescent="0.35">
      <c r="A1638" t="s">
        <v>124</v>
      </c>
      <c r="B1638">
        <v>1701216134</v>
      </c>
      <c r="C1638" t="s">
        <v>18</v>
      </c>
      <c r="D1638" t="s">
        <v>20</v>
      </c>
      <c r="E1638" s="29">
        <v>46207</v>
      </c>
      <c r="F1638" t="s">
        <v>5</v>
      </c>
      <c r="G1638" s="28">
        <v>0.76041666666666663</v>
      </c>
      <c r="H1638" s="28">
        <v>0.76041666666666663</v>
      </c>
      <c r="I1638">
        <v>0</v>
      </c>
      <c r="J1638" t="s">
        <v>174</v>
      </c>
      <c r="K1638">
        <v>0</v>
      </c>
      <c r="L1638" t="s">
        <v>4660</v>
      </c>
      <c r="M1638" t="s">
        <v>4661</v>
      </c>
      <c r="N1638" t="s">
        <v>4662</v>
      </c>
      <c r="O1638" t="s">
        <v>4663</v>
      </c>
      <c r="P1638" t="s">
        <v>4664</v>
      </c>
    </row>
    <row r="1639" spans="1:16" x14ac:dyDescent="0.35">
      <c r="A1639" t="s">
        <v>124</v>
      </c>
      <c r="B1639">
        <v>1701216134</v>
      </c>
      <c r="C1639" t="s">
        <v>18</v>
      </c>
      <c r="D1639" t="s">
        <v>20</v>
      </c>
      <c r="E1639" s="29">
        <v>46207</v>
      </c>
      <c r="F1639" t="s">
        <v>5</v>
      </c>
      <c r="G1639" s="28">
        <v>0.76736111111111116</v>
      </c>
      <c r="H1639" s="28">
        <v>0.76736111111111116</v>
      </c>
      <c r="I1639">
        <v>0</v>
      </c>
      <c r="J1639" t="s">
        <v>174</v>
      </c>
      <c r="K1639">
        <v>0</v>
      </c>
      <c r="L1639" t="s">
        <v>4665</v>
      </c>
      <c r="M1639" t="s">
        <v>4666</v>
      </c>
      <c r="N1639" t="s">
        <v>4667</v>
      </c>
      <c r="O1639" t="s">
        <v>4668</v>
      </c>
      <c r="P1639" t="s">
        <v>4669</v>
      </c>
    </row>
    <row r="1640" spans="1:16" x14ac:dyDescent="0.35">
      <c r="A1640" t="s">
        <v>124</v>
      </c>
      <c r="B1640">
        <v>1701216134</v>
      </c>
      <c r="C1640" t="s">
        <v>18</v>
      </c>
      <c r="D1640" t="s">
        <v>20</v>
      </c>
      <c r="E1640" s="29">
        <v>46207</v>
      </c>
      <c r="F1640" t="s">
        <v>5</v>
      </c>
      <c r="G1640" s="28">
        <v>0.77430555555555558</v>
      </c>
      <c r="H1640" s="28">
        <v>0.77430555555555558</v>
      </c>
      <c r="I1640">
        <v>0</v>
      </c>
      <c r="J1640" t="s">
        <v>174</v>
      </c>
      <c r="K1640">
        <v>0</v>
      </c>
      <c r="L1640" t="s">
        <v>4670</v>
      </c>
      <c r="M1640" t="s">
        <v>4671</v>
      </c>
      <c r="N1640" t="s">
        <v>4672</v>
      </c>
      <c r="O1640" t="s">
        <v>4673</v>
      </c>
      <c r="P1640" t="s">
        <v>4674</v>
      </c>
    </row>
    <row r="1641" spans="1:16" x14ac:dyDescent="0.35">
      <c r="A1641" t="s">
        <v>124</v>
      </c>
      <c r="B1641">
        <v>1701216134</v>
      </c>
      <c r="C1641" t="s">
        <v>18</v>
      </c>
      <c r="D1641" t="s">
        <v>20</v>
      </c>
      <c r="E1641" s="29">
        <v>46207</v>
      </c>
      <c r="F1641" t="s">
        <v>5</v>
      </c>
      <c r="G1641" s="28">
        <v>0.78125</v>
      </c>
      <c r="H1641" s="28">
        <v>0.78125</v>
      </c>
      <c r="I1641">
        <v>0</v>
      </c>
      <c r="J1641" t="s">
        <v>174</v>
      </c>
      <c r="K1641">
        <v>0</v>
      </c>
      <c r="L1641" t="s">
        <v>1923</v>
      </c>
      <c r="M1641" t="s">
        <v>4570</v>
      </c>
      <c r="N1641" t="s">
        <v>4571</v>
      </c>
      <c r="O1641" t="s">
        <v>4572</v>
      </c>
      <c r="P1641" t="s">
        <v>4573</v>
      </c>
    </row>
    <row r="1642" spans="1:16" x14ac:dyDescent="0.35">
      <c r="A1642" t="s">
        <v>124</v>
      </c>
      <c r="B1642">
        <v>1701216134</v>
      </c>
      <c r="C1642" t="s">
        <v>18</v>
      </c>
      <c r="D1642" t="s">
        <v>20</v>
      </c>
      <c r="E1642" s="29">
        <v>46207</v>
      </c>
      <c r="F1642" t="s">
        <v>5</v>
      </c>
      <c r="G1642" s="28">
        <v>0.78819444444444442</v>
      </c>
      <c r="H1642" s="28">
        <v>0.78819444444444442</v>
      </c>
      <c r="I1642">
        <v>0</v>
      </c>
      <c r="J1642" t="s">
        <v>174</v>
      </c>
      <c r="K1642">
        <v>0</v>
      </c>
      <c r="L1642" t="s">
        <v>2242</v>
      </c>
      <c r="M1642" t="s">
        <v>3232</v>
      </c>
      <c r="N1642" t="s">
        <v>3233</v>
      </c>
      <c r="O1642" t="s">
        <v>3234</v>
      </c>
      <c r="P1642" t="s">
        <v>3235</v>
      </c>
    </row>
    <row r="1643" spans="1:16" x14ac:dyDescent="0.35">
      <c r="A1643" t="s">
        <v>124</v>
      </c>
      <c r="B1643">
        <v>1701216134</v>
      </c>
      <c r="C1643" t="s">
        <v>18</v>
      </c>
      <c r="D1643" t="s">
        <v>20</v>
      </c>
      <c r="E1643" s="29">
        <v>46208</v>
      </c>
      <c r="F1643" t="s">
        <v>6</v>
      </c>
      <c r="G1643" s="28">
        <v>0.37847222222222221</v>
      </c>
      <c r="H1643" s="28">
        <v>0.37847222222222221</v>
      </c>
      <c r="I1643">
        <v>0</v>
      </c>
      <c r="J1643" t="s">
        <v>174</v>
      </c>
      <c r="K1643">
        <v>0</v>
      </c>
      <c r="L1643" t="s">
        <v>2300</v>
      </c>
      <c r="M1643" t="s">
        <v>4675</v>
      </c>
      <c r="N1643" t="s">
        <v>4676</v>
      </c>
      <c r="O1643" t="s">
        <v>4677</v>
      </c>
      <c r="P1643" t="s">
        <v>4678</v>
      </c>
    </row>
    <row r="1644" spans="1:16" x14ac:dyDescent="0.35">
      <c r="A1644" t="s">
        <v>124</v>
      </c>
      <c r="B1644">
        <v>1701216134</v>
      </c>
      <c r="C1644" t="s">
        <v>18</v>
      </c>
      <c r="D1644" t="s">
        <v>20</v>
      </c>
      <c r="E1644" s="29">
        <v>46208</v>
      </c>
      <c r="F1644" t="s">
        <v>6</v>
      </c>
      <c r="G1644" s="28">
        <v>0.38541666666666669</v>
      </c>
      <c r="H1644" s="28">
        <v>0.38541666666666669</v>
      </c>
      <c r="I1644">
        <v>0</v>
      </c>
      <c r="J1644" t="s">
        <v>174</v>
      </c>
      <c r="K1644">
        <v>0</v>
      </c>
      <c r="L1644" t="s">
        <v>1966</v>
      </c>
      <c r="M1644" t="s">
        <v>4679</v>
      </c>
      <c r="N1644" t="s">
        <v>4680</v>
      </c>
      <c r="O1644" t="s">
        <v>4681</v>
      </c>
      <c r="P1644" t="s">
        <v>4682</v>
      </c>
    </row>
    <row r="1645" spans="1:16" x14ac:dyDescent="0.35">
      <c r="A1645" t="s">
        <v>124</v>
      </c>
      <c r="B1645">
        <v>1701216134</v>
      </c>
      <c r="C1645" t="s">
        <v>18</v>
      </c>
      <c r="D1645" t="s">
        <v>20</v>
      </c>
      <c r="E1645" s="29">
        <v>46208</v>
      </c>
      <c r="F1645" t="s">
        <v>6</v>
      </c>
      <c r="G1645" s="28">
        <v>0.3923611111111111</v>
      </c>
      <c r="H1645" s="28">
        <v>0.3923611111111111</v>
      </c>
      <c r="I1645">
        <v>0</v>
      </c>
      <c r="J1645" t="s">
        <v>174</v>
      </c>
      <c r="K1645">
        <v>0</v>
      </c>
      <c r="L1645" t="s">
        <v>4683</v>
      </c>
      <c r="M1645" t="s">
        <v>4684</v>
      </c>
      <c r="N1645" t="s">
        <v>4685</v>
      </c>
      <c r="O1645" t="s">
        <v>4686</v>
      </c>
      <c r="P1645" t="s">
        <v>4687</v>
      </c>
    </row>
    <row r="1646" spans="1:16" x14ac:dyDescent="0.35">
      <c r="A1646" t="s">
        <v>124</v>
      </c>
      <c r="B1646">
        <v>1701216134</v>
      </c>
      <c r="C1646" t="s">
        <v>18</v>
      </c>
      <c r="D1646" t="s">
        <v>20</v>
      </c>
      <c r="E1646" s="29">
        <v>46208</v>
      </c>
      <c r="F1646" t="s">
        <v>6</v>
      </c>
      <c r="G1646" s="28">
        <v>0.39930555555555558</v>
      </c>
      <c r="H1646" s="28">
        <v>0.39930555555555558</v>
      </c>
      <c r="I1646">
        <v>0</v>
      </c>
      <c r="J1646" t="s">
        <v>174</v>
      </c>
      <c r="K1646">
        <v>0</v>
      </c>
      <c r="L1646" t="s">
        <v>710</v>
      </c>
      <c r="M1646" t="s">
        <v>4688</v>
      </c>
      <c r="N1646" t="s">
        <v>4689</v>
      </c>
      <c r="O1646" t="s">
        <v>4690</v>
      </c>
      <c r="P1646" t="s">
        <v>4691</v>
      </c>
    </row>
    <row r="1647" spans="1:16" x14ac:dyDescent="0.35">
      <c r="A1647" t="s">
        <v>124</v>
      </c>
      <c r="B1647">
        <v>1701216134</v>
      </c>
      <c r="C1647" t="s">
        <v>18</v>
      </c>
      <c r="D1647" t="s">
        <v>20</v>
      </c>
      <c r="E1647" s="29">
        <v>46208</v>
      </c>
      <c r="F1647" t="s">
        <v>6</v>
      </c>
      <c r="G1647" s="28">
        <v>0.40625</v>
      </c>
      <c r="H1647" s="28">
        <v>0.40625</v>
      </c>
      <c r="I1647">
        <v>0</v>
      </c>
      <c r="J1647" t="s">
        <v>174</v>
      </c>
      <c r="K1647">
        <v>0</v>
      </c>
      <c r="L1647" t="s">
        <v>3810</v>
      </c>
      <c r="M1647" t="s">
        <v>4692</v>
      </c>
      <c r="N1647" t="s">
        <v>4693</v>
      </c>
      <c r="O1647" t="s">
        <v>4694</v>
      </c>
      <c r="P1647" t="s">
        <v>4695</v>
      </c>
    </row>
    <row r="1648" spans="1:16" x14ac:dyDescent="0.35">
      <c r="A1648" t="s">
        <v>124</v>
      </c>
      <c r="B1648">
        <v>1701216134</v>
      </c>
      <c r="C1648" t="s">
        <v>18</v>
      </c>
      <c r="D1648" t="s">
        <v>20</v>
      </c>
      <c r="E1648" s="29">
        <v>46208</v>
      </c>
      <c r="F1648" t="s">
        <v>6</v>
      </c>
      <c r="G1648" s="28">
        <v>0.41319444444444442</v>
      </c>
      <c r="H1648" s="28">
        <v>0.41319444444444442</v>
      </c>
      <c r="I1648">
        <v>0</v>
      </c>
      <c r="J1648" t="s">
        <v>174</v>
      </c>
      <c r="K1648">
        <v>0</v>
      </c>
      <c r="L1648" t="s">
        <v>586</v>
      </c>
      <c r="M1648" t="s">
        <v>4696</v>
      </c>
      <c r="N1648" t="s">
        <v>4697</v>
      </c>
      <c r="O1648" t="s">
        <v>4698</v>
      </c>
      <c r="P1648" t="s">
        <v>4699</v>
      </c>
    </row>
    <row r="1649" spans="1:16" x14ac:dyDescent="0.35">
      <c r="A1649" t="s">
        <v>124</v>
      </c>
      <c r="B1649">
        <v>1701216134</v>
      </c>
      <c r="C1649" t="s">
        <v>18</v>
      </c>
      <c r="D1649" t="s">
        <v>20</v>
      </c>
      <c r="E1649" s="29">
        <v>46208</v>
      </c>
      <c r="F1649" t="s">
        <v>6</v>
      </c>
      <c r="G1649" s="28">
        <v>0.4201388888888889</v>
      </c>
      <c r="H1649" s="28">
        <v>0.4201388888888889</v>
      </c>
      <c r="I1649">
        <v>0</v>
      </c>
      <c r="J1649" t="s">
        <v>174</v>
      </c>
      <c r="K1649">
        <v>0</v>
      </c>
      <c r="L1649" t="s">
        <v>4700</v>
      </c>
      <c r="M1649" t="s">
        <v>4701</v>
      </c>
      <c r="N1649" t="s">
        <v>4702</v>
      </c>
      <c r="O1649" t="s">
        <v>4703</v>
      </c>
      <c r="P1649" t="s">
        <v>4704</v>
      </c>
    </row>
    <row r="1650" spans="1:16" x14ac:dyDescent="0.35">
      <c r="A1650" t="s">
        <v>124</v>
      </c>
      <c r="B1650">
        <v>1701216134</v>
      </c>
      <c r="C1650" t="s">
        <v>18</v>
      </c>
      <c r="D1650" t="s">
        <v>20</v>
      </c>
      <c r="E1650" s="29">
        <v>46208</v>
      </c>
      <c r="F1650" t="s">
        <v>6</v>
      </c>
      <c r="G1650" s="28">
        <v>0.42708333333333331</v>
      </c>
      <c r="H1650" s="28">
        <v>0.42708333333333331</v>
      </c>
      <c r="I1650">
        <v>0</v>
      </c>
      <c r="J1650" t="s">
        <v>174</v>
      </c>
      <c r="K1650">
        <v>0</v>
      </c>
      <c r="L1650" t="s">
        <v>4461</v>
      </c>
      <c r="M1650" t="s">
        <v>4466</v>
      </c>
      <c r="N1650" t="s">
        <v>4467</v>
      </c>
      <c r="O1650" t="s">
        <v>4468</v>
      </c>
      <c r="P1650" t="s">
        <v>4469</v>
      </c>
    </row>
    <row r="1651" spans="1:16" x14ac:dyDescent="0.35">
      <c r="A1651" t="s">
        <v>124</v>
      </c>
      <c r="B1651">
        <v>1701216134</v>
      </c>
      <c r="C1651" t="s">
        <v>18</v>
      </c>
      <c r="D1651" t="s">
        <v>20</v>
      </c>
      <c r="E1651" s="29">
        <v>46208</v>
      </c>
      <c r="F1651" t="s">
        <v>6</v>
      </c>
      <c r="G1651" s="28">
        <v>0.43402777777777779</v>
      </c>
      <c r="H1651" s="28">
        <v>0.43402777777777779</v>
      </c>
      <c r="I1651">
        <v>0</v>
      </c>
      <c r="J1651" t="s">
        <v>174</v>
      </c>
      <c r="K1651">
        <v>0</v>
      </c>
      <c r="L1651" t="s">
        <v>4456</v>
      </c>
      <c r="M1651" t="s">
        <v>4462</v>
      </c>
      <c r="N1651" t="s">
        <v>4463</v>
      </c>
      <c r="O1651" t="s">
        <v>4464</v>
      </c>
      <c r="P1651" t="s">
        <v>4465</v>
      </c>
    </row>
    <row r="1652" spans="1:16" x14ac:dyDescent="0.35">
      <c r="A1652" t="s">
        <v>124</v>
      </c>
      <c r="B1652">
        <v>1701216134</v>
      </c>
      <c r="C1652" t="s">
        <v>18</v>
      </c>
      <c r="D1652" t="s">
        <v>20</v>
      </c>
      <c r="E1652" s="29">
        <v>46208</v>
      </c>
      <c r="F1652" t="s">
        <v>6</v>
      </c>
      <c r="G1652" s="28">
        <v>0.44097222222222221</v>
      </c>
      <c r="H1652" s="28">
        <v>0.44097222222222221</v>
      </c>
      <c r="I1652">
        <v>0</v>
      </c>
      <c r="J1652" t="s">
        <v>174</v>
      </c>
      <c r="K1652">
        <v>0</v>
      </c>
      <c r="L1652" t="s">
        <v>4705</v>
      </c>
      <c r="M1652" t="s">
        <v>4457</v>
      </c>
      <c r="N1652" t="s">
        <v>4458</v>
      </c>
      <c r="O1652" t="s">
        <v>4459</v>
      </c>
      <c r="P1652" t="s">
        <v>4460</v>
      </c>
    </row>
    <row r="1653" spans="1:16" x14ac:dyDescent="0.35">
      <c r="A1653" t="s">
        <v>124</v>
      </c>
      <c r="B1653">
        <v>1701216134</v>
      </c>
      <c r="C1653" t="s">
        <v>18</v>
      </c>
      <c r="D1653" t="s">
        <v>20</v>
      </c>
      <c r="E1653" s="29">
        <v>46208</v>
      </c>
      <c r="F1653" t="s">
        <v>6</v>
      </c>
      <c r="G1653" s="28">
        <v>0.44791666666666669</v>
      </c>
      <c r="H1653" s="28">
        <v>0.44791666666666669</v>
      </c>
      <c r="I1653">
        <v>0</v>
      </c>
      <c r="J1653" t="s">
        <v>174</v>
      </c>
      <c r="K1653">
        <v>0</v>
      </c>
      <c r="L1653" t="s">
        <v>4706</v>
      </c>
      <c r="M1653" t="s">
        <v>4448</v>
      </c>
      <c r="N1653" t="s">
        <v>4449</v>
      </c>
      <c r="O1653" t="s">
        <v>4450</v>
      </c>
      <c r="P1653" t="s">
        <v>4451</v>
      </c>
    </row>
    <row r="1654" spans="1:16" x14ac:dyDescent="0.35">
      <c r="A1654" t="s">
        <v>124</v>
      </c>
      <c r="B1654">
        <v>1701216134</v>
      </c>
      <c r="C1654" t="s">
        <v>18</v>
      </c>
      <c r="D1654" t="s">
        <v>20</v>
      </c>
      <c r="E1654" s="29">
        <v>46208</v>
      </c>
      <c r="F1654" t="s">
        <v>6</v>
      </c>
      <c r="G1654" s="28">
        <v>0.4548611111111111</v>
      </c>
      <c r="H1654" s="28">
        <v>0.4548611111111111</v>
      </c>
      <c r="I1654">
        <v>0</v>
      </c>
      <c r="J1654" t="s">
        <v>174</v>
      </c>
      <c r="K1654">
        <v>0</v>
      </c>
      <c r="L1654" t="s">
        <v>4439</v>
      </c>
      <c r="M1654" t="s">
        <v>4707</v>
      </c>
      <c r="N1654" t="s">
        <v>4708</v>
      </c>
      <c r="O1654" t="s">
        <v>4709</v>
      </c>
      <c r="P1654" t="s">
        <v>4710</v>
      </c>
    </row>
    <row r="1655" spans="1:16" x14ac:dyDescent="0.35">
      <c r="A1655" t="s">
        <v>124</v>
      </c>
      <c r="B1655">
        <v>1701216134</v>
      </c>
      <c r="C1655" t="s">
        <v>18</v>
      </c>
      <c r="D1655" t="s">
        <v>20</v>
      </c>
      <c r="E1655" s="29">
        <v>46208</v>
      </c>
      <c r="F1655" t="s">
        <v>6</v>
      </c>
      <c r="G1655" s="28">
        <v>0.46180555555555558</v>
      </c>
      <c r="H1655" s="28">
        <v>0.46180555555555558</v>
      </c>
      <c r="I1655">
        <v>0</v>
      </c>
      <c r="J1655" t="s">
        <v>174</v>
      </c>
      <c r="K1655">
        <v>0</v>
      </c>
      <c r="L1655" t="s">
        <v>4711</v>
      </c>
      <c r="M1655" t="s">
        <v>4712</v>
      </c>
      <c r="N1655" t="s">
        <v>4713</v>
      </c>
      <c r="O1655" t="s">
        <v>4714</v>
      </c>
      <c r="P1655" t="s">
        <v>4715</v>
      </c>
    </row>
    <row r="1656" spans="1:16" x14ac:dyDescent="0.35">
      <c r="A1656" t="s">
        <v>124</v>
      </c>
      <c r="B1656">
        <v>1701216134</v>
      </c>
      <c r="C1656" t="s">
        <v>18</v>
      </c>
      <c r="D1656" t="s">
        <v>20</v>
      </c>
      <c r="E1656" s="29">
        <v>46208</v>
      </c>
      <c r="F1656" t="s">
        <v>6</v>
      </c>
      <c r="G1656" s="28">
        <v>0.46875</v>
      </c>
      <c r="H1656" s="28">
        <v>0.46875</v>
      </c>
      <c r="I1656">
        <v>0</v>
      </c>
      <c r="J1656" t="s">
        <v>174</v>
      </c>
      <c r="K1656">
        <v>0</v>
      </c>
      <c r="L1656" t="s">
        <v>4716</v>
      </c>
      <c r="M1656" t="s">
        <v>4717</v>
      </c>
      <c r="N1656" t="s">
        <v>4718</v>
      </c>
      <c r="O1656" t="s">
        <v>4719</v>
      </c>
      <c r="P1656" t="s">
        <v>4720</v>
      </c>
    </row>
    <row r="1657" spans="1:16" x14ac:dyDescent="0.35">
      <c r="A1657" t="s">
        <v>124</v>
      </c>
      <c r="B1657">
        <v>1701216134</v>
      </c>
      <c r="C1657" t="s">
        <v>18</v>
      </c>
      <c r="D1657" t="s">
        <v>20</v>
      </c>
      <c r="E1657" s="29">
        <v>46208</v>
      </c>
      <c r="F1657" t="s">
        <v>6</v>
      </c>
      <c r="G1657" s="28">
        <v>0.47569444444444442</v>
      </c>
      <c r="H1657" s="28">
        <v>0.47569444444444442</v>
      </c>
      <c r="I1657">
        <v>0</v>
      </c>
      <c r="J1657" t="s">
        <v>174</v>
      </c>
      <c r="K1657">
        <v>0</v>
      </c>
      <c r="L1657" t="s">
        <v>4721</v>
      </c>
      <c r="M1657" t="s">
        <v>4722</v>
      </c>
      <c r="N1657" t="s">
        <v>4723</v>
      </c>
      <c r="O1657" t="s">
        <v>4724</v>
      </c>
      <c r="P1657" t="s">
        <v>4725</v>
      </c>
    </row>
    <row r="1658" spans="1:16" x14ac:dyDescent="0.35">
      <c r="A1658" t="s">
        <v>124</v>
      </c>
      <c r="B1658">
        <v>1701216134</v>
      </c>
      <c r="C1658" t="s">
        <v>18</v>
      </c>
      <c r="D1658" t="s">
        <v>20</v>
      </c>
      <c r="E1658" s="29">
        <v>46208</v>
      </c>
      <c r="F1658" t="s">
        <v>6</v>
      </c>
      <c r="G1658" s="28">
        <v>0.4826388888888889</v>
      </c>
      <c r="H1658" s="28">
        <v>0.4826388888888889</v>
      </c>
      <c r="I1658">
        <v>0</v>
      </c>
      <c r="J1658" t="s">
        <v>174</v>
      </c>
      <c r="K1658">
        <v>0</v>
      </c>
      <c r="L1658" t="s">
        <v>4726</v>
      </c>
      <c r="M1658" t="s">
        <v>4418</v>
      </c>
      <c r="N1658" t="s">
        <v>4419</v>
      </c>
      <c r="O1658" t="s">
        <v>4420</v>
      </c>
      <c r="P1658" t="s">
        <v>4421</v>
      </c>
    </row>
    <row r="1659" spans="1:16" x14ac:dyDescent="0.35">
      <c r="A1659" t="s">
        <v>124</v>
      </c>
      <c r="B1659">
        <v>1701216134</v>
      </c>
      <c r="C1659" t="s">
        <v>18</v>
      </c>
      <c r="D1659" t="s">
        <v>20</v>
      </c>
      <c r="E1659" s="29">
        <v>46208</v>
      </c>
      <c r="F1659" t="s">
        <v>6</v>
      </c>
      <c r="G1659" s="28">
        <v>0.48958333333333331</v>
      </c>
      <c r="H1659" s="28">
        <v>0.48958333333333331</v>
      </c>
      <c r="I1659">
        <v>0</v>
      </c>
      <c r="J1659" t="s">
        <v>174</v>
      </c>
      <c r="K1659">
        <v>0</v>
      </c>
      <c r="L1659" t="s">
        <v>1579</v>
      </c>
      <c r="M1659" t="s">
        <v>4727</v>
      </c>
      <c r="N1659" t="s">
        <v>4728</v>
      </c>
      <c r="O1659" t="s">
        <v>4729</v>
      </c>
      <c r="P1659" t="s">
        <v>4730</v>
      </c>
    </row>
    <row r="1660" spans="1:16" x14ac:dyDescent="0.35">
      <c r="A1660" t="s">
        <v>124</v>
      </c>
      <c r="B1660">
        <v>1701216134</v>
      </c>
      <c r="C1660" t="s">
        <v>18</v>
      </c>
      <c r="D1660" t="s">
        <v>20</v>
      </c>
      <c r="E1660" s="29">
        <v>46208</v>
      </c>
      <c r="F1660" t="s">
        <v>6</v>
      </c>
      <c r="G1660" s="28">
        <v>0.49652777777777779</v>
      </c>
      <c r="H1660" s="28">
        <v>0.49652777777777779</v>
      </c>
      <c r="I1660">
        <v>0</v>
      </c>
      <c r="J1660" t="s">
        <v>174</v>
      </c>
      <c r="K1660">
        <v>0</v>
      </c>
      <c r="L1660" t="s">
        <v>4731</v>
      </c>
      <c r="M1660" t="s">
        <v>4732</v>
      </c>
      <c r="N1660" t="s">
        <v>4733</v>
      </c>
      <c r="O1660" t="s">
        <v>4734</v>
      </c>
      <c r="P1660" t="s">
        <v>4735</v>
      </c>
    </row>
    <row r="1661" spans="1:16" x14ac:dyDescent="0.35">
      <c r="A1661" t="s">
        <v>124</v>
      </c>
      <c r="B1661">
        <v>1701216134</v>
      </c>
      <c r="C1661" t="s">
        <v>18</v>
      </c>
      <c r="D1661" t="s">
        <v>20</v>
      </c>
      <c r="E1661" s="29">
        <v>46208</v>
      </c>
      <c r="F1661" t="s">
        <v>6</v>
      </c>
      <c r="G1661" s="28">
        <v>0.50347222222222221</v>
      </c>
      <c r="H1661" s="28">
        <v>0.50347222222222221</v>
      </c>
      <c r="I1661">
        <v>0</v>
      </c>
      <c r="J1661" t="s">
        <v>174</v>
      </c>
      <c r="K1661">
        <v>0</v>
      </c>
      <c r="L1661" t="s">
        <v>2757</v>
      </c>
      <c r="M1661" t="s">
        <v>4736</v>
      </c>
      <c r="N1661" t="s">
        <v>4737</v>
      </c>
      <c r="O1661" t="s">
        <v>4738</v>
      </c>
      <c r="P1661" t="s">
        <v>4739</v>
      </c>
    </row>
    <row r="1662" spans="1:16" x14ac:dyDescent="0.35">
      <c r="A1662" t="s">
        <v>124</v>
      </c>
      <c r="B1662">
        <v>1701216134</v>
      </c>
      <c r="C1662" t="s">
        <v>18</v>
      </c>
      <c r="D1662" t="s">
        <v>20</v>
      </c>
      <c r="E1662" s="29">
        <v>46208</v>
      </c>
      <c r="F1662" t="s">
        <v>6</v>
      </c>
      <c r="G1662" s="28">
        <v>0.51041666666666663</v>
      </c>
      <c r="H1662" s="28">
        <v>0.52430555555555558</v>
      </c>
      <c r="I1662">
        <v>0</v>
      </c>
      <c r="J1662" t="s">
        <v>146</v>
      </c>
      <c r="K1662">
        <v>1</v>
      </c>
      <c r="L1662" t="s">
        <v>147</v>
      </c>
      <c r="M1662" t="s">
        <v>4403</v>
      </c>
      <c r="N1662" t="s">
        <v>4404</v>
      </c>
      <c r="O1662" t="s">
        <v>4405</v>
      </c>
      <c r="P1662" t="s">
        <v>4406</v>
      </c>
    </row>
    <row r="1663" spans="1:16" x14ac:dyDescent="0.35">
      <c r="A1663" t="s">
        <v>124</v>
      </c>
      <c r="B1663">
        <v>1701216134</v>
      </c>
      <c r="C1663" t="s">
        <v>18</v>
      </c>
      <c r="D1663" t="s">
        <v>20</v>
      </c>
      <c r="E1663" s="29">
        <v>46208</v>
      </c>
      <c r="F1663" t="s">
        <v>6</v>
      </c>
      <c r="G1663" s="28">
        <v>0.53125</v>
      </c>
      <c r="H1663" s="28">
        <v>0.53125</v>
      </c>
      <c r="I1663">
        <v>0</v>
      </c>
      <c r="J1663" t="s">
        <v>174</v>
      </c>
      <c r="K1663">
        <v>0</v>
      </c>
      <c r="L1663" t="s">
        <v>4740</v>
      </c>
      <c r="M1663" t="s">
        <v>4741</v>
      </c>
      <c r="N1663" t="s">
        <v>4742</v>
      </c>
      <c r="O1663" t="s">
        <v>4743</v>
      </c>
      <c r="P1663" t="s">
        <v>4744</v>
      </c>
    </row>
    <row r="1664" spans="1:16" x14ac:dyDescent="0.35">
      <c r="A1664" t="s">
        <v>124</v>
      </c>
      <c r="B1664">
        <v>1701216134</v>
      </c>
      <c r="C1664" t="s">
        <v>18</v>
      </c>
      <c r="D1664" t="s">
        <v>20</v>
      </c>
      <c r="E1664" s="29">
        <v>46208</v>
      </c>
      <c r="F1664" t="s">
        <v>6</v>
      </c>
      <c r="G1664" s="28">
        <v>0.54513888888888884</v>
      </c>
      <c r="H1664" s="28">
        <v>0.80902777777777779</v>
      </c>
      <c r="I1664">
        <v>6</v>
      </c>
      <c r="J1664" t="s">
        <v>146</v>
      </c>
      <c r="K1664">
        <v>19</v>
      </c>
      <c r="L1664" t="s">
        <v>147</v>
      </c>
      <c r="M1664" t="s">
        <v>4745</v>
      </c>
      <c r="N1664" t="s">
        <v>4399</v>
      </c>
      <c r="O1664" t="s">
        <v>4400</v>
      </c>
      <c r="P1664" t="s">
        <v>4401</v>
      </c>
    </row>
    <row r="1665" spans="1:16" x14ac:dyDescent="0.35">
      <c r="A1665" t="s">
        <v>116</v>
      </c>
      <c r="B1665">
        <v>1700702245</v>
      </c>
      <c r="C1665" t="s">
        <v>18</v>
      </c>
      <c r="D1665" t="s">
        <v>21</v>
      </c>
      <c r="E1665" s="29">
        <v>46204</v>
      </c>
      <c r="F1665" t="s">
        <v>3</v>
      </c>
      <c r="G1665" s="28">
        <v>0.37777777777777777</v>
      </c>
      <c r="H1665" s="28">
        <v>0.37777777777777777</v>
      </c>
      <c r="I1665">
        <v>0</v>
      </c>
      <c r="J1665" t="s">
        <v>174</v>
      </c>
      <c r="K1665">
        <v>0</v>
      </c>
      <c r="L1665" t="s">
        <v>1602</v>
      </c>
      <c r="M1665" t="s">
        <v>154</v>
      </c>
      <c r="N1665" t="s">
        <v>164</v>
      </c>
      <c r="O1665" t="s">
        <v>165</v>
      </c>
      <c r="P1665" t="s">
        <v>155</v>
      </c>
    </row>
    <row r="1666" spans="1:16" x14ac:dyDescent="0.35">
      <c r="A1666" t="s">
        <v>116</v>
      </c>
      <c r="B1666">
        <v>1700702245</v>
      </c>
      <c r="C1666" t="s">
        <v>18</v>
      </c>
      <c r="D1666" t="s">
        <v>21</v>
      </c>
      <c r="E1666" s="29">
        <v>46204</v>
      </c>
      <c r="F1666" t="s">
        <v>3</v>
      </c>
      <c r="G1666" s="28">
        <v>0.38472222222222224</v>
      </c>
      <c r="H1666" s="28">
        <v>0.38472222222222224</v>
      </c>
      <c r="I1666">
        <v>0</v>
      </c>
      <c r="J1666" t="s">
        <v>174</v>
      </c>
      <c r="K1666">
        <v>0</v>
      </c>
      <c r="L1666" t="s">
        <v>1520</v>
      </c>
      <c r="M1666" t="s">
        <v>1603</v>
      </c>
      <c r="N1666" t="s">
        <v>1604</v>
      </c>
      <c r="O1666" t="s">
        <v>1605</v>
      </c>
      <c r="P1666" t="s">
        <v>4746</v>
      </c>
    </row>
    <row r="1667" spans="1:16" x14ac:dyDescent="0.35">
      <c r="A1667" t="s">
        <v>116</v>
      </c>
      <c r="B1667">
        <v>1700702245</v>
      </c>
      <c r="C1667" t="s">
        <v>18</v>
      </c>
      <c r="D1667" t="s">
        <v>21</v>
      </c>
      <c r="E1667" s="29">
        <v>46204</v>
      </c>
      <c r="F1667" t="s">
        <v>3</v>
      </c>
      <c r="G1667" s="28">
        <v>0.39166666666666666</v>
      </c>
      <c r="H1667" s="28">
        <v>0.39166666666666666</v>
      </c>
      <c r="I1667">
        <v>0</v>
      </c>
      <c r="J1667" t="s">
        <v>174</v>
      </c>
      <c r="K1667">
        <v>0</v>
      </c>
      <c r="L1667" t="s">
        <v>4747</v>
      </c>
      <c r="M1667" t="s">
        <v>4748</v>
      </c>
      <c r="N1667" t="s">
        <v>4749</v>
      </c>
      <c r="O1667" t="s">
        <v>4750</v>
      </c>
      <c r="P1667" t="s">
        <v>4751</v>
      </c>
    </row>
    <row r="1668" spans="1:16" x14ac:dyDescent="0.35">
      <c r="A1668" t="s">
        <v>116</v>
      </c>
      <c r="B1668">
        <v>1700702245</v>
      </c>
      <c r="C1668" t="s">
        <v>18</v>
      </c>
      <c r="D1668" t="s">
        <v>21</v>
      </c>
      <c r="E1668" s="29">
        <v>46204</v>
      </c>
      <c r="F1668" t="s">
        <v>3</v>
      </c>
      <c r="G1668" s="28">
        <v>0.39861111111111114</v>
      </c>
      <c r="H1668" s="28">
        <v>0.39861111111111114</v>
      </c>
      <c r="I1668">
        <v>0</v>
      </c>
      <c r="J1668" t="s">
        <v>174</v>
      </c>
      <c r="K1668">
        <v>0</v>
      </c>
      <c r="L1668" t="s">
        <v>4752</v>
      </c>
      <c r="M1668" t="s">
        <v>4753</v>
      </c>
      <c r="N1668" t="s">
        <v>4754</v>
      </c>
      <c r="O1668" t="s">
        <v>4755</v>
      </c>
      <c r="P1668" t="s">
        <v>4756</v>
      </c>
    </row>
    <row r="1669" spans="1:16" x14ac:dyDescent="0.35">
      <c r="A1669" t="s">
        <v>116</v>
      </c>
      <c r="B1669">
        <v>1700702245</v>
      </c>
      <c r="C1669" t="s">
        <v>18</v>
      </c>
      <c r="D1669" t="s">
        <v>21</v>
      </c>
      <c r="E1669" s="29">
        <v>46204</v>
      </c>
      <c r="F1669" t="s">
        <v>3</v>
      </c>
      <c r="G1669" s="28">
        <v>0.40555555555555556</v>
      </c>
      <c r="H1669" s="28">
        <v>0.40555555555555556</v>
      </c>
      <c r="I1669">
        <v>0</v>
      </c>
      <c r="J1669" t="s">
        <v>174</v>
      </c>
      <c r="K1669">
        <v>0</v>
      </c>
      <c r="L1669" t="s">
        <v>369</v>
      </c>
      <c r="M1669" t="s">
        <v>4757</v>
      </c>
      <c r="N1669" t="s">
        <v>4758</v>
      </c>
      <c r="O1669" t="s">
        <v>4759</v>
      </c>
      <c r="P1669" t="s">
        <v>4760</v>
      </c>
    </row>
    <row r="1670" spans="1:16" x14ac:dyDescent="0.35">
      <c r="A1670" t="s">
        <v>116</v>
      </c>
      <c r="B1670">
        <v>1700702245</v>
      </c>
      <c r="C1670" t="s">
        <v>18</v>
      </c>
      <c r="D1670" t="s">
        <v>21</v>
      </c>
      <c r="E1670" s="29">
        <v>46204</v>
      </c>
      <c r="F1670" t="s">
        <v>3</v>
      </c>
      <c r="G1670" s="28">
        <v>0.41249999999999998</v>
      </c>
      <c r="H1670" s="28">
        <v>0.41249999999999998</v>
      </c>
      <c r="I1670">
        <v>0</v>
      </c>
      <c r="J1670" t="s">
        <v>174</v>
      </c>
      <c r="K1670">
        <v>0</v>
      </c>
      <c r="L1670" t="s">
        <v>1390</v>
      </c>
      <c r="M1670" t="s">
        <v>1391</v>
      </c>
      <c r="N1670" t="s">
        <v>1392</v>
      </c>
      <c r="O1670" t="s">
        <v>1393</v>
      </c>
      <c r="P1670" t="s">
        <v>4761</v>
      </c>
    </row>
    <row r="1671" spans="1:16" x14ac:dyDescent="0.35">
      <c r="A1671" t="s">
        <v>116</v>
      </c>
      <c r="B1671">
        <v>1700702245</v>
      </c>
      <c r="C1671" t="s">
        <v>18</v>
      </c>
      <c r="D1671" t="s">
        <v>21</v>
      </c>
      <c r="E1671" s="29">
        <v>46204</v>
      </c>
      <c r="F1671" t="s">
        <v>3</v>
      </c>
      <c r="G1671" s="28">
        <v>0.4201388888888889</v>
      </c>
      <c r="H1671" s="28">
        <v>0.4201388888888889</v>
      </c>
      <c r="I1671">
        <v>0</v>
      </c>
      <c r="J1671" t="s">
        <v>174</v>
      </c>
      <c r="K1671">
        <v>0</v>
      </c>
      <c r="L1671" t="s">
        <v>1395</v>
      </c>
      <c r="M1671" t="s">
        <v>1396</v>
      </c>
      <c r="N1671" t="s">
        <v>1397</v>
      </c>
      <c r="O1671" t="s">
        <v>1398</v>
      </c>
      <c r="P1671" t="s">
        <v>4762</v>
      </c>
    </row>
    <row r="1672" spans="1:16" x14ac:dyDescent="0.35">
      <c r="A1672" t="s">
        <v>116</v>
      </c>
      <c r="B1672">
        <v>1700702245</v>
      </c>
      <c r="C1672" t="s">
        <v>18</v>
      </c>
      <c r="D1672" t="s">
        <v>21</v>
      </c>
      <c r="E1672" s="29">
        <v>46204</v>
      </c>
      <c r="F1672" t="s">
        <v>3</v>
      </c>
      <c r="G1672" s="28">
        <v>0.42638888888888887</v>
      </c>
      <c r="H1672" s="28">
        <v>0.42638888888888887</v>
      </c>
      <c r="I1672">
        <v>0</v>
      </c>
      <c r="J1672" t="s">
        <v>174</v>
      </c>
      <c r="K1672">
        <v>0</v>
      </c>
      <c r="L1672" t="s">
        <v>4763</v>
      </c>
      <c r="M1672" t="s">
        <v>1401</v>
      </c>
      <c r="N1672" t="s">
        <v>1402</v>
      </c>
      <c r="O1672" t="s">
        <v>1403</v>
      </c>
      <c r="P1672" t="s">
        <v>4764</v>
      </c>
    </row>
    <row r="1673" spans="1:16" x14ac:dyDescent="0.35">
      <c r="A1673" t="s">
        <v>116</v>
      </c>
      <c r="B1673">
        <v>1700702245</v>
      </c>
      <c r="C1673" t="s">
        <v>18</v>
      </c>
      <c r="D1673" t="s">
        <v>21</v>
      </c>
      <c r="E1673" s="29">
        <v>46204</v>
      </c>
      <c r="F1673" t="s">
        <v>3</v>
      </c>
      <c r="G1673" s="28">
        <v>0.43333333333333335</v>
      </c>
      <c r="H1673" s="28">
        <v>0.43333333333333335</v>
      </c>
      <c r="I1673">
        <v>0</v>
      </c>
      <c r="J1673" t="s">
        <v>174</v>
      </c>
      <c r="K1673">
        <v>0</v>
      </c>
      <c r="L1673" t="s">
        <v>3463</v>
      </c>
      <c r="M1673" t="s">
        <v>4765</v>
      </c>
      <c r="N1673" t="s">
        <v>4766</v>
      </c>
      <c r="O1673" t="s">
        <v>4767</v>
      </c>
      <c r="P1673" t="s">
        <v>4768</v>
      </c>
    </row>
    <row r="1674" spans="1:16" x14ac:dyDescent="0.35">
      <c r="A1674" t="s">
        <v>116</v>
      </c>
      <c r="B1674">
        <v>1700702245</v>
      </c>
      <c r="C1674" t="s">
        <v>18</v>
      </c>
      <c r="D1674" t="s">
        <v>21</v>
      </c>
      <c r="E1674" s="29">
        <v>46204</v>
      </c>
      <c r="F1674" t="s">
        <v>3</v>
      </c>
      <c r="G1674" s="28">
        <v>0.44027777777777777</v>
      </c>
      <c r="H1674" s="28">
        <v>0.44027777777777777</v>
      </c>
      <c r="I1674">
        <v>0</v>
      </c>
      <c r="J1674" t="s">
        <v>174</v>
      </c>
      <c r="K1674">
        <v>0</v>
      </c>
      <c r="L1674" t="s">
        <v>4769</v>
      </c>
      <c r="M1674" t="s">
        <v>4770</v>
      </c>
      <c r="N1674" t="s">
        <v>4771</v>
      </c>
      <c r="O1674" t="s">
        <v>4772</v>
      </c>
      <c r="P1674" t="s">
        <v>4773</v>
      </c>
    </row>
    <row r="1675" spans="1:16" x14ac:dyDescent="0.35">
      <c r="A1675" t="s">
        <v>116</v>
      </c>
      <c r="B1675">
        <v>1700702245</v>
      </c>
      <c r="C1675" t="s">
        <v>18</v>
      </c>
      <c r="D1675" t="s">
        <v>21</v>
      </c>
      <c r="E1675" s="29">
        <v>46204</v>
      </c>
      <c r="F1675" t="s">
        <v>3</v>
      </c>
      <c r="G1675" s="28">
        <v>0.44722222222222224</v>
      </c>
      <c r="H1675" s="28">
        <v>0.44722222222222224</v>
      </c>
      <c r="I1675">
        <v>0</v>
      </c>
      <c r="J1675" t="s">
        <v>174</v>
      </c>
      <c r="K1675">
        <v>0</v>
      </c>
      <c r="L1675" t="s">
        <v>4774</v>
      </c>
      <c r="M1675" t="s">
        <v>1416</v>
      </c>
      <c r="N1675" t="s">
        <v>1417</v>
      </c>
      <c r="O1675" t="s">
        <v>1418</v>
      </c>
      <c r="P1675" t="s">
        <v>4775</v>
      </c>
    </row>
    <row r="1676" spans="1:16" x14ac:dyDescent="0.35">
      <c r="A1676" t="s">
        <v>116</v>
      </c>
      <c r="B1676">
        <v>1700702245</v>
      </c>
      <c r="C1676" t="s">
        <v>18</v>
      </c>
      <c r="D1676" t="s">
        <v>21</v>
      </c>
      <c r="E1676" s="29">
        <v>46204</v>
      </c>
      <c r="F1676" t="s">
        <v>3</v>
      </c>
      <c r="G1676" s="28">
        <v>0.45416666666666666</v>
      </c>
      <c r="H1676" s="28">
        <v>0.45416666666666666</v>
      </c>
      <c r="I1676">
        <v>0</v>
      </c>
      <c r="J1676" t="s">
        <v>174</v>
      </c>
      <c r="K1676">
        <v>0</v>
      </c>
      <c r="L1676" t="s">
        <v>4776</v>
      </c>
      <c r="M1676" t="s">
        <v>4777</v>
      </c>
      <c r="N1676" t="s">
        <v>4778</v>
      </c>
      <c r="O1676" t="s">
        <v>4779</v>
      </c>
      <c r="P1676" t="s">
        <v>4780</v>
      </c>
    </row>
    <row r="1677" spans="1:16" x14ac:dyDescent="0.35">
      <c r="A1677" t="s">
        <v>116</v>
      </c>
      <c r="B1677">
        <v>1700702245</v>
      </c>
      <c r="C1677" t="s">
        <v>18</v>
      </c>
      <c r="D1677" t="s">
        <v>21</v>
      </c>
      <c r="E1677" s="29">
        <v>46204</v>
      </c>
      <c r="F1677" t="s">
        <v>3</v>
      </c>
      <c r="G1677" s="28">
        <v>0.46111111111111114</v>
      </c>
      <c r="H1677" s="28">
        <v>0.46111111111111114</v>
      </c>
      <c r="I1677">
        <v>0</v>
      </c>
      <c r="J1677" t="s">
        <v>174</v>
      </c>
      <c r="K1677">
        <v>0</v>
      </c>
      <c r="L1677" t="s">
        <v>921</v>
      </c>
      <c r="M1677" t="s">
        <v>4781</v>
      </c>
      <c r="N1677" t="s">
        <v>4782</v>
      </c>
      <c r="O1677" t="s">
        <v>4783</v>
      </c>
      <c r="P1677" t="s">
        <v>4784</v>
      </c>
    </row>
    <row r="1678" spans="1:16" x14ac:dyDescent="0.35">
      <c r="A1678" t="s">
        <v>116</v>
      </c>
      <c r="B1678">
        <v>1700702245</v>
      </c>
      <c r="C1678" t="s">
        <v>18</v>
      </c>
      <c r="D1678" t="s">
        <v>21</v>
      </c>
      <c r="E1678" s="29">
        <v>46204</v>
      </c>
      <c r="F1678" t="s">
        <v>3</v>
      </c>
      <c r="G1678" s="28">
        <v>0.46805555555555556</v>
      </c>
      <c r="H1678" s="28">
        <v>0.46805555555555556</v>
      </c>
      <c r="I1678">
        <v>0</v>
      </c>
      <c r="J1678" t="s">
        <v>174</v>
      </c>
      <c r="K1678">
        <v>0</v>
      </c>
      <c r="L1678" t="s">
        <v>1491</v>
      </c>
      <c r="M1678" t="s">
        <v>4785</v>
      </c>
      <c r="N1678" t="s">
        <v>4786</v>
      </c>
      <c r="O1678" t="s">
        <v>4787</v>
      </c>
      <c r="P1678" t="s">
        <v>4788</v>
      </c>
    </row>
    <row r="1679" spans="1:16" x14ac:dyDescent="0.35">
      <c r="A1679" t="s">
        <v>116</v>
      </c>
      <c r="B1679">
        <v>1700702245</v>
      </c>
      <c r="C1679" t="s">
        <v>18</v>
      </c>
      <c r="D1679" t="s">
        <v>21</v>
      </c>
      <c r="E1679" s="29">
        <v>46204</v>
      </c>
      <c r="F1679" t="s">
        <v>3</v>
      </c>
      <c r="G1679" s="28">
        <v>0.47499999999999998</v>
      </c>
      <c r="H1679" s="28">
        <v>0.47499999999999998</v>
      </c>
      <c r="I1679">
        <v>0</v>
      </c>
      <c r="J1679" t="s">
        <v>174</v>
      </c>
      <c r="K1679">
        <v>0</v>
      </c>
      <c r="L1679" t="s">
        <v>775</v>
      </c>
      <c r="M1679" t="s">
        <v>4789</v>
      </c>
      <c r="N1679" t="s">
        <v>4790</v>
      </c>
      <c r="O1679" t="s">
        <v>4791</v>
      </c>
      <c r="P1679" t="s">
        <v>4792</v>
      </c>
    </row>
    <row r="1680" spans="1:16" x14ac:dyDescent="0.35">
      <c r="A1680" t="s">
        <v>116</v>
      </c>
      <c r="B1680">
        <v>1700702245</v>
      </c>
      <c r="C1680" t="s">
        <v>18</v>
      </c>
      <c r="D1680" t="s">
        <v>21</v>
      </c>
      <c r="E1680" s="29">
        <v>46204</v>
      </c>
      <c r="F1680" t="s">
        <v>3</v>
      </c>
      <c r="G1680" s="28">
        <v>0.48194444444444445</v>
      </c>
      <c r="H1680" s="28">
        <v>0.48194444444444445</v>
      </c>
      <c r="I1680">
        <v>0</v>
      </c>
      <c r="J1680" t="s">
        <v>174</v>
      </c>
      <c r="K1680">
        <v>0</v>
      </c>
      <c r="L1680" t="s">
        <v>368</v>
      </c>
      <c r="M1680" t="s">
        <v>1441</v>
      </c>
      <c r="N1680" t="s">
        <v>4793</v>
      </c>
      <c r="O1680" t="s">
        <v>4794</v>
      </c>
      <c r="P1680" t="s">
        <v>4795</v>
      </c>
    </row>
    <row r="1681" spans="1:16" x14ac:dyDescent="0.35">
      <c r="A1681" t="s">
        <v>116</v>
      </c>
      <c r="B1681">
        <v>1700702245</v>
      </c>
      <c r="C1681" t="s">
        <v>18</v>
      </c>
      <c r="D1681" t="s">
        <v>21</v>
      </c>
      <c r="E1681" s="29">
        <v>46204</v>
      </c>
      <c r="F1681" t="s">
        <v>3</v>
      </c>
      <c r="G1681" s="28">
        <v>0.48888888888888887</v>
      </c>
      <c r="H1681" s="28">
        <v>0.55833333333333335</v>
      </c>
      <c r="I1681">
        <v>2</v>
      </c>
      <c r="J1681" t="s">
        <v>146</v>
      </c>
      <c r="K1681">
        <v>5</v>
      </c>
      <c r="L1681" t="s">
        <v>147</v>
      </c>
      <c r="M1681" t="s">
        <v>1462</v>
      </c>
      <c r="N1681" t="s">
        <v>1463</v>
      </c>
      <c r="O1681" t="s">
        <v>1464</v>
      </c>
      <c r="P1681" t="s">
        <v>4796</v>
      </c>
    </row>
    <row r="1682" spans="1:16" x14ac:dyDescent="0.35">
      <c r="A1682" t="s">
        <v>116</v>
      </c>
      <c r="B1682">
        <v>1700702245</v>
      </c>
      <c r="C1682" t="s">
        <v>18</v>
      </c>
      <c r="D1682" t="s">
        <v>21</v>
      </c>
      <c r="E1682" s="29">
        <v>46204</v>
      </c>
      <c r="F1682" t="s">
        <v>3</v>
      </c>
      <c r="G1682" s="28">
        <v>0.56527777777777777</v>
      </c>
      <c r="H1682" s="28">
        <v>0.56527777777777777</v>
      </c>
      <c r="I1682">
        <v>0</v>
      </c>
      <c r="J1682" t="s">
        <v>174</v>
      </c>
      <c r="K1682">
        <v>0</v>
      </c>
      <c r="L1682" t="s">
        <v>1475</v>
      </c>
      <c r="M1682" t="s">
        <v>1467</v>
      </c>
      <c r="N1682" t="s">
        <v>1468</v>
      </c>
      <c r="O1682" t="s">
        <v>1469</v>
      </c>
      <c r="P1682" t="s">
        <v>4797</v>
      </c>
    </row>
    <row r="1683" spans="1:16" x14ac:dyDescent="0.35">
      <c r="A1683" t="s">
        <v>116</v>
      </c>
      <c r="B1683">
        <v>1700702245</v>
      </c>
      <c r="C1683" t="s">
        <v>18</v>
      </c>
      <c r="D1683" t="s">
        <v>21</v>
      </c>
      <c r="E1683" s="29">
        <v>46204</v>
      </c>
      <c r="F1683" t="s">
        <v>3</v>
      </c>
      <c r="G1683" s="28">
        <v>0.57222222222222219</v>
      </c>
      <c r="H1683" s="28">
        <v>0.59305555555555556</v>
      </c>
      <c r="I1683">
        <v>1</v>
      </c>
      <c r="J1683" t="s">
        <v>146</v>
      </c>
      <c r="K1683">
        <v>2</v>
      </c>
      <c r="L1683" t="s">
        <v>147</v>
      </c>
      <c r="M1683" t="s">
        <v>1462</v>
      </c>
      <c r="N1683" t="s">
        <v>1463</v>
      </c>
      <c r="O1683" t="s">
        <v>1464</v>
      </c>
      <c r="P1683" t="s">
        <v>4796</v>
      </c>
    </row>
    <row r="1684" spans="1:16" x14ac:dyDescent="0.35">
      <c r="A1684" t="s">
        <v>116</v>
      </c>
      <c r="B1684">
        <v>1700702245</v>
      </c>
      <c r="C1684" t="s">
        <v>18</v>
      </c>
      <c r="D1684" t="s">
        <v>21</v>
      </c>
      <c r="E1684" s="29">
        <v>46204</v>
      </c>
      <c r="F1684" t="s">
        <v>3</v>
      </c>
      <c r="G1684" s="28">
        <v>0.6</v>
      </c>
      <c r="H1684" s="28">
        <v>0.6069444444444444</v>
      </c>
      <c r="I1684">
        <v>0</v>
      </c>
      <c r="J1684" t="s">
        <v>146</v>
      </c>
      <c r="K1684">
        <v>0</v>
      </c>
      <c r="L1684" t="s">
        <v>147</v>
      </c>
      <c r="M1684" t="s">
        <v>1471</v>
      </c>
      <c r="N1684" t="s">
        <v>1472</v>
      </c>
      <c r="O1684" t="s">
        <v>1473</v>
      </c>
      <c r="P1684" t="s">
        <v>1448</v>
      </c>
    </row>
    <row r="1685" spans="1:16" x14ac:dyDescent="0.35">
      <c r="A1685" t="s">
        <v>116</v>
      </c>
      <c r="B1685">
        <v>1700702245</v>
      </c>
      <c r="C1685" t="s">
        <v>18</v>
      </c>
      <c r="D1685" t="s">
        <v>21</v>
      </c>
      <c r="E1685" s="29">
        <v>46204</v>
      </c>
      <c r="F1685" t="s">
        <v>3</v>
      </c>
      <c r="G1685" s="28">
        <v>0.61388888888888893</v>
      </c>
      <c r="H1685" s="28">
        <v>0.62083333333333335</v>
      </c>
      <c r="I1685">
        <v>0</v>
      </c>
      <c r="J1685" t="s">
        <v>146</v>
      </c>
      <c r="K1685">
        <v>0</v>
      </c>
      <c r="L1685" t="s">
        <v>147</v>
      </c>
      <c r="M1685" t="s">
        <v>1467</v>
      </c>
      <c r="N1685" t="s">
        <v>1468</v>
      </c>
      <c r="O1685" t="s">
        <v>1469</v>
      </c>
      <c r="P1685" t="s">
        <v>4797</v>
      </c>
    </row>
    <row r="1686" spans="1:16" x14ac:dyDescent="0.35">
      <c r="A1686" t="s">
        <v>116</v>
      </c>
      <c r="B1686">
        <v>1700702245</v>
      </c>
      <c r="C1686" t="s">
        <v>18</v>
      </c>
      <c r="D1686" t="s">
        <v>21</v>
      </c>
      <c r="E1686" s="29">
        <v>46204</v>
      </c>
      <c r="F1686" t="s">
        <v>3</v>
      </c>
      <c r="G1686" s="28">
        <v>0.62777777777777777</v>
      </c>
      <c r="H1686" s="28">
        <v>0.68333333333333335</v>
      </c>
      <c r="I1686">
        <v>1</v>
      </c>
      <c r="J1686" t="s">
        <v>146</v>
      </c>
      <c r="K1686">
        <v>4</v>
      </c>
      <c r="L1686" t="s">
        <v>147</v>
      </c>
      <c r="M1686" t="s">
        <v>1462</v>
      </c>
      <c r="N1686" t="s">
        <v>1463</v>
      </c>
      <c r="O1686" t="s">
        <v>1464</v>
      </c>
      <c r="P1686" t="s">
        <v>4796</v>
      </c>
    </row>
    <row r="1687" spans="1:16" x14ac:dyDescent="0.35">
      <c r="A1687" t="s">
        <v>116</v>
      </c>
      <c r="B1687">
        <v>1700702245</v>
      </c>
      <c r="C1687" t="s">
        <v>18</v>
      </c>
      <c r="D1687" t="s">
        <v>21</v>
      </c>
      <c r="E1687" s="29">
        <v>46204</v>
      </c>
      <c r="F1687" t="s">
        <v>3</v>
      </c>
      <c r="G1687" s="28">
        <v>0.69027777777777777</v>
      </c>
      <c r="H1687" s="28">
        <v>0.69027777777777777</v>
      </c>
      <c r="I1687">
        <v>0</v>
      </c>
      <c r="J1687" t="s">
        <v>174</v>
      </c>
      <c r="K1687">
        <v>0</v>
      </c>
      <c r="L1687" t="s">
        <v>514</v>
      </c>
      <c r="M1687" t="s">
        <v>4798</v>
      </c>
      <c r="N1687" t="s">
        <v>4799</v>
      </c>
      <c r="O1687" t="s">
        <v>4800</v>
      </c>
      <c r="P1687" t="s">
        <v>4801</v>
      </c>
    </row>
    <row r="1688" spans="1:16" x14ac:dyDescent="0.35">
      <c r="A1688" t="s">
        <v>116</v>
      </c>
      <c r="B1688">
        <v>1700702245</v>
      </c>
      <c r="C1688" t="s">
        <v>18</v>
      </c>
      <c r="D1688" t="s">
        <v>21</v>
      </c>
      <c r="E1688" s="29">
        <v>46204</v>
      </c>
      <c r="F1688" t="s">
        <v>3</v>
      </c>
      <c r="G1688" s="28">
        <v>0.69722222222222219</v>
      </c>
      <c r="H1688" s="28">
        <v>0.69722222222222219</v>
      </c>
      <c r="I1688">
        <v>0</v>
      </c>
      <c r="J1688" t="s">
        <v>174</v>
      </c>
      <c r="K1688">
        <v>0</v>
      </c>
      <c r="L1688" t="s">
        <v>4211</v>
      </c>
      <c r="M1688" t="s">
        <v>1450</v>
      </c>
      <c r="N1688" t="s">
        <v>4802</v>
      </c>
      <c r="O1688" t="s">
        <v>4803</v>
      </c>
      <c r="P1688" t="s">
        <v>4804</v>
      </c>
    </row>
    <row r="1689" spans="1:16" x14ac:dyDescent="0.35">
      <c r="A1689" t="s">
        <v>116</v>
      </c>
      <c r="B1689">
        <v>1700702245</v>
      </c>
      <c r="C1689" t="s">
        <v>18</v>
      </c>
      <c r="D1689" t="s">
        <v>21</v>
      </c>
      <c r="E1689" s="29">
        <v>46204</v>
      </c>
      <c r="F1689" t="s">
        <v>3</v>
      </c>
      <c r="G1689" s="28">
        <v>0.70416666666666672</v>
      </c>
      <c r="H1689" s="28">
        <v>0.70416666666666672</v>
      </c>
      <c r="I1689">
        <v>0</v>
      </c>
      <c r="J1689" t="s">
        <v>174</v>
      </c>
      <c r="K1689">
        <v>0</v>
      </c>
      <c r="L1689" t="s">
        <v>4805</v>
      </c>
      <c r="M1689" t="s">
        <v>4806</v>
      </c>
      <c r="N1689" t="s">
        <v>4807</v>
      </c>
      <c r="O1689" t="s">
        <v>4808</v>
      </c>
      <c r="P1689" t="s">
        <v>4809</v>
      </c>
    </row>
    <row r="1690" spans="1:16" x14ac:dyDescent="0.35">
      <c r="A1690" t="s">
        <v>116</v>
      </c>
      <c r="B1690">
        <v>1700702245</v>
      </c>
      <c r="C1690" t="s">
        <v>18</v>
      </c>
      <c r="D1690" t="s">
        <v>21</v>
      </c>
      <c r="E1690" s="29">
        <v>46204</v>
      </c>
      <c r="F1690" t="s">
        <v>3</v>
      </c>
      <c r="G1690" s="28">
        <v>0.71111111111111114</v>
      </c>
      <c r="H1690" s="28">
        <v>0.71111111111111114</v>
      </c>
      <c r="I1690">
        <v>0</v>
      </c>
      <c r="J1690" t="s">
        <v>174</v>
      </c>
      <c r="K1690">
        <v>0</v>
      </c>
      <c r="L1690" t="s">
        <v>2279</v>
      </c>
      <c r="M1690" t="s">
        <v>4810</v>
      </c>
      <c r="N1690" t="s">
        <v>4811</v>
      </c>
      <c r="O1690" t="s">
        <v>4812</v>
      </c>
      <c r="P1690" t="s">
        <v>4813</v>
      </c>
    </row>
    <row r="1691" spans="1:16" x14ac:dyDescent="0.35">
      <c r="A1691" t="s">
        <v>116</v>
      </c>
      <c r="B1691">
        <v>1700702245</v>
      </c>
      <c r="C1691" t="s">
        <v>18</v>
      </c>
      <c r="D1691" t="s">
        <v>21</v>
      </c>
      <c r="E1691" s="29">
        <v>46204</v>
      </c>
      <c r="F1691" t="s">
        <v>3</v>
      </c>
      <c r="G1691" s="28">
        <v>0.71805555555555556</v>
      </c>
      <c r="H1691" s="28">
        <v>0.71805555555555556</v>
      </c>
      <c r="I1691">
        <v>0</v>
      </c>
      <c r="J1691" t="s">
        <v>174</v>
      </c>
      <c r="K1691">
        <v>0</v>
      </c>
      <c r="L1691" t="s">
        <v>4814</v>
      </c>
      <c r="M1691" t="s">
        <v>4815</v>
      </c>
      <c r="N1691" t="s">
        <v>4816</v>
      </c>
      <c r="O1691" t="s">
        <v>4817</v>
      </c>
      <c r="P1691" t="s">
        <v>4818</v>
      </c>
    </row>
    <row r="1692" spans="1:16" x14ac:dyDescent="0.35">
      <c r="A1692" t="s">
        <v>116</v>
      </c>
      <c r="B1692">
        <v>1700702245</v>
      </c>
      <c r="C1692" t="s">
        <v>18</v>
      </c>
      <c r="D1692" t="s">
        <v>21</v>
      </c>
      <c r="E1692" s="29">
        <v>46204</v>
      </c>
      <c r="F1692" t="s">
        <v>3</v>
      </c>
      <c r="G1692" s="28">
        <v>0.72499999999999998</v>
      </c>
      <c r="H1692" s="28">
        <v>0.72499999999999998</v>
      </c>
      <c r="I1692">
        <v>0</v>
      </c>
      <c r="J1692" t="s">
        <v>174</v>
      </c>
      <c r="K1692">
        <v>0</v>
      </c>
      <c r="L1692" t="s">
        <v>4630</v>
      </c>
      <c r="M1692" t="s">
        <v>4777</v>
      </c>
      <c r="N1692" t="s">
        <v>4778</v>
      </c>
      <c r="O1692" t="s">
        <v>4779</v>
      </c>
      <c r="P1692" t="s">
        <v>4780</v>
      </c>
    </row>
    <row r="1693" spans="1:16" x14ac:dyDescent="0.35">
      <c r="A1693" t="s">
        <v>116</v>
      </c>
      <c r="B1693">
        <v>1700702245</v>
      </c>
      <c r="C1693" t="s">
        <v>18</v>
      </c>
      <c r="D1693" t="s">
        <v>21</v>
      </c>
      <c r="E1693" s="29">
        <v>46204</v>
      </c>
      <c r="F1693" t="s">
        <v>3</v>
      </c>
      <c r="G1693" s="28">
        <v>0.7319444444444444</v>
      </c>
      <c r="H1693" s="28">
        <v>0.7319444444444444</v>
      </c>
      <c r="I1693">
        <v>0</v>
      </c>
      <c r="J1693" t="s">
        <v>174</v>
      </c>
      <c r="K1693">
        <v>0</v>
      </c>
      <c r="L1693" t="s">
        <v>4819</v>
      </c>
      <c r="M1693" t="s">
        <v>4820</v>
      </c>
      <c r="N1693" t="s">
        <v>4821</v>
      </c>
      <c r="O1693" t="s">
        <v>4822</v>
      </c>
      <c r="P1693" t="s">
        <v>4823</v>
      </c>
    </row>
    <row r="1694" spans="1:16" x14ac:dyDescent="0.35">
      <c r="A1694" t="s">
        <v>116</v>
      </c>
      <c r="B1694">
        <v>1700702245</v>
      </c>
      <c r="C1694" t="s">
        <v>18</v>
      </c>
      <c r="D1694" t="s">
        <v>21</v>
      </c>
      <c r="E1694" s="29">
        <v>46204</v>
      </c>
      <c r="F1694" t="s">
        <v>3</v>
      </c>
      <c r="G1694" s="28">
        <v>0.73888888888888893</v>
      </c>
      <c r="H1694" s="28">
        <v>0.73888888888888893</v>
      </c>
      <c r="I1694">
        <v>0</v>
      </c>
      <c r="J1694" t="s">
        <v>174</v>
      </c>
      <c r="K1694">
        <v>0</v>
      </c>
      <c r="L1694" t="s">
        <v>4824</v>
      </c>
      <c r="M1694" t="s">
        <v>4825</v>
      </c>
      <c r="N1694" t="s">
        <v>4826</v>
      </c>
      <c r="O1694" t="s">
        <v>4827</v>
      </c>
      <c r="P1694" t="s">
        <v>4828</v>
      </c>
    </row>
    <row r="1695" spans="1:16" x14ac:dyDescent="0.35">
      <c r="A1695" t="s">
        <v>116</v>
      </c>
      <c r="B1695">
        <v>1700702245</v>
      </c>
      <c r="C1695" t="s">
        <v>18</v>
      </c>
      <c r="D1695" t="s">
        <v>21</v>
      </c>
      <c r="E1695" s="29">
        <v>46204</v>
      </c>
      <c r="F1695" t="s">
        <v>3</v>
      </c>
      <c r="G1695" s="28">
        <v>0.74583333333333335</v>
      </c>
      <c r="H1695" s="28">
        <v>0.74583333333333335</v>
      </c>
      <c r="I1695">
        <v>0</v>
      </c>
      <c r="J1695" t="s">
        <v>174</v>
      </c>
      <c r="K1695">
        <v>0</v>
      </c>
      <c r="L1695" t="s">
        <v>4763</v>
      </c>
      <c r="M1695" t="s">
        <v>4765</v>
      </c>
      <c r="N1695" t="s">
        <v>4766</v>
      </c>
      <c r="O1695" t="s">
        <v>4767</v>
      </c>
      <c r="P1695" t="s">
        <v>4768</v>
      </c>
    </row>
    <row r="1696" spans="1:16" x14ac:dyDescent="0.35">
      <c r="A1696" t="s">
        <v>116</v>
      </c>
      <c r="B1696">
        <v>1700702245</v>
      </c>
      <c r="C1696" t="s">
        <v>18</v>
      </c>
      <c r="D1696" t="s">
        <v>21</v>
      </c>
      <c r="E1696" s="29">
        <v>46204</v>
      </c>
      <c r="F1696" t="s">
        <v>3</v>
      </c>
      <c r="G1696" s="28">
        <v>0.75277777777777777</v>
      </c>
      <c r="H1696" s="28">
        <v>0.75277777777777777</v>
      </c>
      <c r="I1696">
        <v>0</v>
      </c>
      <c r="J1696" t="s">
        <v>174</v>
      </c>
      <c r="K1696">
        <v>0</v>
      </c>
      <c r="L1696" t="s">
        <v>1395</v>
      </c>
      <c r="M1696" t="s">
        <v>1401</v>
      </c>
      <c r="N1696" t="s">
        <v>1402</v>
      </c>
      <c r="O1696" t="s">
        <v>1403</v>
      </c>
      <c r="P1696" t="s">
        <v>4764</v>
      </c>
    </row>
    <row r="1697" spans="1:16" x14ac:dyDescent="0.35">
      <c r="A1697" t="s">
        <v>116</v>
      </c>
      <c r="B1697">
        <v>1700702245</v>
      </c>
      <c r="C1697" t="s">
        <v>18</v>
      </c>
      <c r="D1697" t="s">
        <v>21</v>
      </c>
      <c r="E1697" s="29">
        <v>46204</v>
      </c>
      <c r="F1697" t="s">
        <v>3</v>
      </c>
      <c r="G1697" s="28">
        <v>0.75972222222222219</v>
      </c>
      <c r="H1697" s="28">
        <v>0.75972222222222219</v>
      </c>
      <c r="I1697">
        <v>0</v>
      </c>
      <c r="J1697" t="s">
        <v>174</v>
      </c>
      <c r="K1697">
        <v>0</v>
      </c>
      <c r="L1697" t="s">
        <v>4829</v>
      </c>
      <c r="M1697" t="s">
        <v>1396</v>
      </c>
      <c r="N1697" t="s">
        <v>1397</v>
      </c>
      <c r="O1697" t="s">
        <v>1398</v>
      </c>
      <c r="P1697" t="s">
        <v>4762</v>
      </c>
    </row>
    <row r="1698" spans="1:16" x14ac:dyDescent="0.35">
      <c r="A1698" t="s">
        <v>116</v>
      </c>
      <c r="B1698">
        <v>1700702245</v>
      </c>
      <c r="C1698" t="s">
        <v>18</v>
      </c>
      <c r="D1698" t="s">
        <v>21</v>
      </c>
      <c r="E1698" s="29">
        <v>46204</v>
      </c>
      <c r="F1698" t="s">
        <v>3</v>
      </c>
      <c r="G1698" s="28">
        <v>0.76666666666666672</v>
      </c>
      <c r="H1698" s="28">
        <v>0.77361111111111114</v>
      </c>
      <c r="I1698">
        <v>0</v>
      </c>
      <c r="J1698" t="s">
        <v>146</v>
      </c>
      <c r="K1698">
        <v>0</v>
      </c>
      <c r="L1698" t="s">
        <v>147</v>
      </c>
      <c r="M1698" t="s">
        <v>4757</v>
      </c>
      <c r="N1698" t="s">
        <v>4758</v>
      </c>
      <c r="O1698" t="s">
        <v>4759</v>
      </c>
      <c r="P1698" t="s">
        <v>4760</v>
      </c>
    </row>
    <row r="1699" spans="1:16" x14ac:dyDescent="0.35">
      <c r="A1699" t="s">
        <v>116</v>
      </c>
      <c r="B1699">
        <v>1700702245</v>
      </c>
      <c r="C1699" t="s">
        <v>18</v>
      </c>
      <c r="D1699" t="s">
        <v>21</v>
      </c>
      <c r="E1699" s="29">
        <v>46204</v>
      </c>
      <c r="F1699" t="s">
        <v>3</v>
      </c>
      <c r="G1699" s="28">
        <v>0.78055555555555556</v>
      </c>
      <c r="H1699" s="28">
        <v>0.78055555555555556</v>
      </c>
      <c r="I1699">
        <v>0</v>
      </c>
      <c r="J1699" t="s">
        <v>174</v>
      </c>
      <c r="K1699">
        <v>0</v>
      </c>
      <c r="L1699" t="s">
        <v>4830</v>
      </c>
      <c r="M1699" t="s">
        <v>4831</v>
      </c>
      <c r="N1699" t="s">
        <v>4832</v>
      </c>
      <c r="O1699" t="s">
        <v>4833</v>
      </c>
      <c r="P1699" t="s">
        <v>4834</v>
      </c>
    </row>
    <row r="1700" spans="1:16" x14ac:dyDescent="0.35">
      <c r="A1700" t="s">
        <v>116</v>
      </c>
      <c r="B1700">
        <v>1700702245</v>
      </c>
      <c r="C1700" t="s">
        <v>18</v>
      </c>
      <c r="D1700" t="s">
        <v>21</v>
      </c>
      <c r="E1700" s="29">
        <v>46204</v>
      </c>
      <c r="F1700" t="s">
        <v>3</v>
      </c>
      <c r="G1700" s="28">
        <v>0.78749999999999998</v>
      </c>
      <c r="H1700" s="28">
        <v>0.78749999999999998</v>
      </c>
      <c r="I1700">
        <v>0</v>
      </c>
      <c r="J1700" t="s">
        <v>174</v>
      </c>
      <c r="K1700">
        <v>0</v>
      </c>
      <c r="L1700" t="s">
        <v>4835</v>
      </c>
      <c r="M1700" t="s">
        <v>4836</v>
      </c>
      <c r="N1700" t="s">
        <v>4837</v>
      </c>
      <c r="O1700" t="s">
        <v>4838</v>
      </c>
      <c r="P1700" t="s">
        <v>4839</v>
      </c>
    </row>
    <row r="1701" spans="1:16" x14ac:dyDescent="0.35">
      <c r="A1701" t="s">
        <v>116</v>
      </c>
      <c r="B1701">
        <v>1700702245</v>
      </c>
      <c r="C1701" t="s">
        <v>18</v>
      </c>
      <c r="D1701" t="s">
        <v>21</v>
      </c>
      <c r="E1701" s="29">
        <v>46205</v>
      </c>
      <c r="F1701" t="s">
        <v>4</v>
      </c>
      <c r="G1701" s="28">
        <v>0.40555555555555556</v>
      </c>
      <c r="H1701" s="28">
        <v>0.46111111111111114</v>
      </c>
      <c r="I1701">
        <v>1</v>
      </c>
      <c r="J1701" t="s">
        <v>146</v>
      </c>
      <c r="K1701">
        <v>4</v>
      </c>
      <c r="L1701" t="s">
        <v>147</v>
      </c>
      <c r="M1701" t="s">
        <v>4840</v>
      </c>
      <c r="N1701" t="s">
        <v>4841</v>
      </c>
      <c r="O1701" t="s">
        <v>4842</v>
      </c>
      <c r="P1701" t="s">
        <v>4843</v>
      </c>
    </row>
    <row r="1702" spans="1:16" x14ac:dyDescent="0.35">
      <c r="A1702" t="s">
        <v>116</v>
      </c>
      <c r="B1702">
        <v>1700702245</v>
      </c>
      <c r="C1702" t="s">
        <v>18</v>
      </c>
      <c r="D1702" t="s">
        <v>21</v>
      </c>
      <c r="E1702" s="29">
        <v>46205</v>
      </c>
      <c r="F1702" t="s">
        <v>4</v>
      </c>
      <c r="G1702" s="28">
        <v>0.46805555555555556</v>
      </c>
      <c r="H1702" s="28">
        <v>0.46805555555555556</v>
      </c>
      <c r="I1702">
        <v>0</v>
      </c>
      <c r="J1702" t="s">
        <v>174</v>
      </c>
      <c r="K1702">
        <v>0</v>
      </c>
      <c r="L1702" t="s">
        <v>2772</v>
      </c>
      <c r="M1702" t="s">
        <v>4844</v>
      </c>
      <c r="N1702" t="s">
        <v>4845</v>
      </c>
      <c r="O1702" t="s">
        <v>4846</v>
      </c>
      <c r="P1702" t="s">
        <v>4847</v>
      </c>
    </row>
    <row r="1703" spans="1:16" x14ac:dyDescent="0.35">
      <c r="A1703" t="s">
        <v>116</v>
      </c>
      <c r="B1703">
        <v>1700702245</v>
      </c>
      <c r="C1703" t="s">
        <v>18</v>
      </c>
      <c r="D1703" t="s">
        <v>21</v>
      </c>
      <c r="E1703" s="29">
        <v>46205</v>
      </c>
      <c r="F1703" t="s">
        <v>4</v>
      </c>
      <c r="G1703" s="28">
        <v>0.47499999999999998</v>
      </c>
      <c r="H1703" s="28">
        <v>0.50277777777777777</v>
      </c>
      <c r="I1703">
        <v>1</v>
      </c>
      <c r="J1703" t="s">
        <v>146</v>
      </c>
      <c r="K1703">
        <v>2</v>
      </c>
      <c r="L1703" t="s">
        <v>147</v>
      </c>
      <c r="M1703" t="s">
        <v>4840</v>
      </c>
      <c r="N1703" t="s">
        <v>4841</v>
      </c>
      <c r="O1703" t="s">
        <v>4842</v>
      </c>
      <c r="P1703" t="s">
        <v>4843</v>
      </c>
    </row>
    <row r="1704" spans="1:16" x14ac:dyDescent="0.35">
      <c r="A1704" t="s">
        <v>116</v>
      </c>
      <c r="B1704">
        <v>1700702245</v>
      </c>
      <c r="C1704" t="s">
        <v>18</v>
      </c>
      <c r="D1704" t="s">
        <v>21</v>
      </c>
      <c r="E1704" s="29">
        <v>46205</v>
      </c>
      <c r="F1704" t="s">
        <v>4</v>
      </c>
      <c r="G1704" s="28">
        <v>0.51666666666666672</v>
      </c>
      <c r="H1704" s="28">
        <v>0.51666666666666672</v>
      </c>
      <c r="I1704">
        <v>0</v>
      </c>
      <c r="J1704" t="s">
        <v>174</v>
      </c>
      <c r="K1704">
        <v>0</v>
      </c>
      <c r="L1704" t="s">
        <v>2918</v>
      </c>
      <c r="M1704" t="s">
        <v>4848</v>
      </c>
      <c r="N1704" t="s">
        <v>4849</v>
      </c>
      <c r="O1704" t="s">
        <v>4842</v>
      </c>
      <c r="P1704" t="s">
        <v>4850</v>
      </c>
    </row>
    <row r="1705" spans="1:16" x14ac:dyDescent="0.35">
      <c r="A1705" t="s">
        <v>116</v>
      </c>
      <c r="B1705">
        <v>1700702245</v>
      </c>
      <c r="C1705" t="s">
        <v>18</v>
      </c>
      <c r="D1705" t="s">
        <v>21</v>
      </c>
      <c r="E1705" s="29">
        <v>46205</v>
      </c>
      <c r="F1705" t="s">
        <v>4</v>
      </c>
      <c r="G1705" s="28">
        <v>0.52361111111111114</v>
      </c>
      <c r="H1705" s="28">
        <v>0.52361111111111114</v>
      </c>
      <c r="I1705">
        <v>0</v>
      </c>
      <c r="J1705" t="s">
        <v>174</v>
      </c>
      <c r="K1705">
        <v>0</v>
      </c>
      <c r="L1705" t="s">
        <v>4851</v>
      </c>
      <c r="M1705" t="s">
        <v>4852</v>
      </c>
      <c r="N1705" t="s">
        <v>4853</v>
      </c>
      <c r="O1705" t="s">
        <v>4854</v>
      </c>
      <c r="P1705" t="s">
        <v>4855</v>
      </c>
    </row>
    <row r="1706" spans="1:16" x14ac:dyDescent="0.35">
      <c r="A1706" t="s">
        <v>116</v>
      </c>
      <c r="B1706">
        <v>1700702245</v>
      </c>
      <c r="C1706" t="s">
        <v>18</v>
      </c>
      <c r="D1706" t="s">
        <v>21</v>
      </c>
      <c r="E1706" s="29">
        <v>46205</v>
      </c>
      <c r="F1706" t="s">
        <v>4</v>
      </c>
      <c r="G1706" s="28">
        <v>0.53055555555555556</v>
      </c>
      <c r="H1706" s="28">
        <v>0.53055555555555556</v>
      </c>
      <c r="I1706">
        <v>0</v>
      </c>
      <c r="J1706" t="s">
        <v>174</v>
      </c>
      <c r="K1706">
        <v>0</v>
      </c>
      <c r="L1706" t="s">
        <v>2772</v>
      </c>
      <c r="M1706" t="s">
        <v>4840</v>
      </c>
      <c r="N1706" t="s">
        <v>4841</v>
      </c>
      <c r="O1706" t="s">
        <v>4842</v>
      </c>
      <c r="P1706" t="s">
        <v>4843</v>
      </c>
    </row>
    <row r="1707" spans="1:16" x14ac:dyDescent="0.35">
      <c r="A1707" t="s">
        <v>116</v>
      </c>
      <c r="B1707">
        <v>1700702245</v>
      </c>
      <c r="C1707" t="s">
        <v>18</v>
      </c>
      <c r="D1707" t="s">
        <v>21</v>
      </c>
      <c r="E1707" s="29">
        <v>46205</v>
      </c>
      <c r="F1707" t="s">
        <v>4</v>
      </c>
      <c r="G1707" s="28">
        <v>0.53749999999999998</v>
      </c>
      <c r="H1707" s="28">
        <v>0.53749999999999998</v>
      </c>
      <c r="I1707">
        <v>0</v>
      </c>
      <c r="J1707" t="s">
        <v>174</v>
      </c>
      <c r="K1707">
        <v>0</v>
      </c>
      <c r="L1707" t="s">
        <v>2772</v>
      </c>
      <c r="M1707" t="s">
        <v>4844</v>
      </c>
      <c r="N1707" t="s">
        <v>4845</v>
      </c>
      <c r="O1707" t="s">
        <v>4846</v>
      </c>
      <c r="P1707" t="s">
        <v>4847</v>
      </c>
    </row>
    <row r="1708" spans="1:16" x14ac:dyDescent="0.35">
      <c r="A1708" t="s">
        <v>116</v>
      </c>
      <c r="B1708">
        <v>1700702245</v>
      </c>
      <c r="C1708" t="s">
        <v>18</v>
      </c>
      <c r="D1708" t="s">
        <v>21</v>
      </c>
      <c r="E1708" s="29">
        <v>46205</v>
      </c>
      <c r="F1708" t="s">
        <v>4</v>
      </c>
      <c r="G1708" s="28">
        <v>0.5444444444444444</v>
      </c>
      <c r="H1708" s="28">
        <v>0.56527777777777777</v>
      </c>
      <c r="I1708">
        <v>1</v>
      </c>
      <c r="J1708" t="s">
        <v>146</v>
      </c>
      <c r="K1708">
        <v>2</v>
      </c>
      <c r="L1708" t="s">
        <v>147</v>
      </c>
      <c r="M1708" t="s">
        <v>4840</v>
      </c>
      <c r="N1708" t="s">
        <v>4841</v>
      </c>
      <c r="O1708" t="s">
        <v>4842</v>
      </c>
      <c r="P1708" t="s">
        <v>4843</v>
      </c>
    </row>
    <row r="1709" spans="1:16" x14ac:dyDescent="0.35">
      <c r="A1709" t="s">
        <v>116</v>
      </c>
      <c r="B1709">
        <v>1700702245</v>
      </c>
      <c r="C1709" t="s">
        <v>18</v>
      </c>
      <c r="D1709" t="s">
        <v>21</v>
      </c>
      <c r="E1709" s="29">
        <v>46205</v>
      </c>
      <c r="F1709" t="s">
        <v>4</v>
      </c>
      <c r="G1709" s="28">
        <v>0.57222222222222219</v>
      </c>
      <c r="H1709" s="28">
        <v>0.57222222222222219</v>
      </c>
      <c r="I1709">
        <v>0</v>
      </c>
      <c r="J1709" t="s">
        <v>174</v>
      </c>
      <c r="K1709">
        <v>0</v>
      </c>
      <c r="L1709" t="s">
        <v>3500</v>
      </c>
      <c r="M1709" t="s">
        <v>4856</v>
      </c>
      <c r="N1709" t="s">
        <v>4857</v>
      </c>
      <c r="O1709" t="s">
        <v>4858</v>
      </c>
      <c r="P1709" t="s">
        <v>4859</v>
      </c>
    </row>
    <row r="1710" spans="1:16" x14ac:dyDescent="0.35">
      <c r="A1710" t="s">
        <v>116</v>
      </c>
      <c r="B1710">
        <v>1700702245</v>
      </c>
      <c r="C1710" t="s">
        <v>18</v>
      </c>
      <c r="D1710" t="s">
        <v>21</v>
      </c>
      <c r="E1710" s="29">
        <v>46205</v>
      </c>
      <c r="F1710" t="s">
        <v>4</v>
      </c>
      <c r="G1710" s="28">
        <v>0.57916666666666672</v>
      </c>
      <c r="H1710" s="28">
        <v>0.57916666666666672</v>
      </c>
      <c r="I1710">
        <v>0</v>
      </c>
      <c r="J1710" t="s">
        <v>174</v>
      </c>
      <c r="K1710">
        <v>0</v>
      </c>
      <c r="L1710" t="s">
        <v>4860</v>
      </c>
      <c r="M1710" t="s">
        <v>4861</v>
      </c>
      <c r="N1710" t="s">
        <v>4862</v>
      </c>
      <c r="O1710" t="s">
        <v>4863</v>
      </c>
      <c r="P1710" t="s">
        <v>4864</v>
      </c>
    </row>
    <row r="1711" spans="1:16" x14ac:dyDescent="0.35">
      <c r="A1711" t="s">
        <v>116</v>
      </c>
      <c r="B1711">
        <v>1700702245</v>
      </c>
      <c r="C1711" t="s">
        <v>18</v>
      </c>
      <c r="D1711" t="s">
        <v>21</v>
      </c>
      <c r="E1711" s="29">
        <v>46205</v>
      </c>
      <c r="F1711" t="s">
        <v>4</v>
      </c>
      <c r="G1711" s="28">
        <v>0.58611111111111114</v>
      </c>
      <c r="H1711" s="28">
        <v>0.58611111111111114</v>
      </c>
      <c r="I1711">
        <v>0</v>
      </c>
      <c r="J1711" t="s">
        <v>174</v>
      </c>
      <c r="K1711">
        <v>0</v>
      </c>
      <c r="L1711" t="s">
        <v>4865</v>
      </c>
      <c r="M1711" t="s">
        <v>4866</v>
      </c>
      <c r="N1711" t="s">
        <v>4867</v>
      </c>
      <c r="O1711" t="s">
        <v>4868</v>
      </c>
      <c r="P1711" t="s">
        <v>4869</v>
      </c>
    </row>
    <row r="1712" spans="1:16" x14ac:dyDescent="0.35">
      <c r="A1712" t="s">
        <v>116</v>
      </c>
      <c r="B1712">
        <v>1700702245</v>
      </c>
      <c r="C1712" t="s">
        <v>18</v>
      </c>
      <c r="D1712" t="s">
        <v>21</v>
      </c>
      <c r="E1712" s="29">
        <v>46205</v>
      </c>
      <c r="F1712" t="s">
        <v>4</v>
      </c>
      <c r="G1712" s="28">
        <v>0.59305555555555556</v>
      </c>
      <c r="H1712" s="28">
        <v>0.59305555555555556</v>
      </c>
      <c r="I1712">
        <v>0</v>
      </c>
      <c r="J1712" t="s">
        <v>174</v>
      </c>
      <c r="K1712">
        <v>0</v>
      </c>
      <c r="L1712" t="s">
        <v>3836</v>
      </c>
      <c r="M1712" t="s">
        <v>1340</v>
      </c>
      <c r="N1712" t="s">
        <v>1341</v>
      </c>
      <c r="O1712" t="s">
        <v>1342</v>
      </c>
      <c r="P1712" t="s">
        <v>4870</v>
      </c>
    </row>
    <row r="1713" spans="1:16" x14ac:dyDescent="0.35">
      <c r="A1713" t="s">
        <v>116</v>
      </c>
      <c r="B1713">
        <v>1700702245</v>
      </c>
      <c r="C1713" t="s">
        <v>18</v>
      </c>
      <c r="D1713" t="s">
        <v>21</v>
      </c>
      <c r="E1713" s="29">
        <v>46205</v>
      </c>
      <c r="F1713" t="s">
        <v>4</v>
      </c>
      <c r="G1713" s="28">
        <v>0.6</v>
      </c>
      <c r="H1713" s="28">
        <v>0.6069444444444444</v>
      </c>
      <c r="I1713">
        <v>0</v>
      </c>
      <c r="J1713" t="s">
        <v>146</v>
      </c>
      <c r="K1713">
        <v>0</v>
      </c>
      <c r="L1713" t="s">
        <v>147</v>
      </c>
      <c r="M1713" t="s">
        <v>4871</v>
      </c>
      <c r="N1713" t="s">
        <v>4872</v>
      </c>
      <c r="O1713" t="s">
        <v>4873</v>
      </c>
      <c r="P1713" t="s">
        <v>4874</v>
      </c>
    </row>
    <row r="1714" spans="1:16" x14ac:dyDescent="0.35">
      <c r="A1714" t="s">
        <v>116</v>
      </c>
      <c r="B1714">
        <v>1700702245</v>
      </c>
      <c r="C1714" t="s">
        <v>18</v>
      </c>
      <c r="D1714" t="s">
        <v>21</v>
      </c>
      <c r="E1714" s="29">
        <v>46205</v>
      </c>
      <c r="F1714" t="s">
        <v>4</v>
      </c>
      <c r="G1714" s="28">
        <v>0.61388888888888893</v>
      </c>
      <c r="H1714" s="28">
        <v>0.87083333333333335</v>
      </c>
      <c r="I1714">
        <v>6</v>
      </c>
      <c r="J1714" t="s">
        <v>146</v>
      </c>
      <c r="K1714">
        <v>18</v>
      </c>
      <c r="L1714" t="s">
        <v>147</v>
      </c>
      <c r="M1714" t="s">
        <v>154</v>
      </c>
      <c r="N1714" t="s">
        <v>164</v>
      </c>
      <c r="O1714" t="s">
        <v>165</v>
      </c>
      <c r="P1714" t="s">
        <v>155</v>
      </c>
    </row>
    <row r="1715" spans="1:16" x14ac:dyDescent="0.35">
      <c r="A1715" t="s">
        <v>116</v>
      </c>
      <c r="B1715">
        <v>1700702245</v>
      </c>
      <c r="C1715" t="s">
        <v>18</v>
      </c>
      <c r="D1715" t="s">
        <v>21</v>
      </c>
      <c r="E1715" s="29">
        <v>46207</v>
      </c>
      <c r="F1715" t="s">
        <v>5</v>
      </c>
      <c r="G1715" s="28">
        <v>0.38472222222222224</v>
      </c>
      <c r="H1715" s="28">
        <v>0.39166666666666666</v>
      </c>
      <c r="I1715">
        <v>0</v>
      </c>
      <c r="J1715" t="s">
        <v>146</v>
      </c>
      <c r="K1715">
        <v>0</v>
      </c>
      <c r="L1715" t="s">
        <v>147</v>
      </c>
      <c r="M1715" t="s">
        <v>4875</v>
      </c>
      <c r="N1715" t="s">
        <v>4876</v>
      </c>
      <c r="O1715" t="s">
        <v>4877</v>
      </c>
      <c r="P1715" t="s">
        <v>4878</v>
      </c>
    </row>
    <row r="1716" spans="1:16" x14ac:dyDescent="0.35">
      <c r="A1716" t="s">
        <v>116</v>
      </c>
      <c r="B1716">
        <v>1700702245</v>
      </c>
      <c r="C1716" t="s">
        <v>18</v>
      </c>
      <c r="D1716" t="s">
        <v>21</v>
      </c>
      <c r="E1716" s="29">
        <v>46207</v>
      </c>
      <c r="F1716" t="s">
        <v>5</v>
      </c>
      <c r="G1716" s="28">
        <v>0.39861111111111114</v>
      </c>
      <c r="H1716" s="28">
        <v>0.39861111111111114</v>
      </c>
      <c r="I1716">
        <v>0</v>
      </c>
      <c r="J1716" t="s">
        <v>174</v>
      </c>
      <c r="K1716">
        <v>0</v>
      </c>
      <c r="L1716" t="s">
        <v>2412</v>
      </c>
      <c r="M1716" t="s">
        <v>4879</v>
      </c>
      <c r="N1716" t="s">
        <v>4880</v>
      </c>
      <c r="O1716" t="s">
        <v>4881</v>
      </c>
      <c r="P1716" t="s">
        <v>4882</v>
      </c>
    </row>
    <row r="1717" spans="1:16" x14ac:dyDescent="0.35">
      <c r="A1717" t="s">
        <v>116</v>
      </c>
      <c r="B1717">
        <v>1700702245</v>
      </c>
      <c r="C1717" t="s">
        <v>18</v>
      </c>
      <c r="D1717" t="s">
        <v>21</v>
      </c>
      <c r="E1717" s="29">
        <v>46207</v>
      </c>
      <c r="F1717" t="s">
        <v>5</v>
      </c>
      <c r="G1717" s="28">
        <v>0.40555555555555556</v>
      </c>
      <c r="H1717" s="28">
        <v>0.55833333333333335</v>
      </c>
      <c r="I1717">
        <v>4</v>
      </c>
      <c r="J1717" t="s">
        <v>146</v>
      </c>
      <c r="K1717">
        <v>11</v>
      </c>
      <c r="L1717" t="s">
        <v>147</v>
      </c>
      <c r="M1717" t="s">
        <v>4875</v>
      </c>
      <c r="N1717" t="s">
        <v>4876</v>
      </c>
      <c r="O1717" t="s">
        <v>4877</v>
      </c>
      <c r="P1717" t="s">
        <v>4878</v>
      </c>
    </row>
    <row r="1718" spans="1:16" x14ac:dyDescent="0.35">
      <c r="A1718" t="s">
        <v>116</v>
      </c>
      <c r="B1718">
        <v>1700702245</v>
      </c>
      <c r="C1718" t="s">
        <v>18</v>
      </c>
      <c r="D1718" t="s">
        <v>21</v>
      </c>
      <c r="E1718" s="29">
        <v>46207</v>
      </c>
      <c r="F1718" t="s">
        <v>5</v>
      </c>
      <c r="G1718" s="28">
        <v>0.56527777777777777</v>
      </c>
      <c r="H1718" s="28">
        <v>0.56527777777777777</v>
      </c>
      <c r="I1718">
        <v>0</v>
      </c>
      <c r="J1718" t="s">
        <v>174</v>
      </c>
      <c r="K1718">
        <v>0</v>
      </c>
      <c r="L1718" t="s">
        <v>222</v>
      </c>
      <c r="M1718" t="s">
        <v>4883</v>
      </c>
      <c r="N1718" t="s">
        <v>4884</v>
      </c>
      <c r="O1718" t="s">
        <v>4885</v>
      </c>
      <c r="P1718" t="s">
        <v>4886</v>
      </c>
    </row>
    <row r="1719" spans="1:16" x14ac:dyDescent="0.35">
      <c r="A1719" t="s">
        <v>116</v>
      </c>
      <c r="B1719">
        <v>1700702245</v>
      </c>
      <c r="C1719" t="s">
        <v>18</v>
      </c>
      <c r="D1719" t="s">
        <v>21</v>
      </c>
      <c r="E1719" s="29">
        <v>46207</v>
      </c>
      <c r="F1719" t="s">
        <v>5</v>
      </c>
      <c r="G1719" s="28">
        <v>0.57222222222222219</v>
      </c>
      <c r="H1719" s="28">
        <v>0.57222222222222219</v>
      </c>
      <c r="I1719">
        <v>0</v>
      </c>
      <c r="J1719" t="s">
        <v>174</v>
      </c>
      <c r="K1719">
        <v>0</v>
      </c>
      <c r="L1719" t="s">
        <v>1440</v>
      </c>
      <c r="M1719" t="s">
        <v>1516</v>
      </c>
      <c r="N1719" t="s">
        <v>1517</v>
      </c>
      <c r="O1719" t="s">
        <v>1518</v>
      </c>
      <c r="P1719" t="s">
        <v>4887</v>
      </c>
    </row>
    <row r="1720" spans="1:16" x14ac:dyDescent="0.35">
      <c r="A1720" t="s">
        <v>116</v>
      </c>
      <c r="B1720">
        <v>1700702245</v>
      </c>
      <c r="C1720" t="s">
        <v>18</v>
      </c>
      <c r="D1720" t="s">
        <v>21</v>
      </c>
      <c r="E1720" s="29">
        <v>46207</v>
      </c>
      <c r="F1720" t="s">
        <v>5</v>
      </c>
      <c r="G1720" s="28">
        <v>0.57916666666666672</v>
      </c>
      <c r="H1720" s="28">
        <v>0.57916666666666672</v>
      </c>
      <c r="I1720">
        <v>0</v>
      </c>
      <c r="J1720" t="s">
        <v>174</v>
      </c>
      <c r="K1720">
        <v>0</v>
      </c>
      <c r="L1720" t="s">
        <v>1440</v>
      </c>
      <c r="M1720" t="s">
        <v>4888</v>
      </c>
      <c r="N1720" t="s">
        <v>4889</v>
      </c>
      <c r="O1720" t="s">
        <v>4890</v>
      </c>
      <c r="P1720" t="s">
        <v>4891</v>
      </c>
    </row>
    <row r="1721" spans="1:16" x14ac:dyDescent="0.35">
      <c r="A1721" t="s">
        <v>116</v>
      </c>
      <c r="B1721">
        <v>1700702245</v>
      </c>
      <c r="C1721" t="s">
        <v>18</v>
      </c>
      <c r="D1721" t="s">
        <v>21</v>
      </c>
      <c r="E1721" s="29">
        <v>46207</v>
      </c>
      <c r="F1721" t="s">
        <v>5</v>
      </c>
      <c r="G1721" s="28">
        <v>0.58611111111111114</v>
      </c>
      <c r="H1721" s="28">
        <v>0.58611111111111114</v>
      </c>
      <c r="I1721">
        <v>0</v>
      </c>
      <c r="J1721" t="s">
        <v>174</v>
      </c>
      <c r="K1721">
        <v>0</v>
      </c>
      <c r="L1721" t="s">
        <v>4892</v>
      </c>
      <c r="M1721" t="s">
        <v>1516</v>
      </c>
      <c r="N1721" t="s">
        <v>1517</v>
      </c>
      <c r="O1721" t="s">
        <v>1518</v>
      </c>
      <c r="P1721" t="s">
        <v>4887</v>
      </c>
    </row>
    <row r="1722" spans="1:16" x14ac:dyDescent="0.35">
      <c r="A1722" t="s">
        <v>116</v>
      </c>
      <c r="B1722">
        <v>1700702245</v>
      </c>
      <c r="C1722" t="s">
        <v>18</v>
      </c>
      <c r="D1722" t="s">
        <v>21</v>
      </c>
      <c r="E1722" s="29">
        <v>46207</v>
      </c>
      <c r="F1722" t="s">
        <v>5</v>
      </c>
      <c r="G1722" s="28">
        <v>0.59305555555555556</v>
      </c>
      <c r="H1722" s="28">
        <v>0.72499999999999998</v>
      </c>
      <c r="I1722">
        <v>3</v>
      </c>
      <c r="J1722" t="s">
        <v>146</v>
      </c>
      <c r="K1722">
        <v>10</v>
      </c>
      <c r="L1722" t="s">
        <v>147</v>
      </c>
      <c r="M1722" t="s">
        <v>4748</v>
      </c>
      <c r="N1722" t="s">
        <v>4749</v>
      </c>
      <c r="O1722" t="s">
        <v>4750</v>
      </c>
      <c r="P1722" t="s">
        <v>4751</v>
      </c>
    </row>
    <row r="1723" spans="1:16" x14ac:dyDescent="0.35">
      <c r="A1723" t="s">
        <v>116</v>
      </c>
      <c r="B1723">
        <v>1700702245</v>
      </c>
      <c r="C1723" t="s">
        <v>18</v>
      </c>
      <c r="D1723" t="s">
        <v>21</v>
      </c>
      <c r="E1723" s="29">
        <v>46207</v>
      </c>
      <c r="F1723" t="s">
        <v>5</v>
      </c>
      <c r="G1723" s="28">
        <v>0.7319444444444444</v>
      </c>
      <c r="H1723" s="28">
        <v>0.73888888888888893</v>
      </c>
      <c r="I1723">
        <v>0</v>
      </c>
      <c r="J1723" t="s">
        <v>146</v>
      </c>
      <c r="K1723">
        <v>1</v>
      </c>
      <c r="L1723" t="s">
        <v>147</v>
      </c>
      <c r="M1723" t="s">
        <v>4893</v>
      </c>
      <c r="N1723" t="s">
        <v>4894</v>
      </c>
      <c r="O1723" t="s">
        <v>4895</v>
      </c>
      <c r="P1723" t="s">
        <v>4896</v>
      </c>
    </row>
    <row r="1724" spans="1:16" x14ac:dyDescent="0.35">
      <c r="A1724" t="s">
        <v>116</v>
      </c>
      <c r="B1724">
        <v>1700702245</v>
      </c>
      <c r="C1724" t="s">
        <v>18</v>
      </c>
      <c r="D1724" t="s">
        <v>21</v>
      </c>
      <c r="E1724" s="29">
        <v>46207</v>
      </c>
      <c r="F1724" t="s">
        <v>5</v>
      </c>
      <c r="G1724" s="28">
        <v>0.74583333333333335</v>
      </c>
      <c r="H1724" s="28">
        <v>0.74583333333333335</v>
      </c>
      <c r="I1724">
        <v>0</v>
      </c>
      <c r="J1724" t="s">
        <v>174</v>
      </c>
      <c r="K1724">
        <v>0</v>
      </c>
      <c r="L1724" t="s">
        <v>685</v>
      </c>
      <c r="M1724" t="s">
        <v>4897</v>
      </c>
      <c r="N1724" t="s">
        <v>4898</v>
      </c>
      <c r="O1724" t="s">
        <v>4899</v>
      </c>
      <c r="P1724" t="s">
        <v>4900</v>
      </c>
    </row>
    <row r="1725" spans="1:16" x14ac:dyDescent="0.35">
      <c r="A1725" t="s">
        <v>116</v>
      </c>
      <c r="B1725">
        <v>1700702245</v>
      </c>
      <c r="C1725" t="s">
        <v>18</v>
      </c>
      <c r="D1725" t="s">
        <v>21</v>
      </c>
      <c r="E1725" s="29">
        <v>46207</v>
      </c>
      <c r="F1725" t="s">
        <v>5</v>
      </c>
      <c r="G1725" s="28">
        <v>0.75277777777777777</v>
      </c>
      <c r="H1725" s="28">
        <v>0.75277777777777777</v>
      </c>
      <c r="I1725">
        <v>0</v>
      </c>
      <c r="J1725" t="s">
        <v>174</v>
      </c>
      <c r="K1725">
        <v>0</v>
      </c>
      <c r="L1725" t="s">
        <v>267</v>
      </c>
      <c r="M1725" t="s">
        <v>4893</v>
      </c>
      <c r="N1725" t="s">
        <v>4894</v>
      </c>
      <c r="O1725" t="s">
        <v>4895</v>
      </c>
      <c r="P1725" t="s">
        <v>4896</v>
      </c>
    </row>
    <row r="1726" spans="1:16" x14ac:dyDescent="0.35">
      <c r="A1726" t="s">
        <v>116</v>
      </c>
      <c r="B1726">
        <v>1700702245</v>
      </c>
      <c r="C1726" t="s">
        <v>18</v>
      </c>
      <c r="D1726" t="s">
        <v>21</v>
      </c>
      <c r="E1726" s="29">
        <v>46207</v>
      </c>
      <c r="F1726" t="s">
        <v>5</v>
      </c>
      <c r="G1726" s="28">
        <v>0.75972222222222219</v>
      </c>
      <c r="H1726" s="28">
        <v>0.75972222222222219</v>
      </c>
      <c r="I1726">
        <v>0</v>
      </c>
      <c r="J1726" t="s">
        <v>174</v>
      </c>
      <c r="K1726">
        <v>0</v>
      </c>
      <c r="L1726" t="s">
        <v>437</v>
      </c>
      <c r="M1726" t="s">
        <v>1332</v>
      </c>
      <c r="N1726" t="s">
        <v>1333</v>
      </c>
      <c r="O1726" t="s">
        <v>1334</v>
      </c>
      <c r="P1726" t="s">
        <v>4901</v>
      </c>
    </row>
    <row r="1727" spans="1:16" x14ac:dyDescent="0.35">
      <c r="A1727" t="s">
        <v>116</v>
      </c>
      <c r="B1727">
        <v>1700702245</v>
      </c>
      <c r="C1727" t="s">
        <v>18</v>
      </c>
      <c r="D1727" t="s">
        <v>21</v>
      </c>
      <c r="E1727" s="29">
        <v>46207</v>
      </c>
      <c r="F1727" t="s">
        <v>5</v>
      </c>
      <c r="G1727" s="28">
        <v>0.76666666666666672</v>
      </c>
      <c r="H1727" s="28">
        <v>0.92638888888888893</v>
      </c>
      <c r="I1727">
        <v>4</v>
      </c>
      <c r="J1727" t="s">
        <v>146</v>
      </c>
      <c r="K1727">
        <v>12</v>
      </c>
      <c r="L1727" t="s">
        <v>147</v>
      </c>
      <c r="M1727" t="s">
        <v>154</v>
      </c>
      <c r="N1727" t="s">
        <v>164</v>
      </c>
      <c r="O1727" t="s">
        <v>165</v>
      </c>
      <c r="P1727" t="s">
        <v>155</v>
      </c>
    </row>
    <row r="1728" spans="1:16" x14ac:dyDescent="0.35">
      <c r="A1728" t="s">
        <v>116</v>
      </c>
      <c r="B1728">
        <v>1700702245</v>
      </c>
      <c r="C1728" t="s">
        <v>18</v>
      </c>
      <c r="D1728" t="s">
        <v>21</v>
      </c>
      <c r="E1728" s="29">
        <v>46208</v>
      </c>
      <c r="F1728" t="s">
        <v>6</v>
      </c>
      <c r="G1728" s="28">
        <v>0.37777777777777777</v>
      </c>
      <c r="H1728" s="28">
        <v>0.37777777777777777</v>
      </c>
      <c r="I1728">
        <v>0</v>
      </c>
      <c r="J1728" t="s">
        <v>174</v>
      </c>
      <c r="K1728">
        <v>0</v>
      </c>
      <c r="L1728" t="s">
        <v>4902</v>
      </c>
      <c r="M1728" t="s">
        <v>4903</v>
      </c>
      <c r="N1728" t="s">
        <v>4904</v>
      </c>
      <c r="O1728" t="s">
        <v>4905</v>
      </c>
      <c r="P1728" t="s">
        <v>4906</v>
      </c>
    </row>
    <row r="1729" spans="1:16" x14ac:dyDescent="0.35">
      <c r="A1729" t="s">
        <v>116</v>
      </c>
      <c r="B1729">
        <v>1700702245</v>
      </c>
      <c r="C1729" t="s">
        <v>18</v>
      </c>
      <c r="D1729" t="s">
        <v>21</v>
      </c>
      <c r="E1729" s="29">
        <v>46208</v>
      </c>
      <c r="F1729" t="s">
        <v>6</v>
      </c>
      <c r="G1729" s="28">
        <v>0.39166666666666666</v>
      </c>
      <c r="H1729" s="28">
        <v>0.39166666666666666</v>
      </c>
      <c r="I1729">
        <v>0</v>
      </c>
      <c r="J1729" t="s">
        <v>174</v>
      </c>
      <c r="K1729">
        <v>0</v>
      </c>
      <c r="L1729" t="s">
        <v>1430</v>
      </c>
      <c r="M1729" t="s">
        <v>4907</v>
      </c>
      <c r="N1729" t="s">
        <v>4908</v>
      </c>
      <c r="O1729" t="s">
        <v>4909</v>
      </c>
      <c r="P1729" t="s">
        <v>4910</v>
      </c>
    </row>
    <row r="1730" spans="1:16" x14ac:dyDescent="0.35">
      <c r="A1730" t="s">
        <v>116</v>
      </c>
      <c r="B1730">
        <v>1700702245</v>
      </c>
      <c r="C1730" t="s">
        <v>18</v>
      </c>
      <c r="D1730" t="s">
        <v>21</v>
      </c>
      <c r="E1730" s="29">
        <v>46208</v>
      </c>
      <c r="F1730" t="s">
        <v>6</v>
      </c>
      <c r="G1730" s="28">
        <v>0.39861111111111114</v>
      </c>
      <c r="H1730" s="28">
        <v>0.40555555555555556</v>
      </c>
      <c r="I1730">
        <v>0</v>
      </c>
      <c r="J1730" t="s">
        <v>146</v>
      </c>
      <c r="K1730">
        <v>0</v>
      </c>
      <c r="L1730" t="s">
        <v>147</v>
      </c>
      <c r="M1730" t="s">
        <v>4911</v>
      </c>
      <c r="N1730" t="s">
        <v>4912</v>
      </c>
      <c r="O1730" t="s">
        <v>4913</v>
      </c>
      <c r="P1730" t="s">
        <v>4914</v>
      </c>
    </row>
    <row r="1731" spans="1:16" x14ac:dyDescent="0.35">
      <c r="A1731" t="s">
        <v>116</v>
      </c>
      <c r="B1731">
        <v>1700702245</v>
      </c>
      <c r="C1731" t="s">
        <v>18</v>
      </c>
      <c r="D1731" t="s">
        <v>21</v>
      </c>
      <c r="E1731" s="29">
        <v>46208</v>
      </c>
      <c r="F1731" t="s">
        <v>6</v>
      </c>
      <c r="G1731" s="28">
        <v>0.41249999999999998</v>
      </c>
      <c r="H1731" s="28">
        <v>0.41944444444444445</v>
      </c>
      <c r="I1731">
        <v>0</v>
      </c>
      <c r="J1731" t="s">
        <v>146</v>
      </c>
      <c r="K1731">
        <v>1</v>
      </c>
      <c r="L1731" t="s">
        <v>147</v>
      </c>
      <c r="M1731" t="s">
        <v>4915</v>
      </c>
      <c r="N1731" t="s">
        <v>4916</v>
      </c>
      <c r="O1731" t="s">
        <v>4917</v>
      </c>
      <c r="P1731" t="s">
        <v>4918</v>
      </c>
    </row>
    <row r="1732" spans="1:16" x14ac:dyDescent="0.35">
      <c r="A1732" t="s">
        <v>116</v>
      </c>
      <c r="B1732">
        <v>1700702245</v>
      </c>
      <c r="C1732" t="s">
        <v>18</v>
      </c>
      <c r="D1732" t="s">
        <v>21</v>
      </c>
      <c r="E1732" s="29">
        <v>46208</v>
      </c>
      <c r="F1732" t="s">
        <v>6</v>
      </c>
      <c r="G1732" s="28">
        <v>0.43333333333333335</v>
      </c>
      <c r="H1732" s="28">
        <v>0.43333333333333335</v>
      </c>
      <c r="I1732">
        <v>0</v>
      </c>
      <c r="J1732" t="s">
        <v>174</v>
      </c>
      <c r="K1732">
        <v>0</v>
      </c>
      <c r="L1732" t="s">
        <v>4824</v>
      </c>
      <c r="M1732" t="s">
        <v>4919</v>
      </c>
      <c r="N1732" t="s">
        <v>4920</v>
      </c>
      <c r="O1732" t="s">
        <v>4921</v>
      </c>
      <c r="P1732" t="s">
        <v>4922</v>
      </c>
    </row>
    <row r="1733" spans="1:16" x14ac:dyDescent="0.35">
      <c r="A1733" t="s">
        <v>116</v>
      </c>
      <c r="B1733">
        <v>1700702245</v>
      </c>
      <c r="C1733" t="s">
        <v>18</v>
      </c>
      <c r="D1733" t="s">
        <v>21</v>
      </c>
      <c r="E1733" s="29">
        <v>46208</v>
      </c>
      <c r="F1733" t="s">
        <v>6</v>
      </c>
      <c r="G1733" s="28">
        <v>0.44027777777777777</v>
      </c>
      <c r="H1733" s="28">
        <v>0.47499999999999998</v>
      </c>
      <c r="I1733">
        <v>1</v>
      </c>
      <c r="J1733" t="s">
        <v>146</v>
      </c>
      <c r="K1733">
        <v>2</v>
      </c>
      <c r="L1733" t="s">
        <v>147</v>
      </c>
      <c r="M1733" t="s">
        <v>4923</v>
      </c>
      <c r="N1733" t="s">
        <v>4924</v>
      </c>
      <c r="O1733" t="s">
        <v>4925</v>
      </c>
      <c r="P1733" t="s">
        <v>4926</v>
      </c>
    </row>
    <row r="1734" spans="1:16" x14ac:dyDescent="0.35">
      <c r="A1734" t="s">
        <v>116</v>
      </c>
      <c r="B1734">
        <v>1700702245</v>
      </c>
      <c r="C1734" t="s">
        <v>18</v>
      </c>
      <c r="D1734" t="s">
        <v>21</v>
      </c>
      <c r="E1734" s="29">
        <v>46208</v>
      </c>
      <c r="F1734" t="s">
        <v>6</v>
      </c>
      <c r="G1734" s="28">
        <v>0.48194444444444445</v>
      </c>
      <c r="H1734" s="28">
        <v>0.48194444444444445</v>
      </c>
      <c r="I1734">
        <v>0</v>
      </c>
      <c r="J1734" t="s">
        <v>174</v>
      </c>
      <c r="K1734">
        <v>0</v>
      </c>
      <c r="L1734" t="s">
        <v>4547</v>
      </c>
      <c r="M1734" t="s">
        <v>4927</v>
      </c>
      <c r="N1734" t="s">
        <v>4928</v>
      </c>
      <c r="O1734" t="s">
        <v>4929</v>
      </c>
      <c r="P1734" t="s">
        <v>4930</v>
      </c>
    </row>
    <row r="1735" spans="1:16" x14ac:dyDescent="0.35">
      <c r="A1735" t="s">
        <v>116</v>
      </c>
      <c r="B1735">
        <v>1700702245</v>
      </c>
      <c r="C1735" t="s">
        <v>18</v>
      </c>
      <c r="D1735" t="s">
        <v>21</v>
      </c>
      <c r="E1735" s="29">
        <v>46208</v>
      </c>
      <c r="F1735" t="s">
        <v>6</v>
      </c>
      <c r="G1735" s="28">
        <v>0.48888888888888887</v>
      </c>
      <c r="H1735" s="28">
        <v>0.5444444444444444</v>
      </c>
      <c r="I1735">
        <v>1</v>
      </c>
      <c r="J1735" t="s">
        <v>146</v>
      </c>
      <c r="K1735">
        <v>4</v>
      </c>
      <c r="L1735" t="s">
        <v>147</v>
      </c>
      <c r="M1735" t="s">
        <v>4931</v>
      </c>
      <c r="N1735" t="s">
        <v>4932</v>
      </c>
      <c r="O1735" t="s">
        <v>4933</v>
      </c>
      <c r="P1735" t="s">
        <v>4934</v>
      </c>
    </row>
    <row r="1736" spans="1:16" x14ac:dyDescent="0.35">
      <c r="A1736" t="s">
        <v>116</v>
      </c>
      <c r="B1736">
        <v>1700702245</v>
      </c>
      <c r="C1736" t="s">
        <v>18</v>
      </c>
      <c r="D1736" t="s">
        <v>21</v>
      </c>
      <c r="E1736" s="29">
        <v>46208</v>
      </c>
      <c r="F1736" t="s">
        <v>6</v>
      </c>
      <c r="G1736" s="28">
        <v>0.55138888888888893</v>
      </c>
      <c r="H1736" s="28">
        <v>0.6</v>
      </c>
      <c r="I1736">
        <v>1</v>
      </c>
      <c r="J1736" t="s">
        <v>146</v>
      </c>
      <c r="K1736">
        <v>4</v>
      </c>
      <c r="L1736" t="s">
        <v>147</v>
      </c>
      <c r="M1736" t="s">
        <v>4935</v>
      </c>
      <c r="N1736" t="s">
        <v>4936</v>
      </c>
      <c r="O1736" t="s">
        <v>4937</v>
      </c>
      <c r="P1736" t="s">
        <v>4938</v>
      </c>
    </row>
    <row r="1737" spans="1:16" x14ac:dyDescent="0.35">
      <c r="A1737" t="s">
        <v>116</v>
      </c>
      <c r="B1737">
        <v>1700702245</v>
      </c>
      <c r="C1737" t="s">
        <v>18</v>
      </c>
      <c r="D1737" t="s">
        <v>21</v>
      </c>
      <c r="E1737" s="29">
        <v>46208</v>
      </c>
      <c r="F1737" t="s">
        <v>6</v>
      </c>
      <c r="G1737" s="28">
        <v>0.6069444444444444</v>
      </c>
      <c r="H1737" s="28">
        <v>0.6069444444444444</v>
      </c>
      <c r="I1737">
        <v>0</v>
      </c>
      <c r="J1737" t="s">
        <v>174</v>
      </c>
      <c r="K1737">
        <v>0</v>
      </c>
      <c r="L1737" t="s">
        <v>2309</v>
      </c>
      <c r="M1737" t="s">
        <v>4939</v>
      </c>
      <c r="N1737" t="s">
        <v>4932</v>
      </c>
      <c r="O1737" t="s">
        <v>4933</v>
      </c>
      <c r="P1737" t="s">
        <v>4934</v>
      </c>
    </row>
    <row r="1738" spans="1:16" x14ac:dyDescent="0.35">
      <c r="A1738" t="s">
        <v>116</v>
      </c>
      <c r="B1738">
        <v>1700702245</v>
      </c>
      <c r="C1738" t="s">
        <v>18</v>
      </c>
      <c r="D1738" t="s">
        <v>21</v>
      </c>
      <c r="E1738" s="29">
        <v>46208</v>
      </c>
      <c r="F1738" t="s">
        <v>6</v>
      </c>
      <c r="G1738" s="28">
        <v>0.61388888888888893</v>
      </c>
      <c r="H1738" s="28">
        <v>0.61388888888888893</v>
      </c>
      <c r="I1738">
        <v>0</v>
      </c>
      <c r="J1738" t="s">
        <v>174</v>
      </c>
      <c r="K1738">
        <v>0</v>
      </c>
      <c r="L1738" t="s">
        <v>4940</v>
      </c>
      <c r="M1738" t="s">
        <v>4941</v>
      </c>
      <c r="N1738" t="s">
        <v>4942</v>
      </c>
      <c r="O1738" t="s">
        <v>4943</v>
      </c>
      <c r="P1738" t="s">
        <v>4944</v>
      </c>
    </row>
    <row r="1739" spans="1:16" x14ac:dyDescent="0.35">
      <c r="A1739" t="s">
        <v>116</v>
      </c>
      <c r="B1739">
        <v>1700702245</v>
      </c>
      <c r="C1739" t="s">
        <v>18</v>
      </c>
      <c r="D1739" t="s">
        <v>21</v>
      </c>
      <c r="E1739" s="29">
        <v>46208</v>
      </c>
      <c r="F1739" t="s">
        <v>6</v>
      </c>
      <c r="G1739" s="28">
        <v>0.62083333333333335</v>
      </c>
      <c r="H1739" s="28">
        <v>0.63472222222222219</v>
      </c>
      <c r="I1739">
        <v>0</v>
      </c>
      <c r="J1739" t="s">
        <v>146</v>
      </c>
      <c r="K1739">
        <v>1</v>
      </c>
      <c r="L1739" t="s">
        <v>147</v>
      </c>
      <c r="M1739" t="s">
        <v>4945</v>
      </c>
      <c r="N1739" t="s">
        <v>4946</v>
      </c>
      <c r="O1739" t="s">
        <v>4947</v>
      </c>
      <c r="P1739" t="s">
        <v>4948</v>
      </c>
    </row>
    <row r="1740" spans="1:16" x14ac:dyDescent="0.35">
      <c r="A1740" t="s">
        <v>116</v>
      </c>
      <c r="B1740">
        <v>1700702245</v>
      </c>
      <c r="C1740" t="s">
        <v>18</v>
      </c>
      <c r="D1740" t="s">
        <v>21</v>
      </c>
      <c r="E1740" s="29">
        <v>46208</v>
      </c>
      <c r="F1740" t="s">
        <v>6</v>
      </c>
      <c r="G1740" s="28">
        <v>0.64166666666666672</v>
      </c>
      <c r="H1740" s="28">
        <v>0.64166666666666672</v>
      </c>
      <c r="I1740">
        <v>0</v>
      </c>
      <c r="J1740" t="s">
        <v>174</v>
      </c>
      <c r="K1740">
        <v>0</v>
      </c>
      <c r="L1740" t="s">
        <v>4547</v>
      </c>
      <c r="M1740" t="s">
        <v>4931</v>
      </c>
      <c r="N1740" t="s">
        <v>4932</v>
      </c>
      <c r="O1740" t="s">
        <v>4933</v>
      </c>
      <c r="P1740" t="s">
        <v>4934</v>
      </c>
    </row>
    <row r="1741" spans="1:16" x14ac:dyDescent="0.35">
      <c r="A1741" t="s">
        <v>116</v>
      </c>
      <c r="B1741">
        <v>1700702245</v>
      </c>
      <c r="C1741" t="s">
        <v>18</v>
      </c>
      <c r="D1741" t="s">
        <v>21</v>
      </c>
      <c r="E1741" s="29">
        <v>46208</v>
      </c>
      <c r="F1741" t="s">
        <v>6</v>
      </c>
      <c r="G1741" s="28">
        <v>0.64861111111111114</v>
      </c>
      <c r="H1741" s="28">
        <v>0.64861111111111114</v>
      </c>
      <c r="I1741">
        <v>0</v>
      </c>
      <c r="J1741" t="s">
        <v>174</v>
      </c>
      <c r="K1741">
        <v>0</v>
      </c>
      <c r="L1741" t="s">
        <v>2128</v>
      </c>
      <c r="M1741" t="s">
        <v>4927</v>
      </c>
      <c r="N1741" t="s">
        <v>4928</v>
      </c>
      <c r="O1741" t="s">
        <v>4929</v>
      </c>
      <c r="P1741" t="s">
        <v>4930</v>
      </c>
    </row>
    <row r="1742" spans="1:16" x14ac:dyDescent="0.35">
      <c r="A1742" t="s">
        <v>116</v>
      </c>
      <c r="B1742">
        <v>1700702245</v>
      </c>
      <c r="C1742" t="s">
        <v>18</v>
      </c>
      <c r="D1742" t="s">
        <v>21</v>
      </c>
      <c r="E1742" s="29">
        <v>46208</v>
      </c>
      <c r="F1742" t="s">
        <v>6</v>
      </c>
      <c r="G1742" s="28">
        <v>0.65555555555555556</v>
      </c>
      <c r="H1742" s="28">
        <v>0.65555555555555556</v>
      </c>
      <c r="I1742">
        <v>0</v>
      </c>
      <c r="J1742" t="s">
        <v>174</v>
      </c>
      <c r="K1742">
        <v>0</v>
      </c>
      <c r="L1742" t="s">
        <v>4949</v>
      </c>
      <c r="M1742" t="s">
        <v>4950</v>
      </c>
      <c r="N1742" t="s">
        <v>4951</v>
      </c>
      <c r="O1742" t="s">
        <v>4952</v>
      </c>
      <c r="P1742" t="s">
        <v>4953</v>
      </c>
    </row>
    <row r="1743" spans="1:16" x14ac:dyDescent="0.35">
      <c r="A1743" t="s">
        <v>116</v>
      </c>
      <c r="B1743">
        <v>1700702245</v>
      </c>
      <c r="C1743" t="s">
        <v>18</v>
      </c>
      <c r="D1743" t="s">
        <v>21</v>
      </c>
      <c r="E1743" s="29">
        <v>46208</v>
      </c>
      <c r="F1743" t="s">
        <v>6</v>
      </c>
      <c r="G1743" s="28">
        <v>0.66249999999999998</v>
      </c>
      <c r="H1743" s="28">
        <v>0.71111111111111114</v>
      </c>
      <c r="I1743">
        <v>1</v>
      </c>
      <c r="J1743" t="s">
        <v>146</v>
      </c>
      <c r="K1743">
        <v>4</v>
      </c>
      <c r="L1743" t="s">
        <v>147</v>
      </c>
      <c r="M1743" t="s">
        <v>4923</v>
      </c>
      <c r="N1743" t="s">
        <v>4924</v>
      </c>
      <c r="O1743" t="s">
        <v>4925</v>
      </c>
      <c r="P1743" t="s">
        <v>4926</v>
      </c>
    </row>
    <row r="1744" spans="1:16" x14ac:dyDescent="0.35">
      <c r="A1744" t="s">
        <v>116</v>
      </c>
      <c r="B1744">
        <v>1700702245</v>
      </c>
      <c r="C1744" t="s">
        <v>18</v>
      </c>
      <c r="D1744" t="s">
        <v>21</v>
      </c>
      <c r="E1744" s="29">
        <v>46208</v>
      </c>
      <c r="F1744" t="s">
        <v>6</v>
      </c>
      <c r="G1744" s="28">
        <v>0.71805555555555556</v>
      </c>
      <c r="H1744" s="28">
        <v>0.71805555555555556</v>
      </c>
      <c r="I1744">
        <v>0</v>
      </c>
      <c r="J1744" t="s">
        <v>174</v>
      </c>
      <c r="K1744">
        <v>0</v>
      </c>
      <c r="L1744" t="s">
        <v>4954</v>
      </c>
      <c r="M1744" t="s">
        <v>4955</v>
      </c>
      <c r="N1744" t="s">
        <v>4956</v>
      </c>
      <c r="O1744" t="s">
        <v>4957</v>
      </c>
      <c r="P1744" t="s">
        <v>4958</v>
      </c>
    </row>
    <row r="1745" spans="1:16" x14ac:dyDescent="0.35">
      <c r="A1745" t="s">
        <v>116</v>
      </c>
      <c r="B1745">
        <v>1700702245</v>
      </c>
      <c r="C1745" t="s">
        <v>18</v>
      </c>
      <c r="D1745" t="s">
        <v>21</v>
      </c>
      <c r="E1745" s="29">
        <v>46208</v>
      </c>
      <c r="F1745" t="s">
        <v>6</v>
      </c>
      <c r="G1745" s="28">
        <v>0.72499999999999998</v>
      </c>
      <c r="H1745" s="28">
        <v>0.72499999999999998</v>
      </c>
      <c r="I1745">
        <v>0</v>
      </c>
      <c r="J1745" t="s">
        <v>174</v>
      </c>
      <c r="K1745">
        <v>0</v>
      </c>
      <c r="L1745" t="s">
        <v>1936</v>
      </c>
      <c r="M1745" t="s">
        <v>4919</v>
      </c>
      <c r="N1745" t="s">
        <v>4920</v>
      </c>
      <c r="O1745" t="s">
        <v>4921</v>
      </c>
      <c r="P1745" t="s">
        <v>4922</v>
      </c>
    </row>
    <row r="1746" spans="1:16" x14ac:dyDescent="0.35">
      <c r="A1746" t="s">
        <v>116</v>
      </c>
      <c r="B1746">
        <v>1700702245</v>
      </c>
      <c r="C1746" t="s">
        <v>18</v>
      </c>
      <c r="D1746" t="s">
        <v>21</v>
      </c>
      <c r="E1746" s="29">
        <v>46208</v>
      </c>
      <c r="F1746" t="s">
        <v>6</v>
      </c>
      <c r="G1746" s="28">
        <v>0.7319444444444444</v>
      </c>
      <c r="H1746" s="28">
        <v>0.75277777777777777</v>
      </c>
      <c r="I1746">
        <v>1</v>
      </c>
      <c r="J1746" t="s">
        <v>146</v>
      </c>
      <c r="K1746">
        <v>2</v>
      </c>
      <c r="L1746" t="s">
        <v>147</v>
      </c>
      <c r="M1746" t="s">
        <v>4915</v>
      </c>
      <c r="N1746" t="s">
        <v>4916</v>
      </c>
      <c r="O1746" t="s">
        <v>4917</v>
      </c>
      <c r="P1746" t="s">
        <v>4918</v>
      </c>
    </row>
    <row r="1747" spans="1:16" x14ac:dyDescent="0.35">
      <c r="A1747" t="s">
        <v>116</v>
      </c>
      <c r="B1747">
        <v>1700702245</v>
      </c>
      <c r="C1747" t="s">
        <v>18</v>
      </c>
      <c r="D1747" t="s">
        <v>21</v>
      </c>
      <c r="E1747" s="29">
        <v>46208</v>
      </c>
      <c r="F1747" t="s">
        <v>6</v>
      </c>
      <c r="G1747" s="28">
        <v>0.75972222222222219</v>
      </c>
      <c r="H1747" s="28">
        <v>0.75972222222222219</v>
      </c>
      <c r="I1747">
        <v>0</v>
      </c>
      <c r="J1747" t="s">
        <v>174</v>
      </c>
      <c r="K1747">
        <v>0</v>
      </c>
      <c r="L1747" t="s">
        <v>4959</v>
      </c>
      <c r="M1747" t="s">
        <v>4960</v>
      </c>
      <c r="N1747" t="s">
        <v>4961</v>
      </c>
      <c r="O1747" t="s">
        <v>4962</v>
      </c>
      <c r="P1747" t="s">
        <v>4963</v>
      </c>
    </row>
    <row r="1748" spans="1:16" x14ac:dyDescent="0.35">
      <c r="A1748" t="s">
        <v>116</v>
      </c>
      <c r="B1748">
        <v>1700702245</v>
      </c>
      <c r="C1748" t="s">
        <v>18</v>
      </c>
      <c r="D1748" t="s">
        <v>21</v>
      </c>
      <c r="E1748" s="29">
        <v>46208</v>
      </c>
      <c r="F1748" t="s">
        <v>6</v>
      </c>
      <c r="G1748" s="28">
        <v>0.76666666666666672</v>
      </c>
      <c r="H1748" s="28">
        <v>0.76666666666666672</v>
      </c>
      <c r="I1748">
        <v>0</v>
      </c>
      <c r="J1748" t="s">
        <v>174</v>
      </c>
      <c r="K1748">
        <v>0</v>
      </c>
      <c r="L1748" t="s">
        <v>4964</v>
      </c>
      <c r="M1748" t="s">
        <v>4965</v>
      </c>
      <c r="N1748" t="s">
        <v>4966</v>
      </c>
      <c r="O1748" t="s">
        <v>4967</v>
      </c>
      <c r="P1748" t="s">
        <v>4968</v>
      </c>
    </row>
    <row r="1749" spans="1:16" x14ac:dyDescent="0.35">
      <c r="A1749" t="s">
        <v>116</v>
      </c>
      <c r="B1749">
        <v>1700702245</v>
      </c>
      <c r="C1749" t="s">
        <v>18</v>
      </c>
      <c r="D1749" t="s">
        <v>21</v>
      </c>
      <c r="E1749" s="29">
        <v>46208</v>
      </c>
      <c r="F1749" t="s">
        <v>6</v>
      </c>
      <c r="G1749" s="28">
        <v>0.77361111111111114</v>
      </c>
      <c r="H1749" s="28">
        <v>0.77361111111111114</v>
      </c>
      <c r="I1749">
        <v>0</v>
      </c>
      <c r="J1749" t="s">
        <v>174</v>
      </c>
      <c r="K1749">
        <v>0</v>
      </c>
      <c r="L1749" t="s">
        <v>574</v>
      </c>
      <c r="M1749" t="s">
        <v>4969</v>
      </c>
      <c r="N1749" t="s">
        <v>4970</v>
      </c>
      <c r="O1749" t="s">
        <v>4971</v>
      </c>
      <c r="P1749" t="s">
        <v>4972</v>
      </c>
    </row>
    <row r="1750" spans="1:16" x14ac:dyDescent="0.35">
      <c r="A1750" t="s">
        <v>116</v>
      </c>
      <c r="B1750">
        <v>1700702245</v>
      </c>
      <c r="C1750" t="s">
        <v>18</v>
      </c>
      <c r="D1750" t="s">
        <v>21</v>
      </c>
      <c r="E1750" s="29">
        <v>46208</v>
      </c>
      <c r="F1750" t="s">
        <v>6</v>
      </c>
      <c r="G1750" s="28">
        <v>0.78055555555555556</v>
      </c>
      <c r="H1750" s="28">
        <v>0.78055555555555556</v>
      </c>
      <c r="I1750">
        <v>0</v>
      </c>
      <c r="J1750" t="s">
        <v>174</v>
      </c>
      <c r="K1750">
        <v>0</v>
      </c>
      <c r="L1750" t="s">
        <v>4973</v>
      </c>
      <c r="M1750" t="s">
        <v>4831</v>
      </c>
      <c r="N1750" t="s">
        <v>4832</v>
      </c>
      <c r="O1750" t="s">
        <v>4833</v>
      </c>
      <c r="P1750" t="s">
        <v>4834</v>
      </c>
    </row>
    <row r="1751" spans="1:16" x14ac:dyDescent="0.35">
      <c r="A1751" t="s">
        <v>116</v>
      </c>
      <c r="B1751">
        <v>1700702245</v>
      </c>
      <c r="C1751" t="s">
        <v>18</v>
      </c>
      <c r="D1751" t="s">
        <v>21</v>
      </c>
      <c r="E1751" s="29">
        <v>46208</v>
      </c>
      <c r="F1751" t="s">
        <v>6</v>
      </c>
      <c r="G1751" s="28">
        <v>0.78749999999999998</v>
      </c>
      <c r="H1751" s="28">
        <v>0.78749999999999998</v>
      </c>
      <c r="I1751">
        <v>0</v>
      </c>
      <c r="J1751" t="s">
        <v>174</v>
      </c>
      <c r="K1751">
        <v>0</v>
      </c>
      <c r="L1751" t="s">
        <v>3091</v>
      </c>
      <c r="M1751" t="s">
        <v>1381</v>
      </c>
      <c r="N1751" t="s">
        <v>1382</v>
      </c>
      <c r="O1751" t="s">
        <v>1383</v>
      </c>
      <c r="P1751" t="s">
        <v>4974</v>
      </c>
    </row>
    <row r="1752" spans="1:16" x14ac:dyDescent="0.35">
      <c r="A1752" t="s">
        <v>97</v>
      </c>
      <c r="B1752">
        <v>1322845172</v>
      </c>
      <c r="C1752" t="s">
        <v>18</v>
      </c>
      <c r="D1752" t="s">
        <v>20</v>
      </c>
      <c r="E1752" s="29">
        <v>46204</v>
      </c>
      <c r="F1752" t="s">
        <v>3</v>
      </c>
      <c r="G1752" s="28">
        <v>0.38541666666666669</v>
      </c>
      <c r="H1752" s="28">
        <v>0.38541666666666669</v>
      </c>
      <c r="I1752">
        <v>0</v>
      </c>
      <c r="J1752" t="s">
        <v>174</v>
      </c>
      <c r="K1752">
        <v>0</v>
      </c>
      <c r="L1752" t="s">
        <v>1022</v>
      </c>
      <c r="M1752" t="s">
        <v>4975</v>
      </c>
      <c r="N1752" t="s">
        <v>4976</v>
      </c>
      <c r="O1752" t="s">
        <v>4977</v>
      </c>
      <c r="P1752" t="s">
        <v>4978</v>
      </c>
    </row>
    <row r="1753" spans="1:16" x14ac:dyDescent="0.35">
      <c r="A1753" t="s">
        <v>97</v>
      </c>
      <c r="B1753">
        <v>1322845172</v>
      </c>
      <c r="C1753" t="s">
        <v>18</v>
      </c>
      <c r="D1753" t="s">
        <v>20</v>
      </c>
      <c r="E1753" s="29">
        <v>46204</v>
      </c>
      <c r="F1753" t="s">
        <v>3</v>
      </c>
      <c r="G1753" s="28">
        <v>0.3923611111111111</v>
      </c>
      <c r="H1753" s="28">
        <v>0.3923611111111111</v>
      </c>
      <c r="I1753">
        <v>0</v>
      </c>
      <c r="J1753" t="s">
        <v>174</v>
      </c>
      <c r="K1753">
        <v>0</v>
      </c>
      <c r="L1753" t="s">
        <v>1022</v>
      </c>
      <c r="M1753" t="s">
        <v>4979</v>
      </c>
      <c r="N1753" t="s">
        <v>4980</v>
      </c>
      <c r="O1753" t="s">
        <v>4981</v>
      </c>
      <c r="P1753" t="s">
        <v>4982</v>
      </c>
    </row>
    <row r="1754" spans="1:16" x14ac:dyDescent="0.35">
      <c r="A1754" t="s">
        <v>97</v>
      </c>
      <c r="B1754">
        <v>1322845172</v>
      </c>
      <c r="C1754" t="s">
        <v>18</v>
      </c>
      <c r="D1754" t="s">
        <v>20</v>
      </c>
      <c r="E1754" s="29">
        <v>46204</v>
      </c>
      <c r="F1754" t="s">
        <v>3</v>
      </c>
      <c r="G1754" s="28">
        <v>0.39930555555555558</v>
      </c>
      <c r="H1754" s="28">
        <v>0.39930555555555558</v>
      </c>
      <c r="I1754">
        <v>0</v>
      </c>
      <c r="J1754" t="s">
        <v>174</v>
      </c>
      <c r="K1754">
        <v>0</v>
      </c>
      <c r="L1754" t="s">
        <v>1022</v>
      </c>
      <c r="M1754" t="s">
        <v>4975</v>
      </c>
      <c r="N1754" t="s">
        <v>4976</v>
      </c>
      <c r="O1754" t="s">
        <v>4977</v>
      </c>
      <c r="P1754" t="s">
        <v>4978</v>
      </c>
    </row>
    <row r="1755" spans="1:16" x14ac:dyDescent="0.35">
      <c r="A1755" t="s">
        <v>97</v>
      </c>
      <c r="B1755">
        <v>1322845172</v>
      </c>
      <c r="C1755" t="s">
        <v>18</v>
      </c>
      <c r="D1755" t="s">
        <v>20</v>
      </c>
      <c r="E1755" s="29">
        <v>46204</v>
      </c>
      <c r="F1755" t="s">
        <v>3</v>
      </c>
      <c r="G1755" s="28">
        <v>0.40625</v>
      </c>
      <c r="H1755" s="28">
        <v>0.41319444444444442</v>
      </c>
      <c r="I1755">
        <v>0</v>
      </c>
      <c r="J1755" t="s">
        <v>146</v>
      </c>
      <c r="K1755">
        <v>0</v>
      </c>
      <c r="L1755" t="s">
        <v>147</v>
      </c>
      <c r="M1755" t="s">
        <v>4979</v>
      </c>
      <c r="N1755" t="s">
        <v>4980</v>
      </c>
      <c r="O1755" t="s">
        <v>4981</v>
      </c>
      <c r="P1755" t="s">
        <v>4982</v>
      </c>
    </row>
    <row r="1756" spans="1:16" x14ac:dyDescent="0.35">
      <c r="A1756" t="s">
        <v>97</v>
      </c>
      <c r="B1756">
        <v>1322845172</v>
      </c>
      <c r="C1756" t="s">
        <v>18</v>
      </c>
      <c r="D1756" t="s">
        <v>20</v>
      </c>
      <c r="E1756" s="29">
        <v>46204</v>
      </c>
      <c r="F1756" t="s">
        <v>3</v>
      </c>
      <c r="G1756" s="28">
        <v>0.4201388888888889</v>
      </c>
      <c r="H1756" s="28">
        <v>0.4201388888888889</v>
      </c>
      <c r="I1756">
        <v>0</v>
      </c>
      <c r="J1756" t="s">
        <v>174</v>
      </c>
      <c r="K1756">
        <v>0</v>
      </c>
      <c r="L1756" t="s">
        <v>1022</v>
      </c>
      <c r="M1756" t="s">
        <v>4975</v>
      </c>
      <c r="N1756" t="s">
        <v>4976</v>
      </c>
      <c r="O1756" t="s">
        <v>4977</v>
      </c>
      <c r="P1756" t="s">
        <v>4978</v>
      </c>
    </row>
    <row r="1757" spans="1:16" x14ac:dyDescent="0.35">
      <c r="A1757" t="s">
        <v>97</v>
      </c>
      <c r="B1757">
        <v>1322845172</v>
      </c>
      <c r="C1757" t="s">
        <v>18</v>
      </c>
      <c r="D1757" t="s">
        <v>20</v>
      </c>
      <c r="E1757" s="29">
        <v>46204</v>
      </c>
      <c r="F1757" t="s">
        <v>3</v>
      </c>
      <c r="G1757" s="28">
        <v>0.42708333333333331</v>
      </c>
      <c r="H1757" s="28">
        <v>0.42708333333333331</v>
      </c>
      <c r="I1757">
        <v>0</v>
      </c>
      <c r="J1757" t="s">
        <v>174</v>
      </c>
      <c r="K1757">
        <v>0</v>
      </c>
      <c r="L1757" t="s">
        <v>4983</v>
      </c>
      <c r="M1757" t="s">
        <v>4979</v>
      </c>
      <c r="N1757" t="s">
        <v>4980</v>
      </c>
      <c r="O1757" t="s">
        <v>4981</v>
      </c>
      <c r="P1757" t="s">
        <v>4982</v>
      </c>
    </row>
    <row r="1758" spans="1:16" x14ac:dyDescent="0.35">
      <c r="A1758" t="s">
        <v>97</v>
      </c>
      <c r="B1758">
        <v>1322845172</v>
      </c>
      <c r="C1758" t="s">
        <v>18</v>
      </c>
      <c r="D1758" t="s">
        <v>20</v>
      </c>
      <c r="E1758" s="29">
        <v>46204</v>
      </c>
      <c r="F1758" t="s">
        <v>3</v>
      </c>
      <c r="G1758" s="28">
        <v>0.43402777777777779</v>
      </c>
      <c r="H1758" s="28">
        <v>0.43402777777777779</v>
      </c>
      <c r="I1758">
        <v>0</v>
      </c>
      <c r="J1758" t="s">
        <v>174</v>
      </c>
      <c r="K1758">
        <v>0</v>
      </c>
      <c r="L1758" t="s">
        <v>1307</v>
      </c>
      <c r="M1758" t="s">
        <v>4984</v>
      </c>
      <c r="N1758" t="s">
        <v>4985</v>
      </c>
      <c r="O1758" t="s">
        <v>4986</v>
      </c>
      <c r="P1758" t="s">
        <v>4987</v>
      </c>
    </row>
    <row r="1759" spans="1:16" x14ac:dyDescent="0.35">
      <c r="A1759" t="s">
        <v>97</v>
      </c>
      <c r="B1759">
        <v>1322845172</v>
      </c>
      <c r="C1759" t="s">
        <v>18</v>
      </c>
      <c r="D1759" t="s">
        <v>20</v>
      </c>
      <c r="E1759" s="29">
        <v>46204</v>
      </c>
      <c r="F1759" t="s">
        <v>3</v>
      </c>
      <c r="G1759" s="28">
        <v>0.44097222222222221</v>
      </c>
      <c r="H1759" s="28">
        <v>0.47569444444444442</v>
      </c>
      <c r="I1759">
        <v>1</v>
      </c>
      <c r="J1759" t="s">
        <v>146</v>
      </c>
      <c r="K1759">
        <v>2</v>
      </c>
      <c r="L1759" t="s">
        <v>147</v>
      </c>
      <c r="M1759" t="s">
        <v>4988</v>
      </c>
      <c r="N1759" t="s">
        <v>4989</v>
      </c>
      <c r="O1759" t="s">
        <v>4990</v>
      </c>
      <c r="P1759" t="s">
        <v>4991</v>
      </c>
    </row>
    <row r="1760" spans="1:16" x14ac:dyDescent="0.35">
      <c r="A1760" t="s">
        <v>97</v>
      </c>
      <c r="B1760">
        <v>1322845172</v>
      </c>
      <c r="C1760" t="s">
        <v>18</v>
      </c>
      <c r="D1760" t="s">
        <v>20</v>
      </c>
      <c r="E1760" s="29">
        <v>46204</v>
      </c>
      <c r="F1760" t="s">
        <v>3</v>
      </c>
      <c r="G1760" s="28">
        <v>0.49652777777777779</v>
      </c>
      <c r="H1760" s="28">
        <v>0.49652777777777779</v>
      </c>
      <c r="I1760">
        <v>0</v>
      </c>
      <c r="J1760" t="s">
        <v>174</v>
      </c>
      <c r="K1760">
        <v>0</v>
      </c>
      <c r="L1760" t="s">
        <v>584</v>
      </c>
      <c r="M1760" t="s">
        <v>4992</v>
      </c>
      <c r="N1760" t="s">
        <v>4993</v>
      </c>
      <c r="O1760" t="s">
        <v>4994</v>
      </c>
      <c r="P1760" t="s">
        <v>4995</v>
      </c>
    </row>
    <row r="1761" spans="1:16" x14ac:dyDescent="0.35">
      <c r="A1761" t="s">
        <v>97</v>
      </c>
      <c r="B1761">
        <v>1322845172</v>
      </c>
      <c r="C1761" t="s">
        <v>18</v>
      </c>
      <c r="D1761" t="s">
        <v>20</v>
      </c>
      <c r="E1761" s="29">
        <v>46204</v>
      </c>
      <c r="F1761" t="s">
        <v>3</v>
      </c>
      <c r="G1761" s="28">
        <v>0.50347222222222221</v>
      </c>
      <c r="H1761" s="28">
        <v>0.51041666666666663</v>
      </c>
      <c r="I1761">
        <v>0</v>
      </c>
      <c r="J1761" t="s">
        <v>146</v>
      </c>
      <c r="K1761">
        <v>0</v>
      </c>
      <c r="L1761" t="s">
        <v>147</v>
      </c>
      <c r="M1761" t="s">
        <v>4996</v>
      </c>
      <c r="N1761" t="s">
        <v>4997</v>
      </c>
      <c r="O1761" t="s">
        <v>4998</v>
      </c>
      <c r="P1761" t="s">
        <v>4999</v>
      </c>
    </row>
    <row r="1762" spans="1:16" x14ac:dyDescent="0.35">
      <c r="A1762" t="s">
        <v>97</v>
      </c>
      <c r="B1762">
        <v>1322845172</v>
      </c>
      <c r="C1762" t="s">
        <v>18</v>
      </c>
      <c r="D1762" t="s">
        <v>20</v>
      </c>
      <c r="E1762" s="29">
        <v>46204</v>
      </c>
      <c r="F1762" t="s">
        <v>3</v>
      </c>
      <c r="G1762" s="28">
        <v>0.51736111111111116</v>
      </c>
      <c r="H1762" s="28">
        <v>0.51736111111111116</v>
      </c>
      <c r="I1762">
        <v>0</v>
      </c>
      <c r="J1762" t="s">
        <v>174</v>
      </c>
      <c r="K1762">
        <v>0</v>
      </c>
      <c r="L1762" t="s">
        <v>3552</v>
      </c>
      <c r="M1762" t="s">
        <v>5000</v>
      </c>
      <c r="N1762" t="s">
        <v>5001</v>
      </c>
      <c r="O1762" t="s">
        <v>5002</v>
      </c>
      <c r="P1762" t="s">
        <v>5003</v>
      </c>
    </row>
    <row r="1763" spans="1:16" x14ac:dyDescent="0.35">
      <c r="A1763" t="s">
        <v>97</v>
      </c>
      <c r="B1763">
        <v>1322845172</v>
      </c>
      <c r="C1763" t="s">
        <v>18</v>
      </c>
      <c r="D1763" t="s">
        <v>20</v>
      </c>
      <c r="E1763" s="29">
        <v>46204</v>
      </c>
      <c r="F1763" t="s">
        <v>3</v>
      </c>
      <c r="G1763" s="28">
        <v>0.53125</v>
      </c>
      <c r="H1763" s="28">
        <v>0.53125</v>
      </c>
      <c r="I1763">
        <v>0</v>
      </c>
      <c r="J1763" t="s">
        <v>174</v>
      </c>
      <c r="K1763">
        <v>0</v>
      </c>
      <c r="L1763" t="s">
        <v>3552</v>
      </c>
      <c r="M1763" t="s">
        <v>5004</v>
      </c>
      <c r="N1763" t="s">
        <v>5005</v>
      </c>
      <c r="O1763" t="s">
        <v>5006</v>
      </c>
      <c r="P1763" t="s">
        <v>4999</v>
      </c>
    </row>
    <row r="1764" spans="1:16" x14ac:dyDescent="0.35">
      <c r="A1764" t="s">
        <v>97</v>
      </c>
      <c r="B1764">
        <v>1322845172</v>
      </c>
      <c r="C1764" t="s">
        <v>18</v>
      </c>
      <c r="D1764" t="s">
        <v>20</v>
      </c>
      <c r="E1764" s="29">
        <v>46204</v>
      </c>
      <c r="F1764" t="s">
        <v>3</v>
      </c>
      <c r="G1764" s="28">
        <v>0.53819444444444442</v>
      </c>
      <c r="H1764" s="28">
        <v>0.58680555555555558</v>
      </c>
      <c r="I1764">
        <v>1</v>
      </c>
      <c r="J1764" t="s">
        <v>146</v>
      </c>
      <c r="K1764">
        <v>4</v>
      </c>
      <c r="L1764" t="s">
        <v>147</v>
      </c>
      <c r="M1764" t="s">
        <v>5000</v>
      </c>
      <c r="N1764" t="s">
        <v>5001</v>
      </c>
      <c r="O1764" t="s">
        <v>5002</v>
      </c>
      <c r="P1764" t="s">
        <v>5003</v>
      </c>
    </row>
    <row r="1765" spans="1:16" x14ac:dyDescent="0.35">
      <c r="A1765" t="s">
        <v>97</v>
      </c>
      <c r="B1765">
        <v>1322845172</v>
      </c>
      <c r="C1765" t="s">
        <v>18</v>
      </c>
      <c r="D1765" t="s">
        <v>20</v>
      </c>
      <c r="E1765" s="29">
        <v>46204</v>
      </c>
      <c r="F1765" t="s">
        <v>3</v>
      </c>
      <c r="G1765" s="28">
        <v>0.60069444444444442</v>
      </c>
      <c r="H1765" s="28">
        <v>0.60069444444444442</v>
      </c>
      <c r="I1765">
        <v>0</v>
      </c>
      <c r="J1765" t="s">
        <v>174</v>
      </c>
      <c r="K1765">
        <v>0</v>
      </c>
      <c r="L1765" t="s">
        <v>5007</v>
      </c>
      <c r="M1765" t="s">
        <v>4984</v>
      </c>
      <c r="N1765" t="s">
        <v>4985</v>
      </c>
      <c r="O1765" t="s">
        <v>4986</v>
      </c>
      <c r="P1765" t="s">
        <v>4987</v>
      </c>
    </row>
    <row r="1766" spans="1:16" x14ac:dyDescent="0.35">
      <c r="A1766" t="s">
        <v>97</v>
      </c>
      <c r="B1766">
        <v>1322845172</v>
      </c>
      <c r="C1766" t="s">
        <v>18</v>
      </c>
      <c r="D1766" t="s">
        <v>20</v>
      </c>
      <c r="E1766" s="29">
        <v>46204</v>
      </c>
      <c r="F1766" t="s">
        <v>3</v>
      </c>
      <c r="G1766" s="28">
        <v>0.60763888888888884</v>
      </c>
      <c r="H1766" s="28">
        <v>0.60763888888888884</v>
      </c>
      <c r="I1766">
        <v>0</v>
      </c>
      <c r="J1766" t="s">
        <v>174</v>
      </c>
      <c r="K1766">
        <v>0</v>
      </c>
      <c r="L1766" t="s">
        <v>5007</v>
      </c>
      <c r="M1766" t="s">
        <v>5008</v>
      </c>
      <c r="N1766" t="s">
        <v>5009</v>
      </c>
      <c r="O1766" t="s">
        <v>5010</v>
      </c>
      <c r="P1766" t="s">
        <v>5011</v>
      </c>
    </row>
    <row r="1767" spans="1:16" x14ac:dyDescent="0.35">
      <c r="A1767" t="s">
        <v>97</v>
      </c>
      <c r="B1767">
        <v>1322845172</v>
      </c>
      <c r="C1767" t="s">
        <v>18</v>
      </c>
      <c r="D1767" t="s">
        <v>20</v>
      </c>
      <c r="E1767" s="29">
        <v>46204</v>
      </c>
      <c r="F1767" t="s">
        <v>3</v>
      </c>
      <c r="G1767" s="28">
        <v>0.61458333333333337</v>
      </c>
      <c r="H1767" s="28">
        <v>0.61458333333333337</v>
      </c>
      <c r="I1767">
        <v>0</v>
      </c>
      <c r="J1767" t="s">
        <v>174</v>
      </c>
      <c r="K1767">
        <v>0</v>
      </c>
      <c r="L1767" t="s">
        <v>4983</v>
      </c>
      <c r="M1767" t="s">
        <v>4984</v>
      </c>
      <c r="N1767" t="s">
        <v>4985</v>
      </c>
      <c r="O1767" t="s">
        <v>4986</v>
      </c>
      <c r="P1767" t="s">
        <v>4987</v>
      </c>
    </row>
    <row r="1768" spans="1:16" x14ac:dyDescent="0.35">
      <c r="A1768" t="s">
        <v>97</v>
      </c>
      <c r="B1768">
        <v>1322845172</v>
      </c>
      <c r="C1768" t="s">
        <v>18</v>
      </c>
      <c r="D1768" t="s">
        <v>20</v>
      </c>
      <c r="E1768" s="29">
        <v>46204</v>
      </c>
      <c r="F1768" t="s">
        <v>3</v>
      </c>
      <c r="G1768" s="28">
        <v>0.62152777777777779</v>
      </c>
      <c r="H1768" s="28">
        <v>0.62847222222222221</v>
      </c>
      <c r="I1768">
        <v>0</v>
      </c>
      <c r="J1768" t="s">
        <v>146</v>
      </c>
      <c r="K1768">
        <v>0</v>
      </c>
      <c r="L1768" t="s">
        <v>147</v>
      </c>
      <c r="M1768" t="s">
        <v>4979</v>
      </c>
      <c r="N1768" t="s">
        <v>4980</v>
      </c>
      <c r="O1768" t="s">
        <v>4981</v>
      </c>
      <c r="P1768" t="s">
        <v>4982</v>
      </c>
    </row>
    <row r="1769" spans="1:16" x14ac:dyDescent="0.35">
      <c r="A1769" t="s">
        <v>97</v>
      </c>
      <c r="B1769">
        <v>1322845172</v>
      </c>
      <c r="C1769" t="s">
        <v>18</v>
      </c>
      <c r="D1769" t="s">
        <v>20</v>
      </c>
      <c r="E1769" s="29">
        <v>46204</v>
      </c>
      <c r="F1769" t="s">
        <v>3</v>
      </c>
      <c r="G1769" s="28">
        <v>0.63541666666666663</v>
      </c>
      <c r="H1769" s="28">
        <v>0.63541666666666663</v>
      </c>
      <c r="I1769">
        <v>0</v>
      </c>
      <c r="J1769" t="s">
        <v>174</v>
      </c>
      <c r="K1769">
        <v>0</v>
      </c>
      <c r="L1769" t="s">
        <v>1022</v>
      </c>
      <c r="M1769" t="s">
        <v>4975</v>
      </c>
      <c r="N1769" t="s">
        <v>4976</v>
      </c>
      <c r="O1769" t="s">
        <v>4977</v>
      </c>
      <c r="P1769" t="s">
        <v>4978</v>
      </c>
    </row>
    <row r="1770" spans="1:16" x14ac:dyDescent="0.35">
      <c r="A1770" t="s">
        <v>97</v>
      </c>
      <c r="B1770">
        <v>1322845172</v>
      </c>
      <c r="C1770" t="s">
        <v>18</v>
      </c>
      <c r="D1770" t="s">
        <v>20</v>
      </c>
      <c r="E1770" s="29">
        <v>46204</v>
      </c>
      <c r="F1770" t="s">
        <v>3</v>
      </c>
      <c r="G1770" s="28">
        <v>0.64236111111111116</v>
      </c>
      <c r="H1770" s="28">
        <v>0.64236111111111116</v>
      </c>
      <c r="I1770">
        <v>0</v>
      </c>
      <c r="J1770" t="s">
        <v>174</v>
      </c>
      <c r="K1770">
        <v>0</v>
      </c>
      <c r="L1770" t="s">
        <v>1022</v>
      </c>
      <c r="M1770" t="s">
        <v>4979</v>
      </c>
      <c r="N1770" t="s">
        <v>4980</v>
      </c>
      <c r="O1770" t="s">
        <v>4981</v>
      </c>
      <c r="P1770" t="s">
        <v>4982</v>
      </c>
    </row>
    <row r="1771" spans="1:16" x14ac:dyDescent="0.35">
      <c r="A1771" t="s">
        <v>97</v>
      </c>
      <c r="B1771">
        <v>1322845172</v>
      </c>
      <c r="C1771" t="s">
        <v>18</v>
      </c>
      <c r="D1771" t="s">
        <v>20</v>
      </c>
      <c r="E1771" s="29">
        <v>46204</v>
      </c>
      <c r="F1771" t="s">
        <v>3</v>
      </c>
      <c r="G1771" s="28">
        <v>0.64930555555555558</v>
      </c>
      <c r="H1771" s="28">
        <v>0.64930555555555558</v>
      </c>
      <c r="I1771">
        <v>0</v>
      </c>
      <c r="J1771" t="s">
        <v>174</v>
      </c>
      <c r="K1771">
        <v>0</v>
      </c>
      <c r="L1771" t="s">
        <v>1022</v>
      </c>
      <c r="M1771" t="s">
        <v>4975</v>
      </c>
      <c r="N1771" t="s">
        <v>4976</v>
      </c>
      <c r="O1771" t="s">
        <v>4977</v>
      </c>
      <c r="P1771" t="s">
        <v>4978</v>
      </c>
    </row>
    <row r="1772" spans="1:16" x14ac:dyDescent="0.35">
      <c r="A1772" t="s">
        <v>97</v>
      </c>
      <c r="B1772">
        <v>1322845172</v>
      </c>
      <c r="C1772" t="s">
        <v>18</v>
      </c>
      <c r="D1772" t="s">
        <v>20</v>
      </c>
      <c r="E1772" s="29">
        <v>46204</v>
      </c>
      <c r="F1772" t="s">
        <v>3</v>
      </c>
      <c r="G1772" s="28">
        <v>0.65625</v>
      </c>
      <c r="H1772" s="28">
        <v>0.65625</v>
      </c>
      <c r="I1772">
        <v>0</v>
      </c>
      <c r="J1772" t="s">
        <v>174</v>
      </c>
      <c r="K1772">
        <v>0</v>
      </c>
      <c r="L1772" t="s">
        <v>2128</v>
      </c>
      <c r="M1772" t="s">
        <v>4979</v>
      </c>
      <c r="N1772" t="s">
        <v>4980</v>
      </c>
      <c r="O1772" t="s">
        <v>4981</v>
      </c>
      <c r="P1772" t="s">
        <v>4982</v>
      </c>
    </row>
    <row r="1773" spans="1:16" x14ac:dyDescent="0.35">
      <c r="A1773" t="s">
        <v>97</v>
      </c>
      <c r="B1773">
        <v>1322845172</v>
      </c>
      <c r="C1773" t="s">
        <v>18</v>
      </c>
      <c r="D1773" t="s">
        <v>20</v>
      </c>
      <c r="E1773" s="29">
        <v>46204</v>
      </c>
      <c r="F1773" t="s">
        <v>3</v>
      </c>
      <c r="G1773" s="28">
        <v>0.66319444444444442</v>
      </c>
      <c r="H1773" s="28">
        <v>0.71875</v>
      </c>
      <c r="I1773">
        <v>1</v>
      </c>
      <c r="J1773" t="s">
        <v>146</v>
      </c>
      <c r="K1773">
        <v>4</v>
      </c>
      <c r="L1773" t="s">
        <v>147</v>
      </c>
      <c r="M1773" t="s">
        <v>5000</v>
      </c>
      <c r="N1773" t="s">
        <v>5001</v>
      </c>
      <c r="O1773" t="s">
        <v>5002</v>
      </c>
      <c r="P1773" t="s">
        <v>5003</v>
      </c>
    </row>
    <row r="1774" spans="1:16" x14ac:dyDescent="0.35">
      <c r="A1774" t="s">
        <v>97</v>
      </c>
      <c r="B1774">
        <v>1322845172</v>
      </c>
      <c r="C1774" t="s">
        <v>18</v>
      </c>
      <c r="D1774" t="s">
        <v>20</v>
      </c>
      <c r="E1774" s="29">
        <v>46204</v>
      </c>
      <c r="F1774" t="s">
        <v>3</v>
      </c>
      <c r="G1774" s="28">
        <v>0.72569444444444442</v>
      </c>
      <c r="H1774" s="28">
        <v>0.73263888888888884</v>
      </c>
      <c r="I1774">
        <v>0</v>
      </c>
      <c r="J1774" t="s">
        <v>146</v>
      </c>
      <c r="K1774">
        <v>0</v>
      </c>
      <c r="L1774" t="s">
        <v>147</v>
      </c>
      <c r="M1774" t="s">
        <v>5004</v>
      </c>
      <c r="N1774" t="s">
        <v>5005</v>
      </c>
      <c r="O1774" t="s">
        <v>5006</v>
      </c>
      <c r="P1774" t="s">
        <v>4999</v>
      </c>
    </row>
    <row r="1775" spans="1:16" x14ac:dyDescent="0.35">
      <c r="A1775" t="s">
        <v>97</v>
      </c>
      <c r="B1775">
        <v>1322845172</v>
      </c>
      <c r="C1775" t="s">
        <v>18</v>
      </c>
      <c r="D1775" t="s">
        <v>20</v>
      </c>
      <c r="E1775" s="29">
        <v>46204</v>
      </c>
      <c r="F1775" t="s">
        <v>3</v>
      </c>
      <c r="G1775" s="28">
        <v>0.73958333333333337</v>
      </c>
      <c r="H1775" s="28">
        <v>0.82986111111111116</v>
      </c>
      <c r="I1775">
        <v>2</v>
      </c>
      <c r="J1775" t="s">
        <v>146</v>
      </c>
      <c r="K1775">
        <v>6</v>
      </c>
      <c r="L1775" t="s">
        <v>147</v>
      </c>
      <c r="M1775" t="s">
        <v>5000</v>
      </c>
      <c r="N1775" t="s">
        <v>5001</v>
      </c>
      <c r="O1775" t="s">
        <v>5002</v>
      </c>
      <c r="P1775" t="s">
        <v>5003</v>
      </c>
    </row>
    <row r="1776" spans="1:16" x14ac:dyDescent="0.35">
      <c r="A1776" t="s">
        <v>97</v>
      </c>
      <c r="B1776">
        <v>1322845172</v>
      </c>
      <c r="C1776" t="s">
        <v>18</v>
      </c>
      <c r="D1776" t="s">
        <v>20</v>
      </c>
      <c r="E1776" s="29">
        <v>46205</v>
      </c>
      <c r="F1776" t="s">
        <v>4</v>
      </c>
      <c r="G1776" s="28">
        <v>0.37847222222222221</v>
      </c>
      <c r="H1776" s="28">
        <v>0.37847222222222221</v>
      </c>
      <c r="I1776">
        <v>0</v>
      </c>
      <c r="J1776" t="s">
        <v>174</v>
      </c>
      <c r="K1776">
        <v>0</v>
      </c>
      <c r="L1776" t="s">
        <v>1307</v>
      </c>
      <c r="M1776" t="s">
        <v>4984</v>
      </c>
      <c r="N1776" t="s">
        <v>4985</v>
      </c>
      <c r="O1776" t="s">
        <v>4986</v>
      </c>
      <c r="P1776" t="s">
        <v>4987</v>
      </c>
    </row>
    <row r="1777" spans="1:16" x14ac:dyDescent="0.35">
      <c r="A1777" t="s">
        <v>97</v>
      </c>
      <c r="B1777">
        <v>1322845172</v>
      </c>
      <c r="C1777" t="s">
        <v>18</v>
      </c>
      <c r="D1777" t="s">
        <v>20</v>
      </c>
      <c r="E1777" s="29">
        <v>46205</v>
      </c>
      <c r="F1777" t="s">
        <v>4</v>
      </c>
      <c r="G1777" s="28">
        <v>0.38541666666666669</v>
      </c>
      <c r="H1777" s="28">
        <v>0.50347222222222221</v>
      </c>
      <c r="I1777">
        <v>3</v>
      </c>
      <c r="J1777" t="s">
        <v>146</v>
      </c>
      <c r="K1777">
        <v>8</v>
      </c>
      <c r="L1777" t="s">
        <v>147</v>
      </c>
      <c r="M1777" t="s">
        <v>4988</v>
      </c>
      <c r="N1777" t="s">
        <v>4989</v>
      </c>
      <c r="O1777" t="s">
        <v>4990</v>
      </c>
      <c r="P1777" t="s">
        <v>4991</v>
      </c>
    </row>
    <row r="1778" spans="1:16" x14ac:dyDescent="0.35">
      <c r="A1778" t="s">
        <v>97</v>
      </c>
      <c r="B1778">
        <v>1322845172</v>
      </c>
      <c r="C1778" t="s">
        <v>18</v>
      </c>
      <c r="D1778" t="s">
        <v>20</v>
      </c>
      <c r="E1778" s="29">
        <v>46205</v>
      </c>
      <c r="F1778" t="s">
        <v>4</v>
      </c>
      <c r="G1778" s="28">
        <v>0.51041666666666663</v>
      </c>
      <c r="H1778" s="28">
        <v>0.51041666666666663</v>
      </c>
      <c r="I1778">
        <v>0</v>
      </c>
      <c r="J1778" t="s">
        <v>174</v>
      </c>
      <c r="K1778">
        <v>0</v>
      </c>
      <c r="L1778" t="s">
        <v>595</v>
      </c>
      <c r="M1778" t="s">
        <v>5012</v>
      </c>
      <c r="N1778" t="s">
        <v>4993</v>
      </c>
      <c r="O1778" t="s">
        <v>4994</v>
      </c>
      <c r="P1778" t="s">
        <v>4995</v>
      </c>
    </row>
    <row r="1779" spans="1:16" x14ac:dyDescent="0.35">
      <c r="A1779" t="s">
        <v>97</v>
      </c>
      <c r="B1779">
        <v>1322845172</v>
      </c>
      <c r="C1779" t="s">
        <v>18</v>
      </c>
      <c r="D1779" t="s">
        <v>20</v>
      </c>
      <c r="E1779" s="29">
        <v>46205</v>
      </c>
      <c r="F1779" t="s">
        <v>4</v>
      </c>
      <c r="G1779" s="28">
        <v>0.51736111111111116</v>
      </c>
      <c r="H1779" s="28">
        <v>0.51736111111111116</v>
      </c>
      <c r="I1779">
        <v>0</v>
      </c>
      <c r="J1779" t="s">
        <v>174</v>
      </c>
      <c r="K1779">
        <v>0</v>
      </c>
      <c r="L1779" t="s">
        <v>595</v>
      </c>
      <c r="M1779" t="s">
        <v>5013</v>
      </c>
      <c r="N1779" t="s">
        <v>5014</v>
      </c>
      <c r="O1779" t="s">
        <v>5015</v>
      </c>
      <c r="P1779" t="s">
        <v>5016</v>
      </c>
    </row>
    <row r="1780" spans="1:16" x14ac:dyDescent="0.35">
      <c r="A1780" t="s">
        <v>97</v>
      </c>
      <c r="B1780">
        <v>1322845172</v>
      </c>
      <c r="C1780" t="s">
        <v>18</v>
      </c>
      <c r="D1780" t="s">
        <v>20</v>
      </c>
      <c r="E1780" s="29">
        <v>46205</v>
      </c>
      <c r="F1780" t="s">
        <v>4</v>
      </c>
      <c r="G1780" s="28">
        <v>0.52430555555555558</v>
      </c>
      <c r="H1780" s="28">
        <v>0.52430555555555558</v>
      </c>
      <c r="I1780">
        <v>0</v>
      </c>
      <c r="J1780" t="s">
        <v>174</v>
      </c>
      <c r="K1780">
        <v>0</v>
      </c>
      <c r="L1780" t="s">
        <v>3179</v>
      </c>
      <c r="M1780" t="s">
        <v>5012</v>
      </c>
      <c r="N1780" t="s">
        <v>4993</v>
      </c>
      <c r="O1780" t="s">
        <v>4994</v>
      </c>
      <c r="P1780" t="s">
        <v>4995</v>
      </c>
    </row>
    <row r="1781" spans="1:16" x14ac:dyDescent="0.35">
      <c r="A1781" t="s">
        <v>97</v>
      </c>
      <c r="B1781">
        <v>1322845172</v>
      </c>
      <c r="C1781" t="s">
        <v>18</v>
      </c>
      <c r="D1781" t="s">
        <v>20</v>
      </c>
      <c r="E1781" s="29">
        <v>46205</v>
      </c>
      <c r="F1781" t="s">
        <v>4</v>
      </c>
      <c r="G1781" s="28">
        <v>0.53125</v>
      </c>
      <c r="H1781" s="28">
        <v>0.54513888888888884</v>
      </c>
      <c r="I1781">
        <v>0</v>
      </c>
      <c r="J1781" t="s">
        <v>146</v>
      </c>
      <c r="K1781">
        <v>1</v>
      </c>
      <c r="L1781" t="s">
        <v>147</v>
      </c>
      <c r="M1781" t="s">
        <v>5017</v>
      </c>
      <c r="N1781" t="s">
        <v>5018</v>
      </c>
      <c r="O1781" t="s">
        <v>5019</v>
      </c>
      <c r="P1781" t="s">
        <v>5020</v>
      </c>
    </row>
    <row r="1782" spans="1:16" x14ac:dyDescent="0.35">
      <c r="A1782" t="s">
        <v>97</v>
      </c>
      <c r="B1782">
        <v>1322845172</v>
      </c>
      <c r="C1782" t="s">
        <v>18</v>
      </c>
      <c r="D1782" t="s">
        <v>20</v>
      </c>
      <c r="E1782" s="29">
        <v>46205</v>
      </c>
      <c r="F1782" t="s">
        <v>4</v>
      </c>
      <c r="G1782" s="28">
        <v>0.55208333333333337</v>
      </c>
      <c r="H1782" s="28">
        <v>0.55208333333333337</v>
      </c>
      <c r="I1782">
        <v>0</v>
      </c>
      <c r="J1782" t="s">
        <v>174</v>
      </c>
      <c r="K1782">
        <v>0</v>
      </c>
      <c r="L1782" t="s">
        <v>1481</v>
      </c>
      <c r="M1782" t="s">
        <v>5012</v>
      </c>
      <c r="N1782" t="s">
        <v>4993</v>
      </c>
      <c r="O1782" t="s">
        <v>4994</v>
      </c>
      <c r="P1782" t="s">
        <v>4995</v>
      </c>
    </row>
    <row r="1783" spans="1:16" x14ac:dyDescent="0.35">
      <c r="A1783" t="s">
        <v>97</v>
      </c>
      <c r="B1783">
        <v>1322845172</v>
      </c>
      <c r="C1783" t="s">
        <v>18</v>
      </c>
      <c r="D1783" t="s">
        <v>20</v>
      </c>
      <c r="E1783" s="29">
        <v>46205</v>
      </c>
      <c r="F1783" t="s">
        <v>4</v>
      </c>
      <c r="G1783" s="28">
        <v>0.55902777777777779</v>
      </c>
      <c r="H1783" s="28">
        <v>0.64930555555555558</v>
      </c>
      <c r="I1783">
        <v>2</v>
      </c>
      <c r="J1783" t="s">
        <v>146</v>
      </c>
      <c r="K1783">
        <v>6</v>
      </c>
      <c r="L1783" t="s">
        <v>147</v>
      </c>
      <c r="M1783" t="s">
        <v>5000</v>
      </c>
      <c r="N1783" t="s">
        <v>5001</v>
      </c>
      <c r="O1783" t="s">
        <v>5002</v>
      </c>
      <c r="P1783" t="s">
        <v>5003</v>
      </c>
    </row>
    <row r="1784" spans="1:16" x14ac:dyDescent="0.35">
      <c r="A1784" t="s">
        <v>97</v>
      </c>
      <c r="B1784">
        <v>1322845172</v>
      </c>
      <c r="C1784" t="s">
        <v>18</v>
      </c>
      <c r="D1784" t="s">
        <v>20</v>
      </c>
      <c r="E1784" s="29">
        <v>46205</v>
      </c>
      <c r="F1784" t="s">
        <v>4</v>
      </c>
      <c r="G1784" s="28">
        <v>0.65625</v>
      </c>
      <c r="H1784" s="28">
        <v>0.65625</v>
      </c>
      <c r="I1784">
        <v>0</v>
      </c>
      <c r="J1784" t="s">
        <v>174</v>
      </c>
      <c r="K1784">
        <v>0</v>
      </c>
      <c r="L1784" t="s">
        <v>5021</v>
      </c>
      <c r="M1784" t="s">
        <v>4988</v>
      </c>
      <c r="N1784" t="s">
        <v>5022</v>
      </c>
      <c r="O1784" t="s">
        <v>5023</v>
      </c>
      <c r="P1784" t="s">
        <v>5024</v>
      </c>
    </row>
    <row r="1785" spans="1:16" x14ac:dyDescent="0.35">
      <c r="A1785" t="s">
        <v>97</v>
      </c>
      <c r="B1785">
        <v>1322845172</v>
      </c>
      <c r="C1785" t="s">
        <v>18</v>
      </c>
      <c r="D1785" t="s">
        <v>20</v>
      </c>
      <c r="E1785" s="29">
        <v>46205</v>
      </c>
      <c r="F1785" t="s">
        <v>4</v>
      </c>
      <c r="G1785" s="28">
        <v>0.66319444444444442</v>
      </c>
      <c r="H1785" s="28">
        <v>0.88541666666666663</v>
      </c>
      <c r="I1785">
        <v>5</v>
      </c>
      <c r="J1785" t="s">
        <v>146</v>
      </c>
      <c r="K1785">
        <v>16</v>
      </c>
      <c r="L1785" t="s">
        <v>147</v>
      </c>
      <c r="M1785" t="s">
        <v>5000</v>
      </c>
      <c r="N1785" t="s">
        <v>5001</v>
      </c>
      <c r="O1785" t="s">
        <v>5002</v>
      </c>
      <c r="P1785" t="s">
        <v>5003</v>
      </c>
    </row>
    <row r="1786" spans="1:16" x14ac:dyDescent="0.35">
      <c r="A1786" t="s">
        <v>97</v>
      </c>
      <c r="B1786">
        <v>1322845172</v>
      </c>
      <c r="C1786" t="s">
        <v>18</v>
      </c>
      <c r="D1786" t="s">
        <v>20</v>
      </c>
      <c r="E1786" s="29">
        <v>46207</v>
      </c>
      <c r="F1786" t="s">
        <v>5</v>
      </c>
      <c r="G1786" s="28">
        <v>0.4201388888888889</v>
      </c>
      <c r="H1786" s="28">
        <v>0.42708333333333331</v>
      </c>
      <c r="I1786">
        <v>0</v>
      </c>
      <c r="J1786" t="s">
        <v>146</v>
      </c>
      <c r="K1786">
        <v>0</v>
      </c>
      <c r="L1786" t="s">
        <v>147</v>
      </c>
      <c r="M1786" t="s">
        <v>4975</v>
      </c>
      <c r="N1786" t="s">
        <v>4976</v>
      </c>
      <c r="O1786" t="s">
        <v>4977</v>
      </c>
      <c r="P1786" t="s">
        <v>4978</v>
      </c>
    </row>
    <row r="1787" spans="1:16" x14ac:dyDescent="0.35">
      <c r="A1787" t="s">
        <v>97</v>
      </c>
      <c r="B1787">
        <v>1322845172</v>
      </c>
      <c r="C1787" t="s">
        <v>18</v>
      </c>
      <c r="D1787" t="s">
        <v>20</v>
      </c>
      <c r="E1787" s="29">
        <v>46207</v>
      </c>
      <c r="F1787" t="s">
        <v>5</v>
      </c>
      <c r="G1787" s="28">
        <v>0.43402777777777779</v>
      </c>
      <c r="H1787" s="28">
        <v>0.46875</v>
      </c>
      <c r="I1787">
        <v>1</v>
      </c>
      <c r="J1787" t="s">
        <v>146</v>
      </c>
      <c r="K1787">
        <v>2</v>
      </c>
      <c r="L1787" t="s">
        <v>147</v>
      </c>
      <c r="M1787" t="s">
        <v>4979</v>
      </c>
      <c r="N1787" t="s">
        <v>4980</v>
      </c>
      <c r="O1787" t="s">
        <v>4981</v>
      </c>
      <c r="P1787" t="s">
        <v>4982</v>
      </c>
    </row>
    <row r="1788" spans="1:16" x14ac:dyDescent="0.35">
      <c r="A1788" t="s">
        <v>97</v>
      </c>
      <c r="B1788">
        <v>1322845172</v>
      </c>
      <c r="C1788" t="s">
        <v>18</v>
      </c>
      <c r="D1788" t="s">
        <v>20</v>
      </c>
      <c r="E1788" s="29">
        <v>46207</v>
      </c>
      <c r="F1788" t="s">
        <v>5</v>
      </c>
      <c r="G1788" s="28">
        <v>0.47569444444444442</v>
      </c>
      <c r="H1788" s="28">
        <v>0.4826388888888889</v>
      </c>
      <c r="I1788">
        <v>0</v>
      </c>
      <c r="J1788" t="s">
        <v>146</v>
      </c>
      <c r="K1788">
        <v>1</v>
      </c>
      <c r="L1788" t="s">
        <v>147</v>
      </c>
      <c r="M1788" t="s">
        <v>4975</v>
      </c>
      <c r="N1788" t="s">
        <v>4976</v>
      </c>
      <c r="O1788" t="s">
        <v>4977</v>
      </c>
      <c r="P1788" t="s">
        <v>4978</v>
      </c>
    </row>
    <row r="1789" spans="1:16" x14ac:dyDescent="0.35">
      <c r="A1789" t="s">
        <v>97</v>
      </c>
      <c r="B1789">
        <v>1322845172</v>
      </c>
      <c r="C1789" t="s">
        <v>18</v>
      </c>
      <c r="D1789" t="s">
        <v>20</v>
      </c>
      <c r="E1789" s="29">
        <v>46207</v>
      </c>
      <c r="F1789" t="s">
        <v>5</v>
      </c>
      <c r="G1789" s="28">
        <v>0.48958333333333331</v>
      </c>
      <c r="H1789" s="28">
        <v>0.49652777777777779</v>
      </c>
      <c r="I1789">
        <v>0</v>
      </c>
      <c r="J1789" t="s">
        <v>146</v>
      </c>
      <c r="K1789">
        <v>1</v>
      </c>
      <c r="L1789" t="s">
        <v>147</v>
      </c>
      <c r="M1789" t="s">
        <v>4979</v>
      </c>
      <c r="N1789" t="s">
        <v>4980</v>
      </c>
      <c r="O1789" t="s">
        <v>4981</v>
      </c>
      <c r="P1789" t="s">
        <v>4982</v>
      </c>
    </row>
    <row r="1790" spans="1:16" x14ac:dyDescent="0.35">
      <c r="A1790" t="s">
        <v>97</v>
      </c>
      <c r="B1790">
        <v>1322845172</v>
      </c>
      <c r="C1790" t="s">
        <v>18</v>
      </c>
      <c r="D1790" t="s">
        <v>20</v>
      </c>
      <c r="E1790" s="29">
        <v>46207</v>
      </c>
      <c r="F1790" t="s">
        <v>5</v>
      </c>
      <c r="G1790" s="28">
        <v>0.50347222222222221</v>
      </c>
      <c r="H1790" s="28">
        <v>0.50347222222222221</v>
      </c>
      <c r="I1790">
        <v>0</v>
      </c>
      <c r="J1790" t="s">
        <v>174</v>
      </c>
      <c r="K1790">
        <v>0</v>
      </c>
      <c r="L1790" t="s">
        <v>5025</v>
      </c>
      <c r="M1790" t="s">
        <v>5008</v>
      </c>
      <c r="N1790" t="s">
        <v>5009</v>
      </c>
      <c r="O1790" t="s">
        <v>5010</v>
      </c>
      <c r="P1790" t="s">
        <v>5011</v>
      </c>
    </row>
    <row r="1791" spans="1:16" x14ac:dyDescent="0.35">
      <c r="A1791" t="s">
        <v>97</v>
      </c>
      <c r="B1791">
        <v>1322845172</v>
      </c>
      <c r="C1791" t="s">
        <v>18</v>
      </c>
      <c r="D1791" t="s">
        <v>20</v>
      </c>
      <c r="E1791" s="29">
        <v>46207</v>
      </c>
      <c r="F1791" t="s">
        <v>5</v>
      </c>
      <c r="G1791" s="28">
        <v>0.55208333333333337</v>
      </c>
      <c r="H1791" s="28">
        <v>0.56597222222222221</v>
      </c>
      <c r="I1791">
        <v>0</v>
      </c>
      <c r="J1791" t="s">
        <v>146</v>
      </c>
      <c r="K1791">
        <v>1</v>
      </c>
      <c r="L1791" t="s">
        <v>147</v>
      </c>
      <c r="M1791" t="s">
        <v>5004</v>
      </c>
      <c r="N1791" t="s">
        <v>5005</v>
      </c>
      <c r="O1791" t="s">
        <v>5006</v>
      </c>
      <c r="P1791" t="s">
        <v>4999</v>
      </c>
    </row>
    <row r="1792" spans="1:16" x14ac:dyDescent="0.35">
      <c r="A1792" t="s">
        <v>97</v>
      </c>
      <c r="B1792">
        <v>1322845172</v>
      </c>
      <c r="C1792" t="s">
        <v>18</v>
      </c>
      <c r="D1792" t="s">
        <v>20</v>
      </c>
      <c r="E1792" s="29">
        <v>46207</v>
      </c>
      <c r="F1792" t="s">
        <v>5</v>
      </c>
      <c r="G1792" s="28">
        <v>0.57291666666666663</v>
      </c>
      <c r="H1792" s="28">
        <v>0.57291666666666663</v>
      </c>
      <c r="I1792">
        <v>0</v>
      </c>
      <c r="J1792" t="s">
        <v>174</v>
      </c>
      <c r="K1792">
        <v>0</v>
      </c>
      <c r="L1792" t="s">
        <v>509</v>
      </c>
      <c r="M1792" t="s">
        <v>4984</v>
      </c>
      <c r="N1792" t="s">
        <v>4985</v>
      </c>
      <c r="O1792" t="s">
        <v>4986</v>
      </c>
      <c r="P1792" t="s">
        <v>4987</v>
      </c>
    </row>
    <row r="1793" spans="1:16" x14ac:dyDescent="0.35">
      <c r="A1793" t="s">
        <v>97</v>
      </c>
      <c r="B1793">
        <v>1322845172</v>
      </c>
      <c r="C1793" t="s">
        <v>18</v>
      </c>
      <c r="D1793" t="s">
        <v>20</v>
      </c>
      <c r="E1793" s="29">
        <v>46207</v>
      </c>
      <c r="F1793" t="s">
        <v>5</v>
      </c>
      <c r="G1793" s="28">
        <v>0.57986111111111116</v>
      </c>
      <c r="H1793" s="28">
        <v>0.59375</v>
      </c>
      <c r="I1793">
        <v>0</v>
      </c>
      <c r="J1793" t="s">
        <v>146</v>
      </c>
      <c r="K1793">
        <v>1</v>
      </c>
      <c r="L1793" t="s">
        <v>147</v>
      </c>
      <c r="M1793" t="s">
        <v>4975</v>
      </c>
      <c r="N1793" t="s">
        <v>4976</v>
      </c>
      <c r="O1793" t="s">
        <v>4977</v>
      </c>
      <c r="P1793" t="s">
        <v>4978</v>
      </c>
    </row>
    <row r="1794" spans="1:16" x14ac:dyDescent="0.35">
      <c r="A1794" t="s">
        <v>97</v>
      </c>
      <c r="B1794">
        <v>1322845172</v>
      </c>
      <c r="C1794" t="s">
        <v>18</v>
      </c>
      <c r="D1794" t="s">
        <v>20</v>
      </c>
      <c r="E1794" s="29">
        <v>46207</v>
      </c>
      <c r="F1794" t="s">
        <v>5</v>
      </c>
      <c r="G1794" s="28">
        <v>0.60069444444444442</v>
      </c>
      <c r="H1794" s="28">
        <v>0.64236111111111116</v>
      </c>
      <c r="I1794">
        <v>1</v>
      </c>
      <c r="J1794" t="s">
        <v>146</v>
      </c>
      <c r="K1794">
        <v>3</v>
      </c>
      <c r="L1794" t="s">
        <v>147</v>
      </c>
      <c r="M1794" t="s">
        <v>4979</v>
      </c>
      <c r="N1794" t="s">
        <v>4980</v>
      </c>
      <c r="O1794" t="s">
        <v>4981</v>
      </c>
      <c r="P1794" t="s">
        <v>4982</v>
      </c>
    </row>
    <row r="1795" spans="1:16" x14ac:dyDescent="0.35">
      <c r="A1795" t="s">
        <v>97</v>
      </c>
      <c r="B1795">
        <v>1322845172</v>
      </c>
      <c r="C1795" t="s">
        <v>18</v>
      </c>
      <c r="D1795" t="s">
        <v>20</v>
      </c>
      <c r="E1795" s="29">
        <v>46207</v>
      </c>
      <c r="F1795" t="s">
        <v>5</v>
      </c>
      <c r="G1795" s="28">
        <v>0.64930555555555558</v>
      </c>
      <c r="H1795" s="28">
        <v>0.65625</v>
      </c>
      <c r="I1795">
        <v>0</v>
      </c>
      <c r="J1795" t="s">
        <v>146</v>
      </c>
      <c r="K1795">
        <v>0</v>
      </c>
      <c r="L1795" t="s">
        <v>147</v>
      </c>
      <c r="M1795" t="s">
        <v>4975</v>
      </c>
      <c r="N1795" t="s">
        <v>4976</v>
      </c>
      <c r="O1795" t="s">
        <v>4977</v>
      </c>
      <c r="P1795" t="s">
        <v>4978</v>
      </c>
    </row>
    <row r="1796" spans="1:16" x14ac:dyDescent="0.35">
      <c r="A1796" t="s">
        <v>97</v>
      </c>
      <c r="B1796">
        <v>1322845172</v>
      </c>
      <c r="C1796" t="s">
        <v>18</v>
      </c>
      <c r="D1796" t="s">
        <v>20</v>
      </c>
      <c r="E1796" s="29">
        <v>46207</v>
      </c>
      <c r="F1796" t="s">
        <v>5</v>
      </c>
      <c r="G1796" s="28">
        <v>0.66319444444444442</v>
      </c>
      <c r="H1796" s="28">
        <v>0.66319444444444442</v>
      </c>
      <c r="I1796">
        <v>0</v>
      </c>
      <c r="J1796" t="s">
        <v>174</v>
      </c>
      <c r="K1796">
        <v>0</v>
      </c>
      <c r="L1796" t="s">
        <v>1022</v>
      </c>
      <c r="M1796" t="s">
        <v>4979</v>
      </c>
      <c r="N1796" t="s">
        <v>4980</v>
      </c>
      <c r="O1796" t="s">
        <v>4981</v>
      </c>
      <c r="P1796" t="s">
        <v>4982</v>
      </c>
    </row>
    <row r="1797" spans="1:16" x14ac:dyDescent="0.35">
      <c r="A1797" t="s">
        <v>97</v>
      </c>
      <c r="B1797">
        <v>1322845172</v>
      </c>
      <c r="C1797" t="s">
        <v>18</v>
      </c>
      <c r="D1797" t="s">
        <v>20</v>
      </c>
      <c r="E1797" s="29">
        <v>46207</v>
      </c>
      <c r="F1797" t="s">
        <v>5</v>
      </c>
      <c r="G1797" s="28">
        <v>0.67013888888888884</v>
      </c>
      <c r="H1797" s="28">
        <v>0.68402777777777779</v>
      </c>
      <c r="I1797">
        <v>0</v>
      </c>
      <c r="J1797" t="s">
        <v>146</v>
      </c>
      <c r="K1797">
        <v>1</v>
      </c>
      <c r="L1797" t="s">
        <v>147</v>
      </c>
      <c r="M1797" t="s">
        <v>4975</v>
      </c>
      <c r="N1797" t="s">
        <v>4976</v>
      </c>
      <c r="O1797" t="s">
        <v>4977</v>
      </c>
      <c r="P1797" t="s">
        <v>4978</v>
      </c>
    </row>
    <row r="1798" spans="1:16" x14ac:dyDescent="0.35">
      <c r="A1798" t="s">
        <v>97</v>
      </c>
      <c r="B1798">
        <v>1322845172</v>
      </c>
      <c r="C1798" t="s">
        <v>18</v>
      </c>
      <c r="D1798" t="s">
        <v>20</v>
      </c>
      <c r="E1798" s="29">
        <v>46207</v>
      </c>
      <c r="F1798" t="s">
        <v>5</v>
      </c>
      <c r="G1798" s="28">
        <v>0.69097222222222221</v>
      </c>
      <c r="H1798" s="28">
        <v>0.69791666666666663</v>
      </c>
      <c r="I1798">
        <v>0</v>
      </c>
      <c r="J1798" t="s">
        <v>146</v>
      </c>
      <c r="K1798">
        <v>0</v>
      </c>
      <c r="L1798" t="s">
        <v>147</v>
      </c>
      <c r="M1798" t="s">
        <v>4979</v>
      </c>
      <c r="N1798" t="s">
        <v>4980</v>
      </c>
      <c r="O1798" t="s">
        <v>4981</v>
      </c>
      <c r="P1798" t="s">
        <v>4982</v>
      </c>
    </row>
    <row r="1799" spans="1:16" x14ac:dyDescent="0.35">
      <c r="A1799" t="s">
        <v>97</v>
      </c>
      <c r="B1799">
        <v>1322845172</v>
      </c>
      <c r="C1799" t="s">
        <v>18</v>
      </c>
      <c r="D1799" t="s">
        <v>20</v>
      </c>
      <c r="E1799" s="29">
        <v>46207</v>
      </c>
      <c r="F1799" t="s">
        <v>5</v>
      </c>
      <c r="G1799" s="28">
        <v>0.70486111111111116</v>
      </c>
      <c r="H1799" s="28">
        <v>0.74652777777777779</v>
      </c>
      <c r="I1799">
        <v>1</v>
      </c>
      <c r="J1799" t="s">
        <v>146</v>
      </c>
      <c r="K1799">
        <v>3</v>
      </c>
      <c r="L1799" t="s">
        <v>147</v>
      </c>
      <c r="M1799" t="s">
        <v>4975</v>
      </c>
      <c r="N1799" t="s">
        <v>4976</v>
      </c>
      <c r="O1799" t="s">
        <v>4977</v>
      </c>
      <c r="P1799" t="s">
        <v>4978</v>
      </c>
    </row>
    <row r="1800" spans="1:16" x14ac:dyDescent="0.35">
      <c r="A1800" t="s">
        <v>97</v>
      </c>
      <c r="B1800">
        <v>1322845172</v>
      </c>
      <c r="C1800" t="s">
        <v>18</v>
      </c>
      <c r="D1800" t="s">
        <v>20</v>
      </c>
      <c r="E1800" s="29">
        <v>46207</v>
      </c>
      <c r="F1800" t="s">
        <v>5</v>
      </c>
      <c r="G1800" s="28">
        <v>0.75347222222222221</v>
      </c>
      <c r="H1800" s="28">
        <v>0.75347222222222221</v>
      </c>
      <c r="I1800">
        <v>0</v>
      </c>
      <c r="J1800" t="s">
        <v>174</v>
      </c>
      <c r="K1800">
        <v>0</v>
      </c>
      <c r="L1800" t="s">
        <v>5026</v>
      </c>
      <c r="M1800" t="s">
        <v>5027</v>
      </c>
      <c r="N1800" t="s">
        <v>5028</v>
      </c>
      <c r="O1800" t="s">
        <v>5029</v>
      </c>
      <c r="P1800" t="s">
        <v>5030</v>
      </c>
    </row>
    <row r="1801" spans="1:16" x14ac:dyDescent="0.35">
      <c r="A1801" t="s">
        <v>97</v>
      </c>
      <c r="B1801">
        <v>1322845172</v>
      </c>
      <c r="C1801" t="s">
        <v>18</v>
      </c>
      <c r="D1801" t="s">
        <v>20</v>
      </c>
      <c r="E1801" s="29">
        <v>46207</v>
      </c>
      <c r="F1801" t="s">
        <v>5</v>
      </c>
      <c r="G1801" s="28">
        <v>0.76041666666666663</v>
      </c>
      <c r="H1801" s="28">
        <v>0.76041666666666663</v>
      </c>
      <c r="I1801">
        <v>0</v>
      </c>
      <c r="J1801" t="s">
        <v>174</v>
      </c>
      <c r="K1801">
        <v>0</v>
      </c>
      <c r="L1801" t="s">
        <v>1022</v>
      </c>
      <c r="M1801" t="s">
        <v>4975</v>
      </c>
      <c r="N1801" t="s">
        <v>4976</v>
      </c>
      <c r="O1801" t="s">
        <v>4977</v>
      </c>
      <c r="P1801" t="s">
        <v>4978</v>
      </c>
    </row>
    <row r="1802" spans="1:16" x14ac:dyDescent="0.35">
      <c r="A1802" t="s">
        <v>97</v>
      </c>
      <c r="B1802">
        <v>1322845172</v>
      </c>
      <c r="C1802" t="s">
        <v>18</v>
      </c>
      <c r="D1802" t="s">
        <v>20</v>
      </c>
      <c r="E1802" s="29">
        <v>46207</v>
      </c>
      <c r="F1802" t="s">
        <v>5</v>
      </c>
      <c r="G1802" s="28">
        <v>0.76736111111111116</v>
      </c>
      <c r="H1802" s="28">
        <v>0.76736111111111116</v>
      </c>
      <c r="I1802">
        <v>0</v>
      </c>
      <c r="J1802" t="s">
        <v>174</v>
      </c>
      <c r="K1802">
        <v>0</v>
      </c>
      <c r="L1802" t="s">
        <v>1022</v>
      </c>
      <c r="M1802" t="s">
        <v>4979</v>
      </c>
      <c r="N1802" t="s">
        <v>4980</v>
      </c>
      <c r="O1802" t="s">
        <v>4981</v>
      </c>
      <c r="P1802" t="s">
        <v>4982</v>
      </c>
    </row>
    <row r="1803" spans="1:16" x14ac:dyDescent="0.35">
      <c r="A1803" t="s">
        <v>97</v>
      </c>
      <c r="B1803">
        <v>1322845172</v>
      </c>
      <c r="C1803" t="s">
        <v>18</v>
      </c>
      <c r="D1803" t="s">
        <v>20</v>
      </c>
      <c r="E1803" s="29">
        <v>46207</v>
      </c>
      <c r="F1803" t="s">
        <v>5</v>
      </c>
      <c r="G1803" s="28">
        <v>0.77430555555555558</v>
      </c>
      <c r="H1803" s="28">
        <v>0.78819444444444442</v>
      </c>
      <c r="I1803">
        <v>0</v>
      </c>
      <c r="J1803" t="s">
        <v>146</v>
      </c>
      <c r="K1803">
        <v>1</v>
      </c>
      <c r="L1803" t="s">
        <v>147</v>
      </c>
      <c r="M1803" t="s">
        <v>4975</v>
      </c>
      <c r="N1803" t="s">
        <v>4976</v>
      </c>
      <c r="O1803" t="s">
        <v>4977</v>
      </c>
      <c r="P1803" t="s">
        <v>4978</v>
      </c>
    </row>
    <row r="1804" spans="1:16" x14ac:dyDescent="0.35">
      <c r="A1804" t="s">
        <v>97</v>
      </c>
      <c r="B1804">
        <v>1322845172</v>
      </c>
      <c r="C1804" t="s">
        <v>18</v>
      </c>
      <c r="D1804" t="s">
        <v>20</v>
      </c>
      <c r="E1804" s="29">
        <v>46208</v>
      </c>
      <c r="F1804" t="s">
        <v>6</v>
      </c>
      <c r="G1804" s="28">
        <v>0.37847222222222221</v>
      </c>
      <c r="H1804" s="28">
        <v>0.37847222222222221</v>
      </c>
      <c r="I1804">
        <v>0</v>
      </c>
      <c r="J1804" t="s">
        <v>174</v>
      </c>
      <c r="K1804">
        <v>0</v>
      </c>
      <c r="L1804" t="s">
        <v>1084</v>
      </c>
      <c r="M1804" t="s">
        <v>4979</v>
      </c>
      <c r="N1804" t="s">
        <v>4980</v>
      </c>
      <c r="O1804" t="s">
        <v>4981</v>
      </c>
      <c r="P1804" t="s">
        <v>4982</v>
      </c>
    </row>
    <row r="1805" spans="1:16" x14ac:dyDescent="0.35">
      <c r="A1805" t="s">
        <v>97</v>
      </c>
      <c r="B1805">
        <v>1322845172</v>
      </c>
      <c r="C1805" t="s">
        <v>18</v>
      </c>
      <c r="D1805" t="s">
        <v>20</v>
      </c>
      <c r="E1805" s="29">
        <v>46208</v>
      </c>
      <c r="F1805" t="s">
        <v>6</v>
      </c>
      <c r="G1805" s="28">
        <v>0.38541666666666669</v>
      </c>
      <c r="H1805" s="28">
        <v>0.42708333333333331</v>
      </c>
      <c r="I1805">
        <v>1</v>
      </c>
      <c r="J1805" t="s">
        <v>146</v>
      </c>
      <c r="K1805">
        <v>3</v>
      </c>
      <c r="L1805" t="s">
        <v>147</v>
      </c>
      <c r="M1805" t="s">
        <v>4988</v>
      </c>
      <c r="N1805" t="s">
        <v>4989</v>
      </c>
      <c r="O1805" t="s">
        <v>4990</v>
      </c>
      <c r="P1805" t="s">
        <v>4991</v>
      </c>
    </row>
    <row r="1806" spans="1:16" x14ac:dyDescent="0.35">
      <c r="A1806" t="s">
        <v>97</v>
      </c>
      <c r="B1806">
        <v>1322845172</v>
      </c>
      <c r="C1806" t="s">
        <v>18</v>
      </c>
      <c r="D1806" t="s">
        <v>20</v>
      </c>
      <c r="E1806" s="29">
        <v>46208</v>
      </c>
      <c r="F1806" t="s">
        <v>6</v>
      </c>
      <c r="G1806" s="28">
        <v>0.46180555555555558</v>
      </c>
      <c r="H1806" s="28">
        <v>0.46180555555555558</v>
      </c>
      <c r="I1806">
        <v>0</v>
      </c>
      <c r="J1806" t="s">
        <v>174</v>
      </c>
      <c r="K1806">
        <v>0</v>
      </c>
      <c r="L1806" t="s">
        <v>595</v>
      </c>
      <c r="M1806" t="s">
        <v>4992</v>
      </c>
      <c r="N1806" t="s">
        <v>4993</v>
      </c>
      <c r="O1806" t="s">
        <v>4994</v>
      </c>
      <c r="P1806" t="s">
        <v>4995</v>
      </c>
    </row>
    <row r="1807" spans="1:16" x14ac:dyDescent="0.35">
      <c r="A1807" t="s">
        <v>97</v>
      </c>
      <c r="B1807">
        <v>1322845172</v>
      </c>
      <c r="C1807" t="s">
        <v>18</v>
      </c>
      <c r="D1807" t="s">
        <v>20</v>
      </c>
      <c r="E1807" s="29">
        <v>46208</v>
      </c>
      <c r="F1807" t="s">
        <v>6</v>
      </c>
      <c r="G1807" s="28">
        <v>0.46875</v>
      </c>
      <c r="H1807" s="28">
        <v>0.46875</v>
      </c>
      <c r="I1807">
        <v>0</v>
      </c>
      <c r="J1807" t="s">
        <v>174</v>
      </c>
      <c r="K1807">
        <v>0</v>
      </c>
      <c r="L1807" t="s">
        <v>1855</v>
      </c>
      <c r="M1807" t="s">
        <v>5013</v>
      </c>
      <c r="N1807" t="s">
        <v>5014</v>
      </c>
      <c r="O1807" t="s">
        <v>5015</v>
      </c>
      <c r="P1807" t="s">
        <v>5016</v>
      </c>
    </row>
    <row r="1808" spans="1:16" x14ac:dyDescent="0.35">
      <c r="A1808" t="s">
        <v>97</v>
      </c>
      <c r="B1808">
        <v>1322845172</v>
      </c>
      <c r="C1808" t="s">
        <v>18</v>
      </c>
      <c r="D1808" t="s">
        <v>20</v>
      </c>
      <c r="E1808" s="29">
        <v>46208</v>
      </c>
      <c r="F1808" t="s">
        <v>6</v>
      </c>
      <c r="G1808" s="28">
        <v>0.47569444444444442</v>
      </c>
      <c r="H1808" s="28">
        <v>0.47569444444444442</v>
      </c>
      <c r="I1808">
        <v>0</v>
      </c>
      <c r="J1808" t="s">
        <v>174</v>
      </c>
      <c r="K1808">
        <v>0</v>
      </c>
      <c r="L1808" t="s">
        <v>4588</v>
      </c>
      <c r="M1808" t="s">
        <v>5031</v>
      </c>
      <c r="N1808" t="s">
        <v>5032</v>
      </c>
      <c r="O1808" t="s">
        <v>5033</v>
      </c>
      <c r="P1808" t="s">
        <v>5034</v>
      </c>
    </row>
    <row r="1809" spans="1:16" x14ac:dyDescent="0.35">
      <c r="A1809" t="s">
        <v>97</v>
      </c>
      <c r="B1809">
        <v>1322845172</v>
      </c>
      <c r="C1809" t="s">
        <v>18</v>
      </c>
      <c r="D1809" t="s">
        <v>20</v>
      </c>
      <c r="E1809" s="29">
        <v>46208</v>
      </c>
      <c r="F1809" t="s">
        <v>6</v>
      </c>
      <c r="G1809" s="28">
        <v>0.4826388888888889</v>
      </c>
      <c r="H1809" s="28">
        <v>0.4826388888888889</v>
      </c>
      <c r="I1809">
        <v>0</v>
      </c>
      <c r="J1809" t="s">
        <v>174</v>
      </c>
      <c r="K1809">
        <v>0</v>
      </c>
      <c r="L1809" t="s">
        <v>3686</v>
      </c>
      <c r="M1809" t="s">
        <v>5035</v>
      </c>
      <c r="N1809" t="s">
        <v>5036</v>
      </c>
      <c r="O1809" t="s">
        <v>5037</v>
      </c>
      <c r="P1809" t="s">
        <v>5038</v>
      </c>
    </row>
    <row r="1810" spans="1:16" x14ac:dyDescent="0.35">
      <c r="A1810" t="s">
        <v>97</v>
      </c>
      <c r="B1810">
        <v>1322845172</v>
      </c>
      <c r="C1810" t="s">
        <v>18</v>
      </c>
      <c r="D1810" t="s">
        <v>20</v>
      </c>
      <c r="E1810" s="29">
        <v>46208</v>
      </c>
      <c r="F1810" t="s">
        <v>6</v>
      </c>
      <c r="G1810" s="28">
        <v>0.48958333333333331</v>
      </c>
      <c r="H1810" s="28">
        <v>0.48958333333333331</v>
      </c>
      <c r="I1810">
        <v>0</v>
      </c>
      <c r="J1810" t="s">
        <v>174</v>
      </c>
      <c r="K1810">
        <v>0</v>
      </c>
      <c r="L1810" t="s">
        <v>1440</v>
      </c>
      <c r="M1810" t="s">
        <v>5039</v>
      </c>
      <c r="N1810" t="s">
        <v>5040</v>
      </c>
      <c r="O1810" t="s">
        <v>5041</v>
      </c>
      <c r="P1810" t="s">
        <v>5042</v>
      </c>
    </row>
    <row r="1811" spans="1:16" x14ac:dyDescent="0.35">
      <c r="A1811" t="s">
        <v>97</v>
      </c>
      <c r="B1811">
        <v>1322845172</v>
      </c>
      <c r="C1811" t="s">
        <v>18</v>
      </c>
      <c r="D1811" t="s">
        <v>20</v>
      </c>
      <c r="E1811" s="29">
        <v>46208</v>
      </c>
      <c r="F1811" t="s">
        <v>6</v>
      </c>
      <c r="G1811" s="28">
        <v>0.49652777777777779</v>
      </c>
      <c r="H1811" s="28">
        <v>0.49652777777777779</v>
      </c>
      <c r="I1811">
        <v>0</v>
      </c>
      <c r="J1811" t="s">
        <v>174</v>
      </c>
      <c r="K1811">
        <v>0</v>
      </c>
      <c r="L1811" t="s">
        <v>5043</v>
      </c>
      <c r="M1811" t="s">
        <v>5044</v>
      </c>
      <c r="N1811" t="s">
        <v>5045</v>
      </c>
      <c r="O1811" t="s">
        <v>5046</v>
      </c>
      <c r="P1811" t="s">
        <v>5047</v>
      </c>
    </row>
    <row r="1812" spans="1:16" x14ac:dyDescent="0.35">
      <c r="A1812" t="s">
        <v>97</v>
      </c>
      <c r="B1812">
        <v>1322845172</v>
      </c>
      <c r="C1812" t="s">
        <v>18</v>
      </c>
      <c r="D1812" t="s">
        <v>20</v>
      </c>
      <c r="E1812" s="29">
        <v>46208</v>
      </c>
      <c r="F1812" t="s">
        <v>6</v>
      </c>
      <c r="G1812" s="28">
        <v>0.50347222222222221</v>
      </c>
      <c r="H1812" s="28">
        <v>0.60763888888888884</v>
      </c>
      <c r="I1812">
        <v>2</v>
      </c>
      <c r="J1812" t="s">
        <v>146</v>
      </c>
      <c r="K1812">
        <v>8</v>
      </c>
      <c r="L1812" t="s">
        <v>147</v>
      </c>
      <c r="M1812" t="s">
        <v>5048</v>
      </c>
      <c r="N1812" t="s">
        <v>5049</v>
      </c>
      <c r="O1812" t="s">
        <v>5050</v>
      </c>
      <c r="P1812" t="s">
        <v>5051</v>
      </c>
    </row>
    <row r="1813" spans="1:16" x14ac:dyDescent="0.35">
      <c r="A1813" t="s">
        <v>97</v>
      </c>
      <c r="B1813">
        <v>1322845172</v>
      </c>
      <c r="C1813" t="s">
        <v>18</v>
      </c>
      <c r="D1813" t="s">
        <v>20</v>
      </c>
      <c r="E1813" s="29">
        <v>46208</v>
      </c>
      <c r="F1813" t="s">
        <v>6</v>
      </c>
      <c r="G1813" s="28">
        <v>0.61458333333333337</v>
      </c>
      <c r="H1813" s="28">
        <v>0.61458333333333337</v>
      </c>
      <c r="I1813">
        <v>0</v>
      </c>
      <c r="J1813" t="s">
        <v>174</v>
      </c>
      <c r="K1813">
        <v>0</v>
      </c>
      <c r="L1813" t="s">
        <v>5052</v>
      </c>
      <c r="M1813" t="s">
        <v>5044</v>
      </c>
      <c r="N1813" t="s">
        <v>5045</v>
      </c>
      <c r="O1813" t="s">
        <v>5046</v>
      </c>
      <c r="P1813" t="s">
        <v>5047</v>
      </c>
    </row>
    <row r="1814" spans="1:16" x14ac:dyDescent="0.35">
      <c r="A1814" t="s">
        <v>97</v>
      </c>
      <c r="B1814">
        <v>1322845172</v>
      </c>
      <c r="C1814" t="s">
        <v>18</v>
      </c>
      <c r="D1814" t="s">
        <v>20</v>
      </c>
      <c r="E1814" s="29">
        <v>46208</v>
      </c>
      <c r="F1814" t="s">
        <v>6</v>
      </c>
      <c r="G1814" s="28">
        <v>0.62152777777777779</v>
      </c>
      <c r="H1814" s="28">
        <v>0.62152777777777779</v>
      </c>
      <c r="I1814">
        <v>0</v>
      </c>
      <c r="J1814" t="s">
        <v>174</v>
      </c>
      <c r="K1814">
        <v>0</v>
      </c>
      <c r="L1814" t="s">
        <v>569</v>
      </c>
      <c r="M1814" t="s">
        <v>5053</v>
      </c>
      <c r="N1814" t="s">
        <v>5054</v>
      </c>
      <c r="O1814" t="s">
        <v>5055</v>
      </c>
      <c r="P1814" t="s">
        <v>5056</v>
      </c>
    </row>
    <row r="1815" spans="1:16" x14ac:dyDescent="0.35">
      <c r="A1815" t="s">
        <v>97</v>
      </c>
      <c r="B1815">
        <v>1322845172</v>
      </c>
      <c r="C1815" t="s">
        <v>18</v>
      </c>
      <c r="D1815" t="s">
        <v>20</v>
      </c>
      <c r="E1815" s="29">
        <v>46208</v>
      </c>
      <c r="F1815" t="s">
        <v>6</v>
      </c>
      <c r="G1815" s="28">
        <v>0.62847222222222221</v>
      </c>
      <c r="H1815" s="28">
        <v>0.62847222222222221</v>
      </c>
      <c r="I1815">
        <v>0</v>
      </c>
      <c r="J1815" t="s">
        <v>174</v>
      </c>
      <c r="K1815">
        <v>0</v>
      </c>
      <c r="L1815" t="s">
        <v>1395</v>
      </c>
      <c r="M1815" t="s">
        <v>5057</v>
      </c>
      <c r="N1815" t="s">
        <v>5058</v>
      </c>
      <c r="O1815" t="s">
        <v>5059</v>
      </c>
      <c r="P1815" t="s">
        <v>5060</v>
      </c>
    </row>
    <row r="1816" spans="1:16" x14ac:dyDescent="0.35">
      <c r="A1816" t="s">
        <v>97</v>
      </c>
      <c r="B1816">
        <v>1322845172</v>
      </c>
      <c r="C1816" t="s">
        <v>18</v>
      </c>
      <c r="D1816" t="s">
        <v>20</v>
      </c>
      <c r="E1816" s="29">
        <v>46208</v>
      </c>
      <c r="F1816" t="s">
        <v>6</v>
      </c>
      <c r="G1816" s="28">
        <v>0.63541666666666663</v>
      </c>
      <c r="H1816" s="28">
        <v>0.69097222222222221</v>
      </c>
      <c r="I1816">
        <v>1</v>
      </c>
      <c r="J1816" t="s">
        <v>146</v>
      </c>
      <c r="K1816">
        <v>4</v>
      </c>
      <c r="L1816" t="s">
        <v>147</v>
      </c>
      <c r="M1816" t="s">
        <v>5061</v>
      </c>
      <c r="N1816" t="s">
        <v>5062</v>
      </c>
      <c r="O1816" t="s">
        <v>5063</v>
      </c>
      <c r="P1816" t="s">
        <v>5064</v>
      </c>
    </row>
    <row r="1817" spans="1:16" x14ac:dyDescent="0.35">
      <c r="A1817" t="s">
        <v>97</v>
      </c>
      <c r="B1817">
        <v>1322845172</v>
      </c>
      <c r="C1817" t="s">
        <v>18</v>
      </c>
      <c r="D1817" t="s">
        <v>20</v>
      </c>
      <c r="E1817" s="29">
        <v>46208</v>
      </c>
      <c r="F1817" t="s">
        <v>6</v>
      </c>
      <c r="G1817" s="28">
        <v>0.70486111111111116</v>
      </c>
      <c r="H1817" s="28">
        <v>0.70486111111111116</v>
      </c>
      <c r="I1817">
        <v>0</v>
      </c>
      <c r="J1817" t="s">
        <v>174</v>
      </c>
      <c r="K1817">
        <v>0</v>
      </c>
      <c r="L1817" t="s">
        <v>5065</v>
      </c>
      <c r="M1817" t="s">
        <v>5066</v>
      </c>
      <c r="N1817" t="s">
        <v>5067</v>
      </c>
      <c r="O1817" t="s">
        <v>5068</v>
      </c>
      <c r="P1817" t="s">
        <v>5069</v>
      </c>
    </row>
    <row r="1818" spans="1:16" x14ac:dyDescent="0.35">
      <c r="A1818" t="s">
        <v>97</v>
      </c>
      <c r="B1818">
        <v>1322845172</v>
      </c>
      <c r="C1818" t="s">
        <v>18</v>
      </c>
      <c r="D1818" t="s">
        <v>20</v>
      </c>
      <c r="E1818" s="29">
        <v>46208</v>
      </c>
      <c r="F1818" t="s">
        <v>6</v>
      </c>
      <c r="G1818" s="28">
        <v>0.71597222222222223</v>
      </c>
      <c r="H1818" s="28">
        <v>0.72013888888888888</v>
      </c>
      <c r="I1818">
        <v>0</v>
      </c>
      <c r="J1818" t="s">
        <v>146</v>
      </c>
      <c r="K1818">
        <v>0</v>
      </c>
      <c r="L1818" t="s">
        <v>147</v>
      </c>
      <c r="M1818" t="s">
        <v>5070</v>
      </c>
      <c r="N1818" t="s">
        <v>5071</v>
      </c>
      <c r="O1818" t="s">
        <v>5072</v>
      </c>
      <c r="P1818" t="s">
        <v>5073</v>
      </c>
    </row>
    <row r="1819" spans="1:16" x14ac:dyDescent="0.35">
      <c r="A1819" t="s">
        <v>97</v>
      </c>
      <c r="B1819">
        <v>1322845172</v>
      </c>
      <c r="C1819" t="s">
        <v>18</v>
      </c>
      <c r="D1819" t="s">
        <v>20</v>
      </c>
      <c r="E1819" s="29">
        <v>46208</v>
      </c>
      <c r="F1819" t="s">
        <v>6</v>
      </c>
      <c r="G1819" s="28">
        <v>0.73958333333333337</v>
      </c>
      <c r="H1819" s="28">
        <v>0.80208333333333337</v>
      </c>
      <c r="I1819">
        <v>2</v>
      </c>
      <c r="J1819" t="s">
        <v>146</v>
      </c>
      <c r="K1819">
        <v>4</v>
      </c>
      <c r="L1819" t="s">
        <v>147</v>
      </c>
      <c r="M1819" t="s">
        <v>5061</v>
      </c>
      <c r="N1819" t="s">
        <v>5062</v>
      </c>
      <c r="O1819" t="s">
        <v>5063</v>
      </c>
      <c r="P1819" t="s">
        <v>5064</v>
      </c>
    </row>
    <row r="1820" spans="1:16" x14ac:dyDescent="0.35">
      <c r="A1820" t="s">
        <v>110</v>
      </c>
      <c r="B1820">
        <v>1324732631</v>
      </c>
      <c r="C1820" t="s">
        <v>18</v>
      </c>
      <c r="D1820" t="s">
        <v>21</v>
      </c>
      <c r="E1820" s="29">
        <v>46204</v>
      </c>
      <c r="F1820" t="s">
        <v>3</v>
      </c>
      <c r="G1820" s="28">
        <v>0.37708333333333333</v>
      </c>
      <c r="H1820" s="28">
        <v>0.39097222222222222</v>
      </c>
      <c r="I1820">
        <v>0</v>
      </c>
      <c r="J1820" t="s">
        <v>146</v>
      </c>
      <c r="K1820">
        <v>1</v>
      </c>
      <c r="L1820" t="s">
        <v>147</v>
      </c>
      <c r="M1820" t="s">
        <v>4717</v>
      </c>
      <c r="N1820" t="s">
        <v>4718</v>
      </c>
      <c r="O1820" t="s">
        <v>4719</v>
      </c>
      <c r="P1820" t="s">
        <v>4720</v>
      </c>
    </row>
    <row r="1821" spans="1:16" x14ac:dyDescent="0.35">
      <c r="A1821" t="s">
        <v>110</v>
      </c>
      <c r="B1821">
        <v>1324732631</v>
      </c>
      <c r="C1821" t="s">
        <v>18</v>
      </c>
      <c r="D1821" t="s">
        <v>21</v>
      </c>
      <c r="E1821" s="29">
        <v>46204</v>
      </c>
      <c r="F1821" t="s">
        <v>3</v>
      </c>
      <c r="G1821" s="28">
        <v>0.39791666666666664</v>
      </c>
      <c r="H1821" s="28">
        <v>0.39791666666666664</v>
      </c>
      <c r="I1821">
        <v>0</v>
      </c>
      <c r="J1821" t="s">
        <v>174</v>
      </c>
      <c r="K1821">
        <v>0</v>
      </c>
      <c r="L1821" t="s">
        <v>553</v>
      </c>
      <c r="M1821" t="s">
        <v>5074</v>
      </c>
      <c r="N1821" t="s">
        <v>5075</v>
      </c>
      <c r="O1821" t="s">
        <v>5076</v>
      </c>
      <c r="P1821" t="s">
        <v>5077</v>
      </c>
    </row>
    <row r="1822" spans="1:16" x14ac:dyDescent="0.35">
      <c r="A1822" t="s">
        <v>110</v>
      </c>
      <c r="B1822">
        <v>1324732631</v>
      </c>
      <c r="C1822" t="s">
        <v>18</v>
      </c>
      <c r="D1822" t="s">
        <v>21</v>
      </c>
      <c r="E1822" s="29">
        <v>46204</v>
      </c>
      <c r="F1822" t="s">
        <v>3</v>
      </c>
      <c r="G1822" s="28">
        <v>0.40486111111111112</v>
      </c>
      <c r="H1822" s="28">
        <v>0.40486111111111112</v>
      </c>
      <c r="I1822">
        <v>0</v>
      </c>
      <c r="J1822" t="s">
        <v>174</v>
      </c>
      <c r="K1822">
        <v>0</v>
      </c>
      <c r="L1822" t="s">
        <v>3115</v>
      </c>
      <c r="M1822" t="s">
        <v>4426</v>
      </c>
      <c r="N1822" t="s">
        <v>4427</v>
      </c>
      <c r="O1822" t="s">
        <v>4428</v>
      </c>
      <c r="P1822" t="s">
        <v>4429</v>
      </c>
    </row>
    <row r="1823" spans="1:16" x14ac:dyDescent="0.35">
      <c r="A1823" t="s">
        <v>110</v>
      </c>
      <c r="B1823">
        <v>1324732631</v>
      </c>
      <c r="C1823" t="s">
        <v>18</v>
      </c>
      <c r="D1823" t="s">
        <v>21</v>
      </c>
      <c r="E1823" s="29">
        <v>46204</v>
      </c>
      <c r="F1823" t="s">
        <v>3</v>
      </c>
      <c r="G1823" s="28">
        <v>0.41180555555555554</v>
      </c>
      <c r="H1823" s="28">
        <v>0.41180555555555554</v>
      </c>
      <c r="I1823">
        <v>0</v>
      </c>
      <c r="J1823" t="s">
        <v>174</v>
      </c>
      <c r="K1823">
        <v>0</v>
      </c>
      <c r="L1823" t="s">
        <v>1514</v>
      </c>
      <c r="M1823" t="s">
        <v>5078</v>
      </c>
      <c r="N1823" t="s">
        <v>5079</v>
      </c>
      <c r="O1823" t="s">
        <v>5080</v>
      </c>
      <c r="P1823" t="s">
        <v>5081</v>
      </c>
    </row>
    <row r="1824" spans="1:16" x14ac:dyDescent="0.35">
      <c r="A1824" t="s">
        <v>110</v>
      </c>
      <c r="B1824">
        <v>1324732631</v>
      </c>
      <c r="C1824" t="s">
        <v>18</v>
      </c>
      <c r="D1824" t="s">
        <v>21</v>
      </c>
      <c r="E1824" s="29">
        <v>46204</v>
      </c>
      <c r="F1824" t="s">
        <v>3</v>
      </c>
      <c r="G1824" s="28">
        <v>0.41875000000000001</v>
      </c>
      <c r="H1824" s="28">
        <v>0.41875000000000001</v>
      </c>
      <c r="I1824">
        <v>0</v>
      </c>
      <c r="J1824" t="s">
        <v>174</v>
      </c>
      <c r="K1824">
        <v>0</v>
      </c>
      <c r="L1824" t="s">
        <v>996</v>
      </c>
      <c r="M1824" t="s">
        <v>5082</v>
      </c>
      <c r="N1824" t="s">
        <v>5083</v>
      </c>
      <c r="O1824" t="s">
        <v>5084</v>
      </c>
      <c r="P1824" t="s">
        <v>5085</v>
      </c>
    </row>
    <row r="1825" spans="1:16" x14ac:dyDescent="0.35">
      <c r="A1825" t="s">
        <v>110</v>
      </c>
      <c r="B1825">
        <v>1324732631</v>
      </c>
      <c r="C1825" t="s">
        <v>18</v>
      </c>
      <c r="D1825" t="s">
        <v>21</v>
      </c>
      <c r="E1825" s="29">
        <v>46204</v>
      </c>
      <c r="F1825" t="s">
        <v>3</v>
      </c>
      <c r="G1825" s="28">
        <v>0.42569444444444443</v>
      </c>
      <c r="H1825" s="28">
        <v>0.42569444444444443</v>
      </c>
      <c r="I1825">
        <v>0</v>
      </c>
      <c r="J1825" t="s">
        <v>174</v>
      </c>
      <c r="K1825">
        <v>0</v>
      </c>
      <c r="L1825" t="s">
        <v>1400</v>
      </c>
      <c r="M1825" t="s">
        <v>5086</v>
      </c>
      <c r="N1825" t="s">
        <v>5087</v>
      </c>
      <c r="O1825" t="s">
        <v>5088</v>
      </c>
      <c r="P1825" t="s">
        <v>5089</v>
      </c>
    </row>
    <row r="1826" spans="1:16" x14ac:dyDescent="0.35">
      <c r="A1826" t="s">
        <v>110</v>
      </c>
      <c r="B1826">
        <v>1324732631</v>
      </c>
      <c r="C1826" t="s">
        <v>18</v>
      </c>
      <c r="D1826" t="s">
        <v>21</v>
      </c>
      <c r="E1826" s="29">
        <v>46204</v>
      </c>
      <c r="F1826" t="s">
        <v>3</v>
      </c>
      <c r="G1826" s="28">
        <v>0.43263888888888891</v>
      </c>
      <c r="H1826" s="28">
        <v>0.43263888888888891</v>
      </c>
      <c r="I1826">
        <v>0</v>
      </c>
      <c r="J1826" t="s">
        <v>174</v>
      </c>
      <c r="K1826">
        <v>0</v>
      </c>
      <c r="L1826" t="s">
        <v>4740</v>
      </c>
      <c r="M1826" t="s">
        <v>4741</v>
      </c>
      <c r="N1826" t="s">
        <v>4742</v>
      </c>
      <c r="O1826" t="s">
        <v>4743</v>
      </c>
      <c r="P1826" t="s">
        <v>4744</v>
      </c>
    </row>
    <row r="1827" spans="1:16" x14ac:dyDescent="0.35">
      <c r="A1827" t="s">
        <v>110</v>
      </c>
      <c r="B1827">
        <v>1324732631</v>
      </c>
      <c r="C1827" t="s">
        <v>18</v>
      </c>
      <c r="D1827" t="s">
        <v>21</v>
      </c>
      <c r="E1827" s="29">
        <v>46204</v>
      </c>
      <c r="F1827" t="s">
        <v>3</v>
      </c>
      <c r="G1827" s="28">
        <v>0.43958333333333333</v>
      </c>
      <c r="H1827" s="28">
        <v>0.43958333333333333</v>
      </c>
      <c r="I1827">
        <v>0</v>
      </c>
      <c r="J1827" t="s">
        <v>174</v>
      </c>
      <c r="K1827">
        <v>0</v>
      </c>
      <c r="L1827" t="s">
        <v>1989</v>
      </c>
      <c r="M1827" t="s">
        <v>4745</v>
      </c>
      <c r="N1827" t="s">
        <v>4399</v>
      </c>
      <c r="O1827" t="s">
        <v>4400</v>
      </c>
      <c r="P1827" t="s">
        <v>4401</v>
      </c>
    </row>
    <row r="1828" spans="1:16" x14ac:dyDescent="0.35">
      <c r="A1828" t="s">
        <v>110</v>
      </c>
      <c r="B1828">
        <v>1324732631</v>
      </c>
      <c r="C1828" t="s">
        <v>18</v>
      </c>
      <c r="D1828" t="s">
        <v>21</v>
      </c>
      <c r="E1828" s="29">
        <v>46204</v>
      </c>
      <c r="F1828" t="s">
        <v>3</v>
      </c>
      <c r="G1828" s="28">
        <v>0.44722222222222224</v>
      </c>
      <c r="H1828" s="28">
        <v>0.44722222222222224</v>
      </c>
      <c r="I1828">
        <v>0</v>
      </c>
      <c r="J1828" t="s">
        <v>174</v>
      </c>
      <c r="K1828">
        <v>0</v>
      </c>
      <c r="L1828" t="s">
        <v>5090</v>
      </c>
      <c r="M1828" t="s">
        <v>5091</v>
      </c>
      <c r="N1828" t="s">
        <v>5092</v>
      </c>
      <c r="O1828" t="s">
        <v>5093</v>
      </c>
      <c r="P1828" t="s">
        <v>5094</v>
      </c>
    </row>
    <row r="1829" spans="1:16" x14ac:dyDescent="0.35">
      <c r="A1829" t="s">
        <v>110</v>
      </c>
      <c r="B1829">
        <v>1324732631</v>
      </c>
      <c r="C1829" t="s">
        <v>18</v>
      </c>
      <c r="D1829" t="s">
        <v>21</v>
      </c>
      <c r="E1829" s="29">
        <v>46204</v>
      </c>
      <c r="F1829" t="s">
        <v>3</v>
      </c>
      <c r="G1829" s="28">
        <v>0.45347222222222222</v>
      </c>
      <c r="H1829" s="28">
        <v>0.45347222222222222</v>
      </c>
      <c r="I1829">
        <v>0</v>
      </c>
      <c r="J1829" t="s">
        <v>174</v>
      </c>
      <c r="K1829">
        <v>0</v>
      </c>
      <c r="L1829" t="s">
        <v>4381</v>
      </c>
      <c r="M1829" t="s">
        <v>5095</v>
      </c>
      <c r="N1829" t="s">
        <v>5096</v>
      </c>
      <c r="O1829" t="s">
        <v>5097</v>
      </c>
      <c r="P1829" t="s">
        <v>5098</v>
      </c>
    </row>
    <row r="1830" spans="1:16" x14ac:dyDescent="0.35">
      <c r="A1830" t="s">
        <v>110</v>
      </c>
      <c r="B1830">
        <v>1324732631</v>
      </c>
      <c r="C1830" t="s">
        <v>18</v>
      </c>
      <c r="D1830" t="s">
        <v>21</v>
      </c>
      <c r="E1830" s="29">
        <v>46204</v>
      </c>
      <c r="F1830" t="s">
        <v>3</v>
      </c>
      <c r="G1830" s="28">
        <v>0.46041666666666664</v>
      </c>
      <c r="H1830" s="28">
        <v>0.46041666666666664</v>
      </c>
      <c r="I1830">
        <v>0</v>
      </c>
      <c r="J1830" t="s">
        <v>174</v>
      </c>
      <c r="K1830">
        <v>0</v>
      </c>
      <c r="L1830" t="s">
        <v>1530</v>
      </c>
      <c r="M1830" t="s">
        <v>5099</v>
      </c>
      <c r="N1830" t="s">
        <v>5100</v>
      </c>
      <c r="O1830" t="s">
        <v>5101</v>
      </c>
      <c r="P1830" t="s">
        <v>5102</v>
      </c>
    </row>
    <row r="1831" spans="1:16" x14ac:dyDescent="0.35">
      <c r="A1831" t="s">
        <v>110</v>
      </c>
      <c r="B1831">
        <v>1324732631</v>
      </c>
      <c r="C1831" t="s">
        <v>18</v>
      </c>
      <c r="D1831" t="s">
        <v>21</v>
      </c>
      <c r="E1831" s="29">
        <v>46204</v>
      </c>
      <c r="F1831" t="s">
        <v>3</v>
      </c>
      <c r="G1831" s="28">
        <v>0.46736111111111112</v>
      </c>
      <c r="H1831" s="28">
        <v>0.46736111111111112</v>
      </c>
      <c r="I1831">
        <v>0</v>
      </c>
      <c r="J1831" t="s">
        <v>174</v>
      </c>
      <c r="K1831">
        <v>0</v>
      </c>
      <c r="L1831" t="s">
        <v>5103</v>
      </c>
      <c r="M1831" t="s">
        <v>4382</v>
      </c>
      <c r="N1831" t="s">
        <v>4383</v>
      </c>
      <c r="O1831" t="s">
        <v>4384</v>
      </c>
      <c r="P1831" t="s">
        <v>4385</v>
      </c>
    </row>
    <row r="1832" spans="1:16" x14ac:dyDescent="0.35">
      <c r="A1832" t="s">
        <v>110</v>
      </c>
      <c r="B1832">
        <v>1324732631</v>
      </c>
      <c r="C1832" t="s">
        <v>18</v>
      </c>
      <c r="D1832" t="s">
        <v>21</v>
      </c>
      <c r="E1832" s="29">
        <v>46204</v>
      </c>
      <c r="F1832" t="s">
        <v>3</v>
      </c>
      <c r="G1832" s="28">
        <v>0.47430555555555554</v>
      </c>
      <c r="H1832" s="28">
        <v>0.47430555555555554</v>
      </c>
      <c r="I1832">
        <v>0</v>
      </c>
      <c r="J1832" t="s">
        <v>174</v>
      </c>
      <c r="K1832">
        <v>0</v>
      </c>
      <c r="L1832" t="s">
        <v>5104</v>
      </c>
      <c r="M1832" t="s">
        <v>5105</v>
      </c>
      <c r="N1832" t="s">
        <v>5106</v>
      </c>
      <c r="O1832" t="s">
        <v>5107</v>
      </c>
      <c r="P1832" t="s">
        <v>5108</v>
      </c>
    </row>
    <row r="1833" spans="1:16" x14ac:dyDescent="0.35">
      <c r="A1833" t="s">
        <v>110</v>
      </c>
      <c r="B1833">
        <v>1324732631</v>
      </c>
      <c r="C1833" t="s">
        <v>18</v>
      </c>
      <c r="D1833" t="s">
        <v>21</v>
      </c>
      <c r="E1833" s="29">
        <v>46204</v>
      </c>
      <c r="F1833" t="s">
        <v>3</v>
      </c>
      <c r="G1833" s="28">
        <v>0.48125000000000001</v>
      </c>
      <c r="H1833" s="28">
        <v>0.48125000000000001</v>
      </c>
      <c r="I1833">
        <v>0</v>
      </c>
      <c r="J1833" t="s">
        <v>174</v>
      </c>
      <c r="K1833">
        <v>0</v>
      </c>
      <c r="L1833" t="s">
        <v>5109</v>
      </c>
      <c r="M1833" t="s">
        <v>5110</v>
      </c>
      <c r="N1833" t="s">
        <v>5111</v>
      </c>
      <c r="O1833" t="s">
        <v>5112</v>
      </c>
      <c r="P1833" t="s">
        <v>5113</v>
      </c>
    </row>
    <row r="1834" spans="1:16" x14ac:dyDescent="0.35">
      <c r="A1834" t="s">
        <v>110</v>
      </c>
      <c r="B1834">
        <v>1324732631</v>
      </c>
      <c r="C1834" t="s">
        <v>18</v>
      </c>
      <c r="D1834" t="s">
        <v>21</v>
      </c>
      <c r="E1834" s="29">
        <v>46204</v>
      </c>
      <c r="F1834" t="s">
        <v>3</v>
      </c>
      <c r="G1834" s="28">
        <v>0.48819444444444443</v>
      </c>
      <c r="H1834" s="28">
        <v>0.48819444444444443</v>
      </c>
      <c r="I1834">
        <v>0</v>
      </c>
      <c r="J1834" t="s">
        <v>174</v>
      </c>
      <c r="K1834">
        <v>0</v>
      </c>
      <c r="L1834" t="s">
        <v>5114</v>
      </c>
      <c r="M1834" t="s">
        <v>4365</v>
      </c>
      <c r="N1834" t="s">
        <v>4366</v>
      </c>
      <c r="O1834" t="s">
        <v>4367</v>
      </c>
      <c r="P1834" t="s">
        <v>4368</v>
      </c>
    </row>
    <row r="1835" spans="1:16" x14ac:dyDescent="0.35">
      <c r="A1835" t="s">
        <v>110</v>
      </c>
      <c r="B1835">
        <v>1324732631</v>
      </c>
      <c r="C1835" t="s">
        <v>18</v>
      </c>
      <c r="D1835" t="s">
        <v>21</v>
      </c>
      <c r="E1835" s="29">
        <v>46204</v>
      </c>
      <c r="F1835" t="s">
        <v>3</v>
      </c>
      <c r="G1835" s="28">
        <v>0.49513888888888891</v>
      </c>
      <c r="H1835" s="28">
        <v>0.49513888888888891</v>
      </c>
      <c r="I1835">
        <v>0</v>
      </c>
      <c r="J1835" t="s">
        <v>174</v>
      </c>
      <c r="K1835">
        <v>0</v>
      </c>
      <c r="L1835" t="s">
        <v>332</v>
      </c>
      <c r="M1835" t="s">
        <v>5115</v>
      </c>
      <c r="N1835" t="s">
        <v>5116</v>
      </c>
      <c r="O1835" t="s">
        <v>5117</v>
      </c>
      <c r="P1835" t="s">
        <v>5118</v>
      </c>
    </row>
    <row r="1836" spans="1:16" x14ac:dyDescent="0.35">
      <c r="A1836" t="s">
        <v>110</v>
      </c>
      <c r="B1836">
        <v>1324732631</v>
      </c>
      <c r="C1836" t="s">
        <v>18</v>
      </c>
      <c r="D1836" t="s">
        <v>21</v>
      </c>
      <c r="E1836" s="29">
        <v>46204</v>
      </c>
      <c r="F1836" t="s">
        <v>3</v>
      </c>
      <c r="G1836" s="28">
        <v>0.50208333333333333</v>
      </c>
      <c r="H1836" s="28">
        <v>0.50208333333333333</v>
      </c>
      <c r="I1836">
        <v>0</v>
      </c>
      <c r="J1836" t="s">
        <v>174</v>
      </c>
      <c r="K1836">
        <v>0</v>
      </c>
      <c r="L1836" t="s">
        <v>5119</v>
      </c>
      <c r="M1836" t="s">
        <v>5120</v>
      </c>
      <c r="N1836" t="s">
        <v>5121</v>
      </c>
      <c r="O1836" t="s">
        <v>5122</v>
      </c>
      <c r="P1836" t="s">
        <v>5123</v>
      </c>
    </row>
    <row r="1837" spans="1:16" x14ac:dyDescent="0.35">
      <c r="A1837" t="s">
        <v>110</v>
      </c>
      <c r="B1837">
        <v>1324732631</v>
      </c>
      <c r="C1837" t="s">
        <v>18</v>
      </c>
      <c r="D1837" t="s">
        <v>21</v>
      </c>
      <c r="E1837" s="29">
        <v>46204</v>
      </c>
      <c r="F1837" t="s">
        <v>3</v>
      </c>
      <c r="G1837" s="28">
        <v>0.50902777777777775</v>
      </c>
      <c r="H1837" s="28">
        <v>0.50902777777777775</v>
      </c>
      <c r="I1837">
        <v>0</v>
      </c>
      <c r="J1837" t="s">
        <v>174</v>
      </c>
      <c r="K1837">
        <v>0</v>
      </c>
      <c r="L1837" t="s">
        <v>5124</v>
      </c>
      <c r="M1837" t="s">
        <v>5125</v>
      </c>
      <c r="N1837" t="s">
        <v>5126</v>
      </c>
      <c r="O1837" t="s">
        <v>5127</v>
      </c>
      <c r="P1837" t="s">
        <v>5128</v>
      </c>
    </row>
    <row r="1838" spans="1:16" x14ac:dyDescent="0.35">
      <c r="A1838" t="s">
        <v>110</v>
      </c>
      <c r="B1838">
        <v>1324732631</v>
      </c>
      <c r="C1838" t="s">
        <v>18</v>
      </c>
      <c r="D1838" t="s">
        <v>21</v>
      </c>
      <c r="E1838" s="29">
        <v>46204</v>
      </c>
      <c r="F1838" t="s">
        <v>3</v>
      </c>
      <c r="G1838" s="28">
        <v>0.51597222222222228</v>
      </c>
      <c r="H1838" s="28">
        <v>0.51597222222222228</v>
      </c>
      <c r="I1838">
        <v>0</v>
      </c>
      <c r="J1838" t="s">
        <v>174</v>
      </c>
      <c r="K1838">
        <v>0</v>
      </c>
      <c r="L1838" t="s">
        <v>5129</v>
      </c>
      <c r="M1838" t="s">
        <v>5130</v>
      </c>
      <c r="N1838" t="s">
        <v>5131</v>
      </c>
      <c r="O1838" t="s">
        <v>5132</v>
      </c>
      <c r="P1838" t="s">
        <v>5133</v>
      </c>
    </row>
    <row r="1839" spans="1:16" x14ac:dyDescent="0.35">
      <c r="A1839" t="s">
        <v>110</v>
      </c>
      <c r="B1839">
        <v>1324732631</v>
      </c>
      <c r="C1839" t="s">
        <v>18</v>
      </c>
      <c r="D1839" t="s">
        <v>21</v>
      </c>
      <c r="E1839" s="29">
        <v>46204</v>
      </c>
      <c r="F1839" t="s">
        <v>3</v>
      </c>
      <c r="G1839" s="28">
        <v>0.5229166666666667</v>
      </c>
      <c r="H1839" s="28">
        <v>0.5229166666666667</v>
      </c>
      <c r="I1839">
        <v>0</v>
      </c>
      <c r="J1839" t="s">
        <v>174</v>
      </c>
      <c r="K1839">
        <v>0</v>
      </c>
      <c r="L1839" t="s">
        <v>1891</v>
      </c>
      <c r="M1839" t="s">
        <v>5134</v>
      </c>
      <c r="N1839" t="s">
        <v>5135</v>
      </c>
      <c r="O1839" t="s">
        <v>5136</v>
      </c>
      <c r="P1839" t="s">
        <v>5137</v>
      </c>
    </row>
    <row r="1840" spans="1:16" x14ac:dyDescent="0.35">
      <c r="A1840" t="s">
        <v>110</v>
      </c>
      <c r="B1840">
        <v>1324732631</v>
      </c>
      <c r="C1840" t="s">
        <v>18</v>
      </c>
      <c r="D1840" t="s">
        <v>21</v>
      </c>
      <c r="E1840" s="29">
        <v>46204</v>
      </c>
      <c r="F1840" t="s">
        <v>3</v>
      </c>
      <c r="G1840" s="28">
        <v>0.52986111111111112</v>
      </c>
      <c r="H1840" s="28">
        <v>0.52986111111111112</v>
      </c>
      <c r="I1840">
        <v>0</v>
      </c>
      <c r="J1840" t="s">
        <v>174</v>
      </c>
      <c r="K1840">
        <v>0</v>
      </c>
      <c r="L1840" t="s">
        <v>5138</v>
      </c>
      <c r="M1840" t="s">
        <v>5139</v>
      </c>
      <c r="N1840" t="s">
        <v>5140</v>
      </c>
      <c r="O1840" t="s">
        <v>5141</v>
      </c>
      <c r="P1840" t="s">
        <v>5142</v>
      </c>
    </row>
    <row r="1841" spans="1:16" x14ac:dyDescent="0.35">
      <c r="A1841" t="s">
        <v>110</v>
      </c>
      <c r="B1841">
        <v>1324732631</v>
      </c>
      <c r="C1841" t="s">
        <v>18</v>
      </c>
      <c r="D1841" t="s">
        <v>21</v>
      </c>
      <c r="E1841" s="29">
        <v>46204</v>
      </c>
      <c r="F1841" t="s">
        <v>3</v>
      </c>
      <c r="G1841" s="28">
        <v>0.53680555555555554</v>
      </c>
      <c r="H1841" s="28">
        <v>0.53680555555555554</v>
      </c>
      <c r="I1841">
        <v>0</v>
      </c>
      <c r="J1841" t="s">
        <v>174</v>
      </c>
      <c r="K1841">
        <v>0</v>
      </c>
      <c r="L1841" t="s">
        <v>1851</v>
      </c>
      <c r="M1841" t="s">
        <v>5143</v>
      </c>
      <c r="N1841" t="s">
        <v>5144</v>
      </c>
      <c r="O1841" t="s">
        <v>5145</v>
      </c>
      <c r="P1841" t="s">
        <v>5146</v>
      </c>
    </row>
    <row r="1842" spans="1:16" x14ac:dyDescent="0.35">
      <c r="A1842" t="s">
        <v>110</v>
      </c>
      <c r="B1842">
        <v>1324732631</v>
      </c>
      <c r="C1842" t="s">
        <v>18</v>
      </c>
      <c r="D1842" t="s">
        <v>21</v>
      </c>
      <c r="E1842" s="29">
        <v>46204</v>
      </c>
      <c r="F1842" t="s">
        <v>3</v>
      </c>
      <c r="G1842" s="28">
        <v>0.54374999999999996</v>
      </c>
      <c r="H1842" s="28">
        <v>0.54374999999999996</v>
      </c>
      <c r="I1842">
        <v>0</v>
      </c>
      <c r="J1842" t="s">
        <v>174</v>
      </c>
      <c r="K1842">
        <v>0</v>
      </c>
      <c r="L1842" t="s">
        <v>5147</v>
      </c>
      <c r="M1842" t="s">
        <v>5148</v>
      </c>
      <c r="N1842" t="s">
        <v>5149</v>
      </c>
      <c r="O1842" t="s">
        <v>5150</v>
      </c>
      <c r="P1842" t="s">
        <v>5151</v>
      </c>
    </row>
    <row r="1843" spans="1:16" x14ac:dyDescent="0.35">
      <c r="A1843" t="s">
        <v>110</v>
      </c>
      <c r="B1843">
        <v>1324732631</v>
      </c>
      <c r="C1843" t="s">
        <v>18</v>
      </c>
      <c r="D1843" t="s">
        <v>21</v>
      </c>
      <c r="E1843" s="29">
        <v>46204</v>
      </c>
      <c r="F1843" t="s">
        <v>3</v>
      </c>
      <c r="G1843" s="28">
        <v>0.55069444444444449</v>
      </c>
      <c r="H1843" s="28">
        <v>0.55069444444444449</v>
      </c>
      <c r="I1843">
        <v>0</v>
      </c>
      <c r="J1843" t="s">
        <v>174</v>
      </c>
      <c r="K1843">
        <v>0</v>
      </c>
      <c r="L1843" t="s">
        <v>5152</v>
      </c>
      <c r="M1843" t="s">
        <v>5153</v>
      </c>
      <c r="N1843" t="s">
        <v>5154</v>
      </c>
      <c r="O1843" t="s">
        <v>5155</v>
      </c>
      <c r="P1843" t="s">
        <v>5156</v>
      </c>
    </row>
    <row r="1844" spans="1:16" x14ac:dyDescent="0.35">
      <c r="A1844" t="s">
        <v>110</v>
      </c>
      <c r="B1844">
        <v>1324732631</v>
      </c>
      <c r="C1844" t="s">
        <v>18</v>
      </c>
      <c r="D1844" t="s">
        <v>21</v>
      </c>
      <c r="E1844" s="29">
        <v>46204</v>
      </c>
      <c r="F1844" t="s">
        <v>3</v>
      </c>
      <c r="G1844" s="28">
        <v>0.55763888888888891</v>
      </c>
      <c r="H1844" s="28">
        <v>0.55763888888888891</v>
      </c>
      <c r="I1844">
        <v>0</v>
      </c>
      <c r="J1844" t="s">
        <v>174</v>
      </c>
      <c r="K1844">
        <v>0</v>
      </c>
      <c r="L1844" t="s">
        <v>3686</v>
      </c>
      <c r="M1844" t="s">
        <v>5157</v>
      </c>
      <c r="N1844" t="s">
        <v>5158</v>
      </c>
      <c r="O1844" t="s">
        <v>5159</v>
      </c>
      <c r="P1844" t="s">
        <v>5160</v>
      </c>
    </row>
    <row r="1845" spans="1:16" x14ac:dyDescent="0.35">
      <c r="A1845" t="s">
        <v>110</v>
      </c>
      <c r="B1845">
        <v>1324732631</v>
      </c>
      <c r="C1845" t="s">
        <v>18</v>
      </c>
      <c r="D1845" t="s">
        <v>21</v>
      </c>
      <c r="E1845" s="29">
        <v>46204</v>
      </c>
      <c r="F1845" t="s">
        <v>3</v>
      </c>
      <c r="G1845" s="28">
        <v>0.56527777777777777</v>
      </c>
      <c r="H1845" s="28">
        <v>0.56527777777777777</v>
      </c>
      <c r="I1845">
        <v>0</v>
      </c>
      <c r="J1845" t="s">
        <v>174</v>
      </c>
      <c r="K1845">
        <v>0</v>
      </c>
      <c r="L1845" t="s">
        <v>5161</v>
      </c>
      <c r="M1845" t="s">
        <v>5162</v>
      </c>
      <c r="N1845" t="s">
        <v>5163</v>
      </c>
      <c r="O1845" t="s">
        <v>5164</v>
      </c>
      <c r="P1845" t="s">
        <v>5165</v>
      </c>
    </row>
    <row r="1846" spans="1:16" x14ac:dyDescent="0.35">
      <c r="A1846" t="s">
        <v>110</v>
      </c>
      <c r="B1846">
        <v>1324732631</v>
      </c>
      <c r="C1846" t="s">
        <v>18</v>
      </c>
      <c r="D1846" t="s">
        <v>21</v>
      </c>
      <c r="E1846" s="29">
        <v>46204</v>
      </c>
      <c r="F1846" t="s">
        <v>3</v>
      </c>
      <c r="G1846" s="28">
        <v>0.57152777777777775</v>
      </c>
      <c r="H1846" s="28">
        <v>0.57152777777777775</v>
      </c>
      <c r="I1846">
        <v>0</v>
      </c>
      <c r="J1846" t="s">
        <v>174</v>
      </c>
      <c r="K1846">
        <v>0</v>
      </c>
      <c r="L1846" t="s">
        <v>1607</v>
      </c>
      <c r="M1846" t="s">
        <v>5166</v>
      </c>
      <c r="N1846" t="s">
        <v>5167</v>
      </c>
      <c r="O1846" t="s">
        <v>5168</v>
      </c>
      <c r="P1846" t="s">
        <v>5169</v>
      </c>
    </row>
    <row r="1847" spans="1:16" x14ac:dyDescent="0.35">
      <c r="A1847" t="s">
        <v>110</v>
      </c>
      <c r="B1847">
        <v>1324732631</v>
      </c>
      <c r="C1847" t="s">
        <v>18</v>
      </c>
      <c r="D1847" t="s">
        <v>21</v>
      </c>
      <c r="E1847" s="29">
        <v>46204</v>
      </c>
      <c r="F1847" t="s">
        <v>3</v>
      </c>
      <c r="G1847" s="28">
        <v>0.57847222222222228</v>
      </c>
      <c r="H1847" s="28">
        <v>0.57847222222222228</v>
      </c>
      <c r="I1847">
        <v>0</v>
      </c>
      <c r="J1847" t="s">
        <v>174</v>
      </c>
      <c r="K1847">
        <v>0</v>
      </c>
      <c r="L1847" t="s">
        <v>5170</v>
      </c>
      <c r="M1847" t="s">
        <v>5171</v>
      </c>
      <c r="N1847" t="s">
        <v>5172</v>
      </c>
      <c r="O1847" t="s">
        <v>5173</v>
      </c>
      <c r="P1847" t="s">
        <v>5174</v>
      </c>
    </row>
    <row r="1848" spans="1:16" x14ac:dyDescent="0.35">
      <c r="A1848" t="s">
        <v>110</v>
      </c>
      <c r="B1848">
        <v>1324732631</v>
      </c>
      <c r="C1848" t="s">
        <v>18</v>
      </c>
      <c r="D1848" t="s">
        <v>21</v>
      </c>
      <c r="E1848" s="29">
        <v>46204</v>
      </c>
      <c r="F1848" t="s">
        <v>3</v>
      </c>
      <c r="G1848" s="28">
        <v>0.5854166666666667</v>
      </c>
      <c r="H1848" s="28">
        <v>0.5854166666666667</v>
      </c>
      <c r="I1848">
        <v>0</v>
      </c>
      <c r="J1848" t="s">
        <v>174</v>
      </c>
      <c r="K1848">
        <v>0</v>
      </c>
      <c r="L1848" t="s">
        <v>5175</v>
      </c>
      <c r="M1848" t="s">
        <v>5176</v>
      </c>
      <c r="N1848" t="s">
        <v>5177</v>
      </c>
      <c r="O1848" t="s">
        <v>5178</v>
      </c>
      <c r="P1848" t="s">
        <v>5179</v>
      </c>
    </row>
    <row r="1849" spans="1:16" x14ac:dyDescent="0.35">
      <c r="A1849" t="s">
        <v>110</v>
      </c>
      <c r="B1849">
        <v>1324732631</v>
      </c>
      <c r="C1849" t="s">
        <v>18</v>
      </c>
      <c r="D1849" t="s">
        <v>21</v>
      </c>
      <c r="E1849" s="29">
        <v>46204</v>
      </c>
      <c r="F1849" t="s">
        <v>3</v>
      </c>
      <c r="G1849" s="28">
        <v>0.59236111111111112</v>
      </c>
      <c r="H1849" s="28">
        <v>0.59236111111111112</v>
      </c>
      <c r="I1849">
        <v>0</v>
      </c>
      <c r="J1849" t="s">
        <v>174</v>
      </c>
      <c r="K1849">
        <v>0</v>
      </c>
      <c r="L1849" t="s">
        <v>5180</v>
      </c>
      <c r="M1849" t="s">
        <v>5181</v>
      </c>
      <c r="N1849" t="s">
        <v>5182</v>
      </c>
      <c r="O1849" t="s">
        <v>5183</v>
      </c>
      <c r="P1849" t="s">
        <v>5184</v>
      </c>
    </row>
    <row r="1850" spans="1:16" x14ac:dyDescent="0.35">
      <c r="A1850" t="s">
        <v>110</v>
      </c>
      <c r="B1850">
        <v>1324732631</v>
      </c>
      <c r="C1850" t="s">
        <v>18</v>
      </c>
      <c r="D1850" t="s">
        <v>21</v>
      </c>
      <c r="E1850" s="29">
        <v>46204</v>
      </c>
      <c r="F1850" t="s">
        <v>3</v>
      </c>
      <c r="G1850" s="28">
        <v>0.60624999999999996</v>
      </c>
      <c r="H1850" s="28">
        <v>0.61319444444444449</v>
      </c>
      <c r="I1850">
        <v>0</v>
      </c>
      <c r="J1850" t="s">
        <v>146</v>
      </c>
      <c r="K1850">
        <v>1</v>
      </c>
      <c r="L1850" t="s">
        <v>147</v>
      </c>
      <c r="M1850" t="s">
        <v>5185</v>
      </c>
      <c r="N1850" t="s">
        <v>5186</v>
      </c>
      <c r="O1850" t="s">
        <v>5187</v>
      </c>
      <c r="P1850" t="s">
        <v>5188</v>
      </c>
    </row>
    <row r="1851" spans="1:16" x14ac:dyDescent="0.35">
      <c r="A1851" t="s">
        <v>110</v>
      </c>
      <c r="B1851">
        <v>1324732631</v>
      </c>
      <c r="C1851" t="s">
        <v>18</v>
      </c>
      <c r="D1851" t="s">
        <v>21</v>
      </c>
      <c r="E1851" s="29">
        <v>46204</v>
      </c>
      <c r="F1851" t="s">
        <v>3</v>
      </c>
      <c r="G1851" s="28">
        <v>0.62013888888888891</v>
      </c>
      <c r="H1851" s="28">
        <v>0.68263888888888891</v>
      </c>
      <c r="I1851">
        <v>2</v>
      </c>
      <c r="J1851" t="s">
        <v>146</v>
      </c>
      <c r="K1851">
        <v>4</v>
      </c>
      <c r="L1851" t="s">
        <v>147</v>
      </c>
      <c r="M1851" t="s">
        <v>5189</v>
      </c>
      <c r="N1851" t="s">
        <v>5190</v>
      </c>
      <c r="O1851" t="s">
        <v>5191</v>
      </c>
      <c r="P1851" t="s">
        <v>5192</v>
      </c>
    </row>
    <row r="1852" spans="1:16" x14ac:dyDescent="0.35">
      <c r="A1852" t="s">
        <v>110</v>
      </c>
      <c r="B1852">
        <v>1324732631</v>
      </c>
      <c r="C1852" t="s">
        <v>18</v>
      </c>
      <c r="D1852" t="s">
        <v>21</v>
      </c>
      <c r="E1852" s="29">
        <v>46204</v>
      </c>
      <c r="F1852" t="s">
        <v>3</v>
      </c>
      <c r="G1852" s="28">
        <v>0.68958333333333333</v>
      </c>
      <c r="H1852" s="28">
        <v>0.74513888888888891</v>
      </c>
      <c r="I1852">
        <v>1</v>
      </c>
      <c r="J1852" t="s">
        <v>146</v>
      </c>
      <c r="K1852">
        <v>4</v>
      </c>
      <c r="L1852" t="s">
        <v>147</v>
      </c>
      <c r="M1852" t="s">
        <v>5185</v>
      </c>
      <c r="N1852" t="s">
        <v>5186</v>
      </c>
      <c r="O1852" t="s">
        <v>5187</v>
      </c>
      <c r="P1852" t="s">
        <v>5188</v>
      </c>
    </row>
    <row r="1853" spans="1:16" x14ac:dyDescent="0.35">
      <c r="A1853" t="s">
        <v>110</v>
      </c>
      <c r="B1853">
        <v>1324732631</v>
      </c>
      <c r="C1853" t="s">
        <v>18</v>
      </c>
      <c r="D1853" t="s">
        <v>21</v>
      </c>
      <c r="E1853" s="29">
        <v>46204</v>
      </c>
      <c r="F1853" t="s">
        <v>3</v>
      </c>
      <c r="G1853" s="28">
        <v>0.75208333333333333</v>
      </c>
      <c r="H1853" s="28">
        <v>0.75902777777777775</v>
      </c>
      <c r="I1853">
        <v>0</v>
      </c>
      <c r="J1853" t="s">
        <v>146</v>
      </c>
      <c r="K1853">
        <v>0</v>
      </c>
      <c r="L1853" t="s">
        <v>147</v>
      </c>
      <c r="M1853" t="s">
        <v>5189</v>
      </c>
      <c r="N1853" t="s">
        <v>5190</v>
      </c>
      <c r="O1853" t="s">
        <v>5191</v>
      </c>
      <c r="P1853" t="s">
        <v>5192</v>
      </c>
    </row>
    <row r="1854" spans="1:16" x14ac:dyDescent="0.35">
      <c r="A1854" t="s">
        <v>110</v>
      </c>
      <c r="B1854">
        <v>1324732631</v>
      </c>
      <c r="C1854" t="s">
        <v>18</v>
      </c>
      <c r="D1854" t="s">
        <v>21</v>
      </c>
      <c r="E1854" s="29">
        <v>46204</v>
      </c>
      <c r="F1854" t="s">
        <v>3</v>
      </c>
      <c r="G1854" s="28">
        <v>0.76597222222222228</v>
      </c>
      <c r="H1854" s="28">
        <v>0.76597222222222228</v>
      </c>
      <c r="I1854">
        <v>0</v>
      </c>
      <c r="J1854" t="s">
        <v>174</v>
      </c>
      <c r="K1854">
        <v>0</v>
      </c>
      <c r="L1854" t="s">
        <v>4262</v>
      </c>
      <c r="M1854" t="s">
        <v>5193</v>
      </c>
      <c r="N1854" t="s">
        <v>5194</v>
      </c>
      <c r="O1854" t="s">
        <v>5195</v>
      </c>
      <c r="P1854" t="s">
        <v>5196</v>
      </c>
    </row>
    <row r="1855" spans="1:16" x14ac:dyDescent="0.35">
      <c r="A1855" t="s">
        <v>110</v>
      </c>
      <c r="B1855">
        <v>1324732631</v>
      </c>
      <c r="C1855" t="s">
        <v>18</v>
      </c>
      <c r="D1855" t="s">
        <v>21</v>
      </c>
      <c r="E1855" s="29">
        <v>46204</v>
      </c>
      <c r="F1855" t="s">
        <v>3</v>
      </c>
      <c r="G1855" s="28">
        <v>0.7729166666666667</v>
      </c>
      <c r="H1855" s="28">
        <v>0.7729166666666667</v>
      </c>
      <c r="I1855">
        <v>0</v>
      </c>
      <c r="J1855" t="s">
        <v>174</v>
      </c>
      <c r="K1855">
        <v>0</v>
      </c>
      <c r="L1855" t="s">
        <v>5197</v>
      </c>
      <c r="M1855" t="s">
        <v>5198</v>
      </c>
      <c r="N1855" t="s">
        <v>5199</v>
      </c>
      <c r="O1855" t="s">
        <v>5200</v>
      </c>
      <c r="P1855" t="s">
        <v>5201</v>
      </c>
    </row>
    <row r="1856" spans="1:16" x14ac:dyDescent="0.35">
      <c r="A1856" t="s">
        <v>110</v>
      </c>
      <c r="B1856">
        <v>1324732631</v>
      </c>
      <c r="C1856" t="s">
        <v>18</v>
      </c>
      <c r="D1856" t="s">
        <v>21</v>
      </c>
      <c r="E1856" s="29">
        <v>46204</v>
      </c>
      <c r="F1856" t="s">
        <v>3</v>
      </c>
      <c r="G1856" s="28">
        <v>0.77986111111111112</v>
      </c>
      <c r="H1856" s="28">
        <v>0.77986111111111112</v>
      </c>
      <c r="I1856">
        <v>0</v>
      </c>
      <c r="J1856" t="s">
        <v>174</v>
      </c>
      <c r="K1856">
        <v>0</v>
      </c>
      <c r="L1856" t="s">
        <v>5202</v>
      </c>
      <c r="M1856" t="s">
        <v>5203</v>
      </c>
      <c r="N1856" t="s">
        <v>5204</v>
      </c>
      <c r="O1856" t="s">
        <v>5205</v>
      </c>
      <c r="P1856" t="s">
        <v>5206</v>
      </c>
    </row>
    <row r="1857" spans="1:16" x14ac:dyDescent="0.35">
      <c r="A1857" t="s">
        <v>110</v>
      </c>
      <c r="B1857">
        <v>1324732631</v>
      </c>
      <c r="C1857" t="s">
        <v>18</v>
      </c>
      <c r="D1857" t="s">
        <v>21</v>
      </c>
      <c r="E1857" s="29">
        <v>46204</v>
      </c>
      <c r="F1857" t="s">
        <v>3</v>
      </c>
      <c r="G1857" s="28">
        <v>0.78680555555555554</v>
      </c>
      <c r="H1857" s="28">
        <v>0.78680555555555554</v>
      </c>
      <c r="I1857">
        <v>0</v>
      </c>
      <c r="J1857" t="s">
        <v>174</v>
      </c>
      <c r="K1857">
        <v>0</v>
      </c>
      <c r="L1857" t="s">
        <v>931</v>
      </c>
      <c r="M1857" t="s">
        <v>5207</v>
      </c>
      <c r="N1857" t="s">
        <v>5208</v>
      </c>
      <c r="O1857" t="s">
        <v>5209</v>
      </c>
      <c r="P1857" t="s">
        <v>5210</v>
      </c>
    </row>
    <row r="1858" spans="1:16" x14ac:dyDescent="0.35">
      <c r="A1858" t="s">
        <v>110</v>
      </c>
      <c r="B1858">
        <v>1324732631</v>
      </c>
      <c r="C1858" t="s">
        <v>18</v>
      </c>
      <c r="D1858" t="s">
        <v>21</v>
      </c>
      <c r="E1858" s="29">
        <v>46205</v>
      </c>
      <c r="F1858" t="s">
        <v>4</v>
      </c>
      <c r="G1858" s="28">
        <v>0.37708333333333333</v>
      </c>
      <c r="H1858" s="28">
        <v>0.37708333333333333</v>
      </c>
      <c r="I1858">
        <v>0</v>
      </c>
      <c r="J1858" t="s">
        <v>174</v>
      </c>
      <c r="K1858">
        <v>0</v>
      </c>
      <c r="L1858" t="s">
        <v>1022</v>
      </c>
      <c r="M1858" t="s">
        <v>5211</v>
      </c>
      <c r="N1858" t="s">
        <v>5212</v>
      </c>
      <c r="O1858" t="s">
        <v>5213</v>
      </c>
      <c r="P1858" t="s">
        <v>5214</v>
      </c>
    </row>
    <row r="1859" spans="1:16" x14ac:dyDescent="0.35">
      <c r="A1859" t="s">
        <v>110</v>
      </c>
      <c r="B1859">
        <v>1324732631</v>
      </c>
      <c r="C1859" t="s">
        <v>18</v>
      </c>
      <c r="D1859" t="s">
        <v>21</v>
      </c>
      <c r="E1859" s="29">
        <v>46205</v>
      </c>
      <c r="F1859" t="s">
        <v>4</v>
      </c>
      <c r="G1859" s="28">
        <v>0.3840277777777778</v>
      </c>
      <c r="H1859" s="28">
        <v>0.39097222222222222</v>
      </c>
      <c r="I1859">
        <v>0</v>
      </c>
      <c r="J1859" t="s">
        <v>146</v>
      </c>
      <c r="K1859">
        <v>0</v>
      </c>
      <c r="L1859" t="s">
        <v>147</v>
      </c>
      <c r="M1859" t="s">
        <v>4745</v>
      </c>
      <c r="N1859" t="s">
        <v>4399</v>
      </c>
      <c r="O1859" t="s">
        <v>4400</v>
      </c>
      <c r="P1859" t="s">
        <v>4401</v>
      </c>
    </row>
    <row r="1860" spans="1:16" x14ac:dyDescent="0.35">
      <c r="A1860" t="s">
        <v>110</v>
      </c>
      <c r="B1860">
        <v>1324732631</v>
      </c>
      <c r="C1860" t="s">
        <v>18</v>
      </c>
      <c r="D1860" t="s">
        <v>21</v>
      </c>
      <c r="E1860" s="29">
        <v>46205</v>
      </c>
      <c r="F1860" t="s">
        <v>4</v>
      </c>
      <c r="G1860" s="28">
        <v>0.39791666666666664</v>
      </c>
      <c r="H1860" s="28">
        <v>0.39791666666666664</v>
      </c>
      <c r="I1860">
        <v>0</v>
      </c>
      <c r="J1860" t="s">
        <v>174</v>
      </c>
      <c r="K1860">
        <v>0</v>
      </c>
      <c r="L1860" t="s">
        <v>1022</v>
      </c>
      <c r="M1860" t="s">
        <v>5211</v>
      </c>
      <c r="N1860" t="s">
        <v>5212</v>
      </c>
      <c r="O1860" t="s">
        <v>5213</v>
      </c>
      <c r="P1860" t="s">
        <v>5214</v>
      </c>
    </row>
    <row r="1861" spans="1:16" x14ac:dyDescent="0.35">
      <c r="A1861" t="s">
        <v>110</v>
      </c>
      <c r="B1861">
        <v>1324732631</v>
      </c>
      <c r="C1861" t="s">
        <v>18</v>
      </c>
      <c r="D1861" t="s">
        <v>21</v>
      </c>
      <c r="E1861" s="29">
        <v>46205</v>
      </c>
      <c r="F1861" t="s">
        <v>4</v>
      </c>
      <c r="G1861" s="28">
        <v>0.40486111111111112</v>
      </c>
      <c r="H1861" s="28">
        <v>0.41180555555555554</v>
      </c>
      <c r="I1861">
        <v>0</v>
      </c>
      <c r="J1861" t="s">
        <v>146</v>
      </c>
      <c r="K1861">
        <v>0</v>
      </c>
      <c r="L1861" t="s">
        <v>147</v>
      </c>
      <c r="M1861" t="s">
        <v>4745</v>
      </c>
      <c r="N1861" t="s">
        <v>4399</v>
      </c>
      <c r="O1861" t="s">
        <v>4400</v>
      </c>
      <c r="P1861" t="s">
        <v>4401</v>
      </c>
    </row>
    <row r="1862" spans="1:16" x14ac:dyDescent="0.35">
      <c r="A1862" t="s">
        <v>110</v>
      </c>
      <c r="B1862">
        <v>1324732631</v>
      </c>
      <c r="C1862" t="s">
        <v>18</v>
      </c>
      <c r="D1862" t="s">
        <v>21</v>
      </c>
      <c r="E1862" s="29">
        <v>46205</v>
      </c>
      <c r="F1862" t="s">
        <v>4</v>
      </c>
      <c r="G1862" s="28">
        <v>0.41875000000000001</v>
      </c>
      <c r="H1862" s="28">
        <v>0.41875000000000001</v>
      </c>
      <c r="I1862">
        <v>0</v>
      </c>
      <c r="J1862" t="s">
        <v>174</v>
      </c>
      <c r="K1862">
        <v>0</v>
      </c>
      <c r="L1862" t="s">
        <v>1022</v>
      </c>
      <c r="M1862" t="s">
        <v>5211</v>
      </c>
      <c r="N1862" t="s">
        <v>5212</v>
      </c>
      <c r="O1862" t="s">
        <v>5213</v>
      </c>
      <c r="P1862" t="s">
        <v>5214</v>
      </c>
    </row>
    <row r="1863" spans="1:16" x14ac:dyDescent="0.35">
      <c r="A1863" t="s">
        <v>110</v>
      </c>
      <c r="B1863">
        <v>1324732631</v>
      </c>
      <c r="C1863" t="s">
        <v>18</v>
      </c>
      <c r="D1863" t="s">
        <v>21</v>
      </c>
      <c r="E1863" s="29">
        <v>46205</v>
      </c>
      <c r="F1863" t="s">
        <v>4</v>
      </c>
      <c r="G1863" s="28">
        <v>0.42569444444444443</v>
      </c>
      <c r="H1863" s="28">
        <v>0.4465277777777778</v>
      </c>
      <c r="I1863">
        <v>1</v>
      </c>
      <c r="J1863" t="s">
        <v>146</v>
      </c>
      <c r="K1863">
        <v>2</v>
      </c>
      <c r="L1863" t="s">
        <v>147</v>
      </c>
      <c r="M1863" t="s">
        <v>4745</v>
      </c>
      <c r="N1863" t="s">
        <v>4399</v>
      </c>
      <c r="O1863" t="s">
        <v>4400</v>
      </c>
      <c r="P1863" t="s">
        <v>4401</v>
      </c>
    </row>
    <row r="1864" spans="1:16" x14ac:dyDescent="0.35">
      <c r="A1864" t="s">
        <v>110</v>
      </c>
      <c r="B1864">
        <v>1324732631</v>
      </c>
      <c r="C1864" t="s">
        <v>18</v>
      </c>
      <c r="D1864" t="s">
        <v>21</v>
      </c>
      <c r="E1864" s="29">
        <v>46205</v>
      </c>
      <c r="F1864" t="s">
        <v>4</v>
      </c>
      <c r="G1864" s="28">
        <v>0.45347222222222222</v>
      </c>
      <c r="H1864" s="28">
        <v>0.45347222222222222</v>
      </c>
      <c r="I1864">
        <v>0</v>
      </c>
      <c r="J1864" t="s">
        <v>174</v>
      </c>
      <c r="K1864">
        <v>0</v>
      </c>
      <c r="L1864" t="s">
        <v>1022</v>
      </c>
      <c r="M1864" t="s">
        <v>5211</v>
      </c>
      <c r="N1864" t="s">
        <v>5212</v>
      </c>
      <c r="O1864" t="s">
        <v>5213</v>
      </c>
      <c r="P1864" t="s">
        <v>5214</v>
      </c>
    </row>
    <row r="1865" spans="1:16" x14ac:dyDescent="0.35">
      <c r="A1865" t="s">
        <v>110</v>
      </c>
      <c r="B1865">
        <v>1324732631</v>
      </c>
      <c r="C1865" t="s">
        <v>18</v>
      </c>
      <c r="D1865" t="s">
        <v>21</v>
      </c>
      <c r="E1865" s="29">
        <v>46205</v>
      </c>
      <c r="F1865" t="s">
        <v>4</v>
      </c>
      <c r="G1865" s="28">
        <v>0.46041666666666664</v>
      </c>
      <c r="H1865" s="28">
        <v>0.46041666666666664</v>
      </c>
      <c r="I1865">
        <v>0</v>
      </c>
      <c r="J1865" t="s">
        <v>174</v>
      </c>
      <c r="K1865">
        <v>0</v>
      </c>
      <c r="L1865" t="s">
        <v>5215</v>
      </c>
      <c r="M1865" t="s">
        <v>4745</v>
      </c>
      <c r="N1865" t="s">
        <v>4399</v>
      </c>
      <c r="O1865" t="s">
        <v>4400</v>
      </c>
      <c r="P1865" t="s">
        <v>4401</v>
      </c>
    </row>
    <row r="1866" spans="1:16" x14ac:dyDescent="0.35">
      <c r="A1866" t="s">
        <v>110</v>
      </c>
      <c r="B1866">
        <v>1324732631</v>
      </c>
      <c r="C1866" t="s">
        <v>18</v>
      </c>
      <c r="D1866" t="s">
        <v>21</v>
      </c>
      <c r="E1866" s="29">
        <v>46205</v>
      </c>
      <c r="F1866" t="s">
        <v>4</v>
      </c>
      <c r="G1866" s="28">
        <v>0.46736111111111112</v>
      </c>
      <c r="H1866" s="28">
        <v>0.46736111111111112</v>
      </c>
      <c r="I1866">
        <v>0</v>
      </c>
      <c r="J1866" t="s">
        <v>174</v>
      </c>
      <c r="K1866">
        <v>0</v>
      </c>
      <c r="L1866" t="s">
        <v>5215</v>
      </c>
      <c r="M1866" t="s">
        <v>5216</v>
      </c>
      <c r="N1866" t="s">
        <v>5217</v>
      </c>
      <c r="O1866" t="s">
        <v>5218</v>
      </c>
      <c r="P1866" t="s">
        <v>5219</v>
      </c>
    </row>
    <row r="1867" spans="1:16" x14ac:dyDescent="0.35">
      <c r="A1867" t="s">
        <v>110</v>
      </c>
      <c r="B1867">
        <v>1324732631</v>
      </c>
      <c r="C1867" t="s">
        <v>18</v>
      </c>
      <c r="D1867" t="s">
        <v>21</v>
      </c>
      <c r="E1867" s="29">
        <v>46205</v>
      </c>
      <c r="F1867" t="s">
        <v>4</v>
      </c>
      <c r="G1867" s="28">
        <v>0.47430555555555554</v>
      </c>
      <c r="H1867" s="28">
        <v>0.47430555555555554</v>
      </c>
      <c r="I1867">
        <v>0</v>
      </c>
      <c r="J1867" t="s">
        <v>174</v>
      </c>
      <c r="K1867">
        <v>0</v>
      </c>
      <c r="L1867" t="s">
        <v>257</v>
      </c>
      <c r="M1867" t="s">
        <v>4745</v>
      </c>
      <c r="N1867" t="s">
        <v>4399</v>
      </c>
      <c r="O1867" t="s">
        <v>4400</v>
      </c>
      <c r="P1867" t="s">
        <v>4401</v>
      </c>
    </row>
    <row r="1868" spans="1:16" x14ac:dyDescent="0.35">
      <c r="A1868" t="s">
        <v>110</v>
      </c>
      <c r="B1868">
        <v>1324732631</v>
      </c>
      <c r="C1868" t="s">
        <v>18</v>
      </c>
      <c r="D1868" t="s">
        <v>21</v>
      </c>
      <c r="E1868" s="29">
        <v>46205</v>
      </c>
      <c r="F1868" t="s">
        <v>4</v>
      </c>
      <c r="G1868" s="28">
        <v>0.48125000000000001</v>
      </c>
      <c r="H1868" s="28">
        <v>0.48125000000000001</v>
      </c>
      <c r="I1868">
        <v>0</v>
      </c>
      <c r="J1868" t="s">
        <v>174</v>
      </c>
      <c r="K1868">
        <v>0</v>
      </c>
      <c r="L1868" t="s">
        <v>3241</v>
      </c>
      <c r="M1868" t="s">
        <v>5220</v>
      </c>
      <c r="N1868" t="s">
        <v>5221</v>
      </c>
      <c r="O1868" t="s">
        <v>5222</v>
      </c>
      <c r="P1868" t="s">
        <v>5223</v>
      </c>
    </row>
    <row r="1869" spans="1:16" x14ac:dyDescent="0.35">
      <c r="A1869" t="s">
        <v>110</v>
      </c>
      <c r="B1869">
        <v>1324732631</v>
      </c>
      <c r="C1869" t="s">
        <v>18</v>
      </c>
      <c r="D1869" t="s">
        <v>21</v>
      </c>
      <c r="E1869" s="29">
        <v>46205</v>
      </c>
      <c r="F1869" t="s">
        <v>4</v>
      </c>
      <c r="G1869" s="28">
        <v>0.48819444444444443</v>
      </c>
      <c r="H1869" s="28">
        <v>0.48819444444444443</v>
      </c>
      <c r="I1869">
        <v>0</v>
      </c>
      <c r="J1869" t="s">
        <v>174</v>
      </c>
      <c r="K1869">
        <v>0</v>
      </c>
      <c r="L1869" t="s">
        <v>222</v>
      </c>
      <c r="M1869" t="s">
        <v>4741</v>
      </c>
      <c r="N1869" t="s">
        <v>4742</v>
      </c>
      <c r="O1869" t="s">
        <v>4743</v>
      </c>
      <c r="P1869" t="s">
        <v>4744</v>
      </c>
    </row>
    <row r="1870" spans="1:16" x14ac:dyDescent="0.35">
      <c r="A1870" t="s">
        <v>110</v>
      </c>
      <c r="B1870">
        <v>1324732631</v>
      </c>
      <c r="C1870" t="s">
        <v>18</v>
      </c>
      <c r="D1870" t="s">
        <v>21</v>
      </c>
      <c r="E1870" s="29">
        <v>46205</v>
      </c>
      <c r="F1870" t="s">
        <v>4</v>
      </c>
      <c r="G1870" s="28">
        <v>0.49513888888888891</v>
      </c>
      <c r="H1870" s="28">
        <v>0.50902777777777775</v>
      </c>
      <c r="I1870">
        <v>0</v>
      </c>
      <c r="J1870" t="s">
        <v>146</v>
      </c>
      <c r="K1870">
        <v>1</v>
      </c>
      <c r="L1870" t="s">
        <v>147</v>
      </c>
      <c r="M1870" t="s">
        <v>5224</v>
      </c>
      <c r="N1870" t="s">
        <v>5225</v>
      </c>
      <c r="O1870" t="s">
        <v>5226</v>
      </c>
      <c r="P1870" t="s">
        <v>5227</v>
      </c>
    </row>
    <row r="1871" spans="1:16" x14ac:dyDescent="0.35">
      <c r="A1871" t="s">
        <v>110</v>
      </c>
      <c r="B1871">
        <v>1324732631</v>
      </c>
      <c r="C1871" t="s">
        <v>18</v>
      </c>
      <c r="D1871" t="s">
        <v>21</v>
      </c>
      <c r="E1871" s="29">
        <v>46205</v>
      </c>
      <c r="F1871" t="s">
        <v>4</v>
      </c>
      <c r="G1871" s="28">
        <v>0.51597222222222228</v>
      </c>
      <c r="H1871" s="28">
        <v>0.51597222222222228</v>
      </c>
      <c r="I1871">
        <v>0</v>
      </c>
      <c r="J1871" t="s">
        <v>174</v>
      </c>
      <c r="K1871">
        <v>0</v>
      </c>
      <c r="L1871" t="s">
        <v>1188</v>
      </c>
      <c r="M1871" t="s">
        <v>5220</v>
      </c>
      <c r="N1871" t="s">
        <v>5221</v>
      </c>
      <c r="O1871" t="s">
        <v>5222</v>
      </c>
      <c r="P1871" t="s">
        <v>5223</v>
      </c>
    </row>
    <row r="1872" spans="1:16" x14ac:dyDescent="0.35">
      <c r="A1872" t="s">
        <v>110</v>
      </c>
      <c r="B1872">
        <v>1324732631</v>
      </c>
      <c r="C1872" t="s">
        <v>18</v>
      </c>
      <c r="D1872" t="s">
        <v>21</v>
      </c>
      <c r="E1872" s="29">
        <v>46205</v>
      </c>
      <c r="F1872" t="s">
        <v>4</v>
      </c>
      <c r="G1872" s="28">
        <v>0.5229166666666667</v>
      </c>
      <c r="H1872" s="28">
        <v>0.5229166666666667</v>
      </c>
      <c r="I1872">
        <v>0</v>
      </c>
      <c r="J1872" t="s">
        <v>174</v>
      </c>
      <c r="K1872">
        <v>0</v>
      </c>
      <c r="L1872" t="s">
        <v>5228</v>
      </c>
      <c r="M1872" t="s">
        <v>5229</v>
      </c>
      <c r="N1872" t="s">
        <v>5230</v>
      </c>
      <c r="O1872" t="s">
        <v>5231</v>
      </c>
      <c r="P1872" t="s">
        <v>5232</v>
      </c>
    </row>
    <row r="1873" spans="1:16" x14ac:dyDescent="0.35">
      <c r="A1873" t="s">
        <v>110</v>
      </c>
      <c r="B1873">
        <v>1324732631</v>
      </c>
      <c r="C1873" t="s">
        <v>18</v>
      </c>
      <c r="D1873" t="s">
        <v>21</v>
      </c>
      <c r="E1873" s="29">
        <v>46205</v>
      </c>
      <c r="F1873" t="s">
        <v>4</v>
      </c>
      <c r="G1873" s="28">
        <v>0.52986111111111112</v>
      </c>
      <c r="H1873" s="28">
        <v>0.52986111111111112</v>
      </c>
      <c r="I1873">
        <v>0</v>
      </c>
      <c r="J1873" t="s">
        <v>174</v>
      </c>
      <c r="K1873">
        <v>0</v>
      </c>
      <c r="L1873" t="s">
        <v>3241</v>
      </c>
      <c r="M1873" t="s">
        <v>4741</v>
      </c>
      <c r="N1873" t="s">
        <v>4742</v>
      </c>
      <c r="O1873" t="s">
        <v>4743</v>
      </c>
      <c r="P1873" t="s">
        <v>4744</v>
      </c>
    </row>
    <row r="1874" spans="1:16" x14ac:dyDescent="0.35">
      <c r="A1874" t="s">
        <v>110</v>
      </c>
      <c r="B1874">
        <v>1324732631</v>
      </c>
      <c r="C1874" t="s">
        <v>18</v>
      </c>
      <c r="D1874" t="s">
        <v>21</v>
      </c>
      <c r="E1874" s="29">
        <v>46205</v>
      </c>
      <c r="F1874" t="s">
        <v>4</v>
      </c>
      <c r="G1874" s="28">
        <v>0.53680555555555554</v>
      </c>
      <c r="H1874" s="28">
        <v>0.53680555555555554</v>
      </c>
      <c r="I1874">
        <v>0</v>
      </c>
      <c r="J1874" t="s">
        <v>174</v>
      </c>
      <c r="K1874">
        <v>0</v>
      </c>
      <c r="L1874" t="s">
        <v>3241</v>
      </c>
      <c r="M1874" t="s">
        <v>5220</v>
      </c>
      <c r="N1874" t="s">
        <v>5221</v>
      </c>
      <c r="O1874" t="s">
        <v>5222</v>
      </c>
      <c r="P1874" t="s">
        <v>5223</v>
      </c>
    </row>
    <row r="1875" spans="1:16" x14ac:dyDescent="0.35">
      <c r="A1875" t="s">
        <v>110</v>
      </c>
      <c r="B1875">
        <v>1324732631</v>
      </c>
      <c r="C1875" t="s">
        <v>18</v>
      </c>
      <c r="D1875" t="s">
        <v>21</v>
      </c>
      <c r="E1875" s="29">
        <v>46205</v>
      </c>
      <c r="F1875" t="s">
        <v>4</v>
      </c>
      <c r="G1875" s="28">
        <v>0.54374999999999996</v>
      </c>
      <c r="H1875" s="28">
        <v>0.54374999999999996</v>
      </c>
      <c r="I1875">
        <v>0</v>
      </c>
      <c r="J1875" t="s">
        <v>174</v>
      </c>
      <c r="K1875">
        <v>0</v>
      </c>
      <c r="L1875" t="s">
        <v>3241</v>
      </c>
      <c r="M1875" t="s">
        <v>4741</v>
      </c>
      <c r="N1875" t="s">
        <v>4742</v>
      </c>
      <c r="O1875" t="s">
        <v>4743</v>
      </c>
      <c r="P1875" t="s">
        <v>4744</v>
      </c>
    </row>
    <row r="1876" spans="1:16" x14ac:dyDescent="0.35">
      <c r="A1876" t="s">
        <v>110</v>
      </c>
      <c r="B1876">
        <v>1324732631</v>
      </c>
      <c r="C1876" t="s">
        <v>18</v>
      </c>
      <c r="D1876" t="s">
        <v>21</v>
      </c>
      <c r="E1876" s="29">
        <v>46205</v>
      </c>
      <c r="F1876" t="s">
        <v>4</v>
      </c>
      <c r="G1876" s="28">
        <v>0.55069444444444449</v>
      </c>
      <c r="H1876" s="28">
        <v>0.55069444444444449</v>
      </c>
      <c r="I1876">
        <v>0</v>
      </c>
      <c r="J1876" t="s">
        <v>174</v>
      </c>
      <c r="K1876">
        <v>0</v>
      </c>
      <c r="L1876" t="s">
        <v>3241</v>
      </c>
      <c r="M1876" t="s">
        <v>5220</v>
      </c>
      <c r="N1876" t="s">
        <v>5221</v>
      </c>
      <c r="O1876" t="s">
        <v>5222</v>
      </c>
      <c r="P1876" t="s">
        <v>5223</v>
      </c>
    </row>
    <row r="1877" spans="1:16" x14ac:dyDescent="0.35">
      <c r="A1877" t="s">
        <v>110</v>
      </c>
      <c r="B1877">
        <v>1324732631</v>
      </c>
      <c r="C1877" t="s">
        <v>18</v>
      </c>
      <c r="D1877" t="s">
        <v>21</v>
      </c>
      <c r="E1877" s="29">
        <v>46205</v>
      </c>
      <c r="F1877" t="s">
        <v>4</v>
      </c>
      <c r="G1877" s="28">
        <v>0.55763888888888891</v>
      </c>
      <c r="H1877" s="28">
        <v>0.60624999999999996</v>
      </c>
      <c r="I1877">
        <v>1</v>
      </c>
      <c r="J1877" t="s">
        <v>146</v>
      </c>
      <c r="K1877">
        <v>4</v>
      </c>
      <c r="L1877" t="s">
        <v>147</v>
      </c>
      <c r="M1877" t="s">
        <v>4741</v>
      </c>
      <c r="N1877" t="s">
        <v>4742</v>
      </c>
      <c r="O1877" t="s">
        <v>4743</v>
      </c>
      <c r="P1877" t="s">
        <v>4744</v>
      </c>
    </row>
    <row r="1878" spans="1:16" x14ac:dyDescent="0.35">
      <c r="A1878" t="s">
        <v>110</v>
      </c>
      <c r="B1878">
        <v>1324732631</v>
      </c>
      <c r="C1878" t="s">
        <v>18</v>
      </c>
      <c r="D1878" t="s">
        <v>21</v>
      </c>
      <c r="E1878" s="29">
        <v>46205</v>
      </c>
      <c r="F1878" t="s">
        <v>4</v>
      </c>
      <c r="G1878" s="28">
        <v>0.61319444444444449</v>
      </c>
      <c r="H1878" s="28">
        <v>0.61319444444444449</v>
      </c>
      <c r="I1878">
        <v>0</v>
      </c>
      <c r="J1878" t="s">
        <v>174</v>
      </c>
      <c r="K1878">
        <v>0</v>
      </c>
      <c r="L1878" t="s">
        <v>3241</v>
      </c>
      <c r="M1878" t="s">
        <v>5220</v>
      </c>
      <c r="N1878" t="s">
        <v>5221</v>
      </c>
      <c r="O1878" t="s">
        <v>5222</v>
      </c>
      <c r="P1878" t="s">
        <v>5223</v>
      </c>
    </row>
    <row r="1879" spans="1:16" x14ac:dyDescent="0.35">
      <c r="A1879" t="s">
        <v>110</v>
      </c>
      <c r="B1879">
        <v>1324732631</v>
      </c>
      <c r="C1879" t="s">
        <v>18</v>
      </c>
      <c r="D1879" t="s">
        <v>21</v>
      </c>
      <c r="E1879" s="29">
        <v>46205</v>
      </c>
      <c r="F1879" t="s">
        <v>4</v>
      </c>
      <c r="G1879" s="28">
        <v>0.62013888888888891</v>
      </c>
      <c r="H1879" s="28">
        <v>0.62013888888888891</v>
      </c>
      <c r="I1879">
        <v>0</v>
      </c>
      <c r="J1879" t="s">
        <v>174</v>
      </c>
      <c r="K1879">
        <v>0</v>
      </c>
      <c r="L1879" t="s">
        <v>4054</v>
      </c>
      <c r="M1879" t="s">
        <v>4741</v>
      </c>
      <c r="N1879" t="s">
        <v>4742</v>
      </c>
      <c r="O1879" t="s">
        <v>4743</v>
      </c>
      <c r="P1879" t="s">
        <v>4744</v>
      </c>
    </row>
    <row r="1880" spans="1:16" x14ac:dyDescent="0.35">
      <c r="A1880" t="s">
        <v>110</v>
      </c>
      <c r="B1880">
        <v>1324732631</v>
      </c>
      <c r="C1880" t="s">
        <v>18</v>
      </c>
      <c r="D1880" t="s">
        <v>21</v>
      </c>
      <c r="E1880" s="29">
        <v>46205</v>
      </c>
      <c r="F1880" t="s">
        <v>4</v>
      </c>
      <c r="G1880" s="28">
        <v>0.62708333333333333</v>
      </c>
      <c r="H1880" s="28">
        <v>0.62708333333333333</v>
      </c>
      <c r="I1880">
        <v>0</v>
      </c>
      <c r="J1880" t="s">
        <v>174</v>
      </c>
      <c r="K1880">
        <v>0</v>
      </c>
      <c r="L1880" t="s">
        <v>4054</v>
      </c>
      <c r="M1880" t="s">
        <v>5233</v>
      </c>
      <c r="N1880" t="s">
        <v>5234</v>
      </c>
      <c r="O1880" t="s">
        <v>5235</v>
      </c>
      <c r="P1880" t="s">
        <v>5236</v>
      </c>
    </row>
    <row r="1881" spans="1:16" x14ac:dyDescent="0.35">
      <c r="A1881" t="s">
        <v>110</v>
      </c>
      <c r="B1881">
        <v>1324732631</v>
      </c>
      <c r="C1881" t="s">
        <v>18</v>
      </c>
      <c r="D1881" t="s">
        <v>21</v>
      </c>
      <c r="E1881" s="29">
        <v>46205</v>
      </c>
      <c r="F1881" t="s">
        <v>4</v>
      </c>
      <c r="G1881" s="28">
        <v>0.63402777777777775</v>
      </c>
      <c r="H1881" s="28">
        <v>0.6479166666666667</v>
      </c>
      <c r="I1881">
        <v>0</v>
      </c>
      <c r="J1881" t="s">
        <v>146</v>
      </c>
      <c r="K1881">
        <v>1</v>
      </c>
      <c r="L1881" t="s">
        <v>147</v>
      </c>
      <c r="M1881" t="s">
        <v>4741</v>
      </c>
      <c r="N1881" t="s">
        <v>4742</v>
      </c>
      <c r="O1881" t="s">
        <v>4743</v>
      </c>
      <c r="P1881" t="s">
        <v>4744</v>
      </c>
    </row>
    <row r="1882" spans="1:16" x14ac:dyDescent="0.35">
      <c r="A1882" t="s">
        <v>110</v>
      </c>
      <c r="B1882">
        <v>1324732631</v>
      </c>
      <c r="C1882" t="s">
        <v>18</v>
      </c>
      <c r="D1882" t="s">
        <v>21</v>
      </c>
      <c r="E1882" s="29">
        <v>46205</v>
      </c>
      <c r="F1882" t="s">
        <v>4</v>
      </c>
      <c r="G1882" s="28">
        <v>0.65486111111111112</v>
      </c>
      <c r="H1882" s="28">
        <v>0.65486111111111112</v>
      </c>
      <c r="I1882">
        <v>0</v>
      </c>
      <c r="J1882" t="s">
        <v>174</v>
      </c>
      <c r="K1882">
        <v>0</v>
      </c>
      <c r="L1882" t="s">
        <v>5228</v>
      </c>
      <c r="M1882" t="s">
        <v>5229</v>
      </c>
      <c r="N1882" t="s">
        <v>5230</v>
      </c>
      <c r="O1882" t="s">
        <v>5231</v>
      </c>
      <c r="P1882" t="s">
        <v>5232</v>
      </c>
    </row>
    <row r="1883" spans="1:16" x14ac:dyDescent="0.35">
      <c r="A1883" t="s">
        <v>110</v>
      </c>
      <c r="B1883">
        <v>1324732631</v>
      </c>
      <c r="C1883" t="s">
        <v>18</v>
      </c>
      <c r="D1883" t="s">
        <v>21</v>
      </c>
      <c r="E1883" s="29">
        <v>46205</v>
      </c>
      <c r="F1883" t="s">
        <v>4</v>
      </c>
      <c r="G1883" s="28">
        <v>0.66180555555555554</v>
      </c>
      <c r="H1883" s="28">
        <v>0.66180555555555554</v>
      </c>
      <c r="I1883">
        <v>0</v>
      </c>
      <c r="J1883" t="s">
        <v>174</v>
      </c>
      <c r="K1883">
        <v>0</v>
      </c>
      <c r="L1883" t="s">
        <v>4054</v>
      </c>
      <c r="M1883" t="s">
        <v>4741</v>
      </c>
      <c r="N1883" t="s">
        <v>4742</v>
      </c>
      <c r="O1883" t="s">
        <v>4743</v>
      </c>
      <c r="P1883" t="s">
        <v>4744</v>
      </c>
    </row>
    <row r="1884" spans="1:16" x14ac:dyDescent="0.35">
      <c r="A1884" t="s">
        <v>110</v>
      </c>
      <c r="B1884">
        <v>1324732631</v>
      </c>
      <c r="C1884" t="s">
        <v>18</v>
      </c>
      <c r="D1884" t="s">
        <v>21</v>
      </c>
      <c r="E1884" s="29">
        <v>46205</v>
      </c>
      <c r="F1884" t="s">
        <v>4</v>
      </c>
      <c r="G1884" s="28">
        <v>0.66874999999999996</v>
      </c>
      <c r="H1884" s="28">
        <v>0.66874999999999996</v>
      </c>
      <c r="I1884">
        <v>0</v>
      </c>
      <c r="J1884" t="s">
        <v>174</v>
      </c>
      <c r="K1884">
        <v>0</v>
      </c>
      <c r="L1884" t="s">
        <v>4054</v>
      </c>
      <c r="M1884" t="s">
        <v>5233</v>
      </c>
      <c r="N1884" t="s">
        <v>5234</v>
      </c>
      <c r="O1884" t="s">
        <v>5235</v>
      </c>
      <c r="P1884" t="s">
        <v>5236</v>
      </c>
    </row>
    <row r="1885" spans="1:16" x14ac:dyDescent="0.35">
      <c r="A1885" t="s">
        <v>110</v>
      </c>
      <c r="B1885">
        <v>1324732631</v>
      </c>
      <c r="C1885" t="s">
        <v>18</v>
      </c>
      <c r="D1885" t="s">
        <v>21</v>
      </c>
      <c r="E1885" s="29">
        <v>46205</v>
      </c>
      <c r="F1885" t="s">
        <v>4</v>
      </c>
      <c r="G1885" s="28">
        <v>0.67569444444444449</v>
      </c>
      <c r="H1885" s="28">
        <v>0.67569444444444449</v>
      </c>
      <c r="I1885">
        <v>0</v>
      </c>
      <c r="J1885" t="s">
        <v>174</v>
      </c>
      <c r="K1885">
        <v>0</v>
      </c>
      <c r="L1885" t="s">
        <v>3552</v>
      </c>
      <c r="M1885" t="s">
        <v>4741</v>
      </c>
      <c r="N1885" t="s">
        <v>4742</v>
      </c>
      <c r="O1885" t="s">
        <v>4743</v>
      </c>
      <c r="P1885" t="s">
        <v>4744</v>
      </c>
    </row>
    <row r="1886" spans="1:16" x14ac:dyDescent="0.35">
      <c r="A1886" t="s">
        <v>110</v>
      </c>
      <c r="B1886">
        <v>1324732631</v>
      </c>
      <c r="C1886" t="s">
        <v>18</v>
      </c>
      <c r="D1886" t="s">
        <v>21</v>
      </c>
      <c r="E1886" s="29">
        <v>46205</v>
      </c>
      <c r="F1886" t="s">
        <v>4</v>
      </c>
      <c r="G1886" s="28">
        <v>0.68263888888888891</v>
      </c>
      <c r="H1886" s="28">
        <v>0.68958333333333333</v>
      </c>
      <c r="I1886">
        <v>0</v>
      </c>
      <c r="J1886" t="s">
        <v>146</v>
      </c>
      <c r="K1886">
        <v>0</v>
      </c>
      <c r="L1886" t="s">
        <v>147</v>
      </c>
      <c r="M1886" t="s">
        <v>5237</v>
      </c>
      <c r="N1886" t="s">
        <v>5238</v>
      </c>
      <c r="O1886" t="s">
        <v>5239</v>
      </c>
      <c r="P1886" t="s">
        <v>5240</v>
      </c>
    </row>
    <row r="1887" spans="1:16" x14ac:dyDescent="0.35">
      <c r="A1887" t="s">
        <v>110</v>
      </c>
      <c r="B1887">
        <v>1324732631</v>
      </c>
      <c r="C1887" t="s">
        <v>18</v>
      </c>
      <c r="D1887" t="s">
        <v>21</v>
      </c>
      <c r="E1887" s="29">
        <v>46205</v>
      </c>
      <c r="F1887" t="s">
        <v>4</v>
      </c>
      <c r="G1887" s="28">
        <v>0.69652777777777775</v>
      </c>
      <c r="H1887" s="28">
        <v>0.71736111111111112</v>
      </c>
      <c r="I1887">
        <v>1</v>
      </c>
      <c r="J1887" t="s">
        <v>146</v>
      </c>
      <c r="K1887">
        <v>2</v>
      </c>
      <c r="L1887" t="s">
        <v>147</v>
      </c>
      <c r="M1887" t="s">
        <v>5220</v>
      </c>
      <c r="N1887" t="s">
        <v>5221</v>
      </c>
      <c r="O1887" t="s">
        <v>5222</v>
      </c>
      <c r="P1887" t="s">
        <v>5223</v>
      </c>
    </row>
    <row r="1888" spans="1:16" x14ac:dyDescent="0.35">
      <c r="A1888" t="s">
        <v>110</v>
      </c>
      <c r="B1888">
        <v>1324732631</v>
      </c>
      <c r="C1888" t="s">
        <v>18</v>
      </c>
      <c r="D1888" t="s">
        <v>21</v>
      </c>
      <c r="E1888" s="29">
        <v>46205</v>
      </c>
      <c r="F1888" t="s">
        <v>4</v>
      </c>
      <c r="G1888" s="28">
        <v>0.72430555555555554</v>
      </c>
      <c r="H1888" s="28">
        <v>0.73124999999999996</v>
      </c>
      <c r="I1888">
        <v>0</v>
      </c>
      <c r="J1888" t="s">
        <v>146</v>
      </c>
      <c r="K1888">
        <v>0</v>
      </c>
      <c r="L1888" t="s">
        <v>147</v>
      </c>
      <c r="M1888" t="s">
        <v>4403</v>
      </c>
      <c r="N1888" t="s">
        <v>4404</v>
      </c>
      <c r="O1888" t="s">
        <v>4405</v>
      </c>
      <c r="P1888" t="s">
        <v>4406</v>
      </c>
    </row>
    <row r="1889" spans="1:16" x14ac:dyDescent="0.35">
      <c r="A1889" t="s">
        <v>110</v>
      </c>
      <c r="B1889">
        <v>1324732631</v>
      </c>
      <c r="C1889" t="s">
        <v>18</v>
      </c>
      <c r="D1889" t="s">
        <v>21</v>
      </c>
      <c r="E1889" s="29">
        <v>46205</v>
      </c>
      <c r="F1889" t="s">
        <v>4</v>
      </c>
      <c r="G1889" s="28">
        <v>0.73819444444444449</v>
      </c>
      <c r="H1889" s="28">
        <v>0.73819444444444449</v>
      </c>
      <c r="I1889">
        <v>0</v>
      </c>
      <c r="J1889" t="s">
        <v>174</v>
      </c>
      <c r="K1889">
        <v>0</v>
      </c>
      <c r="L1889" t="s">
        <v>2931</v>
      </c>
      <c r="M1889" t="s">
        <v>5086</v>
      </c>
      <c r="N1889" t="s">
        <v>5087</v>
      </c>
      <c r="O1889" t="s">
        <v>5088</v>
      </c>
      <c r="P1889" t="s">
        <v>5089</v>
      </c>
    </row>
    <row r="1890" spans="1:16" x14ac:dyDescent="0.35">
      <c r="A1890" t="s">
        <v>110</v>
      </c>
      <c r="B1890">
        <v>1324732631</v>
      </c>
      <c r="C1890" t="s">
        <v>18</v>
      </c>
      <c r="D1890" t="s">
        <v>21</v>
      </c>
      <c r="E1890" s="29">
        <v>46205</v>
      </c>
      <c r="F1890" t="s">
        <v>4</v>
      </c>
      <c r="G1890" s="28">
        <v>0.74513888888888891</v>
      </c>
      <c r="H1890" s="28">
        <v>0.74513888888888891</v>
      </c>
      <c r="I1890">
        <v>0</v>
      </c>
      <c r="J1890" t="s">
        <v>174</v>
      </c>
      <c r="K1890">
        <v>0</v>
      </c>
      <c r="L1890" t="s">
        <v>2248</v>
      </c>
      <c r="M1890" t="s">
        <v>5241</v>
      </c>
      <c r="N1890" t="s">
        <v>5242</v>
      </c>
      <c r="O1890" t="s">
        <v>5243</v>
      </c>
      <c r="P1890" t="s">
        <v>5244</v>
      </c>
    </row>
    <row r="1891" spans="1:16" x14ac:dyDescent="0.35">
      <c r="A1891" t="s">
        <v>110</v>
      </c>
      <c r="B1891">
        <v>1324732631</v>
      </c>
      <c r="C1891" t="s">
        <v>18</v>
      </c>
      <c r="D1891" t="s">
        <v>21</v>
      </c>
      <c r="E1891" s="29">
        <v>46205</v>
      </c>
      <c r="F1891" t="s">
        <v>4</v>
      </c>
      <c r="G1891" s="28">
        <v>0.75208333333333333</v>
      </c>
      <c r="H1891" s="28">
        <v>0.77986111111111112</v>
      </c>
      <c r="I1891">
        <v>1</v>
      </c>
      <c r="J1891" t="s">
        <v>146</v>
      </c>
      <c r="K1891">
        <v>2</v>
      </c>
      <c r="L1891" t="s">
        <v>147</v>
      </c>
      <c r="M1891" t="s">
        <v>4408</v>
      </c>
      <c r="N1891" t="s">
        <v>4409</v>
      </c>
      <c r="O1891" t="s">
        <v>4410</v>
      </c>
      <c r="P1891" t="s">
        <v>4411</v>
      </c>
    </row>
    <row r="1892" spans="1:16" x14ac:dyDescent="0.35">
      <c r="A1892" t="s">
        <v>110</v>
      </c>
      <c r="B1892">
        <v>1324732631</v>
      </c>
      <c r="C1892" t="s">
        <v>18</v>
      </c>
      <c r="D1892" t="s">
        <v>21</v>
      </c>
      <c r="E1892" s="29">
        <v>46205</v>
      </c>
      <c r="F1892" t="s">
        <v>4</v>
      </c>
      <c r="G1892" s="28">
        <v>0.78680555555555554</v>
      </c>
      <c r="H1892" s="28">
        <v>0.84236111111111112</v>
      </c>
      <c r="I1892">
        <v>1</v>
      </c>
      <c r="J1892" t="s">
        <v>146</v>
      </c>
      <c r="K1892">
        <v>4</v>
      </c>
      <c r="L1892" t="s">
        <v>147</v>
      </c>
      <c r="M1892" t="s">
        <v>5245</v>
      </c>
      <c r="N1892" t="s">
        <v>5083</v>
      </c>
      <c r="O1892" t="s">
        <v>5084</v>
      </c>
      <c r="P1892" t="s">
        <v>5085</v>
      </c>
    </row>
    <row r="1893" spans="1:16" x14ac:dyDescent="0.35">
      <c r="A1893" t="s">
        <v>110</v>
      </c>
      <c r="B1893">
        <v>1324732631</v>
      </c>
      <c r="C1893" t="s">
        <v>18</v>
      </c>
      <c r="D1893" t="s">
        <v>21</v>
      </c>
      <c r="E1893" s="29">
        <v>46207</v>
      </c>
      <c r="F1893" t="s">
        <v>5</v>
      </c>
      <c r="G1893" s="28">
        <v>0.37708333333333333</v>
      </c>
      <c r="H1893" s="28">
        <v>0.4465277777777778</v>
      </c>
      <c r="I1893">
        <v>2</v>
      </c>
      <c r="J1893" t="s">
        <v>146</v>
      </c>
      <c r="K1893">
        <v>5</v>
      </c>
      <c r="L1893" t="s">
        <v>147</v>
      </c>
      <c r="M1893" t="s">
        <v>4745</v>
      </c>
      <c r="N1893" t="s">
        <v>4399</v>
      </c>
      <c r="O1893" t="s">
        <v>4400</v>
      </c>
      <c r="P1893" t="s">
        <v>4401</v>
      </c>
    </row>
    <row r="1894" spans="1:16" x14ac:dyDescent="0.35">
      <c r="A1894" t="s">
        <v>110</v>
      </c>
      <c r="B1894">
        <v>1324732631</v>
      </c>
      <c r="C1894" t="s">
        <v>18</v>
      </c>
      <c r="D1894" t="s">
        <v>21</v>
      </c>
      <c r="E1894" s="29">
        <v>46207</v>
      </c>
      <c r="F1894" t="s">
        <v>5</v>
      </c>
      <c r="G1894" s="28">
        <v>0.45347222222222222</v>
      </c>
      <c r="H1894" s="28">
        <v>0.45347222222222222</v>
      </c>
      <c r="I1894">
        <v>0</v>
      </c>
      <c r="J1894" t="s">
        <v>174</v>
      </c>
      <c r="K1894">
        <v>0</v>
      </c>
      <c r="L1894" t="s">
        <v>5246</v>
      </c>
      <c r="M1894" t="s">
        <v>5247</v>
      </c>
      <c r="N1894" t="s">
        <v>5248</v>
      </c>
      <c r="O1894" t="s">
        <v>5249</v>
      </c>
      <c r="P1894" t="s">
        <v>5250</v>
      </c>
    </row>
    <row r="1895" spans="1:16" x14ac:dyDescent="0.35">
      <c r="A1895" t="s">
        <v>110</v>
      </c>
      <c r="B1895">
        <v>1324732631</v>
      </c>
      <c r="C1895" t="s">
        <v>18</v>
      </c>
      <c r="D1895" t="s">
        <v>21</v>
      </c>
      <c r="E1895" s="29">
        <v>46207</v>
      </c>
      <c r="F1895" t="s">
        <v>5</v>
      </c>
      <c r="G1895" s="28">
        <v>0.46736111111111112</v>
      </c>
      <c r="H1895" s="28">
        <v>0.46736111111111112</v>
      </c>
      <c r="I1895">
        <v>0</v>
      </c>
      <c r="J1895" t="s">
        <v>174</v>
      </c>
      <c r="K1895">
        <v>0</v>
      </c>
      <c r="L1895" t="s">
        <v>1896</v>
      </c>
      <c r="M1895" t="s">
        <v>5251</v>
      </c>
      <c r="N1895" t="s">
        <v>5252</v>
      </c>
      <c r="O1895" t="s">
        <v>5253</v>
      </c>
      <c r="P1895" t="s">
        <v>5254</v>
      </c>
    </row>
    <row r="1896" spans="1:16" x14ac:dyDescent="0.35">
      <c r="A1896" t="s">
        <v>110</v>
      </c>
      <c r="B1896">
        <v>1324732631</v>
      </c>
      <c r="C1896" t="s">
        <v>18</v>
      </c>
      <c r="D1896" t="s">
        <v>21</v>
      </c>
      <c r="E1896" s="29">
        <v>46207</v>
      </c>
      <c r="F1896" t="s">
        <v>5</v>
      </c>
      <c r="G1896" s="28">
        <v>0.47430555555555554</v>
      </c>
      <c r="H1896" s="28">
        <v>0.47430555555555554</v>
      </c>
      <c r="I1896">
        <v>0</v>
      </c>
      <c r="J1896" t="s">
        <v>174</v>
      </c>
      <c r="K1896">
        <v>0</v>
      </c>
      <c r="L1896" t="s">
        <v>1188</v>
      </c>
      <c r="M1896" t="s">
        <v>5255</v>
      </c>
      <c r="N1896" t="s">
        <v>5256</v>
      </c>
      <c r="O1896" t="s">
        <v>4729</v>
      </c>
      <c r="P1896" t="s">
        <v>5257</v>
      </c>
    </row>
    <row r="1897" spans="1:16" x14ac:dyDescent="0.35">
      <c r="A1897" t="s">
        <v>110</v>
      </c>
      <c r="B1897">
        <v>1324732631</v>
      </c>
      <c r="C1897" t="s">
        <v>18</v>
      </c>
      <c r="D1897" t="s">
        <v>21</v>
      </c>
      <c r="E1897" s="29">
        <v>46207</v>
      </c>
      <c r="F1897" t="s">
        <v>5</v>
      </c>
      <c r="G1897" s="28">
        <v>0.48125000000000001</v>
      </c>
      <c r="H1897" s="28">
        <v>0.48819444444444443</v>
      </c>
      <c r="I1897">
        <v>0</v>
      </c>
      <c r="J1897" t="s">
        <v>146</v>
      </c>
      <c r="K1897">
        <v>0</v>
      </c>
      <c r="L1897" t="s">
        <v>147</v>
      </c>
      <c r="M1897" t="s">
        <v>5258</v>
      </c>
      <c r="N1897" t="s">
        <v>5259</v>
      </c>
      <c r="O1897" t="s">
        <v>5260</v>
      </c>
      <c r="P1897" t="s">
        <v>5261</v>
      </c>
    </row>
    <row r="1898" spans="1:16" x14ac:dyDescent="0.35">
      <c r="A1898" t="s">
        <v>110</v>
      </c>
      <c r="B1898">
        <v>1324732631</v>
      </c>
      <c r="C1898" t="s">
        <v>18</v>
      </c>
      <c r="D1898" t="s">
        <v>21</v>
      </c>
      <c r="E1898" s="29">
        <v>46207</v>
      </c>
      <c r="F1898" t="s">
        <v>5</v>
      </c>
      <c r="G1898" s="28">
        <v>0.49513888888888891</v>
      </c>
      <c r="H1898" s="28">
        <v>0.49513888888888891</v>
      </c>
      <c r="I1898">
        <v>0</v>
      </c>
      <c r="J1898" t="s">
        <v>174</v>
      </c>
      <c r="K1898">
        <v>0</v>
      </c>
      <c r="L1898" t="s">
        <v>3110</v>
      </c>
      <c r="M1898" t="s">
        <v>5105</v>
      </c>
      <c r="N1898" t="s">
        <v>5106</v>
      </c>
      <c r="O1898" t="s">
        <v>5107</v>
      </c>
      <c r="P1898" t="s">
        <v>5108</v>
      </c>
    </row>
    <row r="1899" spans="1:16" x14ac:dyDescent="0.35">
      <c r="A1899" t="s">
        <v>110</v>
      </c>
      <c r="B1899">
        <v>1324732631</v>
      </c>
      <c r="C1899" t="s">
        <v>18</v>
      </c>
      <c r="D1899" t="s">
        <v>21</v>
      </c>
      <c r="E1899" s="29">
        <v>46207</v>
      </c>
      <c r="F1899" t="s">
        <v>5</v>
      </c>
      <c r="G1899" s="28">
        <v>0.50208333333333333</v>
      </c>
      <c r="H1899" s="28">
        <v>0.50208333333333333</v>
      </c>
      <c r="I1899">
        <v>0</v>
      </c>
      <c r="J1899" t="s">
        <v>174</v>
      </c>
      <c r="K1899">
        <v>0</v>
      </c>
      <c r="L1899" t="s">
        <v>5262</v>
      </c>
      <c r="M1899" t="s">
        <v>5263</v>
      </c>
      <c r="N1899" t="s">
        <v>5264</v>
      </c>
      <c r="O1899" t="s">
        <v>5265</v>
      </c>
      <c r="P1899" t="s">
        <v>5266</v>
      </c>
    </row>
    <row r="1900" spans="1:16" x14ac:dyDescent="0.35">
      <c r="A1900" t="s">
        <v>110</v>
      </c>
      <c r="B1900">
        <v>1324732631</v>
      </c>
      <c r="C1900" t="s">
        <v>18</v>
      </c>
      <c r="D1900" t="s">
        <v>21</v>
      </c>
      <c r="E1900" s="29">
        <v>46207</v>
      </c>
      <c r="F1900" t="s">
        <v>5</v>
      </c>
      <c r="G1900" s="28">
        <v>0.50902777777777775</v>
      </c>
      <c r="H1900" s="28">
        <v>0.50902777777777775</v>
      </c>
      <c r="I1900">
        <v>0</v>
      </c>
      <c r="J1900" t="s">
        <v>174</v>
      </c>
      <c r="K1900">
        <v>0</v>
      </c>
      <c r="L1900" t="s">
        <v>5267</v>
      </c>
      <c r="M1900" t="s">
        <v>5268</v>
      </c>
      <c r="N1900" t="s">
        <v>4370</v>
      </c>
      <c r="O1900" t="s">
        <v>4371</v>
      </c>
      <c r="P1900" t="s">
        <v>4372</v>
      </c>
    </row>
    <row r="1901" spans="1:16" x14ac:dyDescent="0.35">
      <c r="A1901" t="s">
        <v>110</v>
      </c>
      <c r="B1901">
        <v>1324732631</v>
      </c>
      <c r="C1901" t="s">
        <v>18</v>
      </c>
      <c r="D1901" t="s">
        <v>21</v>
      </c>
      <c r="E1901" s="29">
        <v>46207</v>
      </c>
      <c r="F1901" t="s">
        <v>5</v>
      </c>
      <c r="G1901" s="28">
        <v>0.51597222222222228</v>
      </c>
      <c r="H1901" s="28">
        <v>0.51597222222222228</v>
      </c>
      <c r="I1901">
        <v>0</v>
      </c>
      <c r="J1901" t="s">
        <v>174</v>
      </c>
      <c r="K1901">
        <v>0</v>
      </c>
      <c r="L1901" t="s">
        <v>3241</v>
      </c>
      <c r="M1901" t="s">
        <v>5269</v>
      </c>
      <c r="N1901" t="s">
        <v>5270</v>
      </c>
      <c r="O1901" t="s">
        <v>5271</v>
      </c>
      <c r="P1901" t="s">
        <v>5272</v>
      </c>
    </row>
    <row r="1902" spans="1:16" x14ac:dyDescent="0.35">
      <c r="A1902" t="s">
        <v>110</v>
      </c>
      <c r="B1902">
        <v>1324732631</v>
      </c>
      <c r="C1902" t="s">
        <v>18</v>
      </c>
      <c r="D1902" t="s">
        <v>21</v>
      </c>
      <c r="E1902" s="29">
        <v>46207</v>
      </c>
      <c r="F1902" t="s">
        <v>5</v>
      </c>
      <c r="G1902" s="28">
        <v>0.52361111111111114</v>
      </c>
      <c r="H1902" s="28">
        <v>0.52361111111111114</v>
      </c>
      <c r="I1902">
        <v>0</v>
      </c>
      <c r="J1902" t="s">
        <v>174</v>
      </c>
      <c r="K1902">
        <v>0</v>
      </c>
      <c r="L1902" t="s">
        <v>4343</v>
      </c>
      <c r="M1902" t="s">
        <v>5273</v>
      </c>
      <c r="N1902" t="s">
        <v>5274</v>
      </c>
      <c r="O1902" t="s">
        <v>5275</v>
      </c>
      <c r="P1902" t="s">
        <v>5276</v>
      </c>
    </row>
    <row r="1903" spans="1:16" x14ac:dyDescent="0.35">
      <c r="A1903" t="s">
        <v>110</v>
      </c>
      <c r="B1903">
        <v>1324732631</v>
      </c>
      <c r="C1903" t="s">
        <v>18</v>
      </c>
      <c r="D1903" t="s">
        <v>21</v>
      </c>
      <c r="E1903" s="29">
        <v>46207</v>
      </c>
      <c r="F1903" t="s">
        <v>5</v>
      </c>
      <c r="G1903" s="28">
        <v>0.52986111111111112</v>
      </c>
      <c r="H1903" s="28">
        <v>0.54374999999999996</v>
      </c>
      <c r="I1903">
        <v>0</v>
      </c>
      <c r="J1903" t="s">
        <v>146</v>
      </c>
      <c r="K1903">
        <v>1</v>
      </c>
      <c r="L1903" t="s">
        <v>147</v>
      </c>
      <c r="M1903" t="s">
        <v>5115</v>
      </c>
      <c r="N1903" t="s">
        <v>5116</v>
      </c>
      <c r="O1903" t="s">
        <v>5117</v>
      </c>
      <c r="P1903" t="s">
        <v>5118</v>
      </c>
    </row>
    <row r="1904" spans="1:16" x14ac:dyDescent="0.35">
      <c r="A1904" t="s">
        <v>110</v>
      </c>
      <c r="B1904">
        <v>1324732631</v>
      </c>
      <c r="C1904" t="s">
        <v>18</v>
      </c>
      <c r="D1904" t="s">
        <v>21</v>
      </c>
      <c r="E1904" s="29">
        <v>46207</v>
      </c>
      <c r="F1904" t="s">
        <v>5</v>
      </c>
      <c r="G1904" s="28">
        <v>0.55069444444444449</v>
      </c>
      <c r="H1904" s="28">
        <v>0.55069444444444449</v>
      </c>
      <c r="I1904">
        <v>0</v>
      </c>
      <c r="J1904" t="s">
        <v>174</v>
      </c>
      <c r="K1904">
        <v>0</v>
      </c>
      <c r="L1904" t="s">
        <v>1420</v>
      </c>
      <c r="M1904" t="s">
        <v>4353</v>
      </c>
      <c r="N1904" t="s">
        <v>4354</v>
      </c>
      <c r="O1904" t="s">
        <v>4355</v>
      </c>
      <c r="P1904" t="s">
        <v>4356</v>
      </c>
    </row>
    <row r="1905" spans="1:16" x14ac:dyDescent="0.35">
      <c r="A1905" t="s">
        <v>110</v>
      </c>
      <c r="B1905">
        <v>1324732631</v>
      </c>
      <c r="C1905" t="s">
        <v>18</v>
      </c>
      <c r="D1905" t="s">
        <v>21</v>
      </c>
      <c r="E1905" s="29">
        <v>46207</v>
      </c>
      <c r="F1905" t="s">
        <v>5</v>
      </c>
      <c r="G1905" s="28">
        <v>0.55763888888888891</v>
      </c>
      <c r="H1905" s="28">
        <v>0.55763888888888891</v>
      </c>
      <c r="I1905">
        <v>0</v>
      </c>
      <c r="J1905" t="s">
        <v>174</v>
      </c>
      <c r="K1905">
        <v>0</v>
      </c>
      <c r="L1905" t="s">
        <v>4054</v>
      </c>
      <c r="M1905" t="s">
        <v>5277</v>
      </c>
      <c r="N1905" t="s">
        <v>5278</v>
      </c>
      <c r="O1905" t="s">
        <v>5279</v>
      </c>
      <c r="P1905" t="s">
        <v>5280</v>
      </c>
    </row>
    <row r="1906" spans="1:16" x14ac:dyDescent="0.35">
      <c r="A1906" t="s">
        <v>110</v>
      </c>
      <c r="B1906">
        <v>1324732631</v>
      </c>
      <c r="C1906" t="s">
        <v>18</v>
      </c>
      <c r="D1906" t="s">
        <v>21</v>
      </c>
      <c r="E1906" s="29">
        <v>46207</v>
      </c>
      <c r="F1906" t="s">
        <v>5</v>
      </c>
      <c r="G1906" s="28">
        <v>0.56458333333333333</v>
      </c>
      <c r="H1906" s="28">
        <v>0.57152777777777775</v>
      </c>
      <c r="I1906">
        <v>0</v>
      </c>
      <c r="J1906" t="s">
        <v>146</v>
      </c>
      <c r="K1906">
        <v>0</v>
      </c>
      <c r="L1906" t="s">
        <v>147</v>
      </c>
      <c r="M1906" t="s">
        <v>5281</v>
      </c>
      <c r="N1906" t="s">
        <v>5282</v>
      </c>
      <c r="O1906" t="s">
        <v>5283</v>
      </c>
      <c r="P1906" t="s">
        <v>5284</v>
      </c>
    </row>
    <row r="1907" spans="1:16" x14ac:dyDescent="0.35">
      <c r="A1907" t="s">
        <v>110</v>
      </c>
      <c r="B1907">
        <v>1324732631</v>
      </c>
      <c r="C1907" t="s">
        <v>18</v>
      </c>
      <c r="D1907" t="s">
        <v>21</v>
      </c>
      <c r="E1907" s="29">
        <v>46207</v>
      </c>
      <c r="F1907" t="s">
        <v>5</v>
      </c>
      <c r="G1907" s="28">
        <v>0.57847222222222228</v>
      </c>
      <c r="H1907" s="28">
        <v>0.57847222222222228</v>
      </c>
      <c r="I1907">
        <v>0</v>
      </c>
      <c r="J1907" t="s">
        <v>174</v>
      </c>
      <c r="K1907">
        <v>0</v>
      </c>
      <c r="L1907" t="s">
        <v>5285</v>
      </c>
      <c r="M1907" t="s">
        <v>5286</v>
      </c>
      <c r="N1907" t="s">
        <v>5287</v>
      </c>
      <c r="O1907" t="s">
        <v>5288</v>
      </c>
      <c r="P1907" t="s">
        <v>5289</v>
      </c>
    </row>
    <row r="1908" spans="1:16" x14ac:dyDescent="0.35">
      <c r="A1908" t="s">
        <v>110</v>
      </c>
      <c r="B1908">
        <v>1324732631</v>
      </c>
      <c r="C1908" t="s">
        <v>18</v>
      </c>
      <c r="D1908" t="s">
        <v>21</v>
      </c>
      <c r="E1908" s="29">
        <v>46207</v>
      </c>
      <c r="F1908" t="s">
        <v>5</v>
      </c>
      <c r="G1908" s="28">
        <v>0.5854166666666667</v>
      </c>
      <c r="H1908" s="28">
        <v>0.5854166666666667</v>
      </c>
      <c r="I1908">
        <v>0</v>
      </c>
      <c r="J1908" t="s">
        <v>174</v>
      </c>
      <c r="K1908">
        <v>0</v>
      </c>
      <c r="L1908" t="s">
        <v>5290</v>
      </c>
      <c r="M1908" t="s">
        <v>5291</v>
      </c>
      <c r="N1908" t="s">
        <v>5292</v>
      </c>
      <c r="O1908" t="s">
        <v>5293</v>
      </c>
      <c r="P1908" t="s">
        <v>5294</v>
      </c>
    </row>
    <row r="1909" spans="1:16" x14ac:dyDescent="0.35">
      <c r="A1909" t="s">
        <v>110</v>
      </c>
      <c r="B1909">
        <v>1324732631</v>
      </c>
      <c r="C1909" t="s">
        <v>18</v>
      </c>
      <c r="D1909" t="s">
        <v>21</v>
      </c>
      <c r="E1909" s="29">
        <v>46207</v>
      </c>
      <c r="F1909" t="s">
        <v>5</v>
      </c>
      <c r="G1909" s="28">
        <v>0.59305555555555556</v>
      </c>
      <c r="H1909" s="28">
        <v>0.59305555555555556</v>
      </c>
      <c r="I1909">
        <v>0</v>
      </c>
      <c r="J1909" t="s">
        <v>174</v>
      </c>
      <c r="K1909">
        <v>0</v>
      </c>
      <c r="L1909" t="s">
        <v>5295</v>
      </c>
      <c r="M1909" t="s">
        <v>5296</v>
      </c>
      <c r="N1909" t="s">
        <v>5297</v>
      </c>
      <c r="O1909" t="s">
        <v>5298</v>
      </c>
      <c r="P1909" t="s">
        <v>5299</v>
      </c>
    </row>
    <row r="1910" spans="1:16" x14ac:dyDescent="0.35">
      <c r="A1910" t="s">
        <v>110</v>
      </c>
      <c r="B1910">
        <v>1324732631</v>
      </c>
      <c r="C1910" t="s">
        <v>18</v>
      </c>
      <c r="D1910" t="s">
        <v>21</v>
      </c>
      <c r="E1910" s="29">
        <v>46207</v>
      </c>
      <c r="F1910" t="s">
        <v>5</v>
      </c>
      <c r="G1910" s="28">
        <v>0.59930555555555554</v>
      </c>
      <c r="H1910" s="28">
        <v>0.59930555555555554</v>
      </c>
      <c r="I1910">
        <v>0</v>
      </c>
      <c r="J1910" t="s">
        <v>174</v>
      </c>
      <c r="K1910">
        <v>0</v>
      </c>
      <c r="L1910" t="s">
        <v>5300</v>
      </c>
      <c r="M1910" t="s">
        <v>5301</v>
      </c>
      <c r="N1910" t="s">
        <v>5287</v>
      </c>
      <c r="O1910" t="s">
        <v>5288</v>
      </c>
      <c r="P1910" t="s">
        <v>5289</v>
      </c>
    </row>
    <row r="1911" spans="1:16" x14ac:dyDescent="0.35">
      <c r="A1911" t="s">
        <v>110</v>
      </c>
      <c r="B1911">
        <v>1324732631</v>
      </c>
      <c r="C1911" t="s">
        <v>18</v>
      </c>
      <c r="D1911" t="s">
        <v>21</v>
      </c>
      <c r="E1911" s="29">
        <v>46207</v>
      </c>
      <c r="F1911" t="s">
        <v>5</v>
      </c>
      <c r="G1911" s="28">
        <v>0.60624999999999996</v>
      </c>
      <c r="H1911" s="28">
        <v>0.60624999999999996</v>
      </c>
      <c r="I1911">
        <v>0</v>
      </c>
      <c r="J1911" t="s">
        <v>174</v>
      </c>
      <c r="K1911">
        <v>0</v>
      </c>
      <c r="L1911" t="s">
        <v>5302</v>
      </c>
      <c r="M1911" t="s">
        <v>5303</v>
      </c>
      <c r="N1911" t="s">
        <v>5304</v>
      </c>
      <c r="O1911" t="s">
        <v>5305</v>
      </c>
      <c r="P1911" t="s">
        <v>5306</v>
      </c>
    </row>
    <row r="1912" spans="1:16" x14ac:dyDescent="0.35">
      <c r="A1912" t="s">
        <v>110</v>
      </c>
      <c r="B1912">
        <v>1324732631</v>
      </c>
      <c r="C1912" t="s">
        <v>18</v>
      </c>
      <c r="D1912" t="s">
        <v>21</v>
      </c>
      <c r="E1912" s="29">
        <v>46207</v>
      </c>
      <c r="F1912" t="s">
        <v>5</v>
      </c>
      <c r="G1912" s="28">
        <v>0.61319444444444449</v>
      </c>
      <c r="H1912" s="28">
        <v>0.61319444444444449</v>
      </c>
      <c r="I1912">
        <v>0</v>
      </c>
      <c r="J1912" t="s">
        <v>174</v>
      </c>
      <c r="K1912">
        <v>0</v>
      </c>
      <c r="L1912" t="s">
        <v>4343</v>
      </c>
      <c r="M1912" t="s">
        <v>5115</v>
      </c>
      <c r="N1912" t="s">
        <v>5116</v>
      </c>
      <c r="O1912" t="s">
        <v>5117</v>
      </c>
      <c r="P1912" t="s">
        <v>5118</v>
      </c>
    </row>
    <row r="1913" spans="1:16" x14ac:dyDescent="0.35">
      <c r="A1913" t="s">
        <v>110</v>
      </c>
      <c r="B1913">
        <v>1324732631</v>
      </c>
      <c r="C1913" t="s">
        <v>18</v>
      </c>
      <c r="D1913" t="s">
        <v>21</v>
      </c>
      <c r="E1913" s="29">
        <v>46207</v>
      </c>
      <c r="F1913" t="s">
        <v>5</v>
      </c>
      <c r="G1913" s="28">
        <v>0.62013888888888891</v>
      </c>
      <c r="H1913" s="28">
        <v>0.62013888888888891</v>
      </c>
      <c r="I1913">
        <v>0</v>
      </c>
      <c r="J1913" t="s">
        <v>174</v>
      </c>
      <c r="K1913">
        <v>0</v>
      </c>
      <c r="L1913" t="s">
        <v>4343</v>
      </c>
      <c r="M1913" t="s">
        <v>5273</v>
      </c>
      <c r="N1913" t="s">
        <v>5274</v>
      </c>
      <c r="O1913" t="s">
        <v>5275</v>
      </c>
      <c r="P1913" t="s">
        <v>5276</v>
      </c>
    </row>
    <row r="1914" spans="1:16" x14ac:dyDescent="0.35">
      <c r="A1914" t="s">
        <v>110</v>
      </c>
      <c r="B1914">
        <v>1324732631</v>
      </c>
      <c r="C1914" t="s">
        <v>18</v>
      </c>
      <c r="D1914" t="s">
        <v>21</v>
      </c>
      <c r="E1914" s="29">
        <v>46207</v>
      </c>
      <c r="F1914" t="s">
        <v>5</v>
      </c>
      <c r="G1914" s="28">
        <v>0.62708333333333333</v>
      </c>
      <c r="H1914" s="28">
        <v>0.64097222222222228</v>
      </c>
      <c r="I1914">
        <v>0</v>
      </c>
      <c r="J1914" t="s">
        <v>146</v>
      </c>
      <c r="K1914">
        <v>1</v>
      </c>
      <c r="L1914" t="s">
        <v>147</v>
      </c>
      <c r="M1914" t="s">
        <v>5115</v>
      </c>
      <c r="N1914" t="s">
        <v>5116</v>
      </c>
      <c r="O1914" t="s">
        <v>5117</v>
      </c>
      <c r="P1914" t="s">
        <v>5118</v>
      </c>
    </row>
    <row r="1915" spans="1:16" x14ac:dyDescent="0.35">
      <c r="A1915" t="s">
        <v>110</v>
      </c>
      <c r="B1915">
        <v>1324732631</v>
      </c>
      <c r="C1915" t="s">
        <v>18</v>
      </c>
      <c r="D1915" t="s">
        <v>21</v>
      </c>
      <c r="E1915" s="29">
        <v>46207</v>
      </c>
      <c r="F1915" t="s">
        <v>5</v>
      </c>
      <c r="G1915" s="28">
        <v>0.6479166666666667</v>
      </c>
      <c r="H1915" s="28">
        <v>0.6479166666666667</v>
      </c>
      <c r="I1915">
        <v>0</v>
      </c>
      <c r="J1915" t="s">
        <v>174</v>
      </c>
      <c r="K1915">
        <v>0</v>
      </c>
      <c r="L1915" t="s">
        <v>2248</v>
      </c>
      <c r="M1915" t="s">
        <v>4353</v>
      </c>
      <c r="N1915" t="s">
        <v>4354</v>
      </c>
      <c r="O1915" t="s">
        <v>4355</v>
      </c>
      <c r="P1915" t="s">
        <v>4356</v>
      </c>
    </row>
    <row r="1916" spans="1:16" x14ac:dyDescent="0.35">
      <c r="A1916" t="s">
        <v>110</v>
      </c>
      <c r="B1916">
        <v>1324732631</v>
      </c>
      <c r="C1916" t="s">
        <v>18</v>
      </c>
      <c r="D1916" t="s">
        <v>21</v>
      </c>
      <c r="E1916" s="29">
        <v>46207</v>
      </c>
      <c r="F1916" t="s">
        <v>5</v>
      </c>
      <c r="G1916" s="28">
        <v>0.65486111111111112</v>
      </c>
      <c r="H1916" s="28">
        <v>0.65486111111111112</v>
      </c>
      <c r="I1916">
        <v>0</v>
      </c>
      <c r="J1916" t="s">
        <v>174</v>
      </c>
      <c r="K1916">
        <v>0</v>
      </c>
      <c r="L1916" t="s">
        <v>5307</v>
      </c>
      <c r="M1916" t="s">
        <v>5281</v>
      </c>
      <c r="N1916" t="s">
        <v>5282</v>
      </c>
      <c r="O1916" t="s">
        <v>5283</v>
      </c>
      <c r="P1916" t="s">
        <v>5284</v>
      </c>
    </row>
    <row r="1917" spans="1:16" x14ac:dyDescent="0.35">
      <c r="A1917" t="s">
        <v>110</v>
      </c>
      <c r="B1917">
        <v>1324732631</v>
      </c>
      <c r="C1917" t="s">
        <v>18</v>
      </c>
      <c r="D1917" t="s">
        <v>21</v>
      </c>
      <c r="E1917" s="29">
        <v>46207</v>
      </c>
      <c r="F1917" t="s">
        <v>5</v>
      </c>
      <c r="G1917" s="28">
        <v>0.66180555555555554</v>
      </c>
      <c r="H1917" s="28">
        <v>0.66874999999999996</v>
      </c>
      <c r="I1917">
        <v>0</v>
      </c>
      <c r="J1917" t="s">
        <v>146</v>
      </c>
      <c r="K1917">
        <v>0</v>
      </c>
      <c r="L1917" t="s">
        <v>147</v>
      </c>
      <c r="M1917" t="s">
        <v>5286</v>
      </c>
      <c r="N1917" t="s">
        <v>5308</v>
      </c>
      <c r="O1917" t="s">
        <v>5309</v>
      </c>
      <c r="P1917" t="s">
        <v>5310</v>
      </c>
    </row>
    <row r="1918" spans="1:16" x14ac:dyDescent="0.35">
      <c r="A1918" t="s">
        <v>110</v>
      </c>
      <c r="B1918">
        <v>1324732631</v>
      </c>
      <c r="C1918" t="s">
        <v>18</v>
      </c>
      <c r="D1918" t="s">
        <v>21</v>
      </c>
      <c r="E1918" s="29">
        <v>46207</v>
      </c>
      <c r="F1918" t="s">
        <v>5</v>
      </c>
      <c r="G1918" s="28">
        <v>0.67569444444444449</v>
      </c>
      <c r="H1918" s="28">
        <v>0.72430555555555554</v>
      </c>
      <c r="I1918">
        <v>1</v>
      </c>
      <c r="J1918" t="s">
        <v>146</v>
      </c>
      <c r="K1918">
        <v>4</v>
      </c>
      <c r="L1918" t="s">
        <v>147</v>
      </c>
      <c r="M1918" t="s">
        <v>5311</v>
      </c>
      <c r="N1918" t="s">
        <v>5312</v>
      </c>
      <c r="O1918" t="s">
        <v>5313</v>
      </c>
      <c r="P1918" t="s">
        <v>5314</v>
      </c>
    </row>
    <row r="1919" spans="1:16" x14ac:dyDescent="0.35">
      <c r="A1919" t="s">
        <v>110</v>
      </c>
      <c r="B1919">
        <v>1324732631</v>
      </c>
      <c r="C1919" t="s">
        <v>18</v>
      </c>
      <c r="D1919" t="s">
        <v>21</v>
      </c>
      <c r="E1919" s="29">
        <v>46207</v>
      </c>
      <c r="F1919" t="s">
        <v>5</v>
      </c>
      <c r="G1919" s="28">
        <v>0.73124999999999996</v>
      </c>
      <c r="H1919" s="28">
        <v>0.73124999999999996</v>
      </c>
      <c r="I1919">
        <v>0</v>
      </c>
      <c r="J1919" t="s">
        <v>174</v>
      </c>
      <c r="K1919">
        <v>0</v>
      </c>
      <c r="L1919" t="s">
        <v>4054</v>
      </c>
      <c r="M1919" t="s">
        <v>5315</v>
      </c>
      <c r="N1919" t="s">
        <v>5316</v>
      </c>
      <c r="O1919" t="s">
        <v>5317</v>
      </c>
      <c r="P1919" t="s">
        <v>5318</v>
      </c>
    </row>
    <row r="1920" spans="1:16" x14ac:dyDescent="0.35">
      <c r="A1920" t="s">
        <v>110</v>
      </c>
      <c r="B1920">
        <v>1324732631</v>
      </c>
      <c r="C1920" t="s">
        <v>18</v>
      </c>
      <c r="D1920" t="s">
        <v>21</v>
      </c>
      <c r="E1920" s="29">
        <v>46207</v>
      </c>
      <c r="F1920" t="s">
        <v>5</v>
      </c>
      <c r="G1920" s="28">
        <v>0.73819444444444449</v>
      </c>
      <c r="H1920" s="28">
        <v>0.73819444444444449</v>
      </c>
      <c r="I1920">
        <v>0</v>
      </c>
      <c r="J1920" t="s">
        <v>174</v>
      </c>
      <c r="K1920">
        <v>0</v>
      </c>
      <c r="L1920" t="s">
        <v>245</v>
      </c>
      <c r="M1920" t="s">
        <v>5319</v>
      </c>
      <c r="N1920" t="s">
        <v>5320</v>
      </c>
      <c r="O1920" t="s">
        <v>5321</v>
      </c>
      <c r="P1920" t="s">
        <v>5322</v>
      </c>
    </row>
    <row r="1921" spans="1:16" x14ac:dyDescent="0.35">
      <c r="A1921" t="s">
        <v>110</v>
      </c>
      <c r="B1921">
        <v>1324732631</v>
      </c>
      <c r="C1921" t="s">
        <v>18</v>
      </c>
      <c r="D1921" t="s">
        <v>21</v>
      </c>
      <c r="E1921" s="29">
        <v>46207</v>
      </c>
      <c r="F1921" t="s">
        <v>5</v>
      </c>
      <c r="G1921" s="28">
        <v>0.74513888888888891</v>
      </c>
      <c r="H1921" s="28">
        <v>0.74513888888888891</v>
      </c>
      <c r="I1921">
        <v>0</v>
      </c>
      <c r="J1921" t="s">
        <v>174</v>
      </c>
      <c r="K1921">
        <v>0</v>
      </c>
      <c r="L1921" t="s">
        <v>3381</v>
      </c>
      <c r="M1921" t="s">
        <v>5323</v>
      </c>
      <c r="N1921" t="s">
        <v>5324</v>
      </c>
      <c r="O1921" t="s">
        <v>5325</v>
      </c>
      <c r="P1921" t="s">
        <v>5326</v>
      </c>
    </row>
    <row r="1922" spans="1:16" x14ac:dyDescent="0.35">
      <c r="A1922" t="s">
        <v>110</v>
      </c>
      <c r="B1922">
        <v>1324732631</v>
      </c>
      <c r="C1922" t="s">
        <v>18</v>
      </c>
      <c r="D1922" t="s">
        <v>21</v>
      </c>
      <c r="E1922" s="29">
        <v>46207</v>
      </c>
      <c r="F1922" t="s">
        <v>5</v>
      </c>
      <c r="G1922" s="28">
        <v>0.75208333333333333</v>
      </c>
      <c r="H1922" s="28">
        <v>0.75208333333333333</v>
      </c>
      <c r="I1922">
        <v>0</v>
      </c>
      <c r="J1922" t="s">
        <v>174</v>
      </c>
      <c r="K1922">
        <v>0</v>
      </c>
      <c r="L1922" t="s">
        <v>5327</v>
      </c>
      <c r="M1922" t="s">
        <v>5328</v>
      </c>
      <c r="N1922" t="s">
        <v>5329</v>
      </c>
      <c r="O1922" t="s">
        <v>5330</v>
      </c>
      <c r="P1922" t="s">
        <v>5331</v>
      </c>
    </row>
    <row r="1923" spans="1:16" x14ac:dyDescent="0.35">
      <c r="A1923" t="s">
        <v>110</v>
      </c>
      <c r="B1923">
        <v>1324732631</v>
      </c>
      <c r="C1923" t="s">
        <v>18</v>
      </c>
      <c r="D1923" t="s">
        <v>21</v>
      </c>
      <c r="E1923" s="29">
        <v>46207</v>
      </c>
      <c r="F1923" t="s">
        <v>5</v>
      </c>
      <c r="G1923" s="28">
        <v>0.75902777777777775</v>
      </c>
      <c r="H1923" s="28">
        <v>0.75902777777777775</v>
      </c>
      <c r="I1923">
        <v>0</v>
      </c>
      <c r="J1923" t="s">
        <v>174</v>
      </c>
      <c r="K1923">
        <v>0</v>
      </c>
      <c r="L1923" t="s">
        <v>3810</v>
      </c>
      <c r="M1923" t="s">
        <v>5125</v>
      </c>
      <c r="N1923" t="s">
        <v>5332</v>
      </c>
      <c r="O1923" t="s">
        <v>5333</v>
      </c>
      <c r="P1923" t="s">
        <v>5334</v>
      </c>
    </row>
    <row r="1924" spans="1:16" x14ac:dyDescent="0.35">
      <c r="A1924" t="s">
        <v>110</v>
      </c>
      <c r="B1924">
        <v>1324732631</v>
      </c>
      <c r="C1924" t="s">
        <v>18</v>
      </c>
      <c r="D1924" t="s">
        <v>21</v>
      </c>
      <c r="E1924" s="29">
        <v>46207</v>
      </c>
      <c r="F1924" t="s">
        <v>5</v>
      </c>
      <c r="G1924" s="28">
        <v>0.76597222222222228</v>
      </c>
      <c r="H1924" s="28">
        <v>0.76597222222222228</v>
      </c>
      <c r="I1924">
        <v>0</v>
      </c>
      <c r="J1924" t="s">
        <v>174</v>
      </c>
      <c r="K1924">
        <v>0</v>
      </c>
      <c r="L1924" t="s">
        <v>5335</v>
      </c>
      <c r="M1924" t="s">
        <v>5336</v>
      </c>
      <c r="N1924" t="s">
        <v>5337</v>
      </c>
      <c r="O1924" t="s">
        <v>5338</v>
      </c>
      <c r="P1924" t="s">
        <v>5339</v>
      </c>
    </row>
    <row r="1925" spans="1:16" x14ac:dyDescent="0.35">
      <c r="A1925" t="s">
        <v>110</v>
      </c>
      <c r="B1925">
        <v>1324732631</v>
      </c>
      <c r="C1925" t="s">
        <v>18</v>
      </c>
      <c r="D1925" t="s">
        <v>21</v>
      </c>
      <c r="E1925" s="29">
        <v>46207</v>
      </c>
      <c r="F1925" t="s">
        <v>5</v>
      </c>
      <c r="G1925" s="28">
        <v>0.7729166666666667</v>
      </c>
      <c r="H1925" s="28">
        <v>0.7729166666666667</v>
      </c>
      <c r="I1925">
        <v>0</v>
      </c>
      <c r="J1925" t="s">
        <v>174</v>
      </c>
      <c r="K1925">
        <v>0</v>
      </c>
      <c r="L1925" t="s">
        <v>5340</v>
      </c>
      <c r="M1925" t="s">
        <v>5134</v>
      </c>
      <c r="N1925" t="s">
        <v>5135</v>
      </c>
      <c r="O1925" t="s">
        <v>5136</v>
      </c>
      <c r="P1925" t="s">
        <v>5137</v>
      </c>
    </row>
    <row r="1926" spans="1:16" x14ac:dyDescent="0.35">
      <c r="A1926" t="s">
        <v>110</v>
      </c>
      <c r="B1926">
        <v>1324732631</v>
      </c>
      <c r="C1926" t="s">
        <v>18</v>
      </c>
      <c r="D1926" t="s">
        <v>21</v>
      </c>
      <c r="E1926" s="29">
        <v>46207</v>
      </c>
      <c r="F1926" t="s">
        <v>5</v>
      </c>
      <c r="G1926" s="28">
        <v>0.77986111111111112</v>
      </c>
      <c r="H1926" s="28">
        <v>0.77986111111111112</v>
      </c>
      <c r="I1926">
        <v>0</v>
      </c>
      <c r="J1926" t="s">
        <v>174</v>
      </c>
      <c r="K1926">
        <v>0</v>
      </c>
      <c r="L1926" t="s">
        <v>5341</v>
      </c>
      <c r="M1926" t="s">
        <v>5342</v>
      </c>
      <c r="N1926" t="s">
        <v>5343</v>
      </c>
      <c r="O1926" t="s">
        <v>5344</v>
      </c>
      <c r="P1926" t="s">
        <v>5345</v>
      </c>
    </row>
    <row r="1927" spans="1:16" x14ac:dyDescent="0.35">
      <c r="A1927" t="s">
        <v>110</v>
      </c>
      <c r="B1927">
        <v>1324732631</v>
      </c>
      <c r="C1927" t="s">
        <v>18</v>
      </c>
      <c r="D1927" t="s">
        <v>21</v>
      </c>
      <c r="E1927" s="29">
        <v>46207</v>
      </c>
      <c r="F1927" t="s">
        <v>5</v>
      </c>
      <c r="G1927" s="28">
        <v>0.78680555555555554</v>
      </c>
      <c r="H1927" s="28">
        <v>0.80069444444444449</v>
      </c>
      <c r="I1927">
        <v>0</v>
      </c>
      <c r="J1927" t="s">
        <v>146</v>
      </c>
      <c r="K1927">
        <v>1</v>
      </c>
      <c r="L1927" t="s">
        <v>147</v>
      </c>
      <c r="M1927" t="s">
        <v>5346</v>
      </c>
      <c r="N1927" t="s">
        <v>5347</v>
      </c>
      <c r="O1927" t="s">
        <v>5348</v>
      </c>
      <c r="P1927" t="s">
        <v>5349</v>
      </c>
    </row>
    <row r="1928" spans="1:16" x14ac:dyDescent="0.35">
      <c r="A1928" t="s">
        <v>110</v>
      </c>
      <c r="B1928">
        <v>1324732631</v>
      </c>
      <c r="C1928" t="s">
        <v>18</v>
      </c>
      <c r="D1928" t="s">
        <v>21</v>
      </c>
      <c r="E1928" s="29">
        <v>46208</v>
      </c>
      <c r="F1928" t="s">
        <v>6</v>
      </c>
      <c r="G1928" s="28">
        <v>0.41180555555555554</v>
      </c>
      <c r="H1928" s="28">
        <v>0.41180555555555554</v>
      </c>
      <c r="I1928">
        <v>0</v>
      </c>
      <c r="J1928" t="s">
        <v>174</v>
      </c>
      <c r="K1928">
        <v>0</v>
      </c>
      <c r="L1928" t="s">
        <v>5350</v>
      </c>
      <c r="M1928" t="s">
        <v>5157</v>
      </c>
      <c r="N1928" t="s">
        <v>5158</v>
      </c>
      <c r="O1928" t="s">
        <v>5159</v>
      </c>
      <c r="P1928" t="s">
        <v>5160</v>
      </c>
    </row>
    <row r="1929" spans="1:16" x14ac:dyDescent="0.35">
      <c r="A1929" t="s">
        <v>110</v>
      </c>
      <c r="B1929">
        <v>1324732631</v>
      </c>
      <c r="C1929" t="s">
        <v>18</v>
      </c>
      <c r="D1929" t="s">
        <v>21</v>
      </c>
      <c r="E1929" s="29">
        <v>46208</v>
      </c>
      <c r="F1929" t="s">
        <v>6</v>
      </c>
      <c r="G1929" s="28">
        <v>0.41875000000000001</v>
      </c>
      <c r="H1929" s="28">
        <v>0.4465277777777778</v>
      </c>
      <c r="I1929">
        <v>1</v>
      </c>
      <c r="J1929" t="s">
        <v>146</v>
      </c>
      <c r="K1929">
        <v>2</v>
      </c>
      <c r="L1929" t="s">
        <v>147</v>
      </c>
      <c r="M1929" t="s">
        <v>5351</v>
      </c>
      <c r="N1929" t="s">
        <v>5352</v>
      </c>
      <c r="O1929" t="s">
        <v>5353</v>
      </c>
      <c r="P1929" t="s">
        <v>5354</v>
      </c>
    </row>
    <row r="1930" spans="1:16" x14ac:dyDescent="0.35">
      <c r="A1930" t="s">
        <v>110</v>
      </c>
      <c r="B1930">
        <v>1324732631</v>
      </c>
      <c r="C1930" t="s">
        <v>18</v>
      </c>
      <c r="D1930" t="s">
        <v>21</v>
      </c>
      <c r="E1930" s="29">
        <v>46208</v>
      </c>
      <c r="F1930" t="s">
        <v>6</v>
      </c>
      <c r="G1930" s="28">
        <v>0.45347222222222222</v>
      </c>
      <c r="H1930" s="28">
        <v>0.45347222222222222</v>
      </c>
      <c r="I1930">
        <v>0</v>
      </c>
      <c r="J1930" t="s">
        <v>174</v>
      </c>
      <c r="K1930">
        <v>0</v>
      </c>
      <c r="L1930" t="s">
        <v>5355</v>
      </c>
      <c r="M1930" t="s">
        <v>5356</v>
      </c>
      <c r="N1930" t="s">
        <v>5357</v>
      </c>
      <c r="O1930" t="s">
        <v>5358</v>
      </c>
      <c r="P1930" t="s">
        <v>5359</v>
      </c>
    </row>
    <row r="1931" spans="1:16" x14ac:dyDescent="0.35">
      <c r="A1931" t="s">
        <v>110</v>
      </c>
      <c r="B1931">
        <v>1324732631</v>
      </c>
      <c r="C1931" t="s">
        <v>18</v>
      </c>
      <c r="D1931" t="s">
        <v>21</v>
      </c>
      <c r="E1931" s="29">
        <v>46208</v>
      </c>
      <c r="F1931" t="s">
        <v>6</v>
      </c>
      <c r="G1931" s="28">
        <v>0.46041666666666664</v>
      </c>
      <c r="H1931" s="28">
        <v>0.47430555555555554</v>
      </c>
      <c r="I1931">
        <v>0</v>
      </c>
      <c r="J1931" t="s">
        <v>146</v>
      </c>
      <c r="K1931">
        <v>1</v>
      </c>
      <c r="L1931" t="s">
        <v>147</v>
      </c>
      <c r="M1931" t="s">
        <v>5351</v>
      </c>
      <c r="N1931" t="s">
        <v>5352</v>
      </c>
      <c r="O1931" t="s">
        <v>5353</v>
      </c>
      <c r="P1931" t="s">
        <v>5354</v>
      </c>
    </row>
    <row r="1932" spans="1:16" x14ac:dyDescent="0.35">
      <c r="A1932" t="s">
        <v>110</v>
      </c>
      <c r="B1932">
        <v>1324732631</v>
      </c>
      <c r="C1932" t="s">
        <v>18</v>
      </c>
      <c r="D1932" t="s">
        <v>21</v>
      </c>
      <c r="E1932" s="29">
        <v>46208</v>
      </c>
      <c r="F1932" t="s">
        <v>6</v>
      </c>
      <c r="G1932" s="28">
        <v>0.48125000000000001</v>
      </c>
      <c r="H1932" s="28">
        <v>0.48125000000000001</v>
      </c>
      <c r="I1932">
        <v>0</v>
      </c>
      <c r="J1932" t="s">
        <v>174</v>
      </c>
      <c r="K1932">
        <v>0</v>
      </c>
      <c r="L1932" t="s">
        <v>2412</v>
      </c>
      <c r="M1932" t="s">
        <v>5360</v>
      </c>
      <c r="N1932" t="s">
        <v>5361</v>
      </c>
      <c r="O1932" t="s">
        <v>5362</v>
      </c>
      <c r="P1932" t="s">
        <v>5363</v>
      </c>
    </row>
    <row r="1933" spans="1:16" x14ac:dyDescent="0.35">
      <c r="A1933" t="s">
        <v>110</v>
      </c>
      <c r="B1933">
        <v>1324732631</v>
      </c>
      <c r="C1933" t="s">
        <v>18</v>
      </c>
      <c r="D1933" t="s">
        <v>21</v>
      </c>
      <c r="E1933" s="29">
        <v>46208</v>
      </c>
      <c r="F1933" t="s">
        <v>6</v>
      </c>
      <c r="G1933" s="28">
        <v>0.48819444444444443</v>
      </c>
      <c r="H1933" s="28">
        <v>0.48819444444444443</v>
      </c>
      <c r="I1933">
        <v>0</v>
      </c>
      <c r="J1933" t="s">
        <v>174</v>
      </c>
      <c r="K1933">
        <v>0</v>
      </c>
      <c r="L1933" t="s">
        <v>3082</v>
      </c>
      <c r="M1933" t="s">
        <v>5360</v>
      </c>
      <c r="N1933" t="s">
        <v>5364</v>
      </c>
      <c r="O1933" t="s">
        <v>5365</v>
      </c>
      <c r="P1933" t="s">
        <v>5366</v>
      </c>
    </row>
    <row r="1934" spans="1:16" x14ac:dyDescent="0.35">
      <c r="A1934" t="s">
        <v>110</v>
      </c>
      <c r="B1934">
        <v>1324732631</v>
      </c>
      <c r="C1934" t="s">
        <v>18</v>
      </c>
      <c r="D1934" t="s">
        <v>21</v>
      </c>
      <c r="E1934" s="29">
        <v>46208</v>
      </c>
      <c r="F1934" t="s">
        <v>6</v>
      </c>
      <c r="G1934" s="28">
        <v>0.49513888888888891</v>
      </c>
      <c r="H1934" s="28">
        <v>0.49513888888888891</v>
      </c>
      <c r="I1934">
        <v>0</v>
      </c>
      <c r="J1934" t="s">
        <v>174</v>
      </c>
      <c r="K1934">
        <v>0</v>
      </c>
      <c r="L1934" t="s">
        <v>2918</v>
      </c>
      <c r="M1934" t="s">
        <v>5367</v>
      </c>
      <c r="N1934" t="s">
        <v>5368</v>
      </c>
      <c r="O1934" t="s">
        <v>5369</v>
      </c>
      <c r="P1934" t="s">
        <v>5370</v>
      </c>
    </row>
    <row r="1935" spans="1:16" x14ac:dyDescent="0.35">
      <c r="A1935" t="s">
        <v>110</v>
      </c>
      <c r="B1935">
        <v>1324732631</v>
      </c>
      <c r="C1935" t="s">
        <v>18</v>
      </c>
      <c r="D1935" t="s">
        <v>21</v>
      </c>
      <c r="E1935" s="29">
        <v>46208</v>
      </c>
      <c r="F1935" t="s">
        <v>6</v>
      </c>
      <c r="G1935" s="28">
        <v>0.50902777777777775</v>
      </c>
      <c r="H1935" s="28">
        <v>0.50902777777777775</v>
      </c>
      <c r="I1935">
        <v>0</v>
      </c>
      <c r="J1935" t="s">
        <v>174</v>
      </c>
      <c r="K1935">
        <v>0</v>
      </c>
      <c r="L1935" t="s">
        <v>4601</v>
      </c>
      <c r="M1935" t="s">
        <v>5346</v>
      </c>
      <c r="N1935" t="s">
        <v>5347</v>
      </c>
      <c r="O1935" t="s">
        <v>5348</v>
      </c>
      <c r="P1935" t="s">
        <v>5349</v>
      </c>
    </row>
    <row r="1936" spans="1:16" x14ac:dyDescent="0.35">
      <c r="A1936" t="s">
        <v>110</v>
      </c>
      <c r="B1936">
        <v>1324732631</v>
      </c>
      <c r="C1936" t="s">
        <v>18</v>
      </c>
      <c r="D1936" t="s">
        <v>21</v>
      </c>
      <c r="E1936" s="29">
        <v>46208</v>
      </c>
      <c r="F1936" t="s">
        <v>6</v>
      </c>
      <c r="G1936" s="28">
        <v>0.51597222222222228</v>
      </c>
      <c r="H1936" s="28">
        <v>0.51597222222222228</v>
      </c>
      <c r="I1936">
        <v>0</v>
      </c>
      <c r="J1936" t="s">
        <v>174</v>
      </c>
      <c r="K1936">
        <v>0</v>
      </c>
      <c r="L1936" t="s">
        <v>5371</v>
      </c>
      <c r="M1936" t="s">
        <v>5372</v>
      </c>
      <c r="N1936" t="s">
        <v>5373</v>
      </c>
      <c r="O1936" t="s">
        <v>5374</v>
      </c>
      <c r="P1936" t="s">
        <v>5375</v>
      </c>
    </row>
    <row r="1937" spans="1:16" x14ac:dyDescent="0.35">
      <c r="A1937" t="s">
        <v>110</v>
      </c>
      <c r="B1937">
        <v>1324732631</v>
      </c>
      <c r="C1937" t="s">
        <v>18</v>
      </c>
      <c r="D1937" t="s">
        <v>21</v>
      </c>
      <c r="E1937" s="29">
        <v>46208</v>
      </c>
      <c r="F1937" t="s">
        <v>6</v>
      </c>
      <c r="G1937" s="28">
        <v>0.5229166666666667</v>
      </c>
      <c r="H1937" s="28">
        <v>0.5229166666666667</v>
      </c>
      <c r="I1937">
        <v>0</v>
      </c>
      <c r="J1937" t="s">
        <v>174</v>
      </c>
      <c r="K1937">
        <v>0</v>
      </c>
      <c r="L1937" t="s">
        <v>3882</v>
      </c>
      <c r="M1937" t="s">
        <v>5376</v>
      </c>
      <c r="N1937" t="s">
        <v>5377</v>
      </c>
      <c r="O1937" t="s">
        <v>5378</v>
      </c>
      <c r="P1937" t="s">
        <v>5379</v>
      </c>
    </row>
    <row r="1938" spans="1:16" x14ac:dyDescent="0.35">
      <c r="A1938" t="s">
        <v>110</v>
      </c>
      <c r="B1938">
        <v>1324732631</v>
      </c>
      <c r="C1938" t="s">
        <v>18</v>
      </c>
      <c r="D1938" t="s">
        <v>21</v>
      </c>
      <c r="E1938" s="29">
        <v>46208</v>
      </c>
      <c r="F1938" t="s">
        <v>6</v>
      </c>
      <c r="G1938" s="28">
        <v>0.52986111111111112</v>
      </c>
      <c r="H1938" s="28">
        <v>0.52986111111111112</v>
      </c>
      <c r="I1938">
        <v>0</v>
      </c>
      <c r="J1938" t="s">
        <v>174</v>
      </c>
      <c r="K1938">
        <v>0</v>
      </c>
      <c r="L1938" t="s">
        <v>4670</v>
      </c>
      <c r="M1938" t="s">
        <v>5380</v>
      </c>
      <c r="N1938" t="s">
        <v>5381</v>
      </c>
      <c r="O1938" t="s">
        <v>5382</v>
      </c>
      <c r="P1938" t="s">
        <v>5383</v>
      </c>
    </row>
    <row r="1939" spans="1:16" x14ac:dyDescent="0.35">
      <c r="A1939" t="s">
        <v>110</v>
      </c>
      <c r="B1939">
        <v>1324732631</v>
      </c>
      <c r="C1939" t="s">
        <v>18</v>
      </c>
      <c r="D1939" t="s">
        <v>21</v>
      </c>
      <c r="E1939" s="29">
        <v>46208</v>
      </c>
      <c r="F1939" t="s">
        <v>6</v>
      </c>
      <c r="G1939" s="28">
        <v>0.53680555555555554</v>
      </c>
      <c r="H1939" s="28">
        <v>0.53680555555555554</v>
      </c>
      <c r="I1939">
        <v>0</v>
      </c>
      <c r="J1939" t="s">
        <v>174</v>
      </c>
      <c r="K1939">
        <v>0</v>
      </c>
      <c r="L1939" t="s">
        <v>5384</v>
      </c>
      <c r="M1939" t="s">
        <v>5385</v>
      </c>
      <c r="N1939" t="s">
        <v>5386</v>
      </c>
      <c r="O1939" t="s">
        <v>5387</v>
      </c>
      <c r="P1939" t="s">
        <v>5388</v>
      </c>
    </row>
    <row r="1940" spans="1:16" x14ac:dyDescent="0.35">
      <c r="A1940" t="s">
        <v>110</v>
      </c>
      <c r="B1940">
        <v>1324732631</v>
      </c>
      <c r="C1940" t="s">
        <v>18</v>
      </c>
      <c r="D1940" t="s">
        <v>21</v>
      </c>
      <c r="E1940" s="29">
        <v>46208</v>
      </c>
      <c r="F1940" t="s">
        <v>6</v>
      </c>
      <c r="G1940" s="28">
        <v>0.54374999999999996</v>
      </c>
      <c r="H1940" s="28">
        <v>0.54374999999999996</v>
      </c>
      <c r="I1940">
        <v>0</v>
      </c>
      <c r="J1940" t="s">
        <v>174</v>
      </c>
      <c r="K1940">
        <v>0</v>
      </c>
      <c r="L1940" t="s">
        <v>1476</v>
      </c>
      <c r="M1940" t="s">
        <v>4357</v>
      </c>
      <c r="N1940" t="s">
        <v>4358</v>
      </c>
      <c r="O1940" t="s">
        <v>4359</v>
      </c>
      <c r="P1940" t="s">
        <v>4360</v>
      </c>
    </row>
    <row r="1941" spans="1:16" x14ac:dyDescent="0.35">
      <c r="A1941" t="s">
        <v>110</v>
      </c>
      <c r="B1941">
        <v>1324732631</v>
      </c>
      <c r="C1941" t="s">
        <v>18</v>
      </c>
      <c r="D1941" t="s">
        <v>21</v>
      </c>
      <c r="E1941" s="29">
        <v>46208</v>
      </c>
      <c r="F1941" t="s">
        <v>6</v>
      </c>
      <c r="G1941" s="28">
        <v>0.55069444444444449</v>
      </c>
      <c r="H1941" s="28">
        <v>0.55069444444444449</v>
      </c>
      <c r="I1941">
        <v>0</v>
      </c>
      <c r="J1941" t="s">
        <v>174</v>
      </c>
      <c r="K1941">
        <v>0</v>
      </c>
      <c r="L1941" t="s">
        <v>657</v>
      </c>
      <c r="M1941" t="s">
        <v>5389</v>
      </c>
      <c r="N1941" t="s">
        <v>5390</v>
      </c>
      <c r="O1941" t="s">
        <v>5391</v>
      </c>
      <c r="P1941" t="s">
        <v>5392</v>
      </c>
    </row>
    <row r="1942" spans="1:16" x14ac:dyDescent="0.35">
      <c r="A1942" t="s">
        <v>110</v>
      </c>
      <c r="B1942">
        <v>1324732631</v>
      </c>
      <c r="C1942" t="s">
        <v>18</v>
      </c>
      <c r="D1942" t="s">
        <v>21</v>
      </c>
      <c r="E1942" s="29">
        <v>46208</v>
      </c>
      <c r="F1942" t="s">
        <v>6</v>
      </c>
      <c r="G1942" s="28">
        <v>0.55763888888888891</v>
      </c>
      <c r="H1942" s="28">
        <v>0.57847222222222228</v>
      </c>
      <c r="I1942">
        <v>1</v>
      </c>
      <c r="J1942" t="s">
        <v>146</v>
      </c>
      <c r="K1942">
        <v>2</v>
      </c>
      <c r="L1942" t="s">
        <v>147</v>
      </c>
      <c r="M1942" t="s">
        <v>5393</v>
      </c>
      <c r="N1942" t="s">
        <v>5394</v>
      </c>
      <c r="O1942" t="s">
        <v>5395</v>
      </c>
      <c r="P1942" t="s">
        <v>5396</v>
      </c>
    </row>
    <row r="1943" spans="1:16" x14ac:dyDescent="0.35">
      <c r="A1943" t="s">
        <v>110</v>
      </c>
      <c r="B1943">
        <v>1324732631</v>
      </c>
      <c r="C1943" t="s">
        <v>18</v>
      </c>
      <c r="D1943" t="s">
        <v>21</v>
      </c>
      <c r="E1943" s="29">
        <v>46208</v>
      </c>
      <c r="F1943" t="s">
        <v>6</v>
      </c>
      <c r="G1943" s="28">
        <v>0.5854166666666667</v>
      </c>
      <c r="H1943" s="28">
        <v>0.5854166666666667</v>
      </c>
      <c r="I1943">
        <v>0</v>
      </c>
      <c r="J1943" t="s">
        <v>174</v>
      </c>
      <c r="K1943">
        <v>0</v>
      </c>
      <c r="L1943" t="s">
        <v>1811</v>
      </c>
      <c r="M1943" t="s">
        <v>5397</v>
      </c>
      <c r="N1943" t="s">
        <v>5398</v>
      </c>
      <c r="O1943" t="s">
        <v>5399</v>
      </c>
      <c r="P1943" t="s">
        <v>5400</v>
      </c>
    </row>
    <row r="1944" spans="1:16" x14ac:dyDescent="0.35">
      <c r="A1944" t="s">
        <v>110</v>
      </c>
      <c r="B1944">
        <v>1324732631</v>
      </c>
      <c r="C1944" t="s">
        <v>18</v>
      </c>
      <c r="D1944" t="s">
        <v>21</v>
      </c>
      <c r="E1944" s="29">
        <v>46208</v>
      </c>
      <c r="F1944" t="s">
        <v>6</v>
      </c>
      <c r="G1944" s="28">
        <v>0.59236111111111112</v>
      </c>
      <c r="H1944" s="28">
        <v>0.62013888888888891</v>
      </c>
      <c r="I1944">
        <v>1</v>
      </c>
      <c r="J1944" t="s">
        <v>146</v>
      </c>
      <c r="K1944">
        <v>2</v>
      </c>
      <c r="L1944" t="s">
        <v>147</v>
      </c>
      <c r="M1944" t="s">
        <v>5401</v>
      </c>
      <c r="N1944" t="s">
        <v>5402</v>
      </c>
      <c r="O1944" t="s">
        <v>5403</v>
      </c>
      <c r="P1944" t="s">
        <v>5404</v>
      </c>
    </row>
    <row r="1945" spans="1:16" x14ac:dyDescent="0.35">
      <c r="A1945" t="s">
        <v>110</v>
      </c>
      <c r="B1945">
        <v>1324732631</v>
      </c>
      <c r="C1945" t="s">
        <v>18</v>
      </c>
      <c r="D1945" t="s">
        <v>21</v>
      </c>
      <c r="E1945" s="29">
        <v>46208</v>
      </c>
      <c r="F1945" t="s">
        <v>6</v>
      </c>
      <c r="G1945" s="28">
        <v>0.62708333333333333</v>
      </c>
      <c r="H1945" s="28">
        <v>0.63402777777777775</v>
      </c>
      <c r="I1945">
        <v>0</v>
      </c>
      <c r="J1945" t="s">
        <v>146</v>
      </c>
      <c r="K1945">
        <v>0</v>
      </c>
      <c r="L1945" t="s">
        <v>147</v>
      </c>
      <c r="M1945" t="s">
        <v>5405</v>
      </c>
      <c r="N1945" t="s">
        <v>5406</v>
      </c>
      <c r="O1945" t="s">
        <v>5407</v>
      </c>
      <c r="P1945" t="s">
        <v>5408</v>
      </c>
    </row>
    <row r="1946" spans="1:16" x14ac:dyDescent="0.35">
      <c r="A1946" t="s">
        <v>110</v>
      </c>
      <c r="B1946">
        <v>1324732631</v>
      </c>
      <c r="C1946" t="s">
        <v>18</v>
      </c>
      <c r="D1946" t="s">
        <v>21</v>
      </c>
      <c r="E1946" s="29">
        <v>46208</v>
      </c>
      <c r="F1946" t="s">
        <v>6</v>
      </c>
      <c r="G1946" s="28">
        <v>0.64097222222222228</v>
      </c>
      <c r="H1946" s="28">
        <v>0.6479166666666667</v>
      </c>
      <c r="I1946">
        <v>0</v>
      </c>
      <c r="J1946" t="s">
        <v>146</v>
      </c>
      <c r="K1946">
        <v>0</v>
      </c>
      <c r="L1946" t="s">
        <v>147</v>
      </c>
      <c r="M1946" t="s">
        <v>5409</v>
      </c>
      <c r="N1946" t="s">
        <v>5410</v>
      </c>
      <c r="O1946" t="s">
        <v>5411</v>
      </c>
      <c r="P1946" t="s">
        <v>5412</v>
      </c>
    </row>
    <row r="1947" spans="1:16" x14ac:dyDescent="0.35">
      <c r="A1947" t="s">
        <v>110</v>
      </c>
      <c r="B1947">
        <v>1324732631</v>
      </c>
      <c r="C1947" t="s">
        <v>18</v>
      </c>
      <c r="D1947" t="s">
        <v>21</v>
      </c>
      <c r="E1947" s="29">
        <v>46208</v>
      </c>
      <c r="F1947" t="s">
        <v>6</v>
      </c>
      <c r="G1947" s="28">
        <v>0.65486111111111112</v>
      </c>
      <c r="H1947" s="28">
        <v>0.65486111111111112</v>
      </c>
      <c r="I1947">
        <v>0</v>
      </c>
      <c r="J1947" t="s">
        <v>174</v>
      </c>
      <c r="K1947">
        <v>0</v>
      </c>
      <c r="L1947" t="s">
        <v>2194</v>
      </c>
      <c r="M1947" t="s">
        <v>5389</v>
      </c>
      <c r="N1947" t="s">
        <v>5413</v>
      </c>
      <c r="O1947" t="s">
        <v>5414</v>
      </c>
      <c r="P1947" t="s">
        <v>5415</v>
      </c>
    </row>
    <row r="1948" spans="1:16" x14ac:dyDescent="0.35">
      <c r="A1948" t="s">
        <v>110</v>
      </c>
      <c r="B1948">
        <v>1324732631</v>
      </c>
      <c r="C1948" t="s">
        <v>18</v>
      </c>
      <c r="D1948" t="s">
        <v>21</v>
      </c>
      <c r="E1948" s="29">
        <v>46208</v>
      </c>
      <c r="F1948" t="s">
        <v>6</v>
      </c>
      <c r="G1948" s="28">
        <v>0.66180555555555554</v>
      </c>
      <c r="H1948" s="28">
        <v>0.66180555555555554</v>
      </c>
      <c r="I1948">
        <v>0</v>
      </c>
      <c r="J1948" t="s">
        <v>174</v>
      </c>
      <c r="K1948">
        <v>0</v>
      </c>
      <c r="L1948" t="s">
        <v>2194</v>
      </c>
      <c r="M1948" t="s">
        <v>5409</v>
      </c>
      <c r="N1948" t="s">
        <v>5410</v>
      </c>
      <c r="O1948" t="s">
        <v>5411</v>
      </c>
      <c r="P1948" t="s">
        <v>5412</v>
      </c>
    </row>
    <row r="1949" spans="1:16" x14ac:dyDescent="0.35">
      <c r="A1949" t="s">
        <v>110</v>
      </c>
      <c r="B1949">
        <v>1324732631</v>
      </c>
      <c r="C1949" t="s">
        <v>18</v>
      </c>
      <c r="D1949" t="s">
        <v>21</v>
      </c>
      <c r="E1949" s="29">
        <v>46208</v>
      </c>
      <c r="F1949" t="s">
        <v>6</v>
      </c>
      <c r="G1949" s="28">
        <v>0.66874999999999996</v>
      </c>
      <c r="H1949" s="28">
        <v>0.69652777777777775</v>
      </c>
      <c r="I1949">
        <v>1</v>
      </c>
      <c r="J1949" t="s">
        <v>146</v>
      </c>
      <c r="K1949">
        <v>2</v>
      </c>
      <c r="L1949" t="s">
        <v>147</v>
      </c>
      <c r="M1949" t="s">
        <v>5389</v>
      </c>
      <c r="N1949" t="s">
        <v>5413</v>
      </c>
      <c r="O1949" t="s">
        <v>5414</v>
      </c>
      <c r="P1949" t="s">
        <v>5415</v>
      </c>
    </row>
    <row r="1950" spans="1:16" x14ac:dyDescent="0.35">
      <c r="A1950" t="s">
        <v>110</v>
      </c>
      <c r="B1950">
        <v>1324732631</v>
      </c>
      <c r="C1950" t="s">
        <v>18</v>
      </c>
      <c r="D1950" t="s">
        <v>21</v>
      </c>
      <c r="E1950" s="29">
        <v>46208</v>
      </c>
      <c r="F1950" t="s">
        <v>6</v>
      </c>
      <c r="G1950" s="28">
        <v>0.70347222222222228</v>
      </c>
      <c r="H1950" s="28">
        <v>0.70347222222222228</v>
      </c>
      <c r="I1950">
        <v>0</v>
      </c>
      <c r="J1950" t="s">
        <v>174</v>
      </c>
      <c r="K1950">
        <v>0</v>
      </c>
      <c r="L1950" t="s">
        <v>2194</v>
      </c>
      <c r="M1950" t="s">
        <v>5409</v>
      </c>
      <c r="N1950" t="s">
        <v>5410</v>
      </c>
      <c r="O1950" t="s">
        <v>5411</v>
      </c>
      <c r="P1950" t="s">
        <v>5412</v>
      </c>
    </row>
    <row r="1951" spans="1:16" x14ac:dyDescent="0.35">
      <c r="A1951" t="s">
        <v>110</v>
      </c>
      <c r="B1951">
        <v>1324732631</v>
      </c>
      <c r="C1951" t="s">
        <v>18</v>
      </c>
      <c r="D1951" t="s">
        <v>21</v>
      </c>
      <c r="E1951" s="29">
        <v>46208</v>
      </c>
      <c r="F1951" t="s">
        <v>6</v>
      </c>
      <c r="G1951" s="28">
        <v>0.7104166666666667</v>
      </c>
      <c r="H1951" s="28">
        <v>0.7104166666666667</v>
      </c>
      <c r="I1951">
        <v>0</v>
      </c>
      <c r="J1951" t="s">
        <v>174</v>
      </c>
      <c r="K1951">
        <v>0</v>
      </c>
      <c r="L1951" t="s">
        <v>2194</v>
      </c>
      <c r="M1951" t="s">
        <v>5389</v>
      </c>
      <c r="N1951" t="s">
        <v>5413</v>
      </c>
      <c r="O1951" t="s">
        <v>5414</v>
      </c>
      <c r="P1951" t="s">
        <v>5415</v>
      </c>
    </row>
    <row r="1952" spans="1:16" x14ac:dyDescent="0.35">
      <c r="A1952" t="s">
        <v>110</v>
      </c>
      <c r="B1952">
        <v>1324732631</v>
      </c>
      <c r="C1952" t="s">
        <v>18</v>
      </c>
      <c r="D1952" t="s">
        <v>21</v>
      </c>
      <c r="E1952" s="29">
        <v>46208</v>
      </c>
      <c r="F1952" t="s">
        <v>6</v>
      </c>
      <c r="G1952" s="28">
        <v>0.71736111111111112</v>
      </c>
      <c r="H1952" s="28">
        <v>0.71736111111111112</v>
      </c>
      <c r="I1952">
        <v>0</v>
      </c>
      <c r="J1952" t="s">
        <v>174</v>
      </c>
      <c r="K1952">
        <v>0</v>
      </c>
      <c r="L1952" t="s">
        <v>2194</v>
      </c>
      <c r="M1952" t="s">
        <v>5409</v>
      </c>
      <c r="N1952" t="s">
        <v>5410</v>
      </c>
      <c r="O1952" t="s">
        <v>5411</v>
      </c>
      <c r="P1952" t="s">
        <v>5412</v>
      </c>
    </row>
    <row r="1953" spans="1:16" x14ac:dyDescent="0.35">
      <c r="A1953" t="s">
        <v>110</v>
      </c>
      <c r="B1953">
        <v>1324732631</v>
      </c>
      <c r="C1953" t="s">
        <v>18</v>
      </c>
      <c r="D1953" t="s">
        <v>21</v>
      </c>
      <c r="E1953" s="29">
        <v>46208</v>
      </c>
      <c r="F1953" t="s">
        <v>6</v>
      </c>
      <c r="G1953" s="28">
        <v>0.72430555555555554</v>
      </c>
      <c r="H1953" s="28">
        <v>0.72430555555555554</v>
      </c>
      <c r="I1953">
        <v>0</v>
      </c>
      <c r="J1953" t="s">
        <v>174</v>
      </c>
      <c r="K1953">
        <v>0</v>
      </c>
      <c r="L1953" t="s">
        <v>624</v>
      </c>
      <c r="M1953" t="s">
        <v>5389</v>
      </c>
      <c r="N1953" t="s">
        <v>5413</v>
      </c>
      <c r="O1953" t="s">
        <v>5414</v>
      </c>
      <c r="P1953" t="s">
        <v>5415</v>
      </c>
    </row>
    <row r="1954" spans="1:16" x14ac:dyDescent="0.35">
      <c r="A1954" t="s">
        <v>110</v>
      </c>
      <c r="B1954">
        <v>1324732631</v>
      </c>
      <c r="C1954" t="s">
        <v>18</v>
      </c>
      <c r="D1954" t="s">
        <v>21</v>
      </c>
      <c r="E1954" s="29">
        <v>46208</v>
      </c>
      <c r="F1954" t="s">
        <v>6</v>
      </c>
      <c r="G1954" s="28">
        <v>0.73124999999999996</v>
      </c>
      <c r="H1954" s="28">
        <v>0.73124999999999996</v>
      </c>
      <c r="I1954">
        <v>0</v>
      </c>
      <c r="J1954" t="s">
        <v>174</v>
      </c>
      <c r="K1954">
        <v>0</v>
      </c>
      <c r="L1954" t="s">
        <v>5416</v>
      </c>
      <c r="M1954" t="s">
        <v>5417</v>
      </c>
      <c r="N1954" t="s">
        <v>5418</v>
      </c>
      <c r="O1954" t="s">
        <v>5419</v>
      </c>
      <c r="P1954" t="s">
        <v>5420</v>
      </c>
    </row>
    <row r="1955" spans="1:16" x14ac:dyDescent="0.35">
      <c r="A1955" t="s">
        <v>110</v>
      </c>
      <c r="B1955">
        <v>1324732631</v>
      </c>
      <c r="C1955" t="s">
        <v>18</v>
      </c>
      <c r="D1955" t="s">
        <v>21</v>
      </c>
      <c r="E1955" s="29">
        <v>46208</v>
      </c>
      <c r="F1955" t="s">
        <v>6</v>
      </c>
      <c r="G1955" s="28">
        <v>0.73819444444444449</v>
      </c>
      <c r="H1955" s="28">
        <v>0.74513888888888891</v>
      </c>
      <c r="I1955">
        <v>0</v>
      </c>
      <c r="J1955" t="s">
        <v>146</v>
      </c>
      <c r="K1955">
        <v>0</v>
      </c>
      <c r="L1955" t="s">
        <v>147</v>
      </c>
      <c r="M1955" t="s">
        <v>5409</v>
      </c>
      <c r="N1955" t="s">
        <v>5410</v>
      </c>
      <c r="O1955" t="s">
        <v>5411</v>
      </c>
      <c r="P1955" t="s">
        <v>5412</v>
      </c>
    </row>
    <row r="1956" spans="1:16" x14ac:dyDescent="0.35">
      <c r="A1956" t="s">
        <v>110</v>
      </c>
      <c r="B1956">
        <v>1324732631</v>
      </c>
      <c r="C1956" t="s">
        <v>18</v>
      </c>
      <c r="D1956" t="s">
        <v>21</v>
      </c>
      <c r="E1956" s="29">
        <v>46208</v>
      </c>
      <c r="F1956" t="s">
        <v>6</v>
      </c>
      <c r="G1956" s="28">
        <v>0.75208333333333333</v>
      </c>
      <c r="H1956" s="28">
        <v>0.75208333333333333</v>
      </c>
      <c r="I1956">
        <v>0</v>
      </c>
      <c r="J1956" t="s">
        <v>174</v>
      </c>
      <c r="K1956">
        <v>0</v>
      </c>
      <c r="L1956" t="s">
        <v>2123</v>
      </c>
      <c r="M1956" t="s">
        <v>5397</v>
      </c>
      <c r="N1956" t="s">
        <v>5398</v>
      </c>
      <c r="O1956" t="s">
        <v>5399</v>
      </c>
      <c r="P1956" t="s">
        <v>5400</v>
      </c>
    </row>
    <row r="1957" spans="1:16" x14ac:dyDescent="0.35">
      <c r="A1957" t="s">
        <v>110</v>
      </c>
      <c r="B1957">
        <v>1324732631</v>
      </c>
      <c r="C1957" t="s">
        <v>18</v>
      </c>
      <c r="D1957" t="s">
        <v>21</v>
      </c>
      <c r="E1957" s="29">
        <v>46208</v>
      </c>
      <c r="F1957" t="s">
        <v>6</v>
      </c>
      <c r="G1957" s="28">
        <v>0.75902777777777775</v>
      </c>
      <c r="H1957" s="28">
        <v>0.75902777777777775</v>
      </c>
      <c r="I1957">
        <v>0</v>
      </c>
      <c r="J1957" t="s">
        <v>174</v>
      </c>
      <c r="K1957">
        <v>0</v>
      </c>
      <c r="L1957" t="s">
        <v>3531</v>
      </c>
      <c r="M1957" t="s">
        <v>5421</v>
      </c>
      <c r="N1957" t="s">
        <v>5422</v>
      </c>
      <c r="O1957" t="s">
        <v>5423</v>
      </c>
      <c r="P1957" t="s">
        <v>5424</v>
      </c>
    </row>
    <row r="1958" spans="1:16" x14ac:dyDescent="0.35">
      <c r="A1958" t="s">
        <v>110</v>
      </c>
      <c r="B1958">
        <v>1324732631</v>
      </c>
      <c r="C1958" t="s">
        <v>18</v>
      </c>
      <c r="D1958" t="s">
        <v>21</v>
      </c>
      <c r="E1958" s="29">
        <v>46208</v>
      </c>
      <c r="F1958" t="s">
        <v>6</v>
      </c>
      <c r="G1958" s="28">
        <v>0.76597222222222228</v>
      </c>
      <c r="H1958" s="28">
        <v>0.77986111111111112</v>
      </c>
      <c r="I1958">
        <v>0</v>
      </c>
      <c r="J1958" t="s">
        <v>146</v>
      </c>
      <c r="K1958">
        <v>1</v>
      </c>
      <c r="L1958" t="s">
        <v>147</v>
      </c>
      <c r="M1958" t="s">
        <v>5425</v>
      </c>
      <c r="N1958" t="s">
        <v>5426</v>
      </c>
      <c r="O1958" t="s">
        <v>5427</v>
      </c>
      <c r="P1958" t="s">
        <v>5428</v>
      </c>
    </row>
    <row r="1959" spans="1:16" x14ac:dyDescent="0.35">
      <c r="A1959" t="s">
        <v>110</v>
      </c>
      <c r="B1959">
        <v>1324732631</v>
      </c>
      <c r="C1959" t="s">
        <v>18</v>
      </c>
      <c r="D1959" t="s">
        <v>21</v>
      </c>
      <c r="E1959" s="29">
        <v>46208</v>
      </c>
      <c r="F1959" t="s">
        <v>6</v>
      </c>
      <c r="G1959" s="28">
        <v>0.78680555555555554</v>
      </c>
      <c r="H1959" s="28">
        <v>0.79374999999999996</v>
      </c>
      <c r="I1959">
        <v>0</v>
      </c>
      <c r="J1959" t="s">
        <v>146</v>
      </c>
      <c r="K1959">
        <v>0</v>
      </c>
      <c r="L1959" t="s">
        <v>147</v>
      </c>
      <c r="M1959" t="s">
        <v>5429</v>
      </c>
      <c r="N1959" t="s">
        <v>5312</v>
      </c>
      <c r="O1959" t="s">
        <v>5313</v>
      </c>
      <c r="P1959" t="s">
        <v>5314</v>
      </c>
    </row>
    <row r="1960" spans="1:16" x14ac:dyDescent="0.35">
      <c r="A1960" t="s">
        <v>88</v>
      </c>
      <c r="B1960">
        <v>1700702248</v>
      </c>
      <c r="C1960" t="s">
        <v>19</v>
      </c>
      <c r="D1960" t="s">
        <v>20</v>
      </c>
      <c r="E1960" s="29">
        <v>46204</v>
      </c>
      <c r="F1960" t="s">
        <v>3</v>
      </c>
      <c r="G1960" s="28">
        <v>0.38194444444444442</v>
      </c>
      <c r="H1960" s="28">
        <v>0.38194444444444442</v>
      </c>
      <c r="I1960">
        <v>0</v>
      </c>
      <c r="J1960" t="s">
        <v>174</v>
      </c>
      <c r="K1960">
        <v>0</v>
      </c>
      <c r="L1960" t="s">
        <v>793</v>
      </c>
      <c r="M1960" t="s">
        <v>5430</v>
      </c>
      <c r="N1960" t="s">
        <v>5431</v>
      </c>
      <c r="O1960" t="s">
        <v>5432</v>
      </c>
      <c r="P1960" t="s">
        <v>5433</v>
      </c>
    </row>
    <row r="1961" spans="1:16" x14ac:dyDescent="0.35">
      <c r="A1961" t="s">
        <v>88</v>
      </c>
      <c r="B1961">
        <v>1700702248</v>
      </c>
      <c r="C1961" t="s">
        <v>19</v>
      </c>
      <c r="D1961" t="s">
        <v>20</v>
      </c>
      <c r="E1961" s="29">
        <v>46204</v>
      </c>
      <c r="F1961" t="s">
        <v>3</v>
      </c>
      <c r="G1961" s="28">
        <v>0.3888888888888889</v>
      </c>
      <c r="H1961" s="28">
        <v>0.3888888888888889</v>
      </c>
      <c r="I1961">
        <v>0</v>
      </c>
      <c r="J1961" t="s">
        <v>174</v>
      </c>
      <c r="K1961">
        <v>0</v>
      </c>
      <c r="L1961" t="s">
        <v>245</v>
      </c>
      <c r="M1961" t="s">
        <v>5434</v>
      </c>
      <c r="N1961" t="s">
        <v>5435</v>
      </c>
      <c r="O1961" t="s">
        <v>5436</v>
      </c>
      <c r="P1961" t="s">
        <v>5437</v>
      </c>
    </row>
    <row r="1962" spans="1:16" x14ac:dyDescent="0.35">
      <c r="A1962" t="s">
        <v>88</v>
      </c>
      <c r="B1962">
        <v>1700702248</v>
      </c>
      <c r="C1962" t="s">
        <v>19</v>
      </c>
      <c r="D1962" t="s">
        <v>20</v>
      </c>
      <c r="E1962" s="29">
        <v>46204</v>
      </c>
      <c r="F1962" t="s">
        <v>3</v>
      </c>
      <c r="G1962" s="28">
        <v>0.39652777777777776</v>
      </c>
      <c r="H1962" s="28">
        <v>0.39652777777777776</v>
      </c>
      <c r="I1962">
        <v>0</v>
      </c>
      <c r="J1962" t="s">
        <v>174</v>
      </c>
      <c r="K1962">
        <v>0</v>
      </c>
      <c r="L1962" t="s">
        <v>1696</v>
      </c>
      <c r="M1962" t="s">
        <v>5438</v>
      </c>
      <c r="N1962" t="s">
        <v>5439</v>
      </c>
      <c r="O1962" t="s">
        <v>5440</v>
      </c>
      <c r="P1962" t="s">
        <v>5441</v>
      </c>
    </row>
    <row r="1963" spans="1:16" x14ac:dyDescent="0.35">
      <c r="A1963" t="s">
        <v>88</v>
      </c>
      <c r="B1963">
        <v>1700702248</v>
      </c>
      <c r="C1963" t="s">
        <v>19</v>
      </c>
      <c r="D1963" t="s">
        <v>20</v>
      </c>
      <c r="E1963" s="29">
        <v>46204</v>
      </c>
      <c r="F1963" t="s">
        <v>3</v>
      </c>
      <c r="G1963" s="28">
        <v>0.40277777777777779</v>
      </c>
      <c r="H1963" s="28">
        <v>0.40972222222222221</v>
      </c>
      <c r="I1963">
        <v>0</v>
      </c>
      <c r="J1963" t="s">
        <v>146</v>
      </c>
      <c r="K1963">
        <v>0</v>
      </c>
      <c r="L1963" t="s">
        <v>147</v>
      </c>
      <c r="M1963" t="s">
        <v>5442</v>
      </c>
      <c r="N1963" t="s">
        <v>5443</v>
      </c>
      <c r="O1963" t="s">
        <v>5444</v>
      </c>
      <c r="P1963" t="s">
        <v>5445</v>
      </c>
    </row>
    <row r="1964" spans="1:16" x14ac:dyDescent="0.35">
      <c r="A1964" t="s">
        <v>88</v>
      </c>
      <c r="B1964">
        <v>1700702248</v>
      </c>
      <c r="C1964" t="s">
        <v>19</v>
      </c>
      <c r="D1964" t="s">
        <v>20</v>
      </c>
      <c r="E1964" s="29">
        <v>46204</v>
      </c>
      <c r="F1964" t="s">
        <v>3</v>
      </c>
      <c r="G1964" s="28">
        <v>0.41666666666666669</v>
      </c>
      <c r="H1964" s="28">
        <v>0.45833333333333331</v>
      </c>
      <c r="I1964">
        <v>1</v>
      </c>
      <c r="J1964" t="s">
        <v>146</v>
      </c>
      <c r="K1964">
        <v>3</v>
      </c>
      <c r="L1964" t="s">
        <v>147</v>
      </c>
      <c r="M1964" t="s">
        <v>5446</v>
      </c>
      <c r="N1964" t="s">
        <v>5447</v>
      </c>
      <c r="O1964" t="s">
        <v>5448</v>
      </c>
      <c r="P1964" t="s">
        <v>5449</v>
      </c>
    </row>
    <row r="1965" spans="1:16" x14ac:dyDescent="0.35">
      <c r="A1965" t="s">
        <v>88</v>
      </c>
      <c r="B1965">
        <v>1700702248</v>
      </c>
      <c r="C1965" t="s">
        <v>19</v>
      </c>
      <c r="D1965" t="s">
        <v>20</v>
      </c>
      <c r="E1965" s="29">
        <v>46204</v>
      </c>
      <c r="F1965" t="s">
        <v>3</v>
      </c>
      <c r="G1965" s="28">
        <v>0.46527777777777779</v>
      </c>
      <c r="H1965" s="28">
        <v>0.46527777777777779</v>
      </c>
      <c r="I1965">
        <v>0</v>
      </c>
      <c r="J1965" t="s">
        <v>174</v>
      </c>
      <c r="K1965">
        <v>0</v>
      </c>
      <c r="L1965" t="s">
        <v>5450</v>
      </c>
      <c r="M1965" t="s">
        <v>5442</v>
      </c>
      <c r="N1965" t="s">
        <v>5443</v>
      </c>
      <c r="O1965" t="s">
        <v>5444</v>
      </c>
      <c r="P1965" t="s">
        <v>5445</v>
      </c>
    </row>
    <row r="1966" spans="1:16" x14ac:dyDescent="0.35">
      <c r="A1966" t="s">
        <v>88</v>
      </c>
      <c r="B1966">
        <v>1700702248</v>
      </c>
      <c r="C1966" t="s">
        <v>19</v>
      </c>
      <c r="D1966" t="s">
        <v>20</v>
      </c>
      <c r="E1966" s="29">
        <v>46204</v>
      </c>
      <c r="F1966" t="s">
        <v>3</v>
      </c>
      <c r="G1966" s="28">
        <v>0.47222222222222221</v>
      </c>
      <c r="H1966" s="28">
        <v>0.47222222222222221</v>
      </c>
      <c r="I1966">
        <v>0</v>
      </c>
      <c r="J1966" t="s">
        <v>174</v>
      </c>
      <c r="K1966">
        <v>0</v>
      </c>
      <c r="L1966" t="s">
        <v>471</v>
      </c>
      <c r="M1966" t="s">
        <v>5451</v>
      </c>
      <c r="N1966" t="s">
        <v>5452</v>
      </c>
      <c r="O1966" t="s">
        <v>5453</v>
      </c>
      <c r="P1966" t="s">
        <v>5454</v>
      </c>
    </row>
    <row r="1967" spans="1:16" x14ac:dyDescent="0.35">
      <c r="A1967" t="s">
        <v>88</v>
      </c>
      <c r="B1967">
        <v>1700702248</v>
      </c>
      <c r="C1967" t="s">
        <v>19</v>
      </c>
      <c r="D1967" t="s">
        <v>20</v>
      </c>
      <c r="E1967" s="29">
        <v>46204</v>
      </c>
      <c r="F1967" t="s">
        <v>3</v>
      </c>
      <c r="G1967" s="28">
        <v>0.47916666666666669</v>
      </c>
      <c r="H1967" s="28">
        <v>0.4861111111111111</v>
      </c>
      <c r="I1967">
        <v>0</v>
      </c>
      <c r="J1967" t="s">
        <v>146</v>
      </c>
      <c r="K1967">
        <v>0</v>
      </c>
      <c r="L1967" t="s">
        <v>147</v>
      </c>
      <c r="M1967" t="s">
        <v>5455</v>
      </c>
      <c r="N1967" t="s">
        <v>5456</v>
      </c>
      <c r="O1967" t="s">
        <v>5457</v>
      </c>
      <c r="P1967" t="s">
        <v>5458</v>
      </c>
    </row>
    <row r="1968" spans="1:16" x14ac:dyDescent="0.35">
      <c r="A1968" t="s">
        <v>88</v>
      </c>
      <c r="B1968">
        <v>1700702248</v>
      </c>
      <c r="C1968" t="s">
        <v>19</v>
      </c>
      <c r="D1968" t="s">
        <v>20</v>
      </c>
      <c r="E1968" s="29">
        <v>46204</v>
      </c>
      <c r="F1968" t="s">
        <v>3</v>
      </c>
      <c r="G1968" s="28">
        <v>0.49305555555555558</v>
      </c>
      <c r="H1968" s="28">
        <v>0.49305555555555558</v>
      </c>
      <c r="I1968">
        <v>0</v>
      </c>
      <c r="J1968" t="s">
        <v>174</v>
      </c>
      <c r="K1968">
        <v>0</v>
      </c>
      <c r="L1968" t="s">
        <v>5459</v>
      </c>
      <c r="M1968" t="s">
        <v>5460</v>
      </c>
      <c r="N1968" t="s">
        <v>5461</v>
      </c>
      <c r="O1968" t="s">
        <v>5462</v>
      </c>
      <c r="P1968" t="s">
        <v>5463</v>
      </c>
    </row>
    <row r="1969" spans="1:16" x14ac:dyDescent="0.35">
      <c r="A1969" t="s">
        <v>88</v>
      </c>
      <c r="B1969">
        <v>1700702248</v>
      </c>
      <c r="C1969" t="s">
        <v>19</v>
      </c>
      <c r="D1969" t="s">
        <v>20</v>
      </c>
      <c r="E1969" s="29">
        <v>46204</v>
      </c>
      <c r="F1969" t="s">
        <v>3</v>
      </c>
      <c r="G1969" s="28">
        <v>0.5</v>
      </c>
      <c r="H1969" s="28">
        <v>0.51388888888888884</v>
      </c>
      <c r="I1969">
        <v>0</v>
      </c>
      <c r="J1969" t="s">
        <v>146</v>
      </c>
      <c r="K1969">
        <v>1</v>
      </c>
      <c r="L1969" t="s">
        <v>147</v>
      </c>
      <c r="M1969" t="s">
        <v>5455</v>
      </c>
      <c r="N1969" t="s">
        <v>5456</v>
      </c>
      <c r="O1969" t="s">
        <v>5457</v>
      </c>
      <c r="P1969" t="s">
        <v>5458</v>
      </c>
    </row>
    <row r="1970" spans="1:16" x14ac:dyDescent="0.35">
      <c r="A1970" t="s">
        <v>88</v>
      </c>
      <c r="B1970">
        <v>1700702248</v>
      </c>
      <c r="C1970" t="s">
        <v>19</v>
      </c>
      <c r="D1970" t="s">
        <v>20</v>
      </c>
      <c r="E1970" s="29">
        <v>46204</v>
      </c>
      <c r="F1970" t="s">
        <v>3</v>
      </c>
      <c r="G1970" s="28">
        <v>0.52083333333333337</v>
      </c>
      <c r="H1970" s="28">
        <v>0.53472222222222221</v>
      </c>
      <c r="I1970">
        <v>0</v>
      </c>
      <c r="J1970" t="s">
        <v>146</v>
      </c>
      <c r="K1970">
        <v>1</v>
      </c>
      <c r="L1970" t="s">
        <v>147</v>
      </c>
      <c r="M1970" t="s">
        <v>5464</v>
      </c>
      <c r="N1970" t="s">
        <v>5465</v>
      </c>
      <c r="O1970" t="s">
        <v>5466</v>
      </c>
      <c r="P1970" t="s">
        <v>5467</v>
      </c>
    </row>
    <row r="1971" spans="1:16" x14ac:dyDescent="0.35">
      <c r="A1971" t="s">
        <v>88</v>
      </c>
      <c r="B1971">
        <v>1700702248</v>
      </c>
      <c r="C1971" t="s">
        <v>19</v>
      </c>
      <c r="D1971" t="s">
        <v>20</v>
      </c>
      <c r="E1971" s="29">
        <v>46204</v>
      </c>
      <c r="F1971" t="s">
        <v>3</v>
      </c>
      <c r="G1971" s="28">
        <v>0.54166666666666663</v>
      </c>
      <c r="H1971" s="28">
        <v>0.54166666666666663</v>
      </c>
      <c r="I1971">
        <v>0</v>
      </c>
      <c r="J1971" t="s">
        <v>174</v>
      </c>
      <c r="K1971">
        <v>0</v>
      </c>
      <c r="L1971" t="s">
        <v>3531</v>
      </c>
      <c r="M1971" t="s">
        <v>5468</v>
      </c>
      <c r="N1971" t="s">
        <v>5469</v>
      </c>
      <c r="O1971" t="s">
        <v>5470</v>
      </c>
      <c r="P1971" t="s">
        <v>5471</v>
      </c>
    </row>
    <row r="1972" spans="1:16" x14ac:dyDescent="0.35">
      <c r="A1972" t="s">
        <v>88</v>
      </c>
      <c r="B1972">
        <v>1700702248</v>
      </c>
      <c r="C1972" t="s">
        <v>19</v>
      </c>
      <c r="D1972" t="s">
        <v>20</v>
      </c>
      <c r="E1972" s="29">
        <v>46204</v>
      </c>
      <c r="F1972" t="s">
        <v>3</v>
      </c>
      <c r="G1972" s="28">
        <v>0.54861111111111116</v>
      </c>
      <c r="H1972" s="28">
        <v>0.54861111111111116</v>
      </c>
      <c r="I1972">
        <v>0</v>
      </c>
      <c r="J1972" t="s">
        <v>174</v>
      </c>
      <c r="K1972">
        <v>0</v>
      </c>
      <c r="L1972" t="s">
        <v>1236</v>
      </c>
      <c r="M1972" t="s">
        <v>5472</v>
      </c>
      <c r="N1972" t="s">
        <v>5473</v>
      </c>
      <c r="O1972" t="s">
        <v>5474</v>
      </c>
      <c r="P1972" t="s">
        <v>5475</v>
      </c>
    </row>
    <row r="1973" spans="1:16" x14ac:dyDescent="0.35">
      <c r="A1973" t="s">
        <v>88</v>
      </c>
      <c r="B1973">
        <v>1700702248</v>
      </c>
      <c r="C1973" t="s">
        <v>19</v>
      </c>
      <c r="D1973" t="s">
        <v>20</v>
      </c>
      <c r="E1973" s="29">
        <v>46204</v>
      </c>
      <c r="F1973" t="s">
        <v>3</v>
      </c>
      <c r="G1973" s="28">
        <v>0.55555555555555558</v>
      </c>
      <c r="H1973" s="28">
        <v>0.55555555555555558</v>
      </c>
      <c r="I1973">
        <v>0</v>
      </c>
      <c r="J1973" t="s">
        <v>174</v>
      </c>
      <c r="K1973">
        <v>0</v>
      </c>
      <c r="L1973" t="s">
        <v>186</v>
      </c>
      <c r="M1973" t="s">
        <v>5476</v>
      </c>
      <c r="N1973" t="s">
        <v>5477</v>
      </c>
      <c r="O1973" t="s">
        <v>5478</v>
      </c>
      <c r="P1973" t="s">
        <v>4001</v>
      </c>
    </row>
    <row r="1974" spans="1:16" x14ac:dyDescent="0.35">
      <c r="A1974" t="s">
        <v>88</v>
      </c>
      <c r="B1974">
        <v>1700702248</v>
      </c>
      <c r="C1974" t="s">
        <v>19</v>
      </c>
      <c r="D1974" t="s">
        <v>20</v>
      </c>
      <c r="E1974" s="29">
        <v>46204</v>
      </c>
      <c r="F1974" t="s">
        <v>3</v>
      </c>
      <c r="G1974" s="28">
        <v>0.5625</v>
      </c>
      <c r="H1974" s="28">
        <v>0.5625</v>
      </c>
      <c r="I1974">
        <v>0</v>
      </c>
      <c r="J1974" t="s">
        <v>174</v>
      </c>
      <c r="K1974">
        <v>0</v>
      </c>
      <c r="L1974" t="s">
        <v>3531</v>
      </c>
      <c r="M1974" t="s">
        <v>5479</v>
      </c>
      <c r="N1974" t="s">
        <v>5480</v>
      </c>
      <c r="O1974" t="s">
        <v>5481</v>
      </c>
      <c r="P1974" t="s">
        <v>5482</v>
      </c>
    </row>
    <row r="1975" spans="1:16" x14ac:dyDescent="0.35">
      <c r="A1975" t="s">
        <v>88</v>
      </c>
      <c r="B1975">
        <v>1700702248</v>
      </c>
      <c r="C1975" t="s">
        <v>19</v>
      </c>
      <c r="D1975" t="s">
        <v>20</v>
      </c>
      <c r="E1975" s="29">
        <v>46204</v>
      </c>
      <c r="F1975" t="s">
        <v>3</v>
      </c>
      <c r="G1975" s="28">
        <v>0.56944444444444442</v>
      </c>
      <c r="H1975" s="28">
        <v>0.57638888888888884</v>
      </c>
      <c r="I1975">
        <v>0</v>
      </c>
      <c r="J1975" t="s">
        <v>146</v>
      </c>
      <c r="K1975">
        <v>0</v>
      </c>
      <c r="L1975" t="s">
        <v>147</v>
      </c>
      <c r="M1975" t="s">
        <v>5483</v>
      </c>
      <c r="N1975" t="s">
        <v>5484</v>
      </c>
      <c r="O1975" t="s">
        <v>5485</v>
      </c>
      <c r="P1975" t="s">
        <v>5486</v>
      </c>
    </row>
    <row r="1976" spans="1:16" x14ac:dyDescent="0.35">
      <c r="A1976" t="s">
        <v>88</v>
      </c>
      <c r="B1976">
        <v>1700702248</v>
      </c>
      <c r="C1976" t="s">
        <v>19</v>
      </c>
      <c r="D1976" t="s">
        <v>20</v>
      </c>
      <c r="E1976" s="29">
        <v>46204</v>
      </c>
      <c r="F1976" t="s">
        <v>3</v>
      </c>
      <c r="G1976" s="28">
        <v>0.58333333333333337</v>
      </c>
      <c r="H1976" s="28">
        <v>0.58333333333333337</v>
      </c>
      <c r="I1976">
        <v>0</v>
      </c>
      <c r="J1976" t="s">
        <v>174</v>
      </c>
      <c r="K1976">
        <v>0</v>
      </c>
      <c r="L1976" t="s">
        <v>1395</v>
      </c>
      <c r="M1976" t="s">
        <v>5487</v>
      </c>
      <c r="N1976" t="s">
        <v>5488</v>
      </c>
      <c r="O1976" t="s">
        <v>5489</v>
      </c>
      <c r="P1976" t="s">
        <v>5490</v>
      </c>
    </row>
    <row r="1977" spans="1:16" x14ac:dyDescent="0.35">
      <c r="A1977" t="s">
        <v>88</v>
      </c>
      <c r="B1977">
        <v>1700702248</v>
      </c>
      <c r="C1977" t="s">
        <v>19</v>
      </c>
      <c r="D1977" t="s">
        <v>20</v>
      </c>
      <c r="E1977" s="29">
        <v>46204</v>
      </c>
      <c r="F1977" t="s">
        <v>3</v>
      </c>
      <c r="G1977" s="28">
        <v>0.59027777777777779</v>
      </c>
      <c r="H1977" s="28">
        <v>0.60416666666666663</v>
      </c>
      <c r="I1977">
        <v>0</v>
      </c>
      <c r="J1977" t="s">
        <v>146</v>
      </c>
      <c r="K1977">
        <v>1</v>
      </c>
      <c r="L1977" t="s">
        <v>147</v>
      </c>
      <c r="M1977" t="s">
        <v>5476</v>
      </c>
      <c r="N1977" t="s">
        <v>5491</v>
      </c>
      <c r="O1977" t="s">
        <v>5492</v>
      </c>
      <c r="P1977" t="s">
        <v>5493</v>
      </c>
    </row>
    <row r="1978" spans="1:16" x14ac:dyDescent="0.35">
      <c r="A1978" t="s">
        <v>88</v>
      </c>
      <c r="B1978">
        <v>1700702248</v>
      </c>
      <c r="C1978" t="s">
        <v>19</v>
      </c>
      <c r="D1978" t="s">
        <v>20</v>
      </c>
      <c r="E1978" s="29">
        <v>46204</v>
      </c>
      <c r="F1978" t="s">
        <v>3</v>
      </c>
      <c r="G1978" s="28">
        <v>0.61111111111111116</v>
      </c>
      <c r="H1978" s="28">
        <v>0.61111111111111116</v>
      </c>
      <c r="I1978">
        <v>0</v>
      </c>
      <c r="J1978" t="s">
        <v>174</v>
      </c>
      <c r="K1978">
        <v>0</v>
      </c>
      <c r="L1978" t="s">
        <v>471</v>
      </c>
      <c r="M1978" t="s">
        <v>5494</v>
      </c>
      <c r="N1978" t="s">
        <v>5495</v>
      </c>
      <c r="O1978" t="s">
        <v>5496</v>
      </c>
      <c r="P1978" t="s">
        <v>5497</v>
      </c>
    </row>
    <row r="1979" spans="1:16" x14ac:dyDescent="0.35">
      <c r="A1979" t="s">
        <v>88</v>
      </c>
      <c r="B1979">
        <v>1700702248</v>
      </c>
      <c r="C1979" t="s">
        <v>19</v>
      </c>
      <c r="D1979" t="s">
        <v>20</v>
      </c>
      <c r="E1979" s="29">
        <v>46204</v>
      </c>
      <c r="F1979" t="s">
        <v>3</v>
      </c>
      <c r="G1979" s="28">
        <v>0.61805555555555558</v>
      </c>
      <c r="H1979" s="28">
        <v>0.61805555555555558</v>
      </c>
      <c r="I1979">
        <v>0</v>
      </c>
      <c r="J1979" t="s">
        <v>174</v>
      </c>
      <c r="K1979">
        <v>0</v>
      </c>
      <c r="L1979" t="s">
        <v>5498</v>
      </c>
      <c r="M1979" t="s">
        <v>5499</v>
      </c>
      <c r="N1979" t="s">
        <v>5500</v>
      </c>
      <c r="O1979" t="s">
        <v>5501</v>
      </c>
      <c r="P1979" t="s">
        <v>5502</v>
      </c>
    </row>
    <row r="1980" spans="1:16" x14ac:dyDescent="0.35">
      <c r="A1980" t="s">
        <v>88</v>
      </c>
      <c r="B1980">
        <v>1700702248</v>
      </c>
      <c r="C1980" t="s">
        <v>19</v>
      </c>
      <c r="D1980" t="s">
        <v>20</v>
      </c>
      <c r="E1980" s="29">
        <v>46204</v>
      </c>
      <c r="F1980" t="s">
        <v>3</v>
      </c>
      <c r="G1980" s="28">
        <v>0.625</v>
      </c>
      <c r="H1980" s="28">
        <v>0.625</v>
      </c>
      <c r="I1980">
        <v>0</v>
      </c>
      <c r="J1980" t="s">
        <v>174</v>
      </c>
      <c r="K1980">
        <v>0</v>
      </c>
      <c r="L1980" t="s">
        <v>5503</v>
      </c>
      <c r="M1980" t="s">
        <v>5504</v>
      </c>
      <c r="N1980" t="s">
        <v>5505</v>
      </c>
      <c r="O1980" t="s">
        <v>5506</v>
      </c>
      <c r="P1980" t="s">
        <v>5507</v>
      </c>
    </row>
    <row r="1981" spans="1:16" x14ac:dyDescent="0.35">
      <c r="A1981" t="s">
        <v>88</v>
      </c>
      <c r="B1981">
        <v>1700702248</v>
      </c>
      <c r="C1981" t="s">
        <v>19</v>
      </c>
      <c r="D1981" t="s">
        <v>20</v>
      </c>
      <c r="E1981" s="29">
        <v>46204</v>
      </c>
      <c r="F1981" t="s">
        <v>3</v>
      </c>
      <c r="G1981" s="28">
        <v>0.63194444444444442</v>
      </c>
      <c r="H1981" s="28">
        <v>0.63194444444444442</v>
      </c>
      <c r="I1981">
        <v>0</v>
      </c>
      <c r="J1981" t="s">
        <v>174</v>
      </c>
      <c r="K1981">
        <v>0</v>
      </c>
      <c r="L1981" t="s">
        <v>2539</v>
      </c>
      <c r="M1981" t="s">
        <v>5508</v>
      </c>
      <c r="N1981" t="s">
        <v>5509</v>
      </c>
      <c r="O1981" t="s">
        <v>5510</v>
      </c>
      <c r="P1981" t="s">
        <v>5511</v>
      </c>
    </row>
    <row r="1982" spans="1:16" x14ac:dyDescent="0.35">
      <c r="A1982" t="s">
        <v>88</v>
      </c>
      <c r="B1982">
        <v>1700702248</v>
      </c>
      <c r="C1982" t="s">
        <v>19</v>
      </c>
      <c r="D1982" t="s">
        <v>20</v>
      </c>
      <c r="E1982" s="29">
        <v>46204</v>
      </c>
      <c r="F1982" t="s">
        <v>3</v>
      </c>
      <c r="G1982" s="28">
        <v>0.63888888888888884</v>
      </c>
      <c r="H1982" s="28">
        <v>0.63888888888888884</v>
      </c>
      <c r="I1982">
        <v>0</v>
      </c>
      <c r="J1982" t="s">
        <v>174</v>
      </c>
      <c r="K1982">
        <v>0</v>
      </c>
      <c r="L1982" t="s">
        <v>2539</v>
      </c>
      <c r="M1982" t="s">
        <v>5499</v>
      </c>
      <c r="N1982" t="s">
        <v>5500</v>
      </c>
      <c r="O1982" t="s">
        <v>5501</v>
      </c>
      <c r="P1982" t="s">
        <v>5502</v>
      </c>
    </row>
    <row r="1983" spans="1:16" x14ac:dyDescent="0.35">
      <c r="A1983" t="s">
        <v>88</v>
      </c>
      <c r="B1983">
        <v>1700702248</v>
      </c>
      <c r="C1983" t="s">
        <v>19</v>
      </c>
      <c r="D1983" t="s">
        <v>20</v>
      </c>
      <c r="E1983" s="29">
        <v>46204</v>
      </c>
      <c r="F1983" t="s">
        <v>3</v>
      </c>
      <c r="G1983" s="28">
        <v>0.64583333333333337</v>
      </c>
      <c r="H1983" s="28">
        <v>0.64583333333333337</v>
      </c>
      <c r="I1983">
        <v>0</v>
      </c>
      <c r="J1983" t="s">
        <v>174</v>
      </c>
      <c r="K1983">
        <v>0</v>
      </c>
      <c r="L1983" t="s">
        <v>5512</v>
      </c>
      <c r="M1983" t="s">
        <v>5508</v>
      </c>
      <c r="N1983" t="s">
        <v>5509</v>
      </c>
      <c r="O1983" t="s">
        <v>5510</v>
      </c>
      <c r="P1983" t="s">
        <v>5511</v>
      </c>
    </row>
    <row r="1984" spans="1:16" x14ac:dyDescent="0.35">
      <c r="A1984" t="s">
        <v>88</v>
      </c>
      <c r="B1984">
        <v>1700702248</v>
      </c>
      <c r="C1984" t="s">
        <v>19</v>
      </c>
      <c r="D1984" t="s">
        <v>20</v>
      </c>
      <c r="E1984" s="29">
        <v>46204</v>
      </c>
      <c r="F1984" t="s">
        <v>3</v>
      </c>
      <c r="G1984" s="28">
        <v>0.65277777777777779</v>
      </c>
      <c r="H1984" s="28">
        <v>0.65277777777777779</v>
      </c>
      <c r="I1984">
        <v>0</v>
      </c>
      <c r="J1984" t="s">
        <v>174</v>
      </c>
      <c r="K1984">
        <v>0</v>
      </c>
      <c r="L1984" t="s">
        <v>5513</v>
      </c>
      <c r="M1984" t="s">
        <v>5494</v>
      </c>
      <c r="N1984" t="s">
        <v>5495</v>
      </c>
      <c r="O1984" t="s">
        <v>5496</v>
      </c>
      <c r="P1984" t="s">
        <v>5497</v>
      </c>
    </row>
    <row r="1985" spans="1:16" x14ac:dyDescent="0.35">
      <c r="A1985" t="s">
        <v>88</v>
      </c>
      <c r="B1985">
        <v>1700702248</v>
      </c>
      <c r="C1985" t="s">
        <v>19</v>
      </c>
      <c r="D1985" t="s">
        <v>20</v>
      </c>
      <c r="E1985" s="29">
        <v>46204</v>
      </c>
      <c r="F1985" t="s">
        <v>3</v>
      </c>
      <c r="G1985" s="28">
        <v>0.65972222222222221</v>
      </c>
      <c r="H1985" s="28">
        <v>0.65972222222222221</v>
      </c>
      <c r="I1985">
        <v>0</v>
      </c>
      <c r="J1985" t="s">
        <v>174</v>
      </c>
      <c r="K1985">
        <v>0</v>
      </c>
      <c r="L1985" t="s">
        <v>2745</v>
      </c>
      <c r="M1985" t="s">
        <v>5514</v>
      </c>
      <c r="N1985" t="s">
        <v>5515</v>
      </c>
      <c r="O1985" t="s">
        <v>5516</v>
      </c>
      <c r="P1985" t="s">
        <v>5517</v>
      </c>
    </row>
    <row r="1986" spans="1:16" x14ac:dyDescent="0.35">
      <c r="A1986" t="s">
        <v>88</v>
      </c>
      <c r="B1986">
        <v>1700702248</v>
      </c>
      <c r="C1986" t="s">
        <v>19</v>
      </c>
      <c r="D1986" t="s">
        <v>20</v>
      </c>
      <c r="E1986" s="29">
        <v>46204</v>
      </c>
      <c r="F1986" t="s">
        <v>3</v>
      </c>
      <c r="G1986" s="28">
        <v>0.66666666666666663</v>
      </c>
      <c r="H1986" s="28">
        <v>0.71527777777777779</v>
      </c>
      <c r="I1986">
        <v>1</v>
      </c>
      <c r="J1986" t="s">
        <v>146</v>
      </c>
      <c r="K1986">
        <v>4</v>
      </c>
      <c r="L1986" t="s">
        <v>147</v>
      </c>
      <c r="M1986" t="s">
        <v>5479</v>
      </c>
      <c r="N1986" t="s">
        <v>5480</v>
      </c>
      <c r="O1986" t="s">
        <v>5481</v>
      </c>
      <c r="P1986" t="s">
        <v>5482</v>
      </c>
    </row>
    <row r="1987" spans="1:16" x14ac:dyDescent="0.35">
      <c r="A1987" t="s">
        <v>88</v>
      </c>
      <c r="B1987">
        <v>1700702248</v>
      </c>
      <c r="C1987" t="s">
        <v>19</v>
      </c>
      <c r="D1987" t="s">
        <v>20</v>
      </c>
      <c r="E1987" s="29">
        <v>46204</v>
      </c>
      <c r="F1987" t="s">
        <v>3</v>
      </c>
      <c r="G1987" s="28">
        <v>0.72222222222222221</v>
      </c>
      <c r="H1987" s="28">
        <v>0.74305555555555558</v>
      </c>
      <c r="I1987">
        <v>1</v>
      </c>
      <c r="J1987" t="s">
        <v>146</v>
      </c>
      <c r="K1987">
        <v>2</v>
      </c>
      <c r="L1987" t="s">
        <v>147</v>
      </c>
      <c r="M1987" t="s">
        <v>5518</v>
      </c>
      <c r="N1987" t="s">
        <v>5519</v>
      </c>
      <c r="O1987" t="s">
        <v>5520</v>
      </c>
      <c r="P1987" t="s">
        <v>5521</v>
      </c>
    </row>
    <row r="1988" spans="1:16" x14ac:dyDescent="0.35">
      <c r="A1988" t="s">
        <v>88</v>
      </c>
      <c r="B1988">
        <v>1700702248</v>
      </c>
      <c r="C1988" t="s">
        <v>19</v>
      </c>
      <c r="D1988" t="s">
        <v>20</v>
      </c>
      <c r="E1988" s="29">
        <v>46204</v>
      </c>
      <c r="F1988" t="s">
        <v>3</v>
      </c>
      <c r="G1988" s="28">
        <v>0.75</v>
      </c>
      <c r="H1988" s="28">
        <v>0.75</v>
      </c>
      <c r="I1988">
        <v>0</v>
      </c>
      <c r="J1988" t="s">
        <v>174</v>
      </c>
      <c r="K1988">
        <v>0</v>
      </c>
      <c r="L1988" t="s">
        <v>3025</v>
      </c>
      <c r="M1988" t="s">
        <v>5522</v>
      </c>
      <c r="N1988" t="s">
        <v>5523</v>
      </c>
      <c r="O1988" t="s">
        <v>5524</v>
      </c>
      <c r="P1988" t="s">
        <v>5525</v>
      </c>
    </row>
    <row r="1989" spans="1:16" x14ac:dyDescent="0.35">
      <c r="A1989" t="s">
        <v>88</v>
      </c>
      <c r="B1989">
        <v>1700702248</v>
      </c>
      <c r="C1989" t="s">
        <v>19</v>
      </c>
      <c r="D1989" t="s">
        <v>20</v>
      </c>
      <c r="E1989" s="29">
        <v>46204</v>
      </c>
      <c r="F1989" t="s">
        <v>3</v>
      </c>
      <c r="G1989" s="28">
        <v>0.75694444444444442</v>
      </c>
      <c r="H1989" s="28">
        <v>0.75694444444444442</v>
      </c>
      <c r="I1989">
        <v>0</v>
      </c>
      <c r="J1989" t="s">
        <v>174</v>
      </c>
      <c r="K1989">
        <v>0</v>
      </c>
      <c r="L1989" t="s">
        <v>595</v>
      </c>
      <c r="M1989" t="s">
        <v>5526</v>
      </c>
      <c r="N1989" t="s">
        <v>5527</v>
      </c>
      <c r="O1989" t="s">
        <v>5528</v>
      </c>
      <c r="P1989" t="s">
        <v>5529</v>
      </c>
    </row>
    <row r="1990" spans="1:16" x14ac:dyDescent="0.35">
      <c r="A1990" t="s">
        <v>88</v>
      </c>
      <c r="B1990">
        <v>1700702248</v>
      </c>
      <c r="C1990" t="s">
        <v>19</v>
      </c>
      <c r="D1990" t="s">
        <v>20</v>
      </c>
      <c r="E1990" s="29">
        <v>46204</v>
      </c>
      <c r="F1990" t="s">
        <v>3</v>
      </c>
      <c r="G1990" s="28">
        <v>0.76388888888888884</v>
      </c>
      <c r="H1990" s="28">
        <v>0.76388888888888884</v>
      </c>
      <c r="I1990">
        <v>0</v>
      </c>
      <c r="J1990" t="s">
        <v>174</v>
      </c>
      <c r="K1990">
        <v>0</v>
      </c>
      <c r="L1990" t="s">
        <v>5530</v>
      </c>
      <c r="M1990" t="s">
        <v>5531</v>
      </c>
      <c r="N1990" t="s">
        <v>5532</v>
      </c>
      <c r="O1990" t="s">
        <v>5533</v>
      </c>
      <c r="P1990" t="s">
        <v>5534</v>
      </c>
    </row>
    <row r="1991" spans="1:16" x14ac:dyDescent="0.35">
      <c r="A1991" t="s">
        <v>88</v>
      </c>
      <c r="B1991">
        <v>1700702248</v>
      </c>
      <c r="C1991" t="s">
        <v>19</v>
      </c>
      <c r="D1991" t="s">
        <v>20</v>
      </c>
      <c r="E1991" s="29">
        <v>46204</v>
      </c>
      <c r="F1991" t="s">
        <v>3</v>
      </c>
      <c r="G1991" s="28">
        <v>0.77083333333333337</v>
      </c>
      <c r="H1991" s="28">
        <v>0.77083333333333337</v>
      </c>
      <c r="I1991">
        <v>0</v>
      </c>
      <c r="J1991" t="s">
        <v>174</v>
      </c>
      <c r="K1991">
        <v>0</v>
      </c>
      <c r="L1991" t="s">
        <v>5530</v>
      </c>
      <c r="M1991" t="s">
        <v>5535</v>
      </c>
      <c r="N1991" t="s">
        <v>5536</v>
      </c>
      <c r="O1991" t="s">
        <v>5537</v>
      </c>
      <c r="P1991" t="s">
        <v>5538</v>
      </c>
    </row>
    <row r="1992" spans="1:16" x14ac:dyDescent="0.35">
      <c r="A1992" t="s">
        <v>88</v>
      </c>
      <c r="B1992">
        <v>1700702248</v>
      </c>
      <c r="C1992" t="s">
        <v>19</v>
      </c>
      <c r="D1992" t="s">
        <v>20</v>
      </c>
      <c r="E1992" s="29">
        <v>46204</v>
      </c>
      <c r="F1992" t="s">
        <v>3</v>
      </c>
      <c r="G1992" s="28">
        <v>0.77777777777777779</v>
      </c>
      <c r="H1992" s="28">
        <v>0.77777777777777779</v>
      </c>
      <c r="I1992">
        <v>0</v>
      </c>
      <c r="J1992" t="s">
        <v>174</v>
      </c>
      <c r="K1992">
        <v>0</v>
      </c>
      <c r="L1992" t="s">
        <v>5530</v>
      </c>
      <c r="M1992" t="s">
        <v>5531</v>
      </c>
      <c r="N1992" t="s">
        <v>5532</v>
      </c>
      <c r="O1992" t="s">
        <v>5533</v>
      </c>
      <c r="P1992" t="s">
        <v>5534</v>
      </c>
    </row>
    <row r="1993" spans="1:16" x14ac:dyDescent="0.35">
      <c r="A1993" t="s">
        <v>88</v>
      </c>
      <c r="B1993">
        <v>1700702248</v>
      </c>
      <c r="C1993" t="s">
        <v>19</v>
      </c>
      <c r="D1993" t="s">
        <v>20</v>
      </c>
      <c r="E1993" s="29">
        <v>46204</v>
      </c>
      <c r="F1993" t="s">
        <v>3</v>
      </c>
      <c r="G1993" s="28">
        <v>0.78472222222222221</v>
      </c>
      <c r="H1993" s="28">
        <v>0.78472222222222221</v>
      </c>
      <c r="I1993">
        <v>0</v>
      </c>
      <c r="J1993" t="s">
        <v>174</v>
      </c>
      <c r="K1993">
        <v>0</v>
      </c>
      <c r="L1993" t="s">
        <v>186</v>
      </c>
      <c r="M1993" t="s">
        <v>5535</v>
      </c>
      <c r="N1993" t="s">
        <v>5536</v>
      </c>
      <c r="O1993" t="s">
        <v>5537</v>
      </c>
      <c r="P1993" t="s">
        <v>5538</v>
      </c>
    </row>
    <row r="1994" spans="1:16" x14ac:dyDescent="0.35">
      <c r="A1994" t="s">
        <v>88</v>
      </c>
      <c r="B1994">
        <v>1700702248</v>
      </c>
      <c r="C1994" t="s">
        <v>19</v>
      </c>
      <c r="D1994" t="s">
        <v>20</v>
      </c>
      <c r="E1994" s="29">
        <v>46205</v>
      </c>
      <c r="F1994" t="s">
        <v>4</v>
      </c>
      <c r="G1994" s="28">
        <v>0.4375</v>
      </c>
      <c r="H1994" s="28">
        <v>0.4375</v>
      </c>
      <c r="I1994">
        <v>0</v>
      </c>
      <c r="J1994" t="s">
        <v>174</v>
      </c>
      <c r="K1994">
        <v>0</v>
      </c>
      <c r="L1994" t="s">
        <v>5539</v>
      </c>
      <c r="M1994" t="s">
        <v>428</v>
      </c>
      <c r="N1994" t="s">
        <v>429</v>
      </c>
      <c r="O1994" t="s">
        <v>430</v>
      </c>
      <c r="P1994" t="s">
        <v>5540</v>
      </c>
    </row>
    <row r="1995" spans="1:16" x14ac:dyDescent="0.35">
      <c r="A1995" t="s">
        <v>88</v>
      </c>
      <c r="B1995">
        <v>1700702248</v>
      </c>
      <c r="C1995" t="s">
        <v>19</v>
      </c>
      <c r="D1995" t="s">
        <v>20</v>
      </c>
      <c r="E1995" s="29">
        <v>46205</v>
      </c>
      <c r="F1995" t="s">
        <v>4</v>
      </c>
      <c r="G1995" s="28">
        <v>0.44444444444444442</v>
      </c>
      <c r="H1995" s="28">
        <v>0.45833333333333331</v>
      </c>
      <c r="I1995">
        <v>0</v>
      </c>
      <c r="J1995" t="s">
        <v>146</v>
      </c>
      <c r="K1995">
        <v>1</v>
      </c>
      <c r="L1995" t="s">
        <v>147</v>
      </c>
      <c r="M1995" t="s">
        <v>405</v>
      </c>
      <c r="N1995" t="s">
        <v>406</v>
      </c>
      <c r="O1995" t="s">
        <v>407</v>
      </c>
      <c r="P1995" t="s">
        <v>5541</v>
      </c>
    </row>
    <row r="1996" spans="1:16" x14ac:dyDescent="0.35">
      <c r="A1996" t="s">
        <v>88</v>
      </c>
      <c r="B1996">
        <v>1700702248</v>
      </c>
      <c r="C1996" t="s">
        <v>19</v>
      </c>
      <c r="D1996" t="s">
        <v>20</v>
      </c>
      <c r="E1996" s="29">
        <v>46205</v>
      </c>
      <c r="F1996" t="s">
        <v>4</v>
      </c>
      <c r="G1996" s="28">
        <v>0.46527777777777779</v>
      </c>
      <c r="H1996" s="28">
        <v>0.46527777777777779</v>
      </c>
      <c r="I1996">
        <v>0</v>
      </c>
      <c r="J1996" t="s">
        <v>174</v>
      </c>
      <c r="K1996">
        <v>0</v>
      </c>
      <c r="L1996" t="s">
        <v>5542</v>
      </c>
      <c r="M1996" t="s">
        <v>433</v>
      </c>
      <c r="N1996" t="s">
        <v>434</v>
      </c>
      <c r="O1996" t="s">
        <v>435</v>
      </c>
      <c r="P1996" t="s">
        <v>5543</v>
      </c>
    </row>
    <row r="1997" spans="1:16" x14ac:dyDescent="0.35">
      <c r="A1997" t="s">
        <v>88</v>
      </c>
      <c r="B1997">
        <v>1700702248</v>
      </c>
      <c r="C1997" t="s">
        <v>19</v>
      </c>
      <c r="D1997" t="s">
        <v>20</v>
      </c>
      <c r="E1997" s="29">
        <v>46205</v>
      </c>
      <c r="F1997" t="s">
        <v>4</v>
      </c>
      <c r="G1997" s="28">
        <v>0.47222222222222221</v>
      </c>
      <c r="H1997" s="28">
        <v>0.47222222222222221</v>
      </c>
      <c r="I1997">
        <v>0</v>
      </c>
      <c r="J1997" t="s">
        <v>174</v>
      </c>
      <c r="K1997">
        <v>0</v>
      </c>
      <c r="L1997" t="s">
        <v>5544</v>
      </c>
      <c r="M1997" t="s">
        <v>5545</v>
      </c>
      <c r="N1997" t="s">
        <v>5546</v>
      </c>
      <c r="O1997" t="s">
        <v>2824</v>
      </c>
      <c r="P1997" t="s">
        <v>5547</v>
      </c>
    </row>
    <row r="1998" spans="1:16" x14ac:dyDescent="0.35">
      <c r="A1998" t="s">
        <v>88</v>
      </c>
      <c r="B1998">
        <v>1700702248</v>
      </c>
      <c r="C1998" t="s">
        <v>19</v>
      </c>
      <c r="D1998" t="s">
        <v>20</v>
      </c>
      <c r="E1998" s="29">
        <v>46205</v>
      </c>
      <c r="F1998" t="s">
        <v>4</v>
      </c>
      <c r="G1998" s="28">
        <v>0.47916666666666669</v>
      </c>
      <c r="H1998" s="28">
        <v>0.47916666666666669</v>
      </c>
      <c r="I1998">
        <v>0</v>
      </c>
      <c r="J1998" t="s">
        <v>174</v>
      </c>
      <c r="K1998">
        <v>0</v>
      </c>
      <c r="L1998" t="s">
        <v>5548</v>
      </c>
      <c r="M1998" t="s">
        <v>5549</v>
      </c>
      <c r="N1998" t="s">
        <v>5550</v>
      </c>
      <c r="O1998" t="s">
        <v>5551</v>
      </c>
      <c r="P1998" t="s">
        <v>5552</v>
      </c>
    </row>
    <row r="1999" spans="1:16" x14ac:dyDescent="0.35">
      <c r="A1999" t="s">
        <v>88</v>
      </c>
      <c r="B1999">
        <v>1700702248</v>
      </c>
      <c r="C1999" t="s">
        <v>19</v>
      </c>
      <c r="D1999" t="s">
        <v>20</v>
      </c>
      <c r="E1999" s="29">
        <v>46205</v>
      </c>
      <c r="F1999" t="s">
        <v>4</v>
      </c>
      <c r="G1999" s="28">
        <v>0.4861111111111111</v>
      </c>
      <c r="H1999" s="28">
        <v>0.4861111111111111</v>
      </c>
      <c r="I1999">
        <v>0</v>
      </c>
      <c r="J1999" t="s">
        <v>174</v>
      </c>
      <c r="K1999">
        <v>0</v>
      </c>
      <c r="L1999" t="s">
        <v>5553</v>
      </c>
      <c r="M1999" t="s">
        <v>5554</v>
      </c>
      <c r="N1999" t="s">
        <v>5555</v>
      </c>
      <c r="O1999" t="s">
        <v>5556</v>
      </c>
      <c r="P1999" t="s">
        <v>5557</v>
      </c>
    </row>
    <row r="2000" spans="1:16" x14ac:dyDescent="0.35">
      <c r="A2000" t="s">
        <v>88</v>
      </c>
      <c r="B2000">
        <v>1700702248</v>
      </c>
      <c r="C2000" t="s">
        <v>19</v>
      </c>
      <c r="D2000" t="s">
        <v>20</v>
      </c>
      <c r="E2000" s="29">
        <v>46205</v>
      </c>
      <c r="F2000" t="s">
        <v>4</v>
      </c>
      <c r="G2000" s="28">
        <v>0.49305555555555558</v>
      </c>
      <c r="H2000" s="28">
        <v>0.54861111111111116</v>
      </c>
      <c r="I2000">
        <v>1</v>
      </c>
      <c r="J2000" t="s">
        <v>146</v>
      </c>
      <c r="K2000">
        <v>4</v>
      </c>
      <c r="L2000" t="s">
        <v>147</v>
      </c>
      <c r="M2000" t="s">
        <v>414</v>
      </c>
      <c r="N2000" t="s">
        <v>415</v>
      </c>
      <c r="O2000" t="s">
        <v>416</v>
      </c>
      <c r="P2000" t="s">
        <v>5558</v>
      </c>
    </row>
    <row r="2001" spans="1:16" x14ac:dyDescent="0.35">
      <c r="A2001" t="s">
        <v>88</v>
      </c>
      <c r="B2001">
        <v>1700702248</v>
      </c>
      <c r="C2001" t="s">
        <v>19</v>
      </c>
      <c r="D2001" t="s">
        <v>20</v>
      </c>
      <c r="E2001" s="29">
        <v>46205</v>
      </c>
      <c r="F2001" t="s">
        <v>4</v>
      </c>
      <c r="G2001" s="28">
        <v>0.55555555555555558</v>
      </c>
      <c r="H2001" s="28">
        <v>0.5625</v>
      </c>
      <c r="I2001">
        <v>0</v>
      </c>
      <c r="J2001" t="s">
        <v>146</v>
      </c>
      <c r="K2001">
        <v>0</v>
      </c>
      <c r="L2001" t="s">
        <v>147</v>
      </c>
      <c r="M2001" t="s">
        <v>419</v>
      </c>
      <c r="N2001" t="s">
        <v>420</v>
      </c>
      <c r="O2001" t="s">
        <v>421</v>
      </c>
      <c r="P2001" t="s">
        <v>5559</v>
      </c>
    </row>
    <row r="2002" spans="1:16" x14ac:dyDescent="0.35">
      <c r="A2002" t="s">
        <v>88</v>
      </c>
      <c r="B2002">
        <v>1700702248</v>
      </c>
      <c r="C2002" t="s">
        <v>19</v>
      </c>
      <c r="D2002" t="s">
        <v>20</v>
      </c>
      <c r="E2002" s="29">
        <v>46205</v>
      </c>
      <c r="F2002" t="s">
        <v>4</v>
      </c>
      <c r="G2002" s="28">
        <v>0.56944444444444442</v>
      </c>
      <c r="H2002" s="28">
        <v>0.74305555555555558</v>
      </c>
      <c r="I2002">
        <v>4</v>
      </c>
      <c r="J2002" t="s">
        <v>146</v>
      </c>
      <c r="K2002">
        <v>12</v>
      </c>
      <c r="L2002" t="s">
        <v>147</v>
      </c>
      <c r="M2002" t="s">
        <v>414</v>
      </c>
      <c r="N2002" t="s">
        <v>415</v>
      </c>
      <c r="O2002" t="s">
        <v>416</v>
      </c>
      <c r="P2002" t="s">
        <v>5558</v>
      </c>
    </row>
    <row r="2003" spans="1:16" x14ac:dyDescent="0.35">
      <c r="A2003" t="s">
        <v>88</v>
      </c>
      <c r="B2003">
        <v>1700702248</v>
      </c>
      <c r="C2003" t="s">
        <v>19</v>
      </c>
      <c r="D2003" t="s">
        <v>20</v>
      </c>
      <c r="E2003" s="29">
        <v>46205</v>
      </c>
      <c r="F2003" t="s">
        <v>4</v>
      </c>
      <c r="G2003" s="28">
        <v>0.75</v>
      </c>
      <c r="H2003" s="28">
        <v>0.75</v>
      </c>
      <c r="I2003">
        <v>0</v>
      </c>
      <c r="J2003" t="s">
        <v>174</v>
      </c>
      <c r="K2003">
        <v>0</v>
      </c>
      <c r="L2003" t="s">
        <v>5560</v>
      </c>
      <c r="M2003" t="s">
        <v>5554</v>
      </c>
      <c r="N2003" t="s">
        <v>5555</v>
      </c>
      <c r="O2003" t="s">
        <v>5556</v>
      </c>
      <c r="P2003" t="s">
        <v>5557</v>
      </c>
    </row>
    <row r="2004" spans="1:16" x14ac:dyDescent="0.35">
      <c r="A2004" t="s">
        <v>88</v>
      </c>
      <c r="B2004">
        <v>1700702248</v>
      </c>
      <c r="C2004" t="s">
        <v>19</v>
      </c>
      <c r="D2004" t="s">
        <v>20</v>
      </c>
      <c r="E2004" s="29">
        <v>46205</v>
      </c>
      <c r="F2004" t="s">
        <v>4</v>
      </c>
      <c r="G2004" s="28">
        <v>0.75694444444444442</v>
      </c>
      <c r="H2004" s="28">
        <v>0.76388888888888884</v>
      </c>
      <c r="I2004">
        <v>0</v>
      </c>
      <c r="J2004" t="s">
        <v>146</v>
      </c>
      <c r="K2004">
        <v>0</v>
      </c>
      <c r="L2004" t="s">
        <v>147</v>
      </c>
      <c r="M2004" t="s">
        <v>5561</v>
      </c>
      <c r="N2004" t="s">
        <v>5562</v>
      </c>
      <c r="O2004" t="s">
        <v>5563</v>
      </c>
      <c r="P2004" t="s">
        <v>5564</v>
      </c>
    </row>
    <row r="2005" spans="1:16" x14ac:dyDescent="0.35">
      <c r="A2005" t="s">
        <v>88</v>
      </c>
      <c r="B2005">
        <v>1700702248</v>
      </c>
      <c r="C2005" t="s">
        <v>19</v>
      </c>
      <c r="D2005" t="s">
        <v>20</v>
      </c>
      <c r="E2005" s="29">
        <v>46205</v>
      </c>
      <c r="F2005" t="s">
        <v>4</v>
      </c>
      <c r="G2005" s="28">
        <v>0.77083333333333337</v>
      </c>
      <c r="H2005" s="28">
        <v>0.77083333333333337</v>
      </c>
      <c r="I2005">
        <v>0</v>
      </c>
      <c r="J2005" t="s">
        <v>174</v>
      </c>
      <c r="K2005">
        <v>0</v>
      </c>
      <c r="L2005" t="s">
        <v>5565</v>
      </c>
      <c r="M2005" t="s">
        <v>659</v>
      </c>
      <c r="N2005" t="s">
        <v>660</v>
      </c>
      <c r="O2005" t="s">
        <v>661</v>
      </c>
      <c r="P2005" t="s">
        <v>5566</v>
      </c>
    </row>
    <row r="2006" spans="1:16" x14ac:dyDescent="0.35">
      <c r="A2006" t="s">
        <v>88</v>
      </c>
      <c r="B2006">
        <v>1700702248</v>
      </c>
      <c r="C2006" t="s">
        <v>19</v>
      </c>
      <c r="D2006" t="s">
        <v>20</v>
      </c>
      <c r="E2006" s="29">
        <v>46205</v>
      </c>
      <c r="F2006" t="s">
        <v>4</v>
      </c>
      <c r="G2006" s="28">
        <v>0.77777777777777779</v>
      </c>
      <c r="H2006" s="28">
        <v>0.77777777777777779</v>
      </c>
      <c r="I2006">
        <v>0</v>
      </c>
      <c r="J2006" t="s">
        <v>174</v>
      </c>
      <c r="K2006">
        <v>0</v>
      </c>
      <c r="L2006" t="s">
        <v>442</v>
      </c>
      <c r="M2006" t="s">
        <v>5567</v>
      </c>
      <c r="N2006" t="s">
        <v>5568</v>
      </c>
      <c r="O2006" t="s">
        <v>5569</v>
      </c>
      <c r="P2006" t="s">
        <v>5570</v>
      </c>
    </row>
    <row r="2007" spans="1:16" x14ac:dyDescent="0.35">
      <c r="A2007" t="s">
        <v>88</v>
      </c>
      <c r="B2007">
        <v>1700702248</v>
      </c>
      <c r="C2007" t="s">
        <v>19</v>
      </c>
      <c r="D2007" t="s">
        <v>20</v>
      </c>
      <c r="E2007" s="29">
        <v>46205</v>
      </c>
      <c r="F2007" t="s">
        <v>4</v>
      </c>
      <c r="G2007" s="28">
        <v>0.78472222222222221</v>
      </c>
      <c r="H2007" s="28">
        <v>0.78472222222222221</v>
      </c>
      <c r="I2007">
        <v>0</v>
      </c>
      <c r="J2007" t="s">
        <v>174</v>
      </c>
      <c r="K2007">
        <v>0</v>
      </c>
      <c r="L2007" t="s">
        <v>5571</v>
      </c>
      <c r="M2007" t="s">
        <v>5572</v>
      </c>
      <c r="N2007" t="s">
        <v>5573</v>
      </c>
      <c r="O2007" t="s">
        <v>2859</v>
      </c>
      <c r="P2007" t="s">
        <v>5574</v>
      </c>
    </row>
    <row r="2008" spans="1:16" x14ac:dyDescent="0.35">
      <c r="A2008" t="s">
        <v>88</v>
      </c>
      <c r="B2008">
        <v>1700702248</v>
      </c>
      <c r="C2008" t="s">
        <v>19</v>
      </c>
      <c r="D2008" t="s">
        <v>20</v>
      </c>
      <c r="E2008" s="29">
        <v>46207</v>
      </c>
      <c r="F2008" t="s">
        <v>5</v>
      </c>
      <c r="G2008" s="28">
        <v>0.38194444444444442</v>
      </c>
      <c r="H2008" s="28">
        <v>0.38194444444444442</v>
      </c>
      <c r="I2008">
        <v>0</v>
      </c>
      <c r="J2008" t="s">
        <v>174</v>
      </c>
      <c r="K2008">
        <v>0</v>
      </c>
      <c r="L2008" t="s">
        <v>5575</v>
      </c>
      <c r="M2008" t="s">
        <v>5576</v>
      </c>
      <c r="N2008" t="s">
        <v>5577</v>
      </c>
      <c r="O2008" t="s">
        <v>5578</v>
      </c>
      <c r="P2008" t="s">
        <v>5579</v>
      </c>
    </row>
    <row r="2009" spans="1:16" x14ac:dyDescent="0.35">
      <c r="A2009" t="s">
        <v>88</v>
      </c>
      <c r="B2009">
        <v>1700702248</v>
      </c>
      <c r="C2009" t="s">
        <v>19</v>
      </c>
      <c r="D2009" t="s">
        <v>20</v>
      </c>
      <c r="E2009" s="29">
        <v>46207</v>
      </c>
      <c r="F2009" t="s">
        <v>5</v>
      </c>
      <c r="G2009" s="28">
        <v>0.3888888888888889</v>
      </c>
      <c r="H2009" s="28">
        <v>0.3888888888888889</v>
      </c>
      <c r="I2009">
        <v>0</v>
      </c>
      <c r="J2009" t="s">
        <v>174</v>
      </c>
      <c r="K2009">
        <v>0</v>
      </c>
      <c r="L2009" t="s">
        <v>5580</v>
      </c>
      <c r="M2009" t="s">
        <v>5581</v>
      </c>
      <c r="N2009" t="s">
        <v>5582</v>
      </c>
      <c r="O2009" t="s">
        <v>5583</v>
      </c>
      <c r="P2009" t="s">
        <v>5584</v>
      </c>
    </row>
    <row r="2010" spans="1:16" x14ac:dyDescent="0.35">
      <c r="A2010" t="s">
        <v>88</v>
      </c>
      <c r="B2010">
        <v>1700702248</v>
      </c>
      <c r="C2010" t="s">
        <v>19</v>
      </c>
      <c r="D2010" t="s">
        <v>20</v>
      </c>
      <c r="E2010" s="29">
        <v>46207</v>
      </c>
      <c r="F2010" t="s">
        <v>5</v>
      </c>
      <c r="G2010" s="28">
        <v>0.39583333333333331</v>
      </c>
      <c r="H2010" s="28">
        <v>0.41666666666666669</v>
      </c>
      <c r="I2010">
        <v>1</v>
      </c>
      <c r="J2010" t="s">
        <v>146</v>
      </c>
      <c r="K2010">
        <v>2</v>
      </c>
      <c r="L2010" t="s">
        <v>147</v>
      </c>
      <c r="M2010" t="s">
        <v>5585</v>
      </c>
      <c r="N2010" t="s">
        <v>5586</v>
      </c>
      <c r="O2010" t="s">
        <v>5587</v>
      </c>
      <c r="P2010" t="s">
        <v>5588</v>
      </c>
    </row>
    <row r="2011" spans="1:16" x14ac:dyDescent="0.35">
      <c r="A2011" t="s">
        <v>88</v>
      </c>
      <c r="B2011">
        <v>1700702248</v>
      </c>
      <c r="C2011" t="s">
        <v>19</v>
      </c>
      <c r="D2011" t="s">
        <v>20</v>
      </c>
      <c r="E2011" s="29">
        <v>46207</v>
      </c>
      <c r="F2011" t="s">
        <v>5</v>
      </c>
      <c r="G2011" s="28">
        <v>0.4236111111111111</v>
      </c>
      <c r="H2011" s="28">
        <v>0.4375</v>
      </c>
      <c r="I2011">
        <v>0</v>
      </c>
      <c r="J2011" t="s">
        <v>146</v>
      </c>
      <c r="K2011">
        <v>1</v>
      </c>
      <c r="L2011" t="s">
        <v>147</v>
      </c>
      <c r="M2011" t="s">
        <v>5589</v>
      </c>
      <c r="N2011" t="s">
        <v>5590</v>
      </c>
      <c r="O2011" t="s">
        <v>5591</v>
      </c>
      <c r="P2011" t="s">
        <v>5592</v>
      </c>
    </row>
    <row r="2012" spans="1:16" x14ac:dyDescent="0.35">
      <c r="A2012" t="s">
        <v>88</v>
      </c>
      <c r="B2012">
        <v>1700702248</v>
      </c>
      <c r="C2012" t="s">
        <v>19</v>
      </c>
      <c r="D2012" t="s">
        <v>20</v>
      </c>
      <c r="E2012" s="29">
        <v>46207</v>
      </c>
      <c r="F2012" t="s">
        <v>5</v>
      </c>
      <c r="G2012" s="28">
        <v>0.44444444444444442</v>
      </c>
      <c r="H2012" s="28">
        <v>0.44444444444444442</v>
      </c>
      <c r="I2012">
        <v>0</v>
      </c>
      <c r="J2012" t="s">
        <v>174</v>
      </c>
      <c r="K2012">
        <v>0</v>
      </c>
      <c r="L2012" t="s">
        <v>5593</v>
      </c>
      <c r="M2012" t="s">
        <v>5594</v>
      </c>
      <c r="N2012" t="s">
        <v>5595</v>
      </c>
      <c r="O2012" t="s">
        <v>5596</v>
      </c>
      <c r="P2012" t="s">
        <v>5597</v>
      </c>
    </row>
    <row r="2013" spans="1:16" x14ac:dyDescent="0.35">
      <c r="A2013" t="s">
        <v>88</v>
      </c>
      <c r="B2013">
        <v>1700702248</v>
      </c>
      <c r="C2013" t="s">
        <v>19</v>
      </c>
      <c r="D2013" t="s">
        <v>20</v>
      </c>
      <c r="E2013" s="29">
        <v>46207</v>
      </c>
      <c r="F2013" t="s">
        <v>5</v>
      </c>
      <c r="G2013" s="28">
        <v>0.4513888888888889</v>
      </c>
      <c r="H2013" s="28">
        <v>0.47222222222222221</v>
      </c>
      <c r="I2013">
        <v>0</v>
      </c>
      <c r="J2013" t="s">
        <v>146</v>
      </c>
      <c r="K2013">
        <v>2</v>
      </c>
      <c r="L2013" t="s">
        <v>147</v>
      </c>
      <c r="M2013" t="s">
        <v>5581</v>
      </c>
      <c r="N2013" t="s">
        <v>5582</v>
      </c>
      <c r="O2013" t="s">
        <v>5583</v>
      </c>
      <c r="P2013" t="s">
        <v>5584</v>
      </c>
    </row>
    <row r="2014" spans="1:16" x14ac:dyDescent="0.35">
      <c r="A2014" t="s">
        <v>88</v>
      </c>
      <c r="B2014">
        <v>1700702248</v>
      </c>
      <c r="C2014" t="s">
        <v>19</v>
      </c>
      <c r="D2014" t="s">
        <v>20</v>
      </c>
      <c r="E2014" s="29">
        <v>46207</v>
      </c>
      <c r="F2014" t="s">
        <v>5</v>
      </c>
      <c r="G2014" s="28">
        <v>0.47916666666666669</v>
      </c>
      <c r="H2014" s="28">
        <v>0.50694444444444442</v>
      </c>
      <c r="I2014">
        <v>1</v>
      </c>
      <c r="J2014" t="s">
        <v>146</v>
      </c>
      <c r="K2014">
        <v>2</v>
      </c>
      <c r="L2014" t="s">
        <v>147</v>
      </c>
      <c r="M2014" t="s">
        <v>5594</v>
      </c>
      <c r="N2014" t="s">
        <v>5595</v>
      </c>
      <c r="O2014" t="s">
        <v>5596</v>
      </c>
      <c r="P2014" t="s">
        <v>5597</v>
      </c>
    </row>
    <row r="2015" spans="1:16" x14ac:dyDescent="0.35">
      <c r="A2015" t="s">
        <v>88</v>
      </c>
      <c r="B2015">
        <v>1700702248</v>
      </c>
      <c r="C2015" t="s">
        <v>19</v>
      </c>
      <c r="D2015" t="s">
        <v>20</v>
      </c>
      <c r="E2015" s="29">
        <v>46207</v>
      </c>
      <c r="F2015" t="s">
        <v>5</v>
      </c>
      <c r="G2015" s="28">
        <v>0.51388888888888884</v>
      </c>
      <c r="H2015" s="28">
        <v>0.51388888888888884</v>
      </c>
      <c r="I2015">
        <v>0</v>
      </c>
      <c r="J2015" t="s">
        <v>174</v>
      </c>
      <c r="K2015">
        <v>0</v>
      </c>
      <c r="L2015" t="s">
        <v>1017</v>
      </c>
      <c r="M2015" t="s">
        <v>5585</v>
      </c>
      <c r="N2015" t="s">
        <v>5586</v>
      </c>
      <c r="O2015" t="s">
        <v>5587</v>
      </c>
      <c r="P2015" t="s">
        <v>5588</v>
      </c>
    </row>
    <row r="2016" spans="1:16" x14ac:dyDescent="0.35">
      <c r="A2016" t="s">
        <v>88</v>
      </c>
      <c r="B2016">
        <v>1700702248</v>
      </c>
      <c r="C2016" t="s">
        <v>19</v>
      </c>
      <c r="D2016" t="s">
        <v>20</v>
      </c>
      <c r="E2016" s="29">
        <v>46207</v>
      </c>
      <c r="F2016" t="s">
        <v>5</v>
      </c>
      <c r="G2016" s="28">
        <v>0.52083333333333337</v>
      </c>
      <c r="H2016" s="28">
        <v>0.54166666666666663</v>
      </c>
      <c r="I2016">
        <v>0</v>
      </c>
      <c r="J2016" t="s">
        <v>146</v>
      </c>
      <c r="K2016">
        <v>1</v>
      </c>
      <c r="L2016" t="s">
        <v>147</v>
      </c>
      <c r="M2016" t="s">
        <v>5598</v>
      </c>
      <c r="N2016" t="s">
        <v>5599</v>
      </c>
      <c r="O2016" t="s">
        <v>5600</v>
      </c>
      <c r="P2016" t="s">
        <v>5601</v>
      </c>
    </row>
    <row r="2017" spans="1:16" x14ac:dyDescent="0.35">
      <c r="A2017" t="s">
        <v>88</v>
      </c>
      <c r="B2017">
        <v>1700702248</v>
      </c>
      <c r="C2017" t="s">
        <v>19</v>
      </c>
      <c r="D2017" t="s">
        <v>20</v>
      </c>
      <c r="E2017" s="29">
        <v>46207</v>
      </c>
      <c r="F2017" t="s">
        <v>5</v>
      </c>
      <c r="G2017" s="28">
        <v>0.54861111111111116</v>
      </c>
      <c r="H2017" s="28">
        <v>0.54861111111111116</v>
      </c>
      <c r="I2017">
        <v>0</v>
      </c>
      <c r="J2017" t="s">
        <v>174</v>
      </c>
      <c r="K2017">
        <v>0</v>
      </c>
      <c r="L2017" t="s">
        <v>3371</v>
      </c>
      <c r="M2017" t="s">
        <v>5602</v>
      </c>
      <c r="N2017" t="s">
        <v>5603</v>
      </c>
      <c r="O2017" t="s">
        <v>5604</v>
      </c>
      <c r="P2017" t="s">
        <v>5605</v>
      </c>
    </row>
    <row r="2018" spans="1:16" x14ac:dyDescent="0.35">
      <c r="A2018" t="s">
        <v>88</v>
      </c>
      <c r="B2018">
        <v>1700702248</v>
      </c>
      <c r="C2018" t="s">
        <v>19</v>
      </c>
      <c r="D2018" t="s">
        <v>20</v>
      </c>
      <c r="E2018" s="29">
        <v>46207</v>
      </c>
      <c r="F2018" t="s">
        <v>5</v>
      </c>
      <c r="G2018" s="28">
        <v>0.55555555555555558</v>
      </c>
      <c r="H2018" s="28">
        <v>0.55555555555555558</v>
      </c>
      <c r="I2018">
        <v>0</v>
      </c>
      <c r="J2018" t="s">
        <v>174</v>
      </c>
      <c r="K2018">
        <v>0</v>
      </c>
      <c r="L2018" t="s">
        <v>3371</v>
      </c>
      <c r="M2018" t="s">
        <v>5606</v>
      </c>
      <c r="N2018" t="s">
        <v>5607</v>
      </c>
      <c r="O2018" t="s">
        <v>5608</v>
      </c>
      <c r="P2018" t="s">
        <v>5609</v>
      </c>
    </row>
    <row r="2019" spans="1:16" x14ac:dyDescent="0.35">
      <c r="A2019" t="s">
        <v>88</v>
      </c>
      <c r="B2019">
        <v>1700702248</v>
      </c>
      <c r="C2019" t="s">
        <v>19</v>
      </c>
      <c r="D2019" t="s">
        <v>20</v>
      </c>
      <c r="E2019" s="29">
        <v>46207</v>
      </c>
      <c r="F2019" t="s">
        <v>5</v>
      </c>
      <c r="G2019" s="28">
        <v>0.5625</v>
      </c>
      <c r="H2019" s="28">
        <v>0.5625</v>
      </c>
      <c r="I2019">
        <v>0</v>
      </c>
      <c r="J2019" t="s">
        <v>174</v>
      </c>
      <c r="K2019">
        <v>0</v>
      </c>
      <c r="L2019" t="s">
        <v>3371</v>
      </c>
      <c r="M2019" t="s">
        <v>5602</v>
      </c>
      <c r="N2019" t="s">
        <v>5603</v>
      </c>
      <c r="O2019" t="s">
        <v>5604</v>
      </c>
      <c r="P2019" t="s">
        <v>5605</v>
      </c>
    </row>
    <row r="2020" spans="1:16" x14ac:dyDescent="0.35">
      <c r="A2020" t="s">
        <v>88</v>
      </c>
      <c r="B2020">
        <v>1700702248</v>
      </c>
      <c r="C2020" t="s">
        <v>19</v>
      </c>
      <c r="D2020" t="s">
        <v>20</v>
      </c>
      <c r="E2020" s="29">
        <v>46207</v>
      </c>
      <c r="F2020" t="s">
        <v>5</v>
      </c>
      <c r="G2020" s="28">
        <v>0.56944444444444442</v>
      </c>
      <c r="H2020" s="28">
        <v>0.58333333333333337</v>
      </c>
      <c r="I2020">
        <v>0</v>
      </c>
      <c r="J2020" t="s">
        <v>146</v>
      </c>
      <c r="K2020">
        <v>1</v>
      </c>
      <c r="L2020" t="s">
        <v>147</v>
      </c>
      <c r="M2020" t="s">
        <v>5606</v>
      </c>
      <c r="N2020" t="s">
        <v>5607</v>
      </c>
      <c r="O2020" t="s">
        <v>5608</v>
      </c>
      <c r="P2020" t="s">
        <v>5609</v>
      </c>
    </row>
    <row r="2021" spans="1:16" x14ac:dyDescent="0.35">
      <c r="A2021" t="s">
        <v>88</v>
      </c>
      <c r="B2021">
        <v>1700702248</v>
      </c>
      <c r="C2021" t="s">
        <v>19</v>
      </c>
      <c r="D2021" t="s">
        <v>20</v>
      </c>
      <c r="E2021" s="29">
        <v>46207</v>
      </c>
      <c r="F2021" t="s">
        <v>5</v>
      </c>
      <c r="G2021" s="28">
        <v>0.59027777777777779</v>
      </c>
      <c r="H2021" s="28">
        <v>0.60416666666666663</v>
      </c>
      <c r="I2021">
        <v>0</v>
      </c>
      <c r="J2021" t="s">
        <v>146</v>
      </c>
      <c r="K2021">
        <v>1</v>
      </c>
      <c r="L2021" t="s">
        <v>147</v>
      </c>
      <c r="M2021" t="s">
        <v>5610</v>
      </c>
      <c r="N2021" t="s">
        <v>5611</v>
      </c>
      <c r="O2021" t="s">
        <v>5612</v>
      </c>
      <c r="P2021" t="s">
        <v>5613</v>
      </c>
    </row>
    <row r="2022" spans="1:16" x14ac:dyDescent="0.35">
      <c r="A2022" t="s">
        <v>88</v>
      </c>
      <c r="B2022">
        <v>1700702248</v>
      </c>
      <c r="C2022" t="s">
        <v>19</v>
      </c>
      <c r="D2022" t="s">
        <v>20</v>
      </c>
      <c r="E2022" s="29">
        <v>46207</v>
      </c>
      <c r="F2022" t="s">
        <v>5</v>
      </c>
      <c r="G2022" s="28">
        <v>0.61111111111111116</v>
      </c>
      <c r="H2022" s="28">
        <v>0.61111111111111116</v>
      </c>
      <c r="I2022">
        <v>0</v>
      </c>
      <c r="J2022" t="s">
        <v>174</v>
      </c>
      <c r="K2022">
        <v>0</v>
      </c>
      <c r="L2022" t="s">
        <v>5614</v>
      </c>
      <c r="M2022" t="s">
        <v>5606</v>
      </c>
      <c r="N2022" t="s">
        <v>5607</v>
      </c>
      <c r="O2022" t="s">
        <v>5608</v>
      </c>
      <c r="P2022" t="s">
        <v>5609</v>
      </c>
    </row>
    <row r="2023" spans="1:16" x14ac:dyDescent="0.35">
      <c r="A2023" t="s">
        <v>88</v>
      </c>
      <c r="B2023">
        <v>1700702248</v>
      </c>
      <c r="C2023" t="s">
        <v>19</v>
      </c>
      <c r="D2023" t="s">
        <v>20</v>
      </c>
      <c r="E2023" s="29">
        <v>46207</v>
      </c>
      <c r="F2023" t="s">
        <v>5</v>
      </c>
      <c r="G2023" s="28">
        <v>0.61805555555555558</v>
      </c>
      <c r="H2023" s="28">
        <v>0.75694444444444442</v>
      </c>
      <c r="I2023">
        <v>3</v>
      </c>
      <c r="J2023" t="s">
        <v>146</v>
      </c>
      <c r="K2023">
        <v>10</v>
      </c>
      <c r="L2023" t="s">
        <v>147</v>
      </c>
      <c r="M2023" t="s">
        <v>5585</v>
      </c>
      <c r="N2023" t="s">
        <v>5586</v>
      </c>
      <c r="O2023" t="s">
        <v>5587</v>
      </c>
      <c r="P2023" t="s">
        <v>5588</v>
      </c>
    </row>
    <row r="2024" spans="1:16" x14ac:dyDescent="0.35">
      <c r="A2024" t="s">
        <v>88</v>
      </c>
      <c r="B2024">
        <v>1700702248</v>
      </c>
      <c r="C2024" t="s">
        <v>19</v>
      </c>
      <c r="D2024" t="s">
        <v>20</v>
      </c>
      <c r="E2024" s="29">
        <v>46207</v>
      </c>
      <c r="F2024" t="s">
        <v>5</v>
      </c>
      <c r="G2024" s="28">
        <v>0.76388888888888884</v>
      </c>
      <c r="H2024" s="28">
        <v>0.78472222222222221</v>
      </c>
      <c r="I2024">
        <v>1</v>
      </c>
      <c r="J2024" t="s">
        <v>146</v>
      </c>
      <c r="K2024">
        <v>2</v>
      </c>
      <c r="L2024" t="s">
        <v>147</v>
      </c>
      <c r="M2024" t="s">
        <v>5581</v>
      </c>
      <c r="N2024" t="s">
        <v>5582</v>
      </c>
      <c r="O2024" t="s">
        <v>5583</v>
      </c>
      <c r="P2024" t="s">
        <v>5584</v>
      </c>
    </row>
    <row r="2025" spans="1:16" x14ac:dyDescent="0.35">
      <c r="A2025" t="s">
        <v>88</v>
      </c>
      <c r="B2025">
        <v>1700702248</v>
      </c>
      <c r="C2025" t="s">
        <v>19</v>
      </c>
      <c r="D2025" t="s">
        <v>20</v>
      </c>
      <c r="E2025" s="29">
        <v>46208</v>
      </c>
      <c r="F2025" t="s">
        <v>6</v>
      </c>
      <c r="G2025" s="28">
        <v>0.38194444444444442</v>
      </c>
      <c r="H2025" s="28">
        <v>0.38194444444444442</v>
      </c>
      <c r="I2025">
        <v>0</v>
      </c>
      <c r="J2025" t="s">
        <v>174</v>
      </c>
      <c r="K2025">
        <v>0</v>
      </c>
      <c r="L2025" t="s">
        <v>4054</v>
      </c>
      <c r="M2025" t="s">
        <v>5615</v>
      </c>
      <c r="N2025" t="s">
        <v>5616</v>
      </c>
      <c r="O2025" t="s">
        <v>5617</v>
      </c>
      <c r="P2025" t="s">
        <v>5618</v>
      </c>
    </row>
    <row r="2026" spans="1:16" x14ac:dyDescent="0.35">
      <c r="A2026" t="s">
        <v>88</v>
      </c>
      <c r="B2026">
        <v>1700702248</v>
      </c>
      <c r="C2026" t="s">
        <v>19</v>
      </c>
      <c r="D2026" t="s">
        <v>20</v>
      </c>
      <c r="E2026" s="29">
        <v>46208</v>
      </c>
      <c r="F2026" t="s">
        <v>6</v>
      </c>
      <c r="G2026" s="28">
        <v>0.3888888888888889</v>
      </c>
      <c r="H2026" s="28">
        <v>0.40277777777777779</v>
      </c>
      <c r="I2026">
        <v>0</v>
      </c>
      <c r="J2026" t="s">
        <v>146</v>
      </c>
      <c r="K2026">
        <v>1</v>
      </c>
      <c r="L2026" t="s">
        <v>147</v>
      </c>
      <c r="M2026" t="s">
        <v>5619</v>
      </c>
      <c r="N2026" t="s">
        <v>5620</v>
      </c>
      <c r="O2026" t="s">
        <v>5621</v>
      </c>
      <c r="P2026" t="s">
        <v>5622</v>
      </c>
    </row>
    <row r="2027" spans="1:16" x14ac:dyDescent="0.35">
      <c r="A2027" t="s">
        <v>88</v>
      </c>
      <c r="B2027">
        <v>1700702248</v>
      </c>
      <c r="C2027" t="s">
        <v>19</v>
      </c>
      <c r="D2027" t="s">
        <v>20</v>
      </c>
      <c r="E2027" s="29">
        <v>46208</v>
      </c>
      <c r="F2027" t="s">
        <v>6</v>
      </c>
      <c r="G2027" s="28">
        <v>0.40972222222222221</v>
      </c>
      <c r="H2027" s="28">
        <v>0.46527777777777779</v>
      </c>
      <c r="I2027">
        <v>1</v>
      </c>
      <c r="J2027" t="s">
        <v>146</v>
      </c>
      <c r="K2027">
        <v>4</v>
      </c>
      <c r="L2027" t="s">
        <v>147</v>
      </c>
      <c r="M2027" t="s">
        <v>5615</v>
      </c>
      <c r="N2027" t="s">
        <v>5616</v>
      </c>
      <c r="O2027" t="s">
        <v>5617</v>
      </c>
      <c r="P2027" t="s">
        <v>5618</v>
      </c>
    </row>
    <row r="2028" spans="1:16" x14ac:dyDescent="0.35">
      <c r="A2028" t="s">
        <v>88</v>
      </c>
      <c r="B2028">
        <v>1700702248</v>
      </c>
      <c r="C2028" t="s">
        <v>19</v>
      </c>
      <c r="D2028" t="s">
        <v>20</v>
      </c>
      <c r="E2028" s="29">
        <v>46208</v>
      </c>
      <c r="F2028" t="s">
        <v>6</v>
      </c>
      <c r="G2028" s="28">
        <v>0.47222222222222221</v>
      </c>
      <c r="H2028" s="28">
        <v>0.47222222222222221</v>
      </c>
      <c r="I2028">
        <v>0</v>
      </c>
      <c r="J2028" t="s">
        <v>174</v>
      </c>
      <c r="K2028">
        <v>0</v>
      </c>
      <c r="L2028" t="s">
        <v>4417</v>
      </c>
      <c r="M2028" t="s">
        <v>5623</v>
      </c>
      <c r="N2028" t="s">
        <v>5624</v>
      </c>
      <c r="O2028" t="s">
        <v>5625</v>
      </c>
      <c r="P2028" t="s">
        <v>5626</v>
      </c>
    </row>
    <row r="2029" spans="1:16" x14ac:dyDescent="0.35">
      <c r="A2029" t="s">
        <v>88</v>
      </c>
      <c r="B2029">
        <v>1700702248</v>
      </c>
      <c r="C2029" t="s">
        <v>19</v>
      </c>
      <c r="D2029" t="s">
        <v>20</v>
      </c>
      <c r="E2029" s="29">
        <v>46208</v>
      </c>
      <c r="F2029" t="s">
        <v>6</v>
      </c>
      <c r="G2029" s="28">
        <v>0.47916666666666669</v>
      </c>
      <c r="H2029" s="28">
        <v>0.47916666666666669</v>
      </c>
      <c r="I2029">
        <v>0</v>
      </c>
      <c r="J2029" t="s">
        <v>174</v>
      </c>
      <c r="K2029">
        <v>0</v>
      </c>
      <c r="L2029" t="s">
        <v>1125</v>
      </c>
      <c r="M2029" t="s">
        <v>5627</v>
      </c>
      <c r="N2029" t="s">
        <v>5628</v>
      </c>
      <c r="O2029" t="s">
        <v>5629</v>
      </c>
      <c r="P2029" t="s">
        <v>5630</v>
      </c>
    </row>
    <row r="2030" spans="1:16" x14ac:dyDescent="0.35">
      <c r="A2030" t="s">
        <v>88</v>
      </c>
      <c r="B2030">
        <v>1700702248</v>
      </c>
      <c r="C2030" t="s">
        <v>19</v>
      </c>
      <c r="D2030" t="s">
        <v>20</v>
      </c>
      <c r="E2030" s="29">
        <v>46208</v>
      </c>
      <c r="F2030" t="s">
        <v>6</v>
      </c>
      <c r="G2030" s="28">
        <v>0.4861111111111111</v>
      </c>
      <c r="H2030" s="28">
        <v>0.4861111111111111</v>
      </c>
      <c r="I2030">
        <v>0</v>
      </c>
      <c r="J2030" t="s">
        <v>174</v>
      </c>
      <c r="K2030">
        <v>0</v>
      </c>
      <c r="L2030" t="s">
        <v>5152</v>
      </c>
      <c r="M2030" t="s">
        <v>5631</v>
      </c>
      <c r="N2030" t="s">
        <v>5632</v>
      </c>
      <c r="O2030" t="s">
        <v>4188</v>
      </c>
      <c r="P2030" t="s">
        <v>5633</v>
      </c>
    </row>
    <row r="2031" spans="1:16" x14ac:dyDescent="0.35">
      <c r="A2031" t="s">
        <v>88</v>
      </c>
      <c r="B2031">
        <v>1700702248</v>
      </c>
      <c r="C2031" t="s">
        <v>19</v>
      </c>
      <c r="D2031" t="s">
        <v>20</v>
      </c>
      <c r="E2031" s="29">
        <v>46208</v>
      </c>
      <c r="F2031" t="s">
        <v>6</v>
      </c>
      <c r="G2031" s="28">
        <v>0.49305555555555558</v>
      </c>
      <c r="H2031" s="28">
        <v>0.49305555555555558</v>
      </c>
      <c r="I2031">
        <v>0</v>
      </c>
      <c r="J2031" t="s">
        <v>174</v>
      </c>
      <c r="K2031">
        <v>0</v>
      </c>
      <c r="L2031" t="s">
        <v>5634</v>
      </c>
      <c r="M2031" t="s">
        <v>5635</v>
      </c>
      <c r="N2031" t="s">
        <v>5636</v>
      </c>
      <c r="O2031" t="s">
        <v>5637</v>
      </c>
      <c r="P2031" t="s">
        <v>5638</v>
      </c>
    </row>
    <row r="2032" spans="1:16" x14ac:dyDescent="0.35">
      <c r="A2032" t="s">
        <v>88</v>
      </c>
      <c r="B2032">
        <v>1700702248</v>
      </c>
      <c r="C2032" t="s">
        <v>19</v>
      </c>
      <c r="D2032" t="s">
        <v>20</v>
      </c>
      <c r="E2032" s="29">
        <v>46208</v>
      </c>
      <c r="F2032" t="s">
        <v>6</v>
      </c>
      <c r="G2032" s="28">
        <v>0.5</v>
      </c>
      <c r="H2032" s="28">
        <v>0.63194444444444442</v>
      </c>
      <c r="I2032">
        <v>3</v>
      </c>
      <c r="J2032" t="s">
        <v>146</v>
      </c>
      <c r="K2032">
        <v>10</v>
      </c>
      <c r="L2032" t="s">
        <v>147</v>
      </c>
      <c r="M2032" t="s">
        <v>5615</v>
      </c>
      <c r="N2032" t="s">
        <v>5616</v>
      </c>
      <c r="O2032" t="s">
        <v>5617</v>
      </c>
      <c r="P2032" t="s">
        <v>5618</v>
      </c>
    </row>
    <row r="2033" spans="1:16" x14ac:dyDescent="0.35">
      <c r="A2033" t="s">
        <v>88</v>
      </c>
      <c r="B2033">
        <v>1700702248</v>
      </c>
      <c r="C2033" t="s">
        <v>19</v>
      </c>
      <c r="D2033" t="s">
        <v>20</v>
      </c>
      <c r="E2033" s="29">
        <v>46208</v>
      </c>
      <c r="F2033" t="s">
        <v>6</v>
      </c>
      <c r="G2033" s="28">
        <v>0.63888888888888884</v>
      </c>
      <c r="H2033" s="28">
        <v>0.65972222222222221</v>
      </c>
      <c r="I2033">
        <v>1</v>
      </c>
      <c r="J2033" t="s">
        <v>146</v>
      </c>
      <c r="K2033">
        <v>2</v>
      </c>
      <c r="L2033" t="s">
        <v>147</v>
      </c>
      <c r="M2033" t="s">
        <v>5619</v>
      </c>
      <c r="N2033" t="s">
        <v>5620</v>
      </c>
      <c r="O2033" t="s">
        <v>5621</v>
      </c>
      <c r="P2033" t="s">
        <v>5622</v>
      </c>
    </row>
    <row r="2034" spans="1:16" x14ac:dyDescent="0.35">
      <c r="A2034" t="s">
        <v>88</v>
      </c>
      <c r="B2034">
        <v>1700702248</v>
      </c>
      <c r="C2034" t="s">
        <v>19</v>
      </c>
      <c r="D2034" t="s">
        <v>20</v>
      </c>
      <c r="E2034" s="29">
        <v>46208</v>
      </c>
      <c r="F2034" t="s">
        <v>6</v>
      </c>
      <c r="G2034" s="28">
        <v>0.66736111111111107</v>
      </c>
      <c r="H2034" s="28">
        <v>0.66736111111111107</v>
      </c>
      <c r="I2034">
        <v>0</v>
      </c>
      <c r="J2034" t="s">
        <v>174</v>
      </c>
      <c r="K2034">
        <v>0</v>
      </c>
      <c r="L2034" t="s">
        <v>5639</v>
      </c>
      <c r="M2034" t="s">
        <v>5640</v>
      </c>
      <c r="N2034" t="s">
        <v>5641</v>
      </c>
      <c r="O2034" t="s">
        <v>5642</v>
      </c>
      <c r="P2034" t="s">
        <v>5643</v>
      </c>
    </row>
    <row r="2035" spans="1:16" x14ac:dyDescent="0.35">
      <c r="A2035" t="s">
        <v>88</v>
      </c>
      <c r="B2035">
        <v>1700702248</v>
      </c>
      <c r="C2035" t="s">
        <v>19</v>
      </c>
      <c r="D2035" t="s">
        <v>20</v>
      </c>
      <c r="E2035" s="29">
        <v>46208</v>
      </c>
      <c r="F2035" t="s">
        <v>6</v>
      </c>
      <c r="G2035" s="28">
        <v>0.67361111111111116</v>
      </c>
      <c r="H2035" s="28">
        <v>0.69444444444444442</v>
      </c>
      <c r="I2035">
        <v>0</v>
      </c>
      <c r="J2035" t="s">
        <v>146</v>
      </c>
      <c r="K2035">
        <v>1</v>
      </c>
      <c r="L2035" t="s">
        <v>147</v>
      </c>
      <c r="M2035" t="s">
        <v>5615</v>
      </c>
      <c r="N2035" t="s">
        <v>5616</v>
      </c>
      <c r="O2035" t="s">
        <v>5617</v>
      </c>
      <c r="P2035" t="s">
        <v>5618</v>
      </c>
    </row>
    <row r="2036" spans="1:16" x14ac:dyDescent="0.35">
      <c r="A2036" t="s">
        <v>88</v>
      </c>
      <c r="B2036">
        <v>1700702248</v>
      </c>
      <c r="C2036" t="s">
        <v>19</v>
      </c>
      <c r="D2036" t="s">
        <v>20</v>
      </c>
      <c r="E2036" s="29">
        <v>46208</v>
      </c>
      <c r="F2036" t="s">
        <v>6</v>
      </c>
      <c r="G2036" s="28">
        <v>0.70138888888888884</v>
      </c>
      <c r="H2036" s="28">
        <v>0.70138888888888884</v>
      </c>
      <c r="I2036">
        <v>0</v>
      </c>
      <c r="J2036" t="s">
        <v>174</v>
      </c>
      <c r="K2036">
        <v>0</v>
      </c>
      <c r="L2036" t="s">
        <v>5644</v>
      </c>
      <c r="M2036" t="s">
        <v>5635</v>
      </c>
      <c r="N2036" t="s">
        <v>5636</v>
      </c>
      <c r="O2036" t="s">
        <v>5637</v>
      </c>
      <c r="P2036" t="s">
        <v>5638</v>
      </c>
    </row>
    <row r="2037" spans="1:16" x14ac:dyDescent="0.35">
      <c r="A2037" t="s">
        <v>88</v>
      </c>
      <c r="B2037">
        <v>1700702248</v>
      </c>
      <c r="C2037" t="s">
        <v>19</v>
      </c>
      <c r="D2037" t="s">
        <v>20</v>
      </c>
      <c r="E2037" s="29">
        <v>46208</v>
      </c>
      <c r="F2037" t="s">
        <v>6</v>
      </c>
      <c r="G2037" s="28">
        <v>0.72916666666666663</v>
      </c>
      <c r="H2037" s="28">
        <v>0.72916666666666663</v>
      </c>
      <c r="I2037">
        <v>0</v>
      </c>
      <c r="J2037" t="s">
        <v>174</v>
      </c>
      <c r="K2037">
        <v>0</v>
      </c>
      <c r="L2037" t="s">
        <v>399</v>
      </c>
      <c r="M2037" t="s">
        <v>5645</v>
      </c>
      <c r="N2037" t="s">
        <v>5646</v>
      </c>
      <c r="O2037" t="s">
        <v>5647</v>
      </c>
      <c r="P2037" t="s">
        <v>5648</v>
      </c>
    </row>
    <row r="2038" spans="1:16" x14ac:dyDescent="0.35">
      <c r="A2038" t="s">
        <v>88</v>
      </c>
      <c r="B2038">
        <v>1700702248</v>
      </c>
      <c r="C2038" t="s">
        <v>19</v>
      </c>
      <c r="D2038" t="s">
        <v>20</v>
      </c>
      <c r="E2038" s="29">
        <v>46208</v>
      </c>
      <c r="F2038" t="s">
        <v>6</v>
      </c>
      <c r="G2038" s="28">
        <v>0.73611111111111116</v>
      </c>
      <c r="H2038" s="28">
        <v>0.74305555555555558</v>
      </c>
      <c r="I2038">
        <v>0</v>
      </c>
      <c r="J2038" t="s">
        <v>146</v>
      </c>
      <c r="K2038">
        <v>0</v>
      </c>
      <c r="L2038" t="s">
        <v>147</v>
      </c>
      <c r="M2038" t="s">
        <v>5531</v>
      </c>
      <c r="N2038" t="s">
        <v>5649</v>
      </c>
      <c r="O2038" t="s">
        <v>5650</v>
      </c>
      <c r="P2038" t="s">
        <v>5651</v>
      </c>
    </row>
    <row r="2039" spans="1:16" x14ac:dyDescent="0.35">
      <c r="A2039" t="s">
        <v>88</v>
      </c>
      <c r="B2039">
        <v>1700702248</v>
      </c>
      <c r="C2039" t="s">
        <v>19</v>
      </c>
      <c r="D2039" t="s">
        <v>20</v>
      </c>
      <c r="E2039" s="29">
        <v>46208</v>
      </c>
      <c r="F2039" t="s">
        <v>6</v>
      </c>
      <c r="G2039" s="28">
        <v>0.75</v>
      </c>
      <c r="H2039" s="28">
        <v>0.75694444444444442</v>
      </c>
      <c r="I2039">
        <v>0</v>
      </c>
      <c r="J2039" t="s">
        <v>146</v>
      </c>
      <c r="K2039">
        <v>0</v>
      </c>
      <c r="L2039" t="s">
        <v>147</v>
      </c>
      <c r="M2039" t="s">
        <v>5652</v>
      </c>
      <c r="N2039" t="s">
        <v>5653</v>
      </c>
      <c r="O2039" t="s">
        <v>5654</v>
      </c>
      <c r="P2039" t="s">
        <v>5655</v>
      </c>
    </row>
    <row r="2040" spans="1:16" x14ac:dyDescent="0.35">
      <c r="A2040" t="s">
        <v>88</v>
      </c>
      <c r="B2040">
        <v>1700702248</v>
      </c>
      <c r="C2040" t="s">
        <v>19</v>
      </c>
      <c r="D2040" t="s">
        <v>20</v>
      </c>
      <c r="E2040" s="29">
        <v>46208</v>
      </c>
      <c r="F2040" t="s">
        <v>6</v>
      </c>
      <c r="G2040" s="28">
        <v>0.76388888888888884</v>
      </c>
      <c r="H2040" s="28">
        <v>0.76388888888888884</v>
      </c>
      <c r="I2040">
        <v>0</v>
      </c>
      <c r="J2040" t="s">
        <v>174</v>
      </c>
      <c r="K2040">
        <v>0</v>
      </c>
      <c r="L2040" t="s">
        <v>466</v>
      </c>
      <c r="M2040" t="s">
        <v>5531</v>
      </c>
      <c r="N2040" t="s">
        <v>5649</v>
      </c>
      <c r="O2040" t="s">
        <v>5650</v>
      </c>
      <c r="P2040" t="s">
        <v>5651</v>
      </c>
    </row>
    <row r="2041" spans="1:16" x14ac:dyDescent="0.35">
      <c r="A2041" t="s">
        <v>88</v>
      </c>
      <c r="B2041">
        <v>1700702248</v>
      </c>
      <c r="C2041" t="s">
        <v>19</v>
      </c>
      <c r="D2041" t="s">
        <v>20</v>
      </c>
      <c r="E2041" s="29">
        <v>46208</v>
      </c>
      <c r="F2041" t="s">
        <v>6</v>
      </c>
      <c r="G2041" s="28">
        <v>0.77083333333333337</v>
      </c>
      <c r="H2041" s="28">
        <v>0.77083333333333337</v>
      </c>
      <c r="I2041">
        <v>0</v>
      </c>
      <c r="J2041" t="s">
        <v>174</v>
      </c>
      <c r="K2041">
        <v>0</v>
      </c>
      <c r="L2041" t="s">
        <v>5656</v>
      </c>
      <c r="M2041" t="s">
        <v>5657</v>
      </c>
      <c r="N2041" t="s">
        <v>5658</v>
      </c>
      <c r="O2041" t="s">
        <v>5659</v>
      </c>
      <c r="P2041" t="s">
        <v>5660</v>
      </c>
    </row>
    <row r="2042" spans="1:16" x14ac:dyDescent="0.35">
      <c r="A2042" t="s">
        <v>88</v>
      </c>
      <c r="B2042">
        <v>1700702248</v>
      </c>
      <c r="C2042" t="s">
        <v>19</v>
      </c>
      <c r="D2042" t="s">
        <v>20</v>
      </c>
      <c r="E2042" s="29">
        <v>46208</v>
      </c>
      <c r="F2042" t="s">
        <v>6</v>
      </c>
      <c r="G2042" s="28">
        <v>0.77777777777777779</v>
      </c>
      <c r="H2042" s="28">
        <v>0.78472222222222221</v>
      </c>
      <c r="I2042">
        <v>0</v>
      </c>
      <c r="J2042" t="s">
        <v>146</v>
      </c>
      <c r="K2042">
        <v>0</v>
      </c>
      <c r="L2042" t="s">
        <v>147</v>
      </c>
      <c r="M2042" t="s">
        <v>5661</v>
      </c>
      <c r="N2042" t="s">
        <v>5662</v>
      </c>
      <c r="O2042" t="s">
        <v>5663</v>
      </c>
      <c r="P2042" t="s">
        <v>5664</v>
      </c>
    </row>
    <row r="2043" spans="1:16" x14ac:dyDescent="0.35">
      <c r="A2043" t="s">
        <v>100</v>
      </c>
      <c r="B2043">
        <v>1322845175</v>
      </c>
      <c r="C2043" t="s">
        <v>18</v>
      </c>
      <c r="D2043" t="s">
        <v>20</v>
      </c>
      <c r="E2043" s="29">
        <v>46204</v>
      </c>
      <c r="F2043" t="s">
        <v>3</v>
      </c>
      <c r="G2043" s="28">
        <v>0.3923611111111111</v>
      </c>
      <c r="H2043" s="28">
        <v>0.3923611111111111</v>
      </c>
      <c r="I2043">
        <v>0</v>
      </c>
      <c r="J2043" t="s">
        <v>174</v>
      </c>
      <c r="K2043">
        <v>0</v>
      </c>
      <c r="L2043" t="s">
        <v>368</v>
      </c>
      <c r="M2043" t="s">
        <v>5665</v>
      </c>
      <c r="N2043" t="s">
        <v>5666</v>
      </c>
      <c r="O2043" t="s">
        <v>5667</v>
      </c>
      <c r="P2043" t="s">
        <v>5668</v>
      </c>
    </row>
    <row r="2044" spans="1:16" x14ac:dyDescent="0.35">
      <c r="A2044" t="s">
        <v>100</v>
      </c>
      <c r="B2044">
        <v>1322845175</v>
      </c>
      <c r="C2044" t="s">
        <v>18</v>
      </c>
      <c r="D2044" t="s">
        <v>20</v>
      </c>
      <c r="E2044" s="29">
        <v>46204</v>
      </c>
      <c r="F2044" t="s">
        <v>3</v>
      </c>
      <c r="G2044" s="28">
        <v>0.39930555555555558</v>
      </c>
      <c r="H2044" s="28">
        <v>0.39930555555555558</v>
      </c>
      <c r="I2044">
        <v>0</v>
      </c>
      <c r="J2044" t="s">
        <v>174</v>
      </c>
      <c r="K2044">
        <v>0</v>
      </c>
      <c r="L2044" t="s">
        <v>247</v>
      </c>
      <c r="M2044" t="s">
        <v>4147</v>
      </c>
      <c r="N2044" t="s">
        <v>4155</v>
      </c>
      <c r="O2044" t="s">
        <v>4156</v>
      </c>
      <c r="P2044" t="s">
        <v>4157</v>
      </c>
    </row>
    <row r="2045" spans="1:16" x14ac:dyDescent="0.35">
      <c r="A2045" t="s">
        <v>100</v>
      </c>
      <c r="B2045">
        <v>1322845175</v>
      </c>
      <c r="C2045" t="s">
        <v>18</v>
      </c>
      <c r="D2045" t="s">
        <v>20</v>
      </c>
      <c r="E2045" s="29">
        <v>46204</v>
      </c>
      <c r="F2045" t="s">
        <v>3</v>
      </c>
      <c r="G2045" s="28">
        <v>0.40625</v>
      </c>
      <c r="H2045" s="28">
        <v>0.4201388888888889</v>
      </c>
      <c r="I2045">
        <v>0</v>
      </c>
      <c r="J2045" t="s">
        <v>146</v>
      </c>
      <c r="K2045">
        <v>1</v>
      </c>
      <c r="L2045" t="s">
        <v>147</v>
      </c>
      <c r="M2045" t="s">
        <v>4127</v>
      </c>
      <c r="N2045" t="s">
        <v>4128</v>
      </c>
      <c r="O2045" t="s">
        <v>4129</v>
      </c>
      <c r="P2045" t="s">
        <v>4130</v>
      </c>
    </row>
    <row r="2046" spans="1:16" x14ac:dyDescent="0.35">
      <c r="A2046" t="s">
        <v>100</v>
      </c>
      <c r="B2046">
        <v>1322845175</v>
      </c>
      <c r="C2046" t="s">
        <v>18</v>
      </c>
      <c r="D2046" t="s">
        <v>20</v>
      </c>
      <c r="E2046" s="29">
        <v>46204</v>
      </c>
      <c r="F2046" t="s">
        <v>3</v>
      </c>
      <c r="G2046" s="28">
        <v>0.42708333333333331</v>
      </c>
      <c r="H2046" s="28">
        <v>0.43402777777777779</v>
      </c>
      <c r="I2046">
        <v>0</v>
      </c>
      <c r="J2046" t="s">
        <v>146</v>
      </c>
      <c r="K2046">
        <v>1</v>
      </c>
      <c r="L2046" t="s">
        <v>147</v>
      </c>
      <c r="M2046" t="s">
        <v>5669</v>
      </c>
      <c r="N2046" t="s">
        <v>5670</v>
      </c>
      <c r="O2046" t="s">
        <v>5671</v>
      </c>
      <c r="P2046" t="s">
        <v>5672</v>
      </c>
    </row>
    <row r="2047" spans="1:16" x14ac:dyDescent="0.35">
      <c r="A2047" t="s">
        <v>100</v>
      </c>
      <c r="B2047">
        <v>1322845175</v>
      </c>
      <c r="C2047" t="s">
        <v>18</v>
      </c>
      <c r="D2047" t="s">
        <v>20</v>
      </c>
      <c r="E2047" s="29">
        <v>46204</v>
      </c>
      <c r="F2047" t="s">
        <v>3</v>
      </c>
      <c r="G2047" s="28">
        <v>0.44097222222222221</v>
      </c>
      <c r="H2047" s="28">
        <v>0.44097222222222221</v>
      </c>
      <c r="I2047">
        <v>0</v>
      </c>
      <c r="J2047" t="s">
        <v>174</v>
      </c>
      <c r="K2047">
        <v>0</v>
      </c>
      <c r="L2047" t="s">
        <v>629</v>
      </c>
      <c r="M2047" t="s">
        <v>5673</v>
      </c>
      <c r="N2047" t="s">
        <v>5674</v>
      </c>
      <c r="O2047" t="s">
        <v>5675</v>
      </c>
      <c r="P2047" t="s">
        <v>5676</v>
      </c>
    </row>
    <row r="2048" spans="1:16" x14ac:dyDescent="0.35">
      <c r="A2048" t="s">
        <v>100</v>
      </c>
      <c r="B2048">
        <v>1322845175</v>
      </c>
      <c r="C2048" t="s">
        <v>18</v>
      </c>
      <c r="D2048" t="s">
        <v>20</v>
      </c>
      <c r="E2048" s="29">
        <v>46204</v>
      </c>
      <c r="F2048" t="s">
        <v>3</v>
      </c>
      <c r="G2048" s="28">
        <v>0.44791666666666669</v>
      </c>
      <c r="H2048" s="28">
        <v>0.44791666666666669</v>
      </c>
      <c r="I2048">
        <v>0</v>
      </c>
      <c r="J2048" t="s">
        <v>174</v>
      </c>
      <c r="K2048">
        <v>0</v>
      </c>
      <c r="L2048" t="s">
        <v>245</v>
      </c>
      <c r="M2048" t="s">
        <v>4144</v>
      </c>
      <c r="N2048" t="s">
        <v>4145</v>
      </c>
      <c r="O2048" t="s">
        <v>2750</v>
      </c>
      <c r="P2048" t="s">
        <v>4146</v>
      </c>
    </row>
    <row r="2049" spans="1:16" x14ac:dyDescent="0.35">
      <c r="A2049" t="s">
        <v>100</v>
      </c>
      <c r="B2049">
        <v>1322845175</v>
      </c>
      <c r="C2049" t="s">
        <v>18</v>
      </c>
      <c r="D2049" t="s">
        <v>20</v>
      </c>
      <c r="E2049" s="29">
        <v>46204</v>
      </c>
      <c r="F2049" t="s">
        <v>3</v>
      </c>
      <c r="G2049" s="28">
        <v>0.4548611111111111</v>
      </c>
      <c r="H2049" s="28">
        <v>0.4548611111111111</v>
      </c>
      <c r="I2049">
        <v>0</v>
      </c>
      <c r="J2049" t="s">
        <v>174</v>
      </c>
      <c r="K2049">
        <v>0</v>
      </c>
      <c r="L2049" t="s">
        <v>4249</v>
      </c>
      <c r="M2049" t="s">
        <v>4127</v>
      </c>
      <c r="N2049" t="s">
        <v>4128</v>
      </c>
      <c r="O2049" t="s">
        <v>4129</v>
      </c>
      <c r="P2049" t="s">
        <v>4130</v>
      </c>
    </row>
    <row r="2050" spans="1:16" x14ac:dyDescent="0.35">
      <c r="A2050" t="s">
        <v>100</v>
      </c>
      <c r="B2050">
        <v>1322845175</v>
      </c>
      <c r="C2050" t="s">
        <v>18</v>
      </c>
      <c r="D2050" t="s">
        <v>20</v>
      </c>
      <c r="E2050" s="29">
        <v>46204</v>
      </c>
      <c r="F2050" t="s">
        <v>3</v>
      </c>
      <c r="G2050" s="28">
        <v>0.46180555555555558</v>
      </c>
      <c r="H2050" s="28">
        <v>0.46180555555555558</v>
      </c>
      <c r="I2050">
        <v>0</v>
      </c>
      <c r="J2050" t="s">
        <v>174</v>
      </c>
      <c r="K2050">
        <v>0</v>
      </c>
      <c r="L2050" t="s">
        <v>4343</v>
      </c>
      <c r="M2050" t="s">
        <v>4250</v>
      </c>
      <c r="N2050" t="s">
        <v>4251</v>
      </c>
      <c r="O2050" t="s">
        <v>4252</v>
      </c>
      <c r="P2050" t="s">
        <v>4253</v>
      </c>
    </row>
    <row r="2051" spans="1:16" x14ac:dyDescent="0.35">
      <c r="A2051" t="s">
        <v>100</v>
      </c>
      <c r="B2051">
        <v>1322845175</v>
      </c>
      <c r="C2051" t="s">
        <v>18</v>
      </c>
      <c r="D2051" t="s">
        <v>20</v>
      </c>
      <c r="E2051" s="29">
        <v>46204</v>
      </c>
      <c r="F2051" t="s">
        <v>3</v>
      </c>
      <c r="G2051" s="28">
        <v>0.46875</v>
      </c>
      <c r="H2051" s="28">
        <v>0.55208333333333337</v>
      </c>
      <c r="I2051">
        <v>2</v>
      </c>
      <c r="J2051" t="s">
        <v>146</v>
      </c>
      <c r="K2051">
        <v>6</v>
      </c>
      <c r="L2051" t="s">
        <v>147</v>
      </c>
      <c r="M2051" t="s">
        <v>4244</v>
      </c>
      <c r="N2051" t="s">
        <v>4132</v>
      </c>
      <c r="O2051" t="s">
        <v>4133</v>
      </c>
      <c r="P2051" t="s">
        <v>4134</v>
      </c>
    </row>
    <row r="2052" spans="1:16" x14ac:dyDescent="0.35">
      <c r="A2052" t="s">
        <v>100</v>
      </c>
      <c r="B2052">
        <v>1322845175</v>
      </c>
      <c r="C2052" t="s">
        <v>18</v>
      </c>
      <c r="D2052" t="s">
        <v>20</v>
      </c>
      <c r="E2052" s="29">
        <v>46204</v>
      </c>
      <c r="F2052" t="s">
        <v>3</v>
      </c>
      <c r="G2052" s="28">
        <v>0.55902777777777779</v>
      </c>
      <c r="H2052" s="28">
        <v>0.57291666666666663</v>
      </c>
      <c r="I2052">
        <v>0</v>
      </c>
      <c r="J2052" t="s">
        <v>146</v>
      </c>
      <c r="K2052">
        <v>1</v>
      </c>
      <c r="L2052" t="s">
        <v>147</v>
      </c>
      <c r="M2052" t="s">
        <v>4135</v>
      </c>
      <c r="N2052" t="s">
        <v>4136</v>
      </c>
      <c r="O2052" t="s">
        <v>2780</v>
      </c>
      <c r="P2052" t="s">
        <v>4137</v>
      </c>
    </row>
    <row r="2053" spans="1:16" x14ac:dyDescent="0.35">
      <c r="A2053" t="s">
        <v>100</v>
      </c>
      <c r="B2053">
        <v>1322845175</v>
      </c>
      <c r="C2053" t="s">
        <v>18</v>
      </c>
      <c r="D2053" t="s">
        <v>20</v>
      </c>
      <c r="E2053" s="29">
        <v>46204</v>
      </c>
      <c r="F2053" t="s">
        <v>3</v>
      </c>
      <c r="G2053" s="28">
        <v>0.57986111111111116</v>
      </c>
      <c r="H2053" s="28">
        <v>0.57986111111111116</v>
      </c>
      <c r="I2053">
        <v>0</v>
      </c>
      <c r="J2053" t="s">
        <v>174</v>
      </c>
      <c r="K2053">
        <v>0</v>
      </c>
      <c r="L2053" t="s">
        <v>2416</v>
      </c>
      <c r="M2053" t="s">
        <v>5677</v>
      </c>
      <c r="N2053" t="s">
        <v>5678</v>
      </c>
      <c r="O2053" t="s">
        <v>5679</v>
      </c>
      <c r="P2053" t="s">
        <v>5680</v>
      </c>
    </row>
    <row r="2054" spans="1:16" x14ac:dyDescent="0.35">
      <c r="A2054" t="s">
        <v>100</v>
      </c>
      <c r="B2054">
        <v>1322845175</v>
      </c>
      <c r="C2054" t="s">
        <v>18</v>
      </c>
      <c r="D2054" t="s">
        <v>20</v>
      </c>
      <c r="E2054" s="29">
        <v>46204</v>
      </c>
      <c r="F2054" t="s">
        <v>3</v>
      </c>
      <c r="G2054" s="28">
        <v>0.58680555555555558</v>
      </c>
      <c r="H2054" s="28">
        <v>0.58680555555555558</v>
      </c>
      <c r="I2054">
        <v>0</v>
      </c>
      <c r="J2054" t="s">
        <v>174</v>
      </c>
      <c r="K2054">
        <v>0</v>
      </c>
      <c r="L2054" t="s">
        <v>1589</v>
      </c>
      <c r="M2054" t="s">
        <v>4131</v>
      </c>
      <c r="N2054" t="s">
        <v>4132</v>
      </c>
      <c r="O2054" t="s">
        <v>4133</v>
      </c>
      <c r="P2054" t="s">
        <v>4134</v>
      </c>
    </row>
    <row r="2055" spans="1:16" x14ac:dyDescent="0.35">
      <c r="A2055" t="s">
        <v>100</v>
      </c>
      <c r="B2055">
        <v>1322845175</v>
      </c>
      <c r="C2055" t="s">
        <v>18</v>
      </c>
      <c r="D2055" t="s">
        <v>20</v>
      </c>
      <c r="E2055" s="29">
        <v>46204</v>
      </c>
      <c r="F2055" t="s">
        <v>3</v>
      </c>
      <c r="G2055" s="28">
        <v>0.59375</v>
      </c>
      <c r="H2055" s="28">
        <v>0.61458333333333337</v>
      </c>
      <c r="I2055">
        <v>1</v>
      </c>
      <c r="J2055" t="s">
        <v>146</v>
      </c>
      <c r="K2055">
        <v>2</v>
      </c>
      <c r="L2055" t="s">
        <v>147</v>
      </c>
      <c r="M2055" t="s">
        <v>4135</v>
      </c>
      <c r="N2055" t="s">
        <v>4136</v>
      </c>
      <c r="O2055" t="s">
        <v>2780</v>
      </c>
      <c r="P2055" t="s">
        <v>4137</v>
      </c>
    </row>
    <row r="2056" spans="1:16" x14ac:dyDescent="0.35">
      <c r="A2056" t="s">
        <v>100</v>
      </c>
      <c r="B2056">
        <v>1322845175</v>
      </c>
      <c r="C2056" t="s">
        <v>18</v>
      </c>
      <c r="D2056" t="s">
        <v>20</v>
      </c>
      <c r="E2056" s="29">
        <v>46204</v>
      </c>
      <c r="F2056" t="s">
        <v>3</v>
      </c>
      <c r="G2056" s="28">
        <v>0.62152777777777779</v>
      </c>
      <c r="H2056" s="28">
        <v>0.68402777777777779</v>
      </c>
      <c r="I2056">
        <v>2</v>
      </c>
      <c r="J2056" t="s">
        <v>146</v>
      </c>
      <c r="K2056">
        <v>4</v>
      </c>
      <c r="L2056" t="s">
        <v>147</v>
      </c>
      <c r="M2056" t="s">
        <v>4131</v>
      </c>
      <c r="N2056" t="s">
        <v>4132</v>
      </c>
      <c r="O2056" t="s">
        <v>4133</v>
      </c>
      <c r="P2056" t="s">
        <v>4134</v>
      </c>
    </row>
    <row r="2057" spans="1:16" x14ac:dyDescent="0.35">
      <c r="A2057" t="s">
        <v>100</v>
      </c>
      <c r="B2057">
        <v>1322845175</v>
      </c>
      <c r="C2057" t="s">
        <v>18</v>
      </c>
      <c r="D2057" t="s">
        <v>20</v>
      </c>
      <c r="E2057" s="29">
        <v>46204</v>
      </c>
      <c r="F2057" t="s">
        <v>3</v>
      </c>
      <c r="G2057" s="28">
        <v>0.69097222222222221</v>
      </c>
      <c r="H2057" s="28">
        <v>0.69097222222222221</v>
      </c>
      <c r="I2057">
        <v>0</v>
      </c>
      <c r="J2057" t="s">
        <v>174</v>
      </c>
      <c r="K2057">
        <v>0</v>
      </c>
      <c r="L2057" t="s">
        <v>5681</v>
      </c>
      <c r="M2057" t="s">
        <v>4335</v>
      </c>
      <c r="N2057" t="s">
        <v>4336</v>
      </c>
      <c r="O2057" t="s">
        <v>4337</v>
      </c>
      <c r="P2057" t="s">
        <v>4338</v>
      </c>
    </row>
    <row r="2058" spans="1:16" x14ac:dyDescent="0.35">
      <c r="A2058" t="s">
        <v>100</v>
      </c>
      <c r="B2058">
        <v>1322845175</v>
      </c>
      <c r="C2058" t="s">
        <v>18</v>
      </c>
      <c r="D2058" t="s">
        <v>20</v>
      </c>
      <c r="E2058" s="29">
        <v>46204</v>
      </c>
      <c r="F2058" t="s">
        <v>3</v>
      </c>
      <c r="G2058" s="28">
        <v>0.69791666666666663</v>
      </c>
      <c r="H2058" s="28">
        <v>0.69791666666666663</v>
      </c>
      <c r="I2058">
        <v>0</v>
      </c>
      <c r="J2058" t="s">
        <v>174</v>
      </c>
      <c r="K2058">
        <v>0</v>
      </c>
      <c r="L2058" t="s">
        <v>5682</v>
      </c>
      <c r="M2058" t="s">
        <v>5683</v>
      </c>
      <c r="N2058" t="s">
        <v>5684</v>
      </c>
      <c r="O2058" t="s">
        <v>5685</v>
      </c>
      <c r="P2058" t="s">
        <v>5686</v>
      </c>
    </row>
    <row r="2059" spans="1:16" x14ac:dyDescent="0.35">
      <c r="A2059" t="s">
        <v>100</v>
      </c>
      <c r="B2059">
        <v>1322845175</v>
      </c>
      <c r="C2059" t="s">
        <v>18</v>
      </c>
      <c r="D2059" t="s">
        <v>20</v>
      </c>
      <c r="E2059" s="29">
        <v>46204</v>
      </c>
      <c r="F2059" t="s">
        <v>3</v>
      </c>
      <c r="G2059" s="28">
        <v>0.70486111111111116</v>
      </c>
      <c r="H2059" s="28">
        <v>0.71180555555555558</v>
      </c>
      <c r="I2059">
        <v>0</v>
      </c>
      <c r="J2059" t="s">
        <v>146</v>
      </c>
      <c r="K2059">
        <v>0</v>
      </c>
      <c r="L2059" t="s">
        <v>147</v>
      </c>
      <c r="M2059" t="s">
        <v>4144</v>
      </c>
      <c r="N2059" t="s">
        <v>4145</v>
      </c>
      <c r="O2059" t="s">
        <v>2750</v>
      </c>
      <c r="P2059" t="s">
        <v>4146</v>
      </c>
    </row>
    <row r="2060" spans="1:16" x14ac:dyDescent="0.35">
      <c r="A2060" t="s">
        <v>100</v>
      </c>
      <c r="B2060">
        <v>1322845175</v>
      </c>
      <c r="C2060" t="s">
        <v>18</v>
      </c>
      <c r="D2060" t="s">
        <v>20</v>
      </c>
      <c r="E2060" s="29">
        <v>46204</v>
      </c>
      <c r="F2060" t="s">
        <v>3</v>
      </c>
      <c r="G2060" s="28">
        <v>0.71875</v>
      </c>
      <c r="H2060" s="28">
        <v>0.71875</v>
      </c>
      <c r="I2060">
        <v>0</v>
      </c>
      <c r="J2060" t="s">
        <v>174</v>
      </c>
      <c r="K2060">
        <v>0</v>
      </c>
      <c r="L2060" t="s">
        <v>1351</v>
      </c>
      <c r="M2060" t="s">
        <v>5687</v>
      </c>
      <c r="N2060" t="s">
        <v>5688</v>
      </c>
      <c r="O2060" t="s">
        <v>5689</v>
      </c>
      <c r="P2060" t="s">
        <v>5690</v>
      </c>
    </row>
    <row r="2061" spans="1:16" x14ac:dyDescent="0.35">
      <c r="A2061" t="s">
        <v>100</v>
      </c>
      <c r="B2061">
        <v>1322845175</v>
      </c>
      <c r="C2061" t="s">
        <v>18</v>
      </c>
      <c r="D2061" t="s">
        <v>20</v>
      </c>
      <c r="E2061" s="29">
        <v>46204</v>
      </c>
      <c r="F2061" t="s">
        <v>3</v>
      </c>
      <c r="G2061" s="28">
        <v>0.72569444444444442</v>
      </c>
      <c r="H2061" s="28">
        <v>0.78125</v>
      </c>
      <c r="I2061">
        <v>1</v>
      </c>
      <c r="J2061" t="s">
        <v>146</v>
      </c>
      <c r="K2061">
        <v>4</v>
      </c>
      <c r="L2061" t="s">
        <v>147</v>
      </c>
      <c r="M2061" t="s">
        <v>4147</v>
      </c>
      <c r="N2061" t="s">
        <v>4148</v>
      </c>
      <c r="O2061" t="s">
        <v>4149</v>
      </c>
      <c r="P2061" t="s">
        <v>4150</v>
      </c>
    </row>
    <row r="2062" spans="1:16" x14ac:dyDescent="0.35">
      <c r="A2062" t="s">
        <v>100</v>
      </c>
      <c r="B2062">
        <v>1322845175</v>
      </c>
      <c r="C2062" t="s">
        <v>18</v>
      </c>
      <c r="D2062" t="s">
        <v>20</v>
      </c>
      <c r="E2062" s="29">
        <v>46204</v>
      </c>
      <c r="F2062" t="s">
        <v>3</v>
      </c>
      <c r="G2062" s="28">
        <v>0.78819444444444442</v>
      </c>
      <c r="H2062" s="28">
        <v>0.82986111111111116</v>
      </c>
      <c r="I2062">
        <v>1</v>
      </c>
      <c r="J2062" t="s">
        <v>146</v>
      </c>
      <c r="K2062">
        <v>3</v>
      </c>
      <c r="L2062" t="s">
        <v>147</v>
      </c>
      <c r="M2062" t="s">
        <v>4147</v>
      </c>
      <c r="N2062" t="s">
        <v>4155</v>
      </c>
      <c r="O2062" t="s">
        <v>4156</v>
      </c>
      <c r="P2062" t="s">
        <v>4157</v>
      </c>
    </row>
    <row r="2063" spans="1:16" x14ac:dyDescent="0.35">
      <c r="A2063" t="s">
        <v>100</v>
      </c>
      <c r="B2063">
        <v>1322845175</v>
      </c>
      <c r="C2063" t="s">
        <v>18</v>
      </c>
      <c r="D2063" t="s">
        <v>20</v>
      </c>
      <c r="E2063" s="29">
        <v>46205</v>
      </c>
      <c r="F2063" t="s">
        <v>4</v>
      </c>
      <c r="G2063" s="28">
        <v>0.3923611111111111</v>
      </c>
      <c r="H2063" s="28">
        <v>0.3923611111111111</v>
      </c>
      <c r="I2063">
        <v>0</v>
      </c>
      <c r="J2063" t="s">
        <v>174</v>
      </c>
      <c r="K2063">
        <v>0</v>
      </c>
      <c r="L2063" t="s">
        <v>5691</v>
      </c>
      <c r="M2063" t="s">
        <v>4331</v>
      </c>
      <c r="N2063" t="s">
        <v>4332</v>
      </c>
      <c r="O2063" t="s">
        <v>4333</v>
      </c>
      <c r="P2063" t="s">
        <v>4334</v>
      </c>
    </row>
    <row r="2064" spans="1:16" x14ac:dyDescent="0.35">
      <c r="A2064" t="s">
        <v>100</v>
      </c>
      <c r="B2064">
        <v>1322845175</v>
      </c>
      <c r="C2064" t="s">
        <v>18</v>
      </c>
      <c r="D2064" t="s">
        <v>20</v>
      </c>
      <c r="E2064" s="29">
        <v>46205</v>
      </c>
      <c r="F2064" t="s">
        <v>4</v>
      </c>
      <c r="G2064" s="28">
        <v>0.39930555555555558</v>
      </c>
      <c r="H2064" s="28">
        <v>0.39930555555555558</v>
      </c>
      <c r="I2064">
        <v>0</v>
      </c>
      <c r="J2064" t="s">
        <v>174</v>
      </c>
      <c r="K2064">
        <v>0</v>
      </c>
      <c r="L2064" t="s">
        <v>5129</v>
      </c>
      <c r="M2064" t="s">
        <v>4147</v>
      </c>
      <c r="N2064" t="s">
        <v>5692</v>
      </c>
      <c r="O2064" t="s">
        <v>5693</v>
      </c>
      <c r="P2064" t="s">
        <v>5694</v>
      </c>
    </row>
    <row r="2065" spans="1:16" x14ac:dyDescent="0.35">
      <c r="A2065" t="s">
        <v>100</v>
      </c>
      <c r="B2065">
        <v>1322845175</v>
      </c>
      <c r="C2065" t="s">
        <v>18</v>
      </c>
      <c r="D2065" t="s">
        <v>20</v>
      </c>
      <c r="E2065" s="29">
        <v>46205</v>
      </c>
      <c r="F2065" t="s">
        <v>4</v>
      </c>
      <c r="G2065" s="28">
        <v>0.40625</v>
      </c>
      <c r="H2065" s="28">
        <v>0.40625</v>
      </c>
      <c r="I2065">
        <v>0</v>
      </c>
      <c r="J2065" t="s">
        <v>174</v>
      </c>
      <c r="K2065">
        <v>0</v>
      </c>
      <c r="L2065" t="s">
        <v>379</v>
      </c>
      <c r="M2065" t="s">
        <v>4268</v>
      </c>
      <c r="N2065" t="s">
        <v>4269</v>
      </c>
      <c r="O2065" t="s">
        <v>4270</v>
      </c>
      <c r="P2065" t="s">
        <v>4271</v>
      </c>
    </row>
    <row r="2066" spans="1:16" x14ac:dyDescent="0.35">
      <c r="A2066" t="s">
        <v>100</v>
      </c>
      <c r="B2066">
        <v>1322845175</v>
      </c>
      <c r="C2066" t="s">
        <v>18</v>
      </c>
      <c r="D2066" t="s">
        <v>20</v>
      </c>
      <c r="E2066" s="29">
        <v>46205</v>
      </c>
      <c r="F2066" t="s">
        <v>4</v>
      </c>
      <c r="G2066" s="28">
        <v>0.41319444444444442</v>
      </c>
      <c r="H2066" s="28">
        <v>0.41319444444444442</v>
      </c>
      <c r="I2066">
        <v>0</v>
      </c>
      <c r="J2066" t="s">
        <v>174</v>
      </c>
      <c r="K2066">
        <v>0</v>
      </c>
      <c r="L2066" t="s">
        <v>5175</v>
      </c>
      <c r="M2066" t="s">
        <v>5695</v>
      </c>
      <c r="N2066" t="s">
        <v>5696</v>
      </c>
      <c r="O2066" t="s">
        <v>5697</v>
      </c>
      <c r="P2066" t="s">
        <v>5698</v>
      </c>
    </row>
    <row r="2067" spans="1:16" x14ac:dyDescent="0.35">
      <c r="A2067" t="s">
        <v>100</v>
      </c>
      <c r="B2067">
        <v>1322845175</v>
      </c>
      <c r="C2067" t="s">
        <v>18</v>
      </c>
      <c r="D2067" t="s">
        <v>20</v>
      </c>
      <c r="E2067" s="29">
        <v>46205</v>
      </c>
      <c r="F2067" t="s">
        <v>4</v>
      </c>
      <c r="G2067" s="28">
        <v>0.4201388888888889</v>
      </c>
      <c r="H2067" s="28">
        <v>0.4201388888888889</v>
      </c>
      <c r="I2067">
        <v>0</v>
      </c>
      <c r="J2067" t="s">
        <v>174</v>
      </c>
      <c r="K2067">
        <v>0</v>
      </c>
      <c r="L2067" t="s">
        <v>4509</v>
      </c>
      <c r="M2067" t="s">
        <v>5699</v>
      </c>
      <c r="N2067" t="s">
        <v>5700</v>
      </c>
      <c r="O2067" t="s">
        <v>5701</v>
      </c>
      <c r="P2067" t="s">
        <v>5702</v>
      </c>
    </row>
    <row r="2068" spans="1:16" x14ac:dyDescent="0.35">
      <c r="A2068" t="s">
        <v>100</v>
      </c>
      <c r="B2068">
        <v>1322845175</v>
      </c>
      <c r="C2068" t="s">
        <v>18</v>
      </c>
      <c r="D2068" t="s">
        <v>20</v>
      </c>
      <c r="E2068" s="29">
        <v>46205</v>
      </c>
      <c r="F2068" t="s">
        <v>4</v>
      </c>
      <c r="G2068" s="28">
        <v>0.42708333333333331</v>
      </c>
      <c r="H2068" s="28">
        <v>0.44791666666666669</v>
      </c>
      <c r="I2068">
        <v>1</v>
      </c>
      <c r="J2068" t="s">
        <v>146</v>
      </c>
      <c r="K2068">
        <v>2</v>
      </c>
      <c r="L2068" t="s">
        <v>147</v>
      </c>
      <c r="M2068" t="s">
        <v>5703</v>
      </c>
      <c r="N2068" t="s">
        <v>5704</v>
      </c>
      <c r="O2068" t="s">
        <v>5705</v>
      </c>
      <c r="P2068" t="s">
        <v>5706</v>
      </c>
    </row>
    <row r="2069" spans="1:16" x14ac:dyDescent="0.35">
      <c r="A2069" t="s">
        <v>100</v>
      </c>
      <c r="B2069">
        <v>1322845175</v>
      </c>
      <c r="C2069" t="s">
        <v>18</v>
      </c>
      <c r="D2069" t="s">
        <v>20</v>
      </c>
      <c r="E2069" s="29">
        <v>46205</v>
      </c>
      <c r="F2069" t="s">
        <v>4</v>
      </c>
      <c r="G2069" s="28">
        <v>0.4548611111111111</v>
      </c>
      <c r="H2069" s="28">
        <v>0.4548611111111111</v>
      </c>
      <c r="I2069">
        <v>0</v>
      </c>
      <c r="J2069" t="s">
        <v>174</v>
      </c>
      <c r="K2069">
        <v>0</v>
      </c>
      <c r="L2069" t="s">
        <v>5138</v>
      </c>
      <c r="M2069" t="s">
        <v>5707</v>
      </c>
      <c r="N2069" t="s">
        <v>5708</v>
      </c>
      <c r="O2069" t="s">
        <v>5709</v>
      </c>
      <c r="P2069" t="s">
        <v>5710</v>
      </c>
    </row>
    <row r="2070" spans="1:16" x14ac:dyDescent="0.35">
      <c r="A2070" t="s">
        <v>100</v>
      </c>
      <c r="B2070">
        <v>1322845175</v>
      </c>
      <c r="C2070" t="s">
        <v>18</v>
      </c>
      <c r="D2070" t="s">
        <v>20</v>
      </c>
      <c r="E2070" s="29">
        <v>46205</v>
      </c>
      <c r="F2070" t="s">
        <v>4</v>
      </c>
      <c r="G2070" s="28">
        <v>0.46180555555555558</v>
      </c>
      <c r="H2070" s="28">
        <v>0.46180555555555558</v>
      </c>
      <c r="I2070">
        <v>0</v>
      </c>
      <c r="J2070" t="s">
        <v>174</v>
      </c>
      <c r="K2070">
        <v>0</v>
      </c>
      <c r="L2070" t="s">
        <v>2128</v>
      </c>
      <c r="M2070" t="s">
        <v>5711</v>
      </c>
      <c r="N2070" t="s">
        <v>5712</v>
      </c>
      <c r="O2070" t="s">
        <v>5713</v>
      </c>
      <c r="P2070" t="s">
        <v>5714</v>
      </c>
    </row>
    <row r="2071" spans="1:16" x14ac:dyDescent="0.35">
      <c r="A2071" t="s">
        <v>100</v>
      </c>
      <c r="B2071">
        <v>1322845175</v>
      </c>
      <c r="C2071" t="s">
        <v>18</v>
      </c>
      <c r="D2071" t="s">
        <v>20</v>
      </c>
      <c r="E2071" s="29">
        <v>46205</v>
      </c>
      <c r="F2071" t="s">
        <v>4</v>
      </c>
      <c r="G2071" s="28">
        <v>0.46875</v>
      </c>
      <c r="H2071" s="28">
        <v>0.60069444444444442</v>
      </c>
      <c r="I2071">
        <v>3</v>
      </c>
      <c r="J2071" t="s">
        <v>146</v>
      </c>
      <c r="K2071">
        <v>10</v>
      </c>
      <c r="L2071" t="s">
        <v>147</v>
      </c>
      <c r="M2071" t="s">
        <v>5715</v>
      </c>
      <c r="N2071" t="s">
        <v>5716</v>
      </c>
      <c r="O2071" t="s">
        <v>5717</v>
      </c>
      <c r="P2071" t="s">
        <v>5718</v>
      </c>
    </row>
    <row r="2072" spans="1:16" x14ac:dyDescent="0.35">
      <c r="A2072" t="s">
        <v>100</v>
      </c>
      <c r="B2072">
        <v>1322845175</v>
      </c>
      <c r="C2072" t="s">
        <v>18</v>
      </c>
      <c r="D2072" t="s">
        <v>20</v>
      </c>
      <c r="E2072" s="29">
        <v>46205</v>
      </c>
      <c r="F2072" t="s">
        <v>4</v>
      </c>
      <c r="G2072" s="28">
        <v>0.60763888888888884</v>
      </c>
      <c r="H2072" s="28">
        <v>0.60763888888888884</v>
      </c>
      <c r="I2072">
        <v>0</v>
      </c>
      <c r="J2072" t="s">
        <v>174</v>
      </c>
      <c r="K2072">
        <v>0</v>
      </c>
      <c r="L2072" t="s">
        <v>5719</v>
      </c>
      <c r="M2072" t="s">
        <v>5720</v>
      </c>
      <c r="N2072" t="s">
        <v>5721</v>
      </c>
      <c r="O2072" t="s">
        <v>5722</v>
      </c>
      <c r="P2072" t="s">
        <v>5723</v>
      </c>
    </row>
    <row r="2073" spans="1:16" x14ac:dyDescent="0.35">
      <c r="A2073" t="s">
        <v>100</v>
      </c>
      <c r="B2073">
        <v>1322845175</v>
      </c>
      <c r="C2073" t="s">
        <v>18</v>
      </c>
      <c r="D2073" t="s">
        <v>20</v>
      </c>
      <c r="E2073" s="29">
        <v>46205</v>
      </c>
      <c r="F2073" t="s">
        <v>4</v>
      </c>
      <c r="G2073" s="28">
        <v>0.61458333333333337</v>
      </c>
      <c r="H2073" s="28">
        <v>0.61458333333333337</v>
      </c>
      <c r="I2073">
        <v>0</v>
      </c>
      <c r="J2073" t="s">
        <v>174</v>
      </c>
      <c r="K2073">
        <v>0</v>
      </c>
      <c r="L2073" t="s">
        <v>466</v>
      </c>
      <c r="M2073" t="s">
        <v>5724</v>
      </c>
      <c r="N2073" t="s">
        <v>5725</v>
      </c>
      <c r="O2073" t="s">
        <v>5726</v>
      </c>
      <c r="P2073" t="s">
        <v>5727</v>
      </c>
    </row>
    <row r="2074" spans="1:16" x14ac:dyDescent="0.35">
      <c r="A2074" t="s">
        <v>100</v>
      </c>
      <c r="B2074">
        <v>1322845175</v>
      </c>
      <c r="C2074" t="s">
        <v>18</v>
      </c>
      <c r="D2074" t="s">
        <v>20</v>
      </c>
      <c r="E2074" s="29">
        <v>46205</v>
      </c>
      <c r="F2074" t="s">
        <v>4</v>
      </c>
      <c r="G2074" s="28">
        <v>0.62152777777777779</v>
      </c>
      <c r="H2074" s="28">
        <v>0.73958333333333337</v>
      </c>
      <c r="I2074">
        <v>3</v>
      </c>
      <c r="J2074" t="s">
        <v>146</v>
      </c>
      <c r="K2074">
        <v>8</v>
      </c>
      <c r="L2074" t="s">
        <v>147</v>
      </c>
      <c r="M2074" t="s">
        <v>5703</v>
      </c>
      <c r="N2074" t="s">
        <v>5704</v>
      </c>
      <c r="O2074" t="s">
        <v>5705</v>
      </c>
      <c r="P2074" t="s">
        <v>5706</v>
      </c>
    </row>
    <row r="2075" spans="1:16" x14ac:dyDescent="0.35">
      <c r="A2075" t="s">
        <v>100</v>
      </c>
      <c r="B2075">
        <v>1322845175</v>
      </c>
      <c r="C2075" t="s">
        <v>18</v>
      </c>
      <c r="D2075" t="s">
        <v>20</v>
      </c>
      <c r="E2075" s="29">
        <v>46205</v>
      </c>
      <c r="F2075" t="s">
        <v>4</v>
      </c>
      <c r="G2075" s="28">
        <v>0.74652777777777779</v>
      </c>
      <c r="H2075" s="28">
        <v>0.74652777777777779</v>
      </c>
      <c r="I2075">
        <v>0</v>
      </c>
      <c r="J2075" t="s">
        <v>174</v>
      </c>
      <c r="K2075">
        <v>0</v>
      </c>
      <c r="L2075" t="s">
        <v>1164</v>
      </c>
      <c r="M2075" t="s">
        <v>5728</v>
      </c>
      <c r="N2075" t="s">
        <v>5729</v>
      </c>
      <c r="O2075" t="s">
        <v>5730</v>
      </c>
      <c r="P2075" t="s">
        <v>5731</v>
      </c>
    </row>
    <row r="2076" spans="1:16" x14ac:dyDescent="0.35">
      <c r="A2076" t="s">
        <v>100</v>
      </c>
      <c r="B2076">
        <v>1322845175</v>
      </c>
      <c r="C2076" t="s">
        <v>18</v>
      </c>
      <c r="D2076" t="s">
        <v>20</v>
      </c>
      <c r="E2076" s="29">
        <v>46205</v>
      </c>
      <c r="F2076" t="s">
        <v>4</v>
      </c>
      <c r="G2076" s="28">
        <v>0.75347222222222221</v>
      </c>
      <c r="H2076" s="28">
        <v>0.75347222222222221</v>
      </c>
      <c r="I2076">
        <v>0</v>
      </c>
      <c r="J2076" t="s">
        <v>174</v>
      </c>
      <c r="K2076">
        <v>0</v>
      </c>
      <c r="L2076" t="s">
        <v>1618</v>
      </c>
      <c r="M2076" t="s">
        <v>5732</v>
      </c>
      <c r="N2076" t="s">
        <v>5733</v>
      </c>
      <c r="O2076" t="s">
        <v>5734</v>
      </c>
      <c r="P2076" t="s">
        <v>5735</v>
      </c>
    </row>
    <row r="2077" spans="1:16" x14ac:dyDescent="0.35">
      <c r="A2077" t="s">
        <v>100</v>
      </c>
      <c r="B2077">
        <v>1322845175</v>
      </c>
      <c r="C2077" t="s">
        <v>18</v>
      </c>
      <c r="D2077" t="s">
        <v>20</v>
      </c>
      <c r="E2077" s="29">
        <v>46205</v>
      </c>
      <c r="F2077" t="s">
        <v>4</v>
      </c>
      <c r="G2077" s="28">
        <v>0.76041666666666663</v>
      </c>
      <c r="H2077" s="28">
        <v>0.76041666666666663</v>
      </c>
      <c r="I2077">
        <v>0</v>
      </c>
      <c r="J2077" t="s">
        <v>174</v>
      </c>
      <c r="K2077">
        <v>0</v>
      </c>
      <c r="L2077" t="s">
        <v>966</v>
      </c>
      <c r="M2077" t="s">
        <v>5736</v>
      </c>
      <c r="N2077" t="s">
        <v>5737</v>
      </c>
      <c r="O2077" t="s">
        <v>5738</v>
      </c>
      <c r="P2077" t="s">
        <v>5739</v>
      </c>
    </row>
    <row r="2078" spans="1:16" x14ac:dyDescent="0.35">
      <c r="A2078" t="s">
        <v>100</v>
      </c>
      <c r="B2078">
        <v>1322845175</v>
      </c>
      <c r="C2078" t="s">
        <v>18</v>
      </c>
      <c r="D2078" t="s">
        <v>20</v>
      </c>
      <c r="E2078" s="29">
        <v>46205</v>
      </c>
      <c r="F2078" t="s">
        <v>4</v>
      </c>
      <c r="G2078" s="28">
        <v>0.76736111111111116</v>
      </c>
      <c r="H2078" s="28">
        <v>0.76736111111111116</v>
      </c>
      <c r="I2078">
        <v>0</v>
      </c>
      <c r="J2078" t="s">
        <v>174</v>
      </c>
      <c r="K2078">
        <v>0</v>
      </c>
      <c r="L2078" t="s">
        <v>1595</v>
      </c>
      <c r="M2078" t="s">
        <v>4268</v>
      </c>
      <c r="N2078" t="s">
        <v>4269</v>
      </c>
      <c r="O2078" t="s">
        <v>4270</v>
      </c>
      <c r="P2078" t="s">
        <v>4271</v>
      </c>
    </row>
    <row r="2079" spans="1:16" x14ac:dyDescent="0.35">
      <c r="A2079" t="s">
        <v>100</v>
      </c>
      <c r="B2079">
        <v>1322845175</v>
      </c>
      <c r="C2079" t="s">
        <v>18</v>
      </c>
      <c r="D2079" t="s">
        <v>20</v>
      </c>
      <c r="E2079" s="29">
        <v>46205</v>
      </c>
      <c r="F2079" t="s">
        <v>4</v>
      </c>
      <c r="G2079" s="28">
        <v>0.77430555555555558</v>
      </c>
      <c r="H2079" s="28">
        <v>0.77430555555555558</v>
      </c>
      <c r="I2079">
        <v>0</v>
      </c>
      <c r="J2079" t="s">
        <v>174</v>
      </c>
      <c r="K2079">
        <v>0</v>
      </c>
      <c r="L2079" t="s">
        <v>1855</v>
      </c>
      <c r="M2079" t="s">
        <v>4263</v>
      </c>
      <c r="N2079" t="s">
        <v>5740</v>
      </c>
      <c r="O2079" t="s">
        <v>5741</v>
      </c>
      <c r="P2079" t="s">
        <v>5742</v>
      </c>
    </row>
    <row r="2080" spans="1:16" x14ac:dyDescent="0.35">
      <c r="A2080" t="s">
        <v>100</v>
      </c>
      <c r="B2080">
        <v>1322845175</v>
      </c>
      <c r="C2080" t="s">
        <v>18</v>
      </c>
      <c r="D2080" t="s">
        <v>20</v>
      </c>
      <c r="E2080" s="29">
        <v>46205</v>
      </c>
      <c r="F2080" t="s">
        <v>4</v>
      </c>
      <c r="G2080" s="28">
        <v>0.78125</v>
      </c>
      <c r="H2080" s="28">
        <v>0.79513888888888884</v>
      </c>
      <c r="I2080">
        <v>0</v>
      </c>
      <c r="J2080" t="s">
        <v>146</v>
      </c>
      <c r="K2080">
        <v>1</v>
      </c>
      <c r="L2080" t="s">
        <v>147</v>
      </c>
      <c r="M2080" t="s">
        <v>4147</v>
      </c>
      <c r="N2080" t="s">
        <v>5692</v>
      </c>
      <c r="O2080" t="s">
        <v>5693</v>
      </c>
      <c r="P2080" t="s">
        <v>5694</v>
      </c>
    </row>
    <row r="2081" spans="1:16" x14ac:dyDescent="0.35">
      <c r="A2081" t="s">
        <v>100</v>
      </c>
      <c r="B2081">
        <v>1322845175</v>
      </c>
      <c r="C2081" t="s">
        <v>18</v>
      </c>
      <c r="D2081" t="s">
        <v>20</v>
      </c>
      <c r="E2081" s="29">
        <v>46207</v>
      </c>
      <c r="F2081" t="s">
        <v>5</v>
      </c>
      <c r="G2081" s="28">
        <v>0.38541666666666669</v>
      </c>
      <c r="H2081" s="28">
        <v>0.38541666666666669</v>
      </c>
      <c r="I2081">
        <v>0</v>
      </c>
      <c r="J2081" t="s">
        <v>174</v>
      </c>
      <c r="K2081">
        <v>0</v>
      </c>
      <c r="L2081" t="s">
        <v>1936</v>
      </c>
      <c r="M2081" t="s">
        <v>4339</v>
      </c>
      <c r="N2081" t="s">
        <v>4340</v>
      </c>
      <c r="O2081" t="s">
        <v>4341</v>
      </c>
      <c r="P2081" t="s">
        <v>4342</v>
      </c>
    </row>
    <row r="2082" spans="1:16" x14ac:dyDescent="0.35">
      <c r="A2082" t="s">
        <v>100</v>
      </c>
      <c r="B2082">
        <v>1322845175</v>
      </c>
      <c r="C2082" t="s">
        <v>18</v>
      </c>
      <c r="D2082" t="s">
        <v>20</v>
      </c>
      <c r="E2082" s="29">
        <v>46207</v>
      </c>
      <c r="F2082" t="s">
        <v>5</v>
      </c>
      <c r="G2082" s="28">
        <v>0.3923611111111111</v>
      </c>
      <c r="H2082" s="28">
        <v>0.3923611111111111</v>
      </c>
      <c r="I2082">
        <v>0</v>
      </c>
      <c r="J2082" t="s">
        <v>174</v>
      </c>
      <c r="K2082">
        <v>0</v>
      </c>
      <c r="L2082" t="s">
        <v>399</v>
      </c>
      <c r="M2082" t="s">
        <v>5743</v>
      </c>
      <c r="N2082" t="s">
        <v>5744</v>
      </c>
      <c r="O2082" t="s">
        <v>5745</v>
      </c>
      <c r="P2082" t="s">
        <v>5746</v>
      </c>
    </row>
    <row r="2083" spans="1:16" x14ac:dyDescent="0.35">
      <c r="A2083" t="s">
        <v>100</v>
      </c>
      <c r="B2083">
        <v>1322845175</v>
      </c>
      <c r="C2083" t="s">
        <v>18</v>
      </c>
      <c r="D2083" t="s">
        <v>20</v>
      </c>
      <c r="E2083" s="29">
        <v>46207</v>
      </c>
      <c r="F2083" t="s">
        <v>5</v>
      </c>
      <c r="G2083" s="28">
        <v>0.39930555555555558</v>
      </c>
      <c r="H2083" s="28">
        <v>0.39930555555555558</v>
      </c>
      <c r="I2083">
        <v>0</v>
      </c>
      <c r="J2083" t="s">
        <v>174</v>
      </c>
      <c r="K2083">
        <v>0</v>
      </c>
      <c r="L2083" t="s">
        <v>399</v>
      </c>
      <c r="M2083" t="s">
        <v>4131</v>
      </c>
      <c r="N2083" t="s">
        <v>4132</v>
      </c>
      <c r="O2083" t="s">
        <v>4133</v>
      </c>
      <c r="P2083" t="s">
        <v>4134</v>
      </c>
    </row>
    <row r="2084" spans="1:16" x14ac:dyDescent="0.35">
      <c r="A2084" t="s">
        <v>100</v>
      </c>
      <c r="B2084">
        <v>1322845175</v>
      </c>
      <c r="C2084" t="s">
        <v>18</v>
      </c>
      <c r="D2084" t="s">
        <v>20</v>
      </c>
      <c r="E2084" s="29">
        <v>46207</v>
      </c>
      <c r="F2084" t="s">
        <v>5</v>
      </c>
      <c r="G2084" s="28">
        <v>0.40625</v>
      </c>
      <c r="H2084" s="28">
        <v>0.40625</v>
      </c>
      <c r="I2084">
        <v>0</v>
      </c>
      <c r="J2084" t="s">
        <v>174</v>
      </c>
      <c r="K2084">
        <v>0</v>
      </c>
      <c r="L2084" t="s">
        <v>579</v>
      </c>
      <c r="M2084" t="s">
        <v>5743</v>
      </c>
      <c r="N2084" t="s">
        <v>5744</v>
      </c>
      <c r="O2084" t="s">
        <v>5745</v>
      </c>
      <c r="P2084" t="s">
        <v>5746</v>
      </c>
    </row>
    <row r="2085" spans="1:16" x14ac:dyDescent="0.35">
      <c r="A2085" t="s">
        <v>100</v>
      </c>
      <c r="B2085">
        <v>1322845175</v>
      </c>
      <c r="C2085" t="s">
        <v>18</v>
      </c>
      <c r="D2085" t="s">
        <v>20</v>
      </c>
      <c r="E2085" s="29">
        <v>46207</v>
      </c>
      <c r="F2085" t="s">
        <v>5</v>
      </c>
      <c r="G2085" s="28">
        <v>0.41319444444444442</v>
      </c>
      <c r="H2085" s="28">
        <v>0.41319444444444442</v>
      </c>
      <c r="I2085">
        <v>0</v>
      </c>
      <c r="J2085" t="s">
        <v>174</v>
      </c>
      <c r="K2085">
        <v>0</v>
      </c>
      <c r="L2085" t="s">
        <v>3741</v>
      </c>
      <c r="M2085" t="s">
        <v>5747</v>
      </c>
      <c r="N2085" t="s">
        <v>5748</v>
      </c>
      <c r="O2085" t="s">
        <v>5749</v>
      </c>
      <c r="P2085" t="s">
        <v>5750</v>
      </c>
    </row>
    <row r="2086" spans="1:16" x14ac:dyDescent="0.35">
      <c r="A2086" t="s">
        <v>100</v>
      </c>
      <c r="B2086">
        <v>1322845175</v>
      </c>
      <c r="C2086" t="s">
        <v>18</v>
      </c>
      <c r="D2086" t="s">
        <v>20</v>
      </c>
      <c r="E2086" s="29">
        <v>46207</v>
      </c>
      <c r="F2086" t="s">
        <v>5</v>
      </c>
      <c r="G2086" s="28">
        <v>0.4201388888888889</v>
      </c>
      <c r="H2086" s="28">
        <v>0.4201388888888889</v>
      </c>
      <c r="I2086">
        <v>0</v>
      </c>
      <c r="J2086" t="s">
        <v>174</v>
      </c>
      <c r="K2086">
        <v>0</v>
      </c>
      <c r="L2086" t="s">
        <v>5751</v>
      </c>
      <c r="M2086" t="s">
        <v>5752</v>
      </c>
      <c r="N2086" t="s">
        <v>5753</v>
      </c>
      <c r="O2086" t="s">
        <v>5754</v>
      </c>
      <c r="P2086" t="s">
        <v>5755</v>
      </c>
    </row>
    <row r="2087" spans="1:16" x14ac:dyDescent="0.35">
      <c r="A2087" t="s">
        <v>100</v>
      </c>
      <c r="B2087">
        <v>1322845175</v>
      </c>
      <c r="C2087" t="s">
        <v>18</v>
      </c>
      <c r="D2087" t="s">
        <v>20</v>
      </c>
      <c r="E2087" s="29">
        <v>46207</v>
      </c>
      <c r="F2087" t="s">
        <v>5</v>
      </c>
      <c r="G2087" s="28">
        <v>0.42708333333333331</v>
      </c>
      <c r="H2087" s="28">
        <v>0.4548611111111111</v>
      </c>
      <c r="I2087">
        <v>1</v>
      </c>
      <c r="J2087" t="s">
        <v>146</v>
      </c>
      <c r="K2087">
        <v>2</v>
      </c>
      <c r="L2087" t="s">
        <v>147</v>
      </c>
      <c r="M2087" t="s">
        <v>5756</v>
      </c>
      <c r="N2087" t="s">
        <v>5757</v>
      </c>
      <c r="O2087" t="s">
        <v>5758</v>
      </c>
      <c r="P2087" t="s">
        <v>5759</v>
      </c>
    </row>
    <row r="2088" spans="1:16" x14ac:dyDescent="0.35">
      <c r="A2088" t="s">
        <v>100</v>
      </c>
      <c r="B2088">
        <v>1322845175</v>
      </c>
      <c r="C2088" t="s">
        <v>18</v>
      </c>
      <c r="D2088" t="s">
        <v>20</v>
      </c>
      <c r="E2088" s="29">
        <v>46207</v>
      </c>
      <c r="F2088" t="s">
        <v>5</v>
      </c>
      <c r="G2088" s="28">
        <v>0.46180555555555558</v>
      </c>
      <c r="H2088" s="28">
        <v>0.46180555555555558</v>
      </c>
      <c r="I2088">
        <v>0</v>
      </c>
      <c r="J2088" t="s">
        <v>174</v>
      </c>
      <c r="K2088">
        <v>0</v>
      </c>
      <c r="L2088" t="s">
        <v>5760</v>
      </c>
      <c r="M2088" t="s">
        <v>5761</v>
      </c>
      <c r="N2088" t="s">
        <v>5762</v>
      </c>
      <c r="O2088" t="s">
        <v>5763</v>
      </c>
      <c r="P2088" t="s">
        <v>5764</v>
      </c>
    </row>
    <row r="2089" spans="1:16" x14ac:dyDescent="0.35">
      <c r="A2089" t="s">
        <v>100</v>
      </c>
      <c r="B2089">
        <v>1322845175</v>
      </c>
      <c r="C2089" t="s">
        <v>18</v>
      </c>
      <c r="D2089" t="s">
        <v>20</v>
      </c>
      <c r="E2089" s="29">
        <v>46207</v>
      </c>
      <c r="F2089" t="s">
        <v>5</v>
      </c>
      <c r="G2089" s="28">
        <v>0.46875</v>
      </c>
      <c r="H2089" s="28">
        <v>0.46875</v>
      </c>
      <c r="I2089">
        <v>0</v>
      </c>
      <c r="J2089" t="s">
        <v>174</v>
      </c>
      <c r="K2089">
        <v>0</v>
      </c>
      <c r="L2089" t="s">
        <v>5760</v>
      </c>
      <c r="M2089" t="s">
        <v>5756</v>
      </c>
      <c r="N2089" t="s">
        <v>5757</v>
      </c>
      <c r="O2089" t="s">
        <v>5758</v>
      </c>
      <c r="P2089" t="s">
        <v>5759</v>
      </c>
    </row>
    <row r="2090" spans="1:16" x14ac:dyDescent="0.35">
      <c r="A2090" t="s">
        <v>100</v>
      </c>
      <c r="B2090">
        <v>1322845175</v>
      </c>
      <c r="C2090" t="s">
        <v>18</v>
      </c>
      <c r="D2090" t="s">
        <v>20</v>
      </c>
      <c r="E2090" s="29">
        <v>46207</v>
      </c>
      <c r="F2090" t="s">
        <v>5</v>
      </c>
      <c r="G2090" s="28">
        <v>0.47569444444444442</v>
      </c>
      <c r="H2090" s="28">
        <v>0.47569444444444442</v>
      </c>
      <c r="I2090">
        <v>0</v>
      </c>
      <c r="J2090" t="s">
        <v>174</v>
      </c>
      <c r="K2090">
        <v>0</v>
      </c>
      <c r="L2090" t="s">
        <v>186</v>
      </c>
      <c r="M2090" t="s">
        <v>5761</v>
      </c>
      <c r="N2090" t="s">
        <v>5762</v>
      </c>
      <c r="O2090" t="s">
        <v>5763</v>
      </c>
      <c r="P2090" t="s">
        <v>5764</v>
      </c>
    </row>
    <row r="2091" spans="1:16" x14ac:dyDescent="0.35">
      <c r="A2091" t="s">
        <v>100</v>
      </c>
      <c r="B2091">
        <v>1322845175</v>
      </c>
      <c r="C2091" t="s">
        <v>18</v>
      </c>
      <c r="D2091" t="s">
        <v>20</v>
      </c>
      <c r="E2091" s="29">
        <v>46207</v>
      </c>
      <c r="F2091" t="s">
        <v>5</v>
      </c>
      <c r="G2091" s="28">
        <v>0.4826388888888889</v>
      </c>
      <c r="H2091" s="28">
        <v>0.4826388888888889</v>
      </c>
      <c r="I2091">
        <v>0</v>
      </c>
      <c r="J2091" t="s">
        <v>174</v>
      </c>
      <c r="K2091">
        <v>0</v>
      </c>
      <c r="L2091" t="s">
        <v>4504</v>
      </c>
      <c r="M2091" t="s">
        <v>5765</v>
      </c>
      <c r="N2091" t="s">
        <v>5766</v>
      </c>
      <c r="O2091" t="s">
        <v>5767</v>
      </c>
      <c r="P2091" t="s">
        <v>5768</v>
      </c>
    </row>
    <row r="2092" spans="1:16" x14ac:dyDescent="0.35">
      <c r="A2092" t="s">
        <v>100</v>
      </c>
      <c r="B2092">
        <v>1322845175</v>
      </c>
      <c r="C2092" t="s">
        <v>18</v>
      </c>
      <c r="D2092" t="s">
        <v>20</v>
      </c>
      <c r="E2092" s="29">
        <v>46207</v>
      </c>
      <c r="F2092" t="s">
        <v>5</v>
      </c>
      <c r="G2092" s="28">
        <v>0.48958333333333331</v>
      </c>
      <c r="H2092" s="28">
        <v>0.48958333333333331</v>
      </c>
      <c r="I2092">
        <v>0</v>
      </c>
      <c r="J2092" t="s">
        <v>174</v>
      </c>
      <c r="K2092">
        <v>0</v>
      </c>
      <c r="L2092" t="s">
        <v>5769</v>
      </c>
      <c r="M2092" t="s">
        <v>5770</v>
      </c>
      <c r="N2092" t="s">
        <v>5771</v>
      </c>
      <c r="O2092" t="s">
        <v>5772</v>
      </c>
      <c r="P2092" t="s">
        <v>5773</v>
      </c>
    </row>
    <row r="2093" spans="1:16" x14ac:dyDescent="0.35">
      <c r="A2093" t="s">
        <v>100</v>
      </c>
      <c r="B2093">
        <v>1322845175</v>
      </c>
      <c r="C2093" t="s">
        <v>18</v>
      </c>
      <c r="D2093" t="s">
        <v>20</v>
      </c>
      <c r="E2093" s="29">
        <v>46207</v>
      </c>
      <c r="F2093" t="s">
        <v>5</v>
      </c>
      <c r="G2093" s="28">
        <v>0.49652777777777779</v>
      </c>
      <c r="H2093" s="28">
        <v>0.49652777777777779</v>
      </c>
      <c r="I2093">
        <v>0</v>
      </c>
      <c r="J2093" t="s">
        <v>174</v>
      </c>
      <c r="K2093">
        <v>0</v>
      </c>
      <c r="L2093" t="s">
        <v>5774</v>
      </c>
      <c r="M2093" t="s">
        <v>5775</v>
      </c>
      <c r="N2093" t="s">
        <v>5776</v>
      </c>
      <c r="O2093" t="s">
        <v>5777</v>
      </c>
      <c r="P2093" t="s">
        <v>5778</v>
      </c>
    </row>
    <row r="2094" spans="1:16" x14ac:dyDescent="0.35">
      <c r="A2094" t="s">
        <v>100</v>
      </c>
      <c r="B2094">
        <v>1322845175</v>
      </c>
      <c r="C2094" t="s">
        <v>18</v>
      </c>
      <c r="D2094" t="s">
        <v>20</v>
      </c>
      <c r="E2094" s="29">
        <v>46207</v>
      </c>
      <c r="F2094" t="s">
        <v>5</v>
      </c>
      <c r="G2094" s="28">
        <v>0.50347222222222221</v>
      </c>
      <c r="H2094" s="28">
        <v>0.50347222222222221</v>
      </c>
      <c r="I2094">
        <v>0</v>
      </c>
      <c r="J2094" t="s">
        <v>174</v>
      </c>
      <c r="K2094">
        <v>0</v>
      </c>
      <c r="L2094" t="s">
        <v>340</v>
      </c>
      <c r="M2094" t="s">
        <v>5779</v>
      </c>
      <c r="N2094" t="s">
        <v>5780</v>
      </c>
      <c r="O2094" t="s">
        <v>5781</v>
      </c>
      <c r="P2094" t="s">
        <v>5782</v>
      </c>
    </row>
    <row r="2095" spans="1:16" x14ac:dyDescent="0.35">
      <c r="A2095" t="s">
        <v>100</v>
      </c>
      <c r="B2095">
        <v>1322845175</v>
      </c>
      <c r="C2095" t="s">
        <v>18</v>
      </c>
      <c r="D2095" t="s">
        <v>20</v>
      </c>
      <c r="E2095" s="29">
        <v>46207</v>
      </c>
      <c r="F2095" t="s">
        <v>5</v>
      </c>
      <c r="G2095" s="28">
        <v>0.51041666666666663</v>
      </c>
      <c r="H2095" s="28">
        <v>0.51041666666666663</v>
      </c>
      <c r="I2095">
        <v>0</v>
      </c>
      <c r="J2095" t="s">
        <v>174</v>
      </c>
      <c r="K2095">
        <v>0</v>
      </c>
      <c r="L2095" t="s">
        <v>1261</v>
      </c>
      <c r="M2095" t="s">
        <v>5783</v>
      </c>
      <c r="N2095" t="s">
        <v>5784</v>
      </c>
      <c r="O2095" t="s">
        <v>5785</v>
      </c>
      <c r="P2095" t="s">
        <v>5786</v>
      </c>
    </row>
    <row r="2096" spans="1:16" x14ac:dyDescent="0.35">
      <c r="A2096" t="s">
        <v>100</v>
      </c>
      <c r="B2096">
        <v>1322845175</v>
      </c>
      <c r="C2096" t="s">
        <v>18</v>
      </c>
      <c r="D2096" t="s">
        <v>20</v>
      </c>
      <c r="E2096" s="29">
        <v>46207</v>
      </c>
      <c r="F2096" t="s">
        <v>5</v>
      </c>
      <c r="G2096" s="28">
        <v>0.51736111111111116</v>
      </c>
      <c r="H2096" s="28">
        <v>0.53125</v>
      </c>
      <c r="I2096">
        <v>0</v>
      </c>
      <c r="J2096" t="s">
        <v>146</v>
      </c>
      <c r="K2096">
        <v>1</v>
      </c>
      <c r="L2096" t="s">
        <v>147</v>
      </c>
      <c r="M2096" t="s">
        <v>4144</v>
      </c>
      <c r="N2096" t="s">
        <v>4145</v>
      </c>
      <c r="O2096" t="s">
        <v>2750</v>
      </c>
      <c r="P2096" t="s">
        <v>4146</v>
      </c>
    </row>
    <row r="2097" spans="1:16" x14ac:dyDescent="0.35">
      <c r="A2097" t="s">
        <v>100</v>
      </c>
      <c r="B2097">
        <v>1322845175</v>
      </c>
      <c r="C2097" t="s">
        <v>18</v>
      </c>
      <c r="D2097" t="s">
        <v>20</v>
      </c>
      <c r="E2097" s="29">
        <v>46207</v>
      </c>
      <c r="F2097" t="s">
        <v>5</v>
      </c>
      <c r="G2097" s="28">
        <v>0.53819444444444442</v>
      </c>
      <c r="H2097" s="28">
        <v>0.53819444444444442</v>
      </c>
      <c r="I2097">
        <v>0</v>
      </c>
      <c r="J2097" t="s">
        <v>174</v>
      </c>
      <c r="K2097">
        <v>0</v>
      </c>
      <c r="L2097" t="s">
        <v>5787</v>
      </c>
      <c r="M2097" t="s">
        <v>5788</v>
      </c>
      <c r="N2097" t="s">
        <v>5789</v>
      </c>
      <c r="O2097" t="s">
        <v>5790</v>
      </c>
      <c r="P2097" t="s">
        <v>5791</v>
      </c>
    </row>
    <row r="2098" spans="1:16" x14ac:dyDescent="0.35">
      <c r="A2098" t="s">
        <v>100</v>
      </c>
      <c r="B2098">
        <v>1322845175</v>
      </c>
      <c r="C2098" t="s">
        <v>18</v>
      </c>
      <c r="D2098" t="s">
        <v>20</v>
      </c>
      <c r="E2098" s="29">
        <v>46207</v>
      </c>
      <c r="F2098" t="s">
        <v>5</v>
      </c>
      <c r="G2098" s="28">
        <v>0.54513888888888884</v>
      </c>
      <c r="H2098" s="28">
        <v>0.59375</v>
      </c>
      <c r="I2098">
        <v>1</v>
      </c>
      <c r="J2098" t="s">
        <v>146</v>
      </c>
      <c r="K2098">
        <v>4</v>
      </c>
      <c r="L2098" t="s">
        <v>147</v>
      </c>
      <c r="M2098" t="s">
        <v>5792</v>
      </c>
      <c r="N2098" t="s">
        <v>4145</v>
      </c>
      <c r="O2098" t="s">
        <v>2750</v>
      </c>
      <c r="P2098" t="s">
        <v>4146</v>
      </c>
    </row>
    <row r="2099" spans="1:16" x14ac:dyDescent="0.35">
      <c r="A2099" t="s">
        <v>100</v>
      </c>
      <c r="B2099">
        <v>1322845175</v>
      </c>
      <c r="C2099" t="s">
        <v>18</v>
      </c>
      <c r="D2099" t="s">
        <v>20</v>
      </c>
      <c r="E2099" s="29">
        <v>46207</v>
      </c>
      <c r="F2099" t="s">
        <v>5</v>
      </c>
      <c r="G2099" s="28">
        <v>0.60069444444444442</v>
      </c>
      <c r="H2099" s="28">
        <v>0.60069444444444442</v>
      </c>
      <c r="I2099">
        <v>0</v>
      </c>
      <c r="J2099" t="s">
        <v>174</v>
      </c>
      <c r="K2099">
        <v>0</v>
      </c>
      <c r="L2099" t="s">
        <v>5769</v>
      </c>
      <c r="M2099" t="s">
        <v>5673</v>
      </c>
      <c r="N2099" t="s">
        <v>5674</v>
      </c>
      <c r="O2099" t="s">
        <v>5675</v>
      </c>
      <c r="P2099" t="s">
        <v>5676</v>
      </c>
    </row>
    <row r="2100" spans="1:16" x14ac:dyDescent="0.35">
      <c r="A2100" t="s">
        <v>100</v>
      </c>
      <c r="B2100">
        <v>1322845175</v>
      </c>
      <c r="C2100" t="s">
        <v>18</v>
      </c>
      <c r="D2100" t="s">
        <v>20</v>
      </c>
      <c r="E2100" s="29">
        <v>46207</v>
      </c>
      <c r="F2100" t="s">
        <v>5</v>
      </c>
      <c r="G2100" s="28">
        <v>0.60763888888888884</v>
      </c>
      <c r="H2100" s="28">
        <v>0.67708333333333337</v>
      </c>
      <c r="I2100">
        <v>2</v>
      </c>
      <c r="J2100" t="s">
        <v>146</v>
      </c>
      <c r="K2100">
        <v>5</v>
      </c>
      <c r="L2100" t="s">
        <v>147</v>
      </c>
      <c r="M2100" t="s">
        <v>4147</v>
      </c>
      <c r="N2100" t="s">
        <v>4148</v>
      </c>
      <c r="O2100" t="s">
        <v>4149</v>
      </c>
      <c r="P2100" t="s">
        <v>4150</v>
      </c>
    </row>
    <row r="2101" spans="1:16" x14ac:dyDescent="0.35">
      <c r="A2101" t="s">
        <v>100</v>
      </c>
      <c r="B2101">
        <v>1322845175</v>
      </c>
      <c r="C2101" t="s">
        <v>18</v>
      </c>
      <c r="D2101" t="s">
        <v>20</v>
      </c>
      <c r="E2101" s="29">
        <v>46207</v>
      </c>
      <c r="F2101" t="s">
        <v>5</v>
      </c>
      <c r="G2101" s="28">
        <v>0.68402777777777779</v>
      </c>
      <c r="H2101" s="28">
        <v>0.68402777777777779</v>
      </c>
      <c r="I2101">
        <v>0</v>
      </c>
      <c r="J2101" t="s">
        <v>174</v>
      </c>
      <c r="K2101">
        <v>0</v>
      </c>
      <c r="L2101" t="s">
        <v>4892</v>
      </c>
      <c r="M2101" t="s">
        <v>5665</v>
      </c>
      <c r="N2101" t="s">
        <v>5666</v>
      </c>
      <c r="O2101" t="s">
        <v>5667</v>
      </c>
      <c r="P2101" t="s">
        <v>5668</v>
      </c>
    </row>
    <row r="2102" spans="1:16" x14ac:dyDescent="0.35">
      <c r="A2102" t="s">
        <v>100</v>
      </c>
      <c r="B2102">
        <v>1322845175</v>
      </c>
      <c r="C2102" t="s">
        <v>18</v>
      </c>
      <c r="D2102" t="s">
        <v>20</v>
      </c>
      <c r="E2102" s="29">
        <v>46207</v>
      </c>
      <c r="F2102" t="s">
        <v>5</v>
      </c>
      <c r="G2102" s="28">
        <v>0.69097222222222221</v>
      </c>
      <c r="H2102" s="28">
        <v>0.78125</v>
      </c>
      <c r="I2102">
        <v>2</v>
      </c>
      <c r="J2102" t="s">
        <v>146</v>
      </c>
      <c r="K2102">
        <v>6</v>
      </c>
      <c r="L2102" t="s">
        <v>147</v>
      </c>
      <c r="M2102" t="s">
        <v>4127</v>
      </c>
      <c r="N2102" t="s">
        <v>4128</v>
      </c>
      <c r="O2102" t="s">
        <v>4129</v>
      </c>
      <c r="P2102" t="s">
        <v>4130</v>
      </c>
    </row>
    <row r="2103" spans="1:16" x14ac:dyDescent="0.35">
      <c r="A2103" t="s">
        <v>100</v>
      </c>
      <c r="B2103">
        <v>1322845175</v>
      </c>
      <c r="C2103" t="s">
        <v>18</v>
      </c>
      <c r="D2103" t="s">
        <v>20</v>
      </c>
      <c r="E2103" s="29">
        <v>46207</v>
      </c>
      <c r="F2103" t="s">
        <v>5</v>
      </c>
      <c r="G2103" s="28">
        <v>0.78819444444444442</v>
      </c>
      <c r="H2103" s="28">
        <v>0.78819444444444442</v>
      </c>
      <c r="I2103">
        <v>0</v>
      </c>
      <c r="J2103" t="s">
        <v>174</v>
      </c>
      <c r="K2103">
        <v>0</v>
      </c>
      <c r="L2103" t="s">
        <v>5793</v>
      </c>
      <c r="M2103" t="s">
        <v>5794</v>
      </c>
      <c r="N2103" t="s">
        <v>5795</v>
      </c>
      <c r="O2103" t="s">
        <v>5796</v>
      </c>
      <c r="P2103" t="s">
        <v>5797</v>
      </c>
    </row>
    <row r="2104" spans="1:16" x14ac:dyDescent="0.35">
      <c r="A2104" t="s">
        <v>100</v>
      </c>
      <c r="B2104">
        <v>1322845175</v>
      </c>
      <c r="C2104" t="s">
        <v>18</v>
      </c>
      <c r="D2104" t="s">
        <v>20</v>
      </c>
      <c r="E2104" s="29">
        <v>46208</v>
      </c>
      <c r="F2104" t="s">
        <v>6</v>
      </c>
      <c r="G2104" s="28">
        <v>0.37847222222222221</v>
      </c>
      <c r="H2104" s="28">
        <v>0.38541666666666669</v>
      </c>
      <c r="I2104">
        <v>0</v>
      </c>
      <c r="J2104" t="s">
        <v>146</v>
      </c>
      <c r="K2104">
        <v>1</v>
      </c>
      <c r="L2104" t="s">
        <v>147</v>
      </c>
      <c r="M2104" t="s">
        <v>4335</v>
      </c>
      <c r="N2104" t="s">
        <v>4336</v>
      </c>
      <c r="O2104" t="s">
        <v>4337</v>
      </c>
      <c r="P2104" t="s">
        <v>4338</v>
      </c>
    </row>
    <row r="2105" spans="1:16" x14ac:dyDescent="0.35">
      <c r="A2105" t="s">
        <v>100</v>
      </c>
      <c r="B2105">
        <v>1322845175</v>
      </c>
      <c r="C2105" t="s">
        <v>18</v>
      </c>
      <c r="D2105" t="s">
        <v>20</v>
      </c>
      <c r="E2105" s="29">
        <v>46208</v>
      </c>
      <c r="F2105" t="s">
        <v>6</v>
      </c>
      <c r="G2105" s="28">
        <v>0.3923611111111111</v>
      </c>
      <c r="H2105" s="28">
        <v>0.3923611111111111</v>
      </c>
      <c r="I2105">
        <v>0</v>
      </c>
      <c r="J2105" t="s">
        <v>174</v>
      </c>
      <c r="K2105">
        <v>0</v>
      </c>
      <c r="L2105" t="s">
        <v>4239</v>
      </c>
      <c r="M2105" t="s">
        <v>4240</v>
      </c>
      <c r="N2105" t="s">
        <v>4241</v>
      </c>
      <c r="O2105" t="s">
        <v>4242</v>
      </c>
      <c r="P2105" t="s">
        <v>4243</v>
      </c>
    </row>
    <row r="2106" spans="1:16" x14ac:dyDescent="0.35">
      <c r="A2106" t="s">
        <v>100</v>
      </c>
      <c r="B2106">
        <v>1322845175</v>
      </c>
      <c r="C2106" t="s">
        <v>18</v>
      </c>
      <c r="D2106" t="s">
        <v>20</v>
      </c>
      <c r="E2106" s="29">
        <v>46208</v>
      </c>
      <c r="F2106" t="s">
        <v>6</v>
      </c>
      <c r="G2106" s="28">
        <v>0.39930555555555558</v>
      </c>
      <c r="H2106" s="28">
        <v>0.44791666666666669</v>
      </c>
      <c r="I2106">
        <v>1</v>
      </c>
      <c r="J2106" t="s">
        <v>146</v>
      </c>
      <c r="K2106">
        <v>4</v>
      </c>
      <c r="L2106" t="s">
        <v>147</v>
      </c>
      <c r="M2106" t="s">
        <v>4131</v>
      </c>
      <c r="N2106" t="s">
        <v>4132</v>
      </c>
      <c r="O2106" t="s">
        <v>4133</v>
      </c>
      <c r="P2106" t="s">
        <v>4134</v>
      </c>
    </row>
    <row r="2107" spans="1:16" x14ac:dyDescent="0.35">
      <c r="A2107" t="s">
        <v>100</v>
      </c>
      <c r="B2107">
        <v>1322845175</v>
      </c>
      <c r="C2107" t="s">
        <v>18</v>
      </c>
      <c r="D2107" t="s">
        <v>20</v>
      </c>
      <c r="E2107" s="29">
        <v>46208</v>
      </c>
      <c r="F2107" t="s">
        <v>6</v>
      </c>
      <c r="G2107" s="28">
        <v>0.4548611111111111</v>
      </c>
      <c r="H2107" s="28">
        <v>0.46180555555555558</v>
      </c>
      <c r="I2107">
        <v>0</v>
      </c>
      <c r="J2107" t="s">
        <v>146</v>
      </c>
      <c r="K2107">
        <v>1</v>
      </c>
      <c r="L2107" t="s">
        <v>147</v>
      </c>
      <c r="M2107" t="s">
        <v>5743</v>
      </c>
      <c r="N2107" t="s">
        <v>5744</v>
      </c>
      <c r="O2107" t="s">
        <v>5745</v>
      </c>
      <c r="P2107" t="s">
        <v>5746</v>
      </c>
    </row>
    <row r="2108" spans="1:16" x14ac:dyDescent="0.35">
      <c r="A2108" t="s">
        <v>100</v>
      </c>
      <c r="B2108">
        <v>1322845175</v>
      </c>
      <c r="C2108" t="s">
        <v>18</v>
      </c>
      <c r="D2108" t="s">
        <v>20</v>
      </c>
      <c r="E2108" s="29">
        <v>46208</v>
      </c>
      <c r="F2108" t="s">
        <v>6</v>
      </c>
      <c r="G2108" s="28">
        <v>0.46875</v>
      </c>
      <c r="H2108" s="28">
        <v>0.46875</v>
      </c>
      <c r="I2108">
        <v>0</v>
      </c>
      <c r="J2108" t="s">
        <v>174</v>
      </c>
      <c r="K2108">
        <v>0</v>
      </c>
      <c r="L2108" t="s">
        <v>4352</v>
      </c>
      <c r="M2108" t="s">
        <v>5798</v>
      </c>
      <c r="N2108" t="s">
        <v>5799</v>
      </c>
      <c r="O2108" t="s">
        <v>4341</v>
      </c>
      <c r="P2108" t="s">
        <v>4582</v>
      </c>
    </row>
    <row r="2109" spans="1:16" x14ac:dyDescent="0.35">
      <c r="A2109" t="s">
        <v>100</v>
      </c>
      <c r="B2109">
        <v>1322845175</v>
      </c>
      <c r="C2109" t="s">
        <v>18</v>
      </c>
      <c r="D2109" t="s">
        <v>20</v>
      </c>
      <c r="E2109" s="29">
        <v>46208</v>
      </c>
      <c r="F2109" t="s">
        <v>6</v>
      </c>
      <c r="G2109" s="28">
        <v>0.47569444444444442</v>
      </c>
      <c r="H2109" s="28">
        <v>0.47569444444444442</v>
      </c>
      <c r="I2109">
        <v>0</v>
      </c>
      <c r="J2109" t="s">
        <v>174</v>
      </c>
      <c r="K2109">
        <v>0</v>
      </c>
      <c r="L2109" t="s">
        <v>3611</v>
      </c>
      <c r="M2109" t="s">
        <v>5800</v>
      </c>
      <c r="N2109" t="s">
        <v>5801</v>
      </c>
      <c r="O2109" t="s">
        <v>5802</v>
      </c>
      <c r="P2109" t="s">
        <v>5803</v>
      </c>
    </row>
    <row r="2110" spans="1:16" x14ac:dyDescent="0.35">
      <c r="A2110" t="s">
        <v>100</v>
      </c>
      <c r="B2110">
        <v>1322845175</v>
      </c>
      <c r="C2110" t="s">
        <v>18</v>
      </c>
      <c r="D2110" t="s">
        <v>20</v>
      </c>
      <c r="E2110" s="29">
        <v>46208</v>
      </c>
      <c r="F2110" t="s">
        <v>6</v>
      </c>
      <c r="G2110" s="28">
        <v>0.4826388888888889</v>
      </c>
      <c r="H2110" s="28">
        <v>0.53819444444444442</v>
      </c>
      <c r="I2110">
        <v>1</v>
      </c>
      <c r="J2110" t="s">
        <v>146</v>
      </c>
      <c r="K2110">
        <v>4</v>
      </c>
      <c r="L2110" t="s">
        <v>147</v>
      </c>
      <c r="M2110" t="s">
        <v>5804</v>
      </c>
      <c r="N2110" t="s">
        <v>5805</v>
      </c>
      <c r="O2110" t="s">
        <v>5806</v>
      </c>
      <c r="P2110" t="s">
        <v>5807</v>
      </c>
    </row>
    <row r="2111" spans="1:16" x14ac:dyDescent="0.35">
      <c r="A2111" t="s">
        <v>100</v>
      </c>
      <c r="B2111">
        <v>1322845175</v>
      </c>
      <c r="C2111" t="s">
        <v>18</v>
      </c>
      <c r="D2111" t="s">
        <v>20</v>
      </c>
      <c r="E2111" s="29">
        <v>46208</v>
      </c>
      <c r="F2111" t="s">
        <v>6</v>
      </c>
      <c r="G2111" s="28">
        <v>0.54513888888888884</v>
      </c>
      <c r="H2111" s="28">
        <v>0.54513888888888884</v>
      </c>
      <c r="I2111">
        <v>0</v>
      </c>
      <c r="J2111" t="s">
        <v>174</v>
      </c>
      <c r="K2111">
        <v>0</v>
      </c>
      <c r="L2111" t="s">
        <v>3815</v>
      </c>
      <c r="M2111" t="s">
        <v>5808</v>
      </c>
      <c r="N2111" t="s">
        <v>5809</v>
      </c>
      <c r="O2111" t="s">
        <v>5810</v>
      </c>
      <c r="P2111" t="s">
        <v>5811</v>
      </c>
    </row>
    <row r="2112" spans="1:16" x14ac:dyDescent="0.35">
      <c r="A2112" t="s">
        <v>100</v>
      </c>
      <c r="B2112">
        <v>1322845175</v>
      </c>
      <c r="C2112" t="s">
        <v>18</v>
      </c>
      <c r="D2112" t="s">
        <v>20</v>
      </c>
      <c r="E2112" s="29">
        <v>46208</v>
      </c>
      <c r="F2112" t="s">
        <v>6</v>
      </c>
      <c r="G2112" s="28">
        <v>0.55208333333333337</v>
      </c>
      <c r="H2112" s="28">
        <v>0.55208333333333337</v>
      </c>
      <c r="I2112">
        <v>0</v>
      </c>
      <c r="J2112" t="s">
        <v>174</v>
      </c>
      <c r="K2112">
        <v>0</v>
      </c>
      <c r="L2112" t="s">
        <v>5812</v>
      </c>
      <c r="M2112" t="s">
        <v>5798</v>
      </c>
      <c r="N2112" t="s">
        <v>5799</v>
      </c>
      <c r="O2112" t="s">
        <v>4341</v>
      </c>
      <c r="P2112" t="s">
        <v>4582</v>
      </c>
    </row>
    <row r="2113" spans="1:16" x14ac:dyDescent="0.35">
      <c r="A2113" t="s">
        <v>100</v>
      </c>
      <c r="B2113">
        <v>1322845175</v>
      </c>
      <c r="C2113" t="s">
        <v>18</v>
      </c>
      <c r="D2113" t="s">
        <v>20</v>
      </c>
      <c r="E2113" s="29">
        <v>46208</v>
      </c>
      <c r="F2113" t="s">
        <v>6</v>
      </c>
      <c r="G2113" s="28">
        <v>0.55902777777777779</v>
      </c>
      <c r="H2113" s="28">
        <v>0.55902777777777779</v>
      </c>
      <c r="I2113">
        <v>0</v>
      </c>
      <c r="J2113" t="s">
        <v>174</v>
      </c>
      <c r="K2113">
        <v>0</v>
      </c>
      <c r="L2113" t="s">
        <v>2416</v>
      </c>
      <c r="M2113" t="s">
        <v>4138</v>
      </c>
      <c r="N2113" t="s">
        <v>4132</v>
      </c>
      <c r="O2113" t="s">
        <v>4133</v>
      </c>
      <c r="P2113" t="s">
        <v>4134</v>
      </c>
    </row>
    <row r="2114" spans="1:16" x14ac:dyDescent="0.35">
      <c r="A2114" t="s">
        <v>100</v>
      </c>
      <c r="B2114">
        <v>1322845175</v>
      </c>
      <c r="C2114" t="s">
        <v>18</v>
      </c>
      <c r="D2114" t="s">
        <v>20</v>
      </c>
      <c r="E2114" s="29">
        <v>46208</v>
      </c>
      <c r="F2114" t="s">
        <v>6</v>
      </c>
      <c r="G2114" s="28">
        <v>0.56597222222222221</v>
      </c>
      <c r="H2114" s="28">
        <v>0.56597222222222221</v>
      </c>
      <c r="I2114">
        <v>0</v>
      </c>
      <c r="J2114" t="s">
        <v>174</v>
      </c>
      <c r="K2114">
        <v>0</v>
      </c>
      <c r="L2114" t="s">
        <v>5813</v>
      </c>
      <c r="M2114" t="s">
        <v>5677</v>
      </c>
      <c r="N2114" t="s">
        <v>5678</v>
      </c>
      <c r="O2114" t="s">
        <v>5679</v>
      </c>
      <c r="P2114" t="s">
        <v>5680</v>
      </c>
    </row>
    <row r="2115" spans="1:16" x14ac:dyDescent="0.35">
      <c r="A2115" t="s">
        <v>100</v>
      </c>
      <c r="B2115">
        <v>1322845175</v>
      </c>
      <c r="C2115" t="s">
        <v>18</v>
      </c>
      <c r="D2115" t="s">
        <v>20</v>
      </c>
      <c r="E2115" s="29">
        <v>46208</v>
      </c>
      <c r="F2115" t="s">
        <v>6</v>
      </c>
      <c r="G2115" s="28">
        <v>0.57291666666666663</v>
      </c>
      <c r="H2115" s="28">
        <v>0.57291666666666663</v>
      </c>
      <c r="I2115">
        <v>0</v>
      </c>
      <c r="J2115" t="s">
        <v>174</v>
      </c>
      <c r="K2115">
        <v>0</v>
      </c>
      <c r="L2115" t="s">
        <v>3472</v>
      </c>
      <c r="M2115" t="s">
        <v>5814</v>
      </c>
      <c r="N2115" t="s">
        <v>5815</v>
      </c>
      <c r="O2115" t="s">
        <v>5816</v>
      </c>
      <c r="P2115" t="s">
        <v>5817</v>
      </c>
    </row>
    <row r="2116" spans="1:16" x14ac:dyDescent="0.35">
      <c r="A2116" t="s">
        <v>100</v>
      </c>
      <c r="B2116">
        <v>1322845175</v>
      </c>
      <c r="C2116" t="s">
        <v>18</v>
      </c>
      <c r="D2116" t="s">
        <v>20</v>
      </c>
      <c r="E2116" s="29">
        <v>46208</v>
      </c>
      <c r="F2116" t="s">
        <v>6</v>
      </c>
      <c r="G2116" s="28">
        <v>0.57986111111111116</v>
      </c>
      <c r="H2116" s="28">
        <v>0.60069444444444442</v>
      </c>
      <c r="I2116">
        <v>0</v>
      </c>
      <c r="J2116" t="s">
        <v>146</v>
      </c>
      <c r="K2116">
        <v>1</v>
      </c>
      <c r="L2116" t="s">
        <v>147</v>
      </c>
      <c r="M2116" t="s">
        <v>5818</v>
      </c>
      <c r="N2116" t="s">
        <v>5819</v>
      </c>
      <c r="O2116" t="s">
        <v>5820</v>
      </c>
      <c r="P2116" t="s">
        <v>5821</v>
      </c>
    </row>
    <row r="2117" spans="1:16" x14ac:dyDescent="0.35">
      <c r="A2117" t="s">
        <v>100</v>
      </c>
      <c r="B2117">
        <v>1322845175</v>
      </c>
      <c r="C2117" t="s">
        <v>18</v>
      </c>
      <c r="D2117" t="s">
        <v>20</v>
      </c>
      <c r="E2117" s="29">
        <v>46208</v>
      </c>
      <c r="F2117" t="s">
        <v>6</v>
      </c>
      <c r="G2117" s="28">
        <v>0.60833333333333328</v>
      </c>
      <c r="H2117" s="28">
        <v>0.60833333333333328</v>
      </c>
      <c r="I2117">
        <v>0</v>
      </c>
      <c r="J2117" t="s">
        <v>174</v>
      </c>
      <c r="K2117">
        <v>0</v>
      </c>
      <c r="L2117" t="s">
        <v>5822</v>
      </c>
      <c r="M2117" t="s">
        <v>5823</v>
      </c>
      <c r="N2117" t="s">
        <v>5824</v>
      </c>
      <c r="O2117" t="s">
        <v>2797</v>
      </c>
      <c r="P2117" t="s">
        <v>5825</v>
      </c>
    </row>
    <row r="2118" spans="1:16" x14ac:dyDescent="0.35">
      <c r="A2118" t="s">
        <v>100</v>
      </c>
      <c r="B2118">
        <v>1322845175</v>
      </c>
      <c r="C2118" t="s">
        <v>18</v>
      </c>
      <c r="D2118" t="s">
        <v>20</v>
      </c>
      <c r="E2118" s="29">
        <v>46208</v>
      </c>
      <c r="F2118" t="s">
        <v>6</v>
      </c>
      <c r="G2118" s="28">
        <v>0.61458333333333337</v>
      </c>
      <c r="H2118" s="28">
        <v>0.61458333333333337</v>
      </c>
      <c r="I2118">
        <v>0</v>
      </c>
      <c r="J2118" t="s">
        <v>174</v>
      </c>
      <c r="K2118">
        <v>0</v>
      </c>
      <c r="L2118" t="s">
        <v>369</v>
      </c>
      <c r="M2118" t="s">
        <v>5818</v>
      </c>
      <c r="N2118" t="s">
        <v>5819</v>
      </c>
      <c r="O2118" t="s">
        <v>5820</v>
      </c>
      <c r="P2118" t="s">
        <v>5821</v>
      </c>
    </row>
    <row r="2119" spans="1:16" x14ac:dyDescent="0.35">
      <c r="A2119" t="s">
        <v>100</v>
      </c>
      <c r="B2119">
        <v>1322845175</v>
      </c>
      <c r="C2119" t="s">
        <v>18</v>
      </c>
      <c r="D2119" t="s">
        <v>20</v>
      </c>
      <c r="E2119" s="29">
        <v>46208</v>
      </c>
      <c r="F2119" t="s">
        <v>6</v>
      </c>
      <c r="G2119" s="28">
        <v>0.62152777777777779</v>
      </c>
      <c r="H2119" s="28">
        <v>0.67013888888888884</v>
      </c>
      <c r="I2119">
        <v>1</v>
      </c>
      <c r="J2119" t="s">
        <v>146</v>
      </c>
      <c r="K2119">
        <v>4</v>
      </c>
      <c r="L2119" t="s">
        <v>147</v>
      </c>
      <c r="M2119" t="s">
        <v>5826</v>
      </c>
      <c r="N2119" t="s">
        <v>5827</v>
      </c>
      <c r="O2119" t="s">
        <v>5828</v>
      </c>
      <c r="P2119" t="s">
        <v>5829</v>
      </c>
    </row>
    <row r="2120" spans="1:16" x14ac:dyDescent="0.35">
      <c r="A2120" t="s">
        <v>100</v>
      </c>
      <c r="B2120">
        <v>1322845175</v>
      </c>
      <c r="C2120" t="s">
        <v>18</v>
      </c>
      <c r="D2120" t="s">
        <v>20</v>
      </c>
      <c r="E2120" s="29">
        <v>46208</v>
      </c>
      <c r="F2120" t="s">
        <v>6</v>
      </c>
      <c r="G2120" s="28">
        <v>0.67708333333333337</v>
      </c>
      <c r="H2120" s="28">
        <v>0.67708333333333337</v>
      </c>
      <c r="I2120">
        <v>0</v>
      </c>
      <c r="J2120" t="s">
        <v>174</v>
      </c>
      <c r="K2120">
        <v>0</v>
      </c>
      <c r="L2120" t="s">
        <v>2128</v>
      </c>
      <c r="M2120" t="s">
        <v>5830</v>
      </c>
      <c r="N2120" t="s">
        <v>5831</v>
      </c>
      <c r="O2120" t="s">
        <v>5832</v>
      </c>
      <c r="P2120" t="s">
        <v>5833</v>
      </c>
    </row>
    <row r="2121" spans="1:16" x14ac:dyDescent="0.35">
      <c r="A2121" t="s">
        <v>100</v>
      </c>
      <c r="B2121">
        <v>1322845175</v>
      </c>
      <c r="C2121" t="s">
        <v>18</v>
      </c>
      <c r="D2121" t="s">
        <v>20</v>
      </c>
      <c r="E2121" s="29">
        <v>46208</v>
      </c>
      <c r="F2121" t="s">
        <v>6</v>
      </c>
      <c r="G2121" s="28">
        <v>0.68402777777777779</v>
      </c>
      <c r="H2121" s="28">
        <v>0.69791666666666663</v>
      </c>
      <c r="I2121">
        <v>0</v>
      </c>
      <c r="J2121" t="s">
        <v>146</v>
      </c>
      <c r="K2121">
        <v>1</v>
      </c>
      <c r="L2121" t="s">
        <v>147</v>
      </c>
      <c r="M2121" t="s">
        <v>5826</v>
      </c>
      <c r="N2121" t="s">
        <v>5827</v>
      </c>
      <c r="O2121" t="s">
        <v>5828</v>
      </c>
      <c r="P2121" t="s">
        <v>5829</v>
      </c>
    </row>
    <row r="2122" spans="1:16" x14ac:dyDescent="0.35">
      <c r="A2122" t="s">
        <v>100</v>
      </c>
      <c r="B2122">
        <v>1322845175</v>
      </c>
      <c r="C2122" t="s">
        <v>18</v>
      </c>
      <c r="D2122" t="s">
        <v>20</v>
      </c>
      <c r="E2122" s="29">
        <v>46208</v>
      </c>
      <c r="F2122" t="s">
        <v>6</v>
      </c>
      <c r="G2122" s="28">
        <v>0.70486111111111116</v>
      </c>
      <c r="H2122" s="28">
        <v>0.72569444444444442</v>
      </c>
      <c r="I2122">
        <v>0</v>
      </c>
      <c r="J2122" t="s">
        <v>146</v>
      </c>
      <c r="K2122">
        <v>1</v>
      </c>
      <c r="L2122" t="s">
        <v>147</v>
      </c>
      <c r="M2122" t="s">
        <v>5834</v>
      </c>
      <c r="N2122" t="s">
        <v>5835</v>
      </c>
      <c r="O2122" t="s">
        <v>5836</v>
      </c>
      <c r="P2122" t="s">
        <v>5837</v>
      </c>
    </row>
    <row r="2123" spans="1:16" x14ac:dyDescent="0.35">
      <c r="A2123" t="s">
        <v>100</v>
      </c>
      <c r="B2123">
        <v>1322845175</v>
      </c>
      <c r="C2123" t="s">
        <v>18</v>
      </c>
      <c r="D2123" t="s">
        <v>20</v>
      </c>
      <c r="E2123" s="29">
        <v>46208</v>
      </c>
      <c r="F2123" t="s">
        <v>6</v>
      </c>
      <c r="G2123" s="28">
        <v>0.73263888888888884</v>
      </c>
      <c r="H2123" s="28">
        <v>0.76041666666666663</v>
      </c>
      <c r="I2123">
        <v>1</v>
      </c>
      <c r="J2123" t="s">
        <v>146</v>
      </c>
      <c r="K2123">
        <v>2</v>
      </c>
      <c r="L2123" t="s">
        <v>147</v>
      </c>
      <c r="M2123" t="s">
        <v>5838</v>
      </c>
      <c r="N2123" t="s">
        <v>5839</v>
      </c>
      <c r="O2123" t="s">
        <v>5840</v>
      </c>
      <c r="P2123" t="s">
        <v>5837</v>
      </c>
    </row>
    <row r="2124" spans="1:16" x14ac:dyDescent="0.35">
      <c r="A2124" t="s">
        <v>100</v>
      </c>
      <c r="B2124">
        <v>1322845175</v>
      </c>
      <c r="C2124" t="s">
        <v>18</v>
      </c>
      <c r="D2124" t="s">
        <v>20</v>
      </c>
      <c r="E2124" s="29">
        <v>46208</v>
      </c>
      <c r="F2124" t="s">
        <v>6</v>
      </c>
      <c r="G2124" s="28">
        <v>0.76736111111111116</v>
      </c>
      <c r="H2124" s="28">
        <v>0.76736111111111116</v>
      </c>
      <c r="I2124">
        <v>0</v>
      </c>
      <c r="J2124" t="s">
        <v>174</v>
      </c>
      <c r="K2124">
        <v>0</v>
      </c>
      <c r="L2124" t="s">
        <v>2772</v>
      </c>
      <c r="M2124" t="s">
        <v>4135</v>
      </c>
      <c r="N2124" t="s">
        <v>4136</v>
      </c>
      <c r="O2124" t="s">
        <v>2780</v>
      </c>
      <c r="P2124" t="s">
        <v>4137</v>
      </c>
    </row>
    <row r="2125" spans="1:16" x14ac:dyDescent="0.35">
      <c r="A2125" t="s">
        <v>100</v>
      </c>
      <c r="B2125">
        <v>1322845175</v>
      </c>
      <c r="C2125" t="s">
        <v>18</v>
      </c>
      <c r="D2125" t="s">
        <v>20</v>
      </c>
      <c r="E2125" s="29">
        <v>46208</v>
      </c>
      <c r="F2125" t="s">
        <v>6</v>
      </c>
      <c r="G2125" s="28">
        <v>0.77430555555555558</v>
      </c>
      <c r="H2125" s="28">
        <v>0.78125</v>
      </c>
      <c r="I2125">
        <v>0</v>
      </c>
      <c r="J2125" t="s">
        <v>146</v>
      </c>
      <c r="K2125">
        <v>0</v>
      </c>
      <c r="L2125" t="s">
        <v>147</v>
      </c>
      <c r="M2125" t="s">
        <v>5743</v>
      </c>
      <c r="N2125" t="s">
        <v>5744</v>
      </c>
      <c r="O2125" t="s">
        <v>5745</v>
      </c>
      <c r="P2125" t="s">
        <v>5746</v>
      </c>
    </row>
    <row r="2126" spans="1:16" x14ac:dyDescent="0.35">
      <c r="A2126" t="s">
        <v>100</v>
      </c>
      <c r="B2126">
        <v>1322845175</v>
      </c>
      <c r="C2126" t="s">
        <v>18</v>
      </c>
      <c r="D2126" t="s">
        <v>20</v>
      </c>
      <c r="E2126" s="29">
        <v>46208</v>
      </c>
      <c r="F2126" t="s">
        <v>6</v>
      </c>
      <c r="G2126" s="28">
        <v>0.78819444444444442</v>
      </c>
      <c r="H2126" s="28">
        <v>0.78819444444444442</v>
      </c>
      <c r="I2126">
        <v>0</v>
      </c>
      <c r="J2126" t="s">
        <v>174</v>
      </c>
      <c r="K2126">
        <v>0</v>
      </c>
      <c r="L2126" t="s">
        <v>186</v>
      </c>
      <c r="M2126" t="s">
        <v>4335</v>
      </c>
      <c r="N2126" t="s">
        <v>4336</v>
      </c>
      <c r="O2126" t="s">
        <v>4337</v>
      </c>
      <c r="P2126" t="s">
        <v>4338</v>
      </c>
    </row>
    <row r="2127" spans="1:16" x14ac:dyDescent="0.35">
      <c r="A2127" t="s">
        <v>120</v>
      </c>
      <c r="B2127">
        <v>1701216087</v>
      </c>
      <c r="C2127" t="s">
        <v>18</v>
      </c>
      <c r="D2127" t="s">
        <v>20</v>
      </c>
      <c r="E2127" s="29">
        <v>46204</v>
      </c>
      <c r="F2127" t="s">
        <v>3</v>
      </c>
      <c r="G2127" s="28">
        <v>0.40972222222222221</v>
      </c>
      <c r="H2127" s="28">
        <v>0.40972222222222221</v>
      </c>
      <c r="I2127">
        <v>0</v>
      </c>
      <c r="J2127" t="s">
        <v>174</v>
      </c>
      <c r="K2127">
        <v>0</v>
      </c>
      <c r="L2127" t="s">
        <v>1855</v>
      </c>
      <c r="M2127" t="s">
        <v>5841</v>
      </c>
      <c r="N2127" t="s">
        <v>5842</v>
      </c>
      <c r="O2127" t="s">
        <v>5843</v>
      </c>
      <c r="P2127" t="s">
        <v>5844</v>
      </c>
    </row>
    <row r="2128" spans="1:16" x14ac:dyDescent="0.35">
      <c r="A2128" t="s">
        <v>120</v>
      </c>
      <c r="B2128">
        <v>1701216087</v>
      </c>
      <c r="C2128" t="s">
        <v>18</v>
      </c>
      <c r="D2128" t="s">
        <v>20</v>
      </c>
      <c r="E2128" s="29">
        <v>46204</v>
      </c>
      <c r="F2128" t="s">
        <v>3</v>
      </c>
      <c r="G2128" s="28">
        <v>0.41666666666666669</v>
      </c>
      <c r="H2128" s="28">
        <v>0.41666666666666669</v>
      </c>
      <c r="I2128">
        <v>0</v>
      </c>
      <c r="J2128" t="s">
        <v>174</v>
      </c>
      <c r="K2128">
        <v>0</v>
      </c>
      <c r="L2128" t="s">
        <v>1855</v>
      </c>
      <c r="M2128" t="s">
        <v>5845</v>
      </c>
      <c r="N2128" t="s">
        <v>5846</v>
      </c>
      <c r="O2128" t="s">
        <v>5847</v>
      </c>
      <c r="P2128" t="s">
        <v>5848</v>
      </c>
    </row>
    <row r="2129" spans="1:16" x14ac:dyDescent="0.35">
      <c r="A2129" t="s">
        <v>120</v>
      </c>
      <c r="B2129">
        <v>1701216087</v>
      </c>
      <c r="C2129" t="s">
        <v>18</v>
      </c>
      <c r="D2129" t="s">
        <v>20</v>
      </c>
      <c r="E2129" s="29">
        <v>46204</v>
      </c>
      <c r="F2129" t="s">
        <v>3</v>
      </c>
      <c r="G2129" s="28">
        <v>0.4236111111111111</v>
      </c>
      <c r="H2129" s="28">
        <v>0.4236111111111111</v>
      </c>
      <c r="I2129">
        <v>0</v>
      </c>
      <c r="J2129" t="s">
        <v>174</v>
      </c>
      <c r="K2129">
        <v>0</v>
      </c>
      <c r="L2129" t="s">
        <v>1236</v>
      </c>
      <c r="M2129" t="s">
        <v>5841</v>
      </c>
      <c r="N2129" t="s">
        <v>5842</v>
      </c>
      <c r="O2129" t="s">
        <v>5843</v>
      </c>
      <c r="P2129" t="s">
        <v>5844</v>
      </c>
    </row>
    <row r="2130" spans="1:16" x14ac:dyDescent="0.35">
      <c r="A2130" t="s">
        <v>120</v>
      </c>
      <c r="B2130">
        <v>1701216087</v>
      </c>
      <c r="C2130" t="s">
        <v>18</v>
      </c>
      <c r="D2130" t="s">
        <v>20</v>
      </c>
      <c r="E2130" s="29">
        <v>46204</v>
      </c>
      <c r="F2130" t="s">
        <v>3</v>
      </c>
      <c r="G2130" s="28">
        <v>0.43055555555555558</v>
      </c>
      <c r="H2130" s="28">
        <v>0.4375</v>
      </c>
      <c r="I2130">
        <v>0</v>
      </c>
      <c r="J2130" t="s">
        <v>146</v>
      </c>
      <c r="K2130">
        <v>0</v>
      </c>
      <c r="L2130" t="s">
        <v>147</v>
      </c>
      <c r="M2130" t="s">
        <v>5849</v>
      </c>
      <c r="N2130" t="s">
        <v>5850</v>
      </c>
      <c r="O2130" t="s">
        <v>5851</v>
      </c>
      <c r="P2130" t="s">
        <v>5852</v>
      </c>
    </row>
    <row r="2131" spans="1:16" x14ac:dyDescent="0.35">
      <c r="A2131" t="s">
        <v>120</v>
      </c>
      <c r="B2131">
        <v>1701216087</v>
      </c>
      <c r="C2131" t="s">
        <v>18</v>
      </c>
      <c r="D2131" t="s">
        <v>20</v>
      </c>
      <c r="E2131" s="29">
        <v>46204</v>
      </c>
      <c r="F2131" t="s">
        <v>3</v>
      </c>
      <c r="G2131" s="28">
        <v>0.44444444444444442</v>
      </c>
      <c r="H2131" s="28">
        <v>0.44444444444444442</v>
      </c>
      <c r="I2131">
        <v>0</v>
      </c>
      <c r="J2131" t="s">
        <v>174</v>
      </c>
      <c r="K2131">
        <v>0</v>
      </c>
      <c r="L2131" t="s">
        <v>5853</v>
      </c>
      <c r="M2131" t="s">
        <v>5841</v>
      </c>
      <c r="N2131" t="s">
        <v>5842</v>
      </c>
      <c r="O2131" t="s">
        <v>5843</v>
      </c>
      <c r="P2131" t="s">
        <v>5844</v>
      </c>
    </row>
    <row r="2132" spans="1:16" x14ac:dyDescent="0.35">
      <c r="A2132" t="s">
        <v>120</v>
      </c>
      <c r="B2132">
        <v>1701216087</v>
      </c>
      <c r="C2132" t="s">
        <v>18</v>
      </c>
      <c r="D2132" t="s">
        <v>20</v>
      </c>
      <c r="E2132" s="29">
        <v>46204</v>
      </c>
      <c r="F2132" t="s">
        <v>3</v>
      </c>
      <c r="G2132" s="28">
        <v>0.4513888888888889</v>
      </c>
      <c r="H2132" s="28">
        <v>0.4513888888888889</v>
      </c>
      <c r="I2132">
        <v>0</v>
      </c>
      <c r="J2132" t="s">
        <v>174</v>
      </c>
      <c r="K2132">
        <v>0</v>
      </c>
      <c r="L2132" t="s">
        <v>5854</v>
      </c>
      <c r="M2132" t="s">
        <v>5855</v>
      </c>
      <c r="N2132" t="s">
        <v>5856</v>
      </c>
      <c r="O2132" t="s">
        <v>5857</v>
      </c>
      <c r="P2132" t="s">
        <v>5858</v>
      </c>
    </row>
    <row r="2133" spans="1:16" x14ac:dyDescent="0.35">
      <c r="A2133" t="s">
        <v>120</v>
      </c>
      <c r="B2133">
        <v>1701216087</v>
      </c>
      <c r="C2133" t="s">
        <v>18</v>
      </c>
      <c r="D2133" t="s">
        <v>20</v>
      </c>
      <c r="E2133" s="29">
        <v>46204</v>
      </c>
      <c r="F2133" t="s">
        <v>3</v>
      </c>
      <c r="G2133" s="28">
        <v>0.45833333333333331</v>
      </c>
      <c r="H2133" s="28">
        <v>0.45833333333333331</v>
      </c>
      <c r="I2133">
        <v>0</v>
      </c>
      <c r="J2133" t="s">
        <v>174</v>
      </c>
      <c r="K2133">
        <v>0</v>
      </c>
      <c r="L2133" t="s">
        <v>5859</v>
      </c>
      <c r="M2133" t="s">
        <v>5860</v>
      </c>
      <c r="N2133" t="s">
        <v>5861</v>
      </c>
      <c r="O2133" t="s">
        <v>5862</v>
      </c>
      <c r="P2133" t="s">
        <v>5863</v>
      </c>
    </row>
    <row r="2134" spans="1:16" x14ac:dyDescent="0.35">
      <c r="A2134" t="s">
        <v>120</v>
      </c>
      <c r="B2134">
        <v>1701216087</v>
      </c>
      <c r="C2134" t="s">
        <v>18</v>
      </c>
      <c r="D2134" t="s">
        <v>20</v>
      </c>
      <c r="E2134" s="29">
        <v>46204</v>
      </c>
      <c r="F2134" t="s">
        <v>3</v>
      </c>
      <c r="G2134" s="28">
        <v>0.46527777777777779</v>
      </c>
      <c r="H2134" s="28">
        <v>0.46527777777777779</v>
      </c>
      <c r="I2134">
        <v>0</v>
      </c>
      <c r="J2134" t="s">
        <v>174</v>
      </c>
      <c r="K2134">
        <v>0</v>
      </c>
      <c r="L2134" t="s">
        <v>2248</v>
      </c>
      <c r="M2134" t="s">
        <v>5864</v>
      </c>
      <c r="N2134" t="s">
        <v>5865</v>
      </c>
      <c r="O2134" t="s">
        <v>5866</v>
      </c>
      <c r="P2134" t="s">
        <v>5867</v>
      </c>
    </row>
    <row r="2135" spans="1:16" x14ac:dyDescent="0.35">
      <c r="A2135" t="s">
        <v>120</v>
      </c>
      <c r="B2135">
        <v>1701216087</v>
      </c>
      <c r="C2135" t="s">
        <v>18</v>
      </c>
      <c r="D2135" t="s">
        <v>20</v>
      </c>
      <c r="E2135" s="29">
        <v>46204</v>
      </c>
      <c r="F2135" t="s">
        <v>3</v>
      </c>
      <c r="G2135" s="28">
        <v>0.47222222222222221</v>
      </c>
      <c r="H2135" s="28">
        <v>0.47222222222222221</v>
      </c>
      <c r="I2135">
        <v>0</v>
      </c>
      <c r="J2135" t="s">
        <v>174</v>
      </c>
      <c r="K2135">
        <v>0</v>
      </c>
      <c r="L2135" t="s">
        <v>1369</v>
      </c>
      <c r="M2135" t="s">
        <v>5868</v>
      </c>
      <c r="N2135" t="s">
        <v>5869</v>
      </c>
      <c r="O2135" t="s">
        <v>5870</v>
      </c>
      <c r="P2135" t="s">
        <v>5871</v>
      </c>
    </row>
    <row r="2136" spans="1:16" x14ac:dyDescent="0.35">
      <c r="A2136" t="s">
        <v>120</v>
      </c>
      <c r="B2136">
        <v>1701216087</v>
      </c>
      <c r="C2136" t="s">
        <v>18</v>
      </c>
      <c r="D2136" t="s">
        <v>20</v>
      </c>
      <c r="E2136" s="29">
        <v>46204</v>
      </c>
      <c r="F2136" t="s">
        <v>3</v>
      </c>
      <c r="G2136" s="28">
        <v>0.47916666666666669</v>
      </c>
      <c r="H2136" s="28">
        <v>0.51388888888888884</v>
      </c>
      <c r="I2136">
        <v>1</v>
      </c>
      <c r="J2136" t="s">
        <v>146</v>
      </c>
      <c r="K2136">
        <v>2</v>
      </c>
      <c r="L2136" t="s">
        <v>147</v>
      </c>
      <c r="M2136" t="s">
        <v>5872</v>
      </c>
      <c r="N2136" t="s">
        <v>5873</v>
      </c>
      <c r="O2136" t="s">
        <v>5874</v>
      </c>
      <c r="P2136" t="s">
        <v>5875</v>
      </c>
    </row>
    <row r="2137" spans="1:16" x14ac:dyDescent="0.35">
      <c r="A2137" t="s">
        <v>120</v>
      </c>
      <c r="B2137">
        <v>1701216087</v>
      </c>
      <c r="C2137" t="s">
        <v>18</v>
      </c>
      <c r="D2137" t="s">
        <v>20</v>
      </c>
      <c r="E2137" s="29">
        <v>46204</v>
      </c>
      <c r="F2137" t="s">
        <v>3</v>
      </c>
      <c r="G2137" s="28">
        <v>0.52083333333333337</v>
      </c>
      <c r="H2137" s="28">
        <v>0.52083333333333337</v>
      </c>
      <c r="I2137">
        <v>0</v>
      </c>
      <c r="J2137" t="s">
        <v>174</v>
      </c>
      <c r="K2137">
        <v>0</v>
      </c>
      <c r="L2137" t="s">
        <v>1369</v>
      </c>
      <c r="M2137" t="s">
        <v>5868</v>
      </c>
      <c r="N2137" t="s">
        <v>5869</v>
      </c>
      <c r="O2137" t="s">
        <v>5870</v>
      </c>
      <c r="P2137" t="s">
        <v>5871</v>
      </c>
    </row>
    <row r="2138" spans="1:16" x14ac:dyDescent="0.35">
      <c r="A2138" t="s">
        <v>120</v>
      </c>
      <c r="B2138">
        <v>1701216087</v>
      </c>
      <c r="C2138" t="s">
        <v>18</v>
      </c>
      <c r="D2138" t="s">
        <v>20</v>
      </c>
      <c r="E2138" s="29">
        <v>46204</v>
      </c>
      <c r="F2138" t="s">
        <v>3</v>
      </c>
      <c r="G2138" s="28">
        <v>0.52777777777777779</v>
      </c>
      <c r="H2138" s="28">
        <v>0.52777777777777779</v>
      </c>
      <c r="I2138">
        <v>0</v>
      </c>
      <c r="J2138" t="s">
        <v>174</v>
      </c>
      <c r="K2138">
        <v>0</v>
      </c>
      <c r="L2138" t="s">
        <v>1369</v>
      </c>
      <c r="M2138" t="s">
        <v>5872</v>
      </c>
      <c r="N2138" t="s">
        <v>5873</v>
      </c>
      <c r="O2138" t="s">
        <v>5874</v>
      </c>
      <c r="P2138" t="s">
        <v>5875</v>
      </c>
    </row>
    <row r="2139" spans="1:16" x14ac:dyDescent="0.35">
      <c r="A2139" t="s">
        <v>120</v>
      </c>
      <c r="B2139">
        <v>1701216087</v>
      </c>
      <c r="C2139" t="s">
        <v>18</v>
      </c>
      <c r="D2139" t="s">
        <v>20</v>
      </c>
      <c r="E2139" s="29">
        <v>46204</v>
      </c>
      <c r="F2139" t="s">
        <v>3</v>
      </c>
      <c r="G2139" s="28">
        <v>0.53472222222222221</v>
      </c>
      <c r="H2139" s="28">
        <v>0.53472222222222221</v>
      </c>
      <c r="I2139">
        <v>0</v>
      </c>
      <c r="J2139" t="s">
        <v>174</v>
      </c>
      <c r="K2139">
        <v>0</v>
      </c>
      <c r="L2139" t="s">
        <v>1369</v>
      </c>
      <c r="M2139" t="s">
        <v>5868</v>
      </c>
      <c r="N2139" t="s">
        <v>5869</v>
      </c>
      <c r="O2139" t="s">
        <v>5870</v>
      </c>
      <c r="P2139" t="s">
        <v>5871</v>
      </c>
    </row>
    <row r="2140" spans="1:16" x14ac:dyDescent="0.35">
      <c r="A2140" t="s">
        <v>120</v>
      </c>
      <c r="B2140">
        <v>1701216087</v>
      </c>
      <c r="C2140" t="s">
        <v>18</v>
      </c>
      <c r="D2140" t="s">
        <v>20</v>
      </c>
      <c r="E2140" s="29">
        <v>46204</v>
      </c>
      <c r="F2140" t="s">
        <v>3</v>
      </c>
      <c r="G2140" s="28">
        <v>0.54166666666666663</v>
      </c>
      <c r="H2140" s="28">
        <v>0.54166666666666663</v>
      </c>
      <c r="I2140">
        <v>0</v>
      </c>
      <c r="J2140" t="s">
        <v>174</v>
      </c>
      <c r="K2140">
        <v>0</v>
      </c>
      <c r="L2140" t="s">
        <v>1369</v>
      </c>
      <c r="M2140" t="s">
        <v>5872</v>
      </c>
      <c r="N2140" t="s">
        <v>5873</v>
      </c>
      <c r="O2140" t="s">
        <v>5874</v>
      </c>
      <c r="P2140" t="s">
        <v>5875</v>
      </c>
    </row>
    <row r="2141" spans="1:16" x14ac:dyDescent="0.35">
      <c r="A2141" t="s">
        <v>120</v>
      </c>
      <c r="B2141">
        <v>1701216087</v>
      </c>
      <c r="C2141" t="s">
        <v>18</v>
      </c>
      <c r="D2141" t="s">
        <v>20</v>
      </c>
      <c r="E2141" s="29">
        <v>46204</v>
      </c>
      <c r="F2141" t="s">
        <v>3</v>
      </c>
      <c r="G2141" s="28">
        <v>0.55555555555555558</v>
      </c>
      <c r="H2141" s="28">
        <v>0.67361111111111116</v>
      </c>
      <c r="I2141">
        <v>3</v>
      </c>
      <c r="J2141" t="s">
        <v>146</v>
      </c>
      <c r="K2141">
        <v>8</v>
      </c>
      <c r="L2141" t="s">
        <v>147</v>
      </c>
      <c r="M2141" t="s">
        <v>5868</v>
      </c>
      <c r="N2141" t="s">
        <v>5869</v>
      </c>
      <c r="O2141" t="s">
        <v>5870</v>
      </c>
      <c r="P2141" t="s">
        <v>5871</v>
      </c>
    </row>
    <row r="2142" spans="1:16" x14ac:dyDescent="0.35">
      <c r="A2142" t="s">
        <v>120</v>
      </c>
      <c r="B2142">
        <v>1701216087</v>
      </c>
      <c r="C2142" t="s">
        <v>18</v>
      </c>
      <c r="D2142" t="s">
        <v>20</v>
      </c>
      <c r="E2142" s="29">
        <v>46204</v>
      </c>
      <c r="F2142" t="s">
        <v>3</v>
      </c>
      <c r="G2142" s="28">
        <v>0.68055555555555558</v>
      </c>
      <c r="H2142" s="28">
        <v>0.68055555555555558</v>
      </c>
      <c r="I2142">
        <v>0</v>
      </c>
      <c r="J2142" t="s">
        <v>174</v>
      </c>
      <c r="K2142">
        <v>0</v>
      </c>
      <c r="L2142" t="s">
        <v>4245</v>
      </c>
      <c r="M2142" t="s">
        <v>5876</v>
      </c>
      <c r="N2142" t="s">
        <v>5877</v>
      </c>
      <c r="O2142" t="s">
        <v>5878</v>
      </c>
      <c r="P2142" t="s">
        <v>5879</v>
      </c>
    </row>
    <row r="2143" spans="1:16" x14ac:dyDescent="0.35">
      <c r="A2143" t="s">
        <v>120</v>
      </c>
      <c r="B2143">
        <v>1701216087</v>
      </c>
      <c r="C2143" t="s">
        <v>18</v>
      </c>
      <c r="D2143" t="s">
        <v>20</v>
      </c>
      <c r="E2143" s="29">
        <v>46204</v>
      </c>
      <c r="F2143" t="s">
        <v>3</v>
      </c>
      <c r="G2143" s="28">
        <v>0.6875</v>
      </c>
      <c r="H2143" s="28">
        <v>0.6875</v>
      </c>
      <c r="I2143">
        <v>0</v>
      </c>
      <c r="J2143" t="s">
        <v>174</v>
      </c>
      <c r="K2143">
        <v>0</v>
      </c>
      <c r="L2143" t="s">
        <v>323</v>
      </c>
      <c r="M2143" t="s">
        <v>5880</v>
      </c>
      <c r="N2143" t="s">
        <v>5881</v>
      </c>
      <c r="O2143" t="s">
        <v>5882</v>
      </c>
      <c r="P2143" t="s">
        <v>5883</v>
      </c>
    </row>
    <row r="2144" spans="1:16" x14ac:dyDescent="0.35">
      <c r="A2144" t="s">
        <v>120</v>
      </c>
      <c r="B2144">
        <v>1701216087</v>
      </c>
      <c r="C2144" t="s">
        <v>18</v>
      </c>
      <c r="D2144" t="s">
        <v>20</v>
      </c>
      <c r="E2144" s="29">
        <v>46204</v>
      </c>
      <c r="F2144" t="s">
        <v>3</v>
      </c>
      <c r="G2144" s="28">
        <v>0.69444444444444442</v>
      </c>
      <c r="H2144" s="28">
        <v>0.70138888888888884</v>
      </c>
      <c r="I2144">
        <v>0</v>
      </c>
      <c r="J2144" t="s">
        <v>146</v>
      </c>
      <c r="K2144">
        <v>0</v>
      </c>
      <c r="L2144" t="s">
        <v>147</v>
      </c>
      <c r="M2144" t="s">
        <v>5884</v>
      </c>
      <c r="N2144" t="s">
        <v>5885</v>
      </c>
      <c r="O2144" t="s">
        <v>5886</v>
      </c>
      <c r="P2144" t="s">
        <v>5887</v>
      </c>
    </row>
    <row r="2145" spans="1:16" x14ac:dyDescent="0.35">
      <c r="A2145" t="s">
        <v>120</v>
      </c>
      <c r="B2145">
        <v>1701216087</v>
      </c>
      <c r="C2145" t="s">
        <v>18</v>
      </c>
      <c r="D2145" t="s">
        <v>20</v>
      </c>
      <c r="E2145" s="29">
        <v>46204</v>
      </c>
      <c r="F2145" t="s">
        <v>3</v>
      </c>
      <c r="G2145" s="28">
        <v>0.70833333333333337</v>
      </c>
      <c r="H2145" s="28">
        <v>0.70833333333333337</v>
      </c>
      <c r="I2145">
        <v>0</v>
      </c>
      <c r="J2145" t="s">
        <v>174</v>
      </c>
      <c r="K2145">
        <v>0</v>
      </c>
      <c r="L2145" t="s">
        <v>323</v>
      </c>
      <c r="M2145" t="s">
        <v>5880</v>
      </c>
      <c r="N2145" t="s">
        <v>5881</v>
      </c>
      <c r="O2145" t="s">
        <v>5882</v>
      </c>
      <c r="P2145" t="s">
        <v>5883</v>
      </c>
    </row>
    <row r="2146" spans="1:16" x14ac:dyDescent="0.35">
      <c r="A2146" t="s">
        <v>120</v>
      </c>
      <c r="B2146">
        <v>1701216087</v>
      </c>
      <c r="C2146" t="s">
        <v>18</v>
      </c>
      <c r="D2146" t="s">
        <v>20</v>
      </c>
      <c r="E2146" s="29">
        <v>46204</v>
      </c>
      <c r="F2146" t="s">
        <v>3</v>
      </c>
      <c r="G2146" s="28">
        <v>0.71527777777777779</v>
      </c>
      <c r="H2146" s="28">
        <v>0.72916666666666663</v>
      </c>
      <c r="I2146">
        <v>0</v>
      </c>
      <c r="J2146" t="s">
        <v>146</v>
      </c>
      <c r="K2146">
        <v>1</v>
      </c>
      <c r="L2146" t="s">
        <v>147</v>
      </c>
      <c r="M2146" t="s">
        <v>5884</v>
      </c>
      <c r="N2146" t="s">
        <v>5885</v>
      </c>
      <c r="O2146" t="s">
        <v>5886</v>
      </c>
      <c r="P2146" t="s">
        <v>5887</v>
      </c>
    </row>
    <row r="2147" spans="1:16" x14ac:dyDescent="0.35">
      <c r="A2147" t="s">
        <v>120</v>
      </c>
      <c r="B2147">
        <v>1701216087</v>
      </c>
      <c r="C2147" t="s">
        <v>18</v>
      </c>
      <c r="D2147" t="s">
        <v>20</v>
      </c>
      <c r="E2147" s="29">
        <v>46204</v>
      </c>
      <c r="F2147" t="s">
        <v>3</v>
      </c>
      <c r="G2147" s="28">
        <v>0.73611111111111116</v>
      </c>
      <c r="H2147" s="28">
        <v>0.73611111111111116</v>
      </c>
      <c r="I2147">
        <v>0</v>
      </c>
      <c r="J2147" t="s">
        <v>174</v>
      </c>
      <c r="K2147">
        <v>0</v>
      </c>
      <c r="L2147" t="s">
        <v>323</v>
      </c>
      <c r="M2147" t="s">
        <v>5880</v>
      </c>
      <c r="N2147" t="s">
        <v>5881</v>
      </c>
      <c r="O2147" t="s">
        <v>5882</v>
      </c>
      <c r="P2147" t="s">
        <v>5883</v>
      </c>
    </row>
    <row r="2148" spans="1:16" x14ac:dyDescent="0.35">
      <c r="A2148" t="s">
        <v>120</v>
      </c>
      <c r="B2148">
        <v>1701216087</v>
      </c>
      <c r="C2148" t="s">
        <v>18</v>
      </c>
      <c r="D2148" t="s">
        <v>20</v>
      </c>
      <c r="E2148" s="29">
        <v>46204</v>
      </c>
      <c r="F2148" t="s">
        <v>3</v>
      </c>
      <c r="G2148" s="28">
        <v>0.74305555555555558</v>
      </c>
      <c r="H2148" s="28">
        <v>0.74305555555555558</v>
      </c>
      <c r="I2148">
        <v>0</v>
      </c>
      <c r="J2148" t="s">
        <v>174</v>
      </c>
      <c r="K2148">
        <v>0</v>
      </c>
      <c r="L2148" t="s">
        <v>323</v>
      </c>
      <c r="M2148" t="s">
        <v>5884</v>
      </c>
      <c r="N2148" t="s">
        <v>5885</v>
      </c>
      <c r="O2148" t="s">
        <v>5886</v>
      </c>
      <c r="P2148" t="s">
        <v>5887</v>
      </c>
    </row>
    <row r="2149" spans="1:16" x14ac:dyDescent="0.35">
      <c r="A2149" t="s">
        <v>120</v>
      </c>
      <c r="B2149">
        <v>1701216087</v>
      </c>
      <c r="C2149" t="s">
        <v>18</v>
      </c>
      <c r="D2149" t="s">
        <v>20</v>
      </c>
      <c r="E2149" s="29">
        <v>46204</v>
      </c>
      <c r="F2149" t="s">
        <v>3</v>
      </c>
      <c r="G2149" s="28">
        <v>0.75</v>
      </c>
      <c r="H2149" s="28">
        <v>0.75694444444444442</v>
      </c>
      <c r="I2149">
        <v>0</v>
      </c>
      <c r="J2149" t="s">
        <v>146</v>
      </c>
      <c r="K2149">
        <v>0</v>
      </c>
      <c r="L2149" t="s">
        <v>147</v>
      </c>
      <c r="M2149" t="s">
        <v>5880</v>
      </c>
      <c r="N2149" t="s">
        <v>5881</v>
      </c>
      <c r="O2149" t="s">
        <v>5882</v>
      </c>
      <c r="P2149" t="s">
        <v>5883</v>
      </c>
    </row>
    <row r="2150" spans="1:16" x14ac:dyDescent="0.35">
      <c r="A2150" t="s">
        <v>120</v>
      </c>
      <c r="B2150">
        <v>1701216087</v>
      </c>
      <c r="C2150" t="s">
        <v>18</v>
      </c>
      <c r="D2150" t="s">
        <v>20</v>
      </c>
      <c r="E2150" s="29">
        <v>46204</v>
      </c>
      <c r="F2150" t="s">
        <v>3</v>
      </c>
      <c r="G2150" s="28">
        <v>0.76388888888888884</v>
      </c>
      <c r="H2150" s="28">
        <v>0.76388888888888884</v>
      </c>
      <c r="I2150">
        <v>0</v>
      </c>
      <c r="J2150" t="s">
        <v>174</v>
      </c>
      <c r="K2150">
        <v>0</v>
      </c>
      <c r="L2150" t="s">
        <v>323</v>
      </c>
      <c r="M2150" t="s">
        <v>5884</v>
      </c>
      <c r="N2150" t="s">
        <v>5885</v>
      </c>
      <c r="O2150" t="s">
        <v>5886</v>
      </c>
      <c r="P2150" t="s">
        <v>5887</v>
      </c>
    </row>
    <row r="2151" spans="1:16" x14ac:dyDescent="0.35">
      <c r="A2151" t="s">
        <v>120</v>
      </c>
      <c r="B2151">
        <v>1701216087</v>
      </c>
      <c r="C2151" t="s">
        <v>18</v>
      </c>
      <c r="D2151" t="s">
        <v>20</v>
      </c>
      <c r="E2151" s="29">
        <v>46204</v>
      </c>
      <c r="F2151" t="s">
        <v>3</v>
      </c>
      <c r="G2151" s="28">
        <v>0.77083333333333337</v>
      </c>
      <c r="H2151" s="28">
        <v>0.77083333333333337</v>
      </c>
      <c r="I2151">
        <v>0</v>
      </c>
      <c r="J2151" t="s">
        <v>174</v>
      </c>
      <c r="K2151">
        <v>0</v>
      </c>
      <c r="L2151" t="s">
        <v>2884</v>
      </c>
      <c r="M2151" t="s">
        <v>5880</v>
      </c>
      <c r="N2151" t="s">
        <v>5881</v>
      </c>
      <c r="O2151" t="s">
        <v>5882</v>
      </c>
      <c r="P2151" t="s">
        <v>5883</v>
      </c>
    </row>
    <row r="2152" spans="1:16" x14ac:dyDescent="0.35">
      <c r="A2152" t="s">
        <v>120</v>
      </c>
      <c r="B2152">
        <v>1701216087</v>
      </c>
      <c r="C2152" t="s">
        <v>18</v>
      </c>
      <c r="D2152" t="s">
        <v>20</v>
      </c>
      <c r="E2152" s="29">
        <v>46204</v>
      </c>
      <c r="F2152" t="s">
        <v>3</v>
      </c>
      <c r="G2152" s="28">
        <v>0.77777777777777779</v>
      </c>
      <c r="H2152" s="28">
        <v>0.77777777777777779</v>
      </c>
      <c r="I2152">
        <v>0</v>
      </c>
      <c r="J2152" t="s">
        <v>174</v>
      </c>
      <c r="K2152">
        <v>0</v>
      </c>
      <c r="L2152" t="s">
        <v>695</v>
      </c>
      <c r="M2152" t="s">
        <v>5888</v>
      </c>
      <c r="N2152" t="s">
        <v>5889</v>
      </c>
      <c r="O2152" t="s">
        <v>5890</v>
      </c>
      <c r="P2152" t="s">
        <v>5891</v>
      </c>
    </row>
    <row r="2153" spans="1:16" x14ac:dyDescent="0.35">
      <c r="A2153" t="s">
        <v>120</v>
      </c>
      <c r="B2153">
        <v>1701216087</v>
      </c>
      <c r="C2153" t="s">
        <v>18</v>
      </c>
      <c r="D2153" t="s">
        <v>20</v>
      </c>
      <c r="E2153" s="29">
        <v>46204</v>
      </c>
      <c r="F2153" t="s">
        <v>3</v>
      </c>
      <c r="G2153" s="28">
        <v>0.78472222222222221</v>
      </c>
      <c r="H2153" s="28">
        <v>0.78472222222222221</v>
      </c>
      <c r="I2153">
        <v>0</v>
      </c>
      <c r="J2153" t="s">
        <v>174</v>
      </c>
      <c r="K2153">
        <v>0</v>
      </c>
      <c r="L2153" t="s">
        <v>5892</v>
      </c>
      <c r="M2153" t="s">
        <v>5893</v>
      </c>
      <c r="N2153" t="s">
        <v>5894</v>
      </c>
      <c r="O2153" t="s">
        <v>5895</v>
      </c>
      <c r="P2153" t="s">
        <v>5896</v>
      </c>
    </row>
    <row r="2154" spans="1:16" x14ac:dyDescent="0.35">
      <c r="A2154" t="s">
        <v>120</v>
      </c>
      <c r="B2154">
        <v>1701216087</v>
      </c>
      <c r="C2154" t="s">
        <v>18</v>
      </c>
      <c r="D2154" t="s">
        <v>20</v>
      </c>
      <c r="E2154" s="29">
        <v>46205</v>
      </c>
      <c r="F2154" t="s">
        <v>4</v>
      </c>
      <c r="G2154" s="28">
        <v>0.3888888888888889</v>
      </c>
      <c r="H2154" s="28">
        <v>0.3888888888888889</v>
      </c>
      <c r="I2154">
        <v>0</v>
      </c>
      <c r="J2154" t="s">
        <v>174</v>
      </c>
      <c r="K2154">
        <v>0</v>
      </c>
      <c r="L2154" t="s">
        <v>267</v>
      </c>
      <c r="M2154" t="s">
        <v>5897</v>
      </c>
      <c r="N2154" t="s">
        <v>5898</v>
      </c>
      <c r="O2154" t="s">
        <v>5899</v>
      </c>
      <c r="P2154" t="s">
        <v>5900</v>
      </c>
    </row>
    <row r="2155" spans="1:16" x14ac:dyDescent="0.35">
      <c r="A2155" t="s">
        <v>120</v>
      </c>
      <c r="B2155">
        <v>1701216087</v>
      </c>
      <c r="C2155" t="s">
        <v>18</v>
      </c>
      <c r="D2155" t="s">
        <v>20</v>
      </c>
      <c r="E2155" s="29">
        <v>46205</v>
      </c>
      <c r="F2155" t="s">
        <v>4</v>
      </c>
      <c r="G2155" s="28">
        <v>0.39583333333333331</v>
      </c>
      <c r="H2155" s="28">
        <v>0.41666666666666669</v>
      </c>
      <c r="I2155">
        <v>1</v>
      </c>
      <c r="J2155" t="s">
        <v>146</v>
      </c>
      <c r="K2155">
        <v>2</v>
      </c>
      <c r="L2155" t="s">
        <v>147</v>
      </c>
      <c r="M2155" t="s">
        <v>5901</v>
      </c>
      <c r="N2155" t="s">
        <v>5902</v>
      </c>
      <c r="O2155" t="s">
        <v>5903</v>
      </c>
      <c r="P2155" t="s">
        <v>5904</v>
      </c>
    </row>
    <row r="2156" spans="1:16" x14ac:dyDescent="0.35">
      <c r="A2156" t="s">
        <v>120</v>
      </c>
      <c r="B2156">
        <v>1701216087</v>
      </c>
      <c r="C2156" t="s">
        <v>18</v>
      </c>
      <c r="D2156" t="s">
        <v>20</v>
      </c>
      <c r="E2156" s="29">
        <v>46205</v>
      </c>
      <c r="F2156" t="s">
        <v>4</v>
      </c>
      <c r="G2156" s="28">
        <v>0.4236111111111111</v>
      </c>
      <c r="H2156" s="28">
        <v>0.4236111111111111</v>
      </c>
      <c r="I2156">
        <v>0</v>
      </c>
      <c r="J2156" t="s">
        <v>174</v>
      </c>
      <c r="K2156">
        <v>0</v>
      </c>
      <c r="L2156" t="s">
        <v>267</v>
      </c>
      <c r="M2156" t="s">
        <v>5897</v>
      </c>
      <c r="N2156" t="s">
        <v>5898</v>
      </c>
      <c r="O2156" t="s">
        <v>5899</v>
      </c>
      <c r="P2156" t="s">
        <v>5900</v>
      </c>
    </row>
    <row r="2157" spans="1:16" x14ac:dyDescent="0.35">
      <c r="A2157" t="s">
        <v>120</v>
      </c>
      <c r="B2157">
        <v>1701216087</v>
      </c>
      <c r="C2157" t="s">
        <v>18</v>
      </c>
      <c r="D2157" t="s">
        <v>20</v>
      </c>
      <c r="E2157" s="29">
        <v>46205</v>
      </c>
      <c r="F2157" t="s">
        <v>4</v>
      </c>
      <c r="G2157" s="28">
        <v>0.43055555555555558</v>
      </c>
      <c r="H2157" s="28">
        <v>0.43055555555555558</v>
      </c>
      <c r="I2157">
        <v>0</v>
      </c>
      <c r="J2157" t="s">
        <v>174</v>
      </c>
      <c r="K2157">
        <v>0</v>
      </c>
      <c r="L2157" t="s">
        <v>5905</v>
      </c>
      <c r="M2157" t="s">
        <v>5901</v>
      </c>
      <c r="N2157" t="s">
        <v>5902</v>
      </c>
      <c r="O2157" t="s">
        <v>5903</v>
      </c>
      <c r="P2157" t="s">
        <v>5904</v>
      </c>
    </row>
    <row r="2158" spans="1:16" x14ac:dyDescent="0.35">
      <c r="A2158" t="s">
        <v>120</v>
      </c>
      <c r="B2158">
        <v>1701216087</v>
      </c>
      <c r="C2158" t="s">
        <v>18</v>
      </c>
      <c r="D2158" t="s">
        <v>20</v>
      </c>
      <c r="E2158" s="29">
        <v>46205</v>
      </c>
      <c r="F2158" t="s">
        <v>4</v>
      </c>
      <c r="G2158" s="28">
        <v>0.4375</v>
      </c>
      <c r="H2158" s="28">
        <v>0.4375</v>
      </c>
      <c r="I2158">
        <v>0</v>
      </c>
      <c r="J2158" t="s">
        <v>174</v>
      </c>
      <c r="K2158">
        <v>0</v>
      </c>
      <c r="L2158" t="s">
        <v>5905</v>
      </c>
      <c r="M2158" t="s">
        <v>5906</v>
      </c>
      <c r="N2158" t="s">
        <v>5907</v>
      </c>
      <c r="O2158" t="s">
        <v>5908</v>
      </c>
      <c r="P2158" t="s">
        <v>5909</v>
      </c>
    </row>
    <row r="2159" spans="1:16" x14ac:dyDescent="0.35">
      <c r="A2159" t="s">
        <v>120</v>
      </c>
      <c r="B2159">
        <v>1701216087</v>
      </c>
      <c r="C2159" t="s">
        <v>18</v>
      </c>
      <c r="D2159" t="s">
        <v>20</v>
      </c>
      <c r="E2159" s="29">
        <v>46205</v>
      </c>
      <c r="F2159" t="s">
        <v>4</v>
      </c>
      <c r="G2159" s="28">
        <v>0.44444444444444442</v>
      </c>
      <c r="H2159" s="28">
        <v>0.52777777777777779</v>
      </c>
      <c r="I2159">
        <v>2</v>
      </c>
      <c r="J2159" t="s">
        <v>146</v>
      </c>
      <c r="K2159">
        <v>6</v>
      </c>
      <c r="L2159" t="s">
        <v>147</v>
      </c>
      <c r="M2159" t="s">
        <v>5901</v>
      </c>
      <c r="N2159" t="s">
        <v>5902</v>
      </c>
      <c r="O2159" t="s">
        <v>5903</v>
      </c>
      <c r="P2159" t="s">
        <v>5904</v>
      </c>
    </row>
    <row r="2160" spans="1:16" x14ac:dyDescent="0.35">
      <c r="A2160" t="s">
        <v>120</v>
      </c>
      <c r="B2160">
        <v>1701216087</v>
      </c>
      <c r="C2160" t="s">
        <v>18</v>
      </c>
      <c r="D2160" t="s">
        <v>20</v>
      </c>
      <c r="E2160" s="29">
        <v>46205</v>
      </c>
      <c r="F2160" t="s">
        <v>4</v>
      </c>
      <c r="G2160" s="28">
        <v>0.53472222222222221</v>
      </c>
      <c r="H2160" s="28">
        <v>0.53472222222222221</v>
      </c>
      <c r="I2160">
        <v>0</v>
      </c>
      <c r="J2160" t="s">
        <v>174</v>
      </c>
      <c r="K2160">
        <v>0</v>
      </c>
      <c r="L2160" t="s">
        <v>5905</v>
      </c>
      <c r="M2160" t="s">
        <v>5906</v>
      </c>
      <c r="N2160" t="s">
        <v>5907</v>
      </c>
      <c r="O2160" t="s">
        <v>5908</v>
      </c>
      <c r="P2160" t="s">
        <v>5909</v>
      </c>
    </row>
    <row r="2161" spans="1:16" x14ac:dyDescent="0.35">
      <c r="A2161" t="s">
        <v>120</v>
      </c>
      <c r="B2161">
        <v>1701216087</v>
      </c>
      <c r="C2161" t="s">
        <v>18</v>
      </c>
      <c r="D2161" t="s">
        <v>20</v>
      </c>
      <c r="E2161" s="29">
        <v>46205</v>
      </c>
      <c r="F2161" t="s">
        <v>4</v>
      </c>
      <c r="G2161" s="28">
        <v>0.54166666666666663</v>
      </c>
      <c r="H2161" s="28">
        <v>0.56944444444444442</v>
      </c>
      <c r="I2161">
        <v>1</v>
      </c>
      <c r="J2161" t="s">
        <v>146</v>
      </c>
      <c r="K2161">
        <v>2</v>
      </c>
      <c r="L2161" t="s">
        <v>147</v>
      </c>
      <c r="M2161" t="s">
        <v>5901</v>
      </c>
      <c r="N2161" t="s">
        <v>5902</v>
      </c>
      <c r="O2161" t="s">
        <v>5903</v>
      </c>
      <c r="P2161" t="s">
        <v>5904</v>
      </c>
    </row>
    <row r="2162" spans="1:16" x14ac:dyDescent="0.35">
      <c r="A2162" t="s">
        <v>120</v>
      </c>
      <c r="B2162">
        <v>1701216087</v>
      </c>
      <c r="C2162" t="s">
        <v>18</v>
      </c>
      <c r="D2162" t="s">
        <v>20</v>
      </c>
      <c r="E2162" s="29">
        <v>46205</v>
      </c>
      <c r="F2162" t="s">
        <v>4</v>
      </c>
      <c r="G2162" s="28">
        <v>0.57638888888888884</v>
      </c>
      <c r="H2162" s="28">
        <v>0.57638888888888884</v>
      </c>
      <c r="I2162">
        <v>0</v>
      </c>
      <c r="J2162" t="s">
        <v>174</v>
      </c>
      <c r="K2162">
        <v>0</v>
      </c>
      <c r="L2162" t="s">
        <v>466</v>
      </c>
      <c r="M2162" t="s">
        <v>5910</v>
      </c>
      <c r="N2162" t="s">
        <v>5911</v>
      </c>
      <c r="O2162" t="s">
        <v>5912</v>
      </c>
      <c r="P2162" t="s">
        <v>5913</v>
      </c>
    </row>
    <row r="2163" spans="1:16" x14ac:dyDescent="0.35">
      <c r="A2163" t="s">
        <v>120</v>
      </c>
      <c r="B2163">
        <v>1701216087</v>
      </c>
      <c r="C2163" t="s">
        <v>18</v>
      </c>
      <c r="D2163" t="s">
        <v>20</v>
      </c>
      <c r="E2163" s="29">
        <v>46205</v>
      </c>
      <c r="F2163" t="s">
        <v>4</v>
      </c>
      <c r="G2163" s="28">
        <v>0.58333333333333337</v>
      </c>
      <c r="H2163" s="28">
        <v>0.60416666666666663</v>
      </c>
      <c r="I2163">
        <v>0</v>
      </c>
      <c r="J2163" t="s">
        <v>146</v>
      </c>
      <c r="K2163">
        <v>1</v>
      </c>
      <c r="L2163" t="s">
        <v>147</v>
      </c>
      <c r="M2163" t="s">
        <v>5914</v>
      </c>
      <c r="N2163" t="s">
        <v>5915</v>
      </c>
      <c r="O2163" t="s">
        <v>5916</v>
      </c>
      <c r="P2163" t="s">
        <v>5917</v>
      </c>
    </row>
    <row r="2164" spans="1:16" x14ac:dyDescent="0.35">
      <c r="A2164" t="s">
        <v>120</v>
      </c>
      <c r="B2164">
        <v>1701216087</v>
      </c>
      <c r="C2164" t="s">
        <v>18</v>
      </c>
      <c r="D2164" t="s">
        <v>20</v>
      </c>
      <c r="E2164" s="29">
        <v>46205</v>
      </c>
      <c r="F2164" t="s">
        <v>4</v>
      </c>
      <c r="G2164" s="28">
        <v>0.61111111111111116</v>
      </c>
      <c r="H2164" s="28">
        <v>0.625</v>
      </c>
      <c r="I2164">
        <v>0</v>
      </c>
      <c r="J2164" t="s">
        <v>146</v>
      </c>
      <c r="K2164">
        <v>1</v>
      </c>
      <c r="L2164" t="s">
        <v>147</v>
      </c>
      <c r="M2164" t="s">
        <v>5918</v>
      </c>
      <c r="N2164" t="s">
        <v>5919</v>
      </c>
      <c r="O2164" t="s">
        <v>5920</v>
      </c>
      <c r="P2164" t="s">
        <v>5921</v>
      </c>
    </row>
    <row r="2165" spans="1:16" x14ac:dyDescent="0.35">
      <c r="A2165" t="s">
        <v>120</v>
      </c>
      <c r="B2165">
        <v>1701216087</v>
      </c>
      <c r="C2165" t="s">
        <v>18</v>
      </c>
      <c r="D2165" t="s">
        <v>20</v>
      </c>
      <c r="E2165" s="29">
        <v>46205</v>
      </c>
      <c r="F2165" t="s">
        <v>4</v>
      </c>
      <c r="G2165" s="28">
        <v>0.63194444444444442</v>
      </c>
      <c r="H2165" s="28">
        <v>0.63194444444444442</v>
      </c>
      <c r="I2165">
        <v>0</v>
      </c>
      <c r="J2165" t="s">
        <v>174</v>
      </c>
      <c r="K2165">
        <v>0</v>
      </c>
      <c r="L2165" t="s">
        <v>267</v>
      </c>
      <c r="M2165" t="s">
        <v>5910</v>
      </c>
      <c r="N2165" t="s">
        <v>5911</v>
      </c>
      <c r="O2165" t="s">
        <v>5912</v>
      </c>
      <c r="P2165" t="s">
        <v>5913</v>
      </c>
    </row>
    <row r="2166" spans="1:16" x14ac:dyDescent="0.35">
      <c r="A2166" t="s">
        <v>120</v>
      </c>
      <c r="B2166">
        <v>1701216087</v>
      </c>
      <c r="C2166" t="s">
        <v>18</v>
      </c>
      <c r="D2166" t="s">
        <v>20</v>
      </c>
      <c r="E2166" s="29">
        <v>46205</v>
      </c>
      <c r="F2166" t="s">
        <v>4</v>
      </c>
      <c r="G2166" s="28">
        <v>0.63888888888888884</v>
      </c>
      <c r="H2166" s="28">
        <v>0.63888888888888884</v>
      </c>
      <c r="I2166">
        <v>0</v>
      </c>
      <c r="J2166" t="s">
        <v>174</v>
      </c>
      <c r="K2166">
        <v>0</v>
      </c>
      <c r="L2166" t="s">
        <v>175</v>
      </c>
      <c r="M2166" t="s">
        <v>5918</v>
      </c>
      <c r="N2166" t="s">
        <v>5919</v>
      </c>
      <c r="O2166" t="s">
        <v>5920</v>
      </c>
      <c r="P2166" t="s">
        <v>5921</v>
      </c>
    </row>
    <row r="2167" spans="1:16" x14ac:dyDescent="0.35">
      <c r="A2167" t="s">
        <v>120</v>
      </c>
      <c r="B2167">
        <v>1701216087</v>
      </c>
      <c r="C2167" t="s">
        <v>18</v>
      </c>
      <c r="D2167" t="s">
        <v>20</v>
      </c>
      <c r="E2167" s="29">
        <v>46205</v>
      </c>
      <c r="F2167" t="s">
        <v>4</v>
      </c>
      <c r="G2167" s="28">
        <v>0.64583333333333337</v>
      </c>
      <c r="H2167" s="28">
        <v>0.64583333333333337</v>
      </c>
      <c r="I2167">
        <v>0</v>
      </c>
      <c r="J2167" t="s">
        <v>174</v>
      </c>
      <c r="K2167">
        <v>0</v>
      </c>
      <c r="L2167" t="s">
        <v>715</v>
      </c>
      <c r="M2167" t="s">
        <v>3262</v>
      </c>
      <c r="N2167" t="s">
        <v>3263</v>
      </c>
      <c r="O2167" t="s">
        <v>3264</v>
      </c>
      <c r="P2167" t="s">
        <v>5922</v>
      </c>
    </row>
    <row r="2168" spans="1:16" x14ac:dyDescent="0.35">
      <c r="A2168" t="s">
        <v>120</v>
      </c>
      <c r="B2168">
        <v>1701216087</v>
      </c>
      <c r="C2168" t="s">
        <v>18</v>
      </c>
      <c r="D2168" t="s">
        <v>20</v>
      </c>
      <c r="E2168" s="29">
        <v>46205</v>
      </c>
      <c r="F2168" t="s">
        <v>4</v>
      </c>
      <c r="G2168" s="28">
        <v>0.65277777777777779</v>
      </c>
      <c r="H2168" s="28">
        <v>0.65972222222222221</v>
      </c>
      <c r="I2168">
        <v>0</v>
      </c>
      <c r="J2168" t="s">
        <v>146</v>
      </c>
      <c r="K2168">
        <v>0</v>
      </c>
      <c r="L2168" t="s">
        <v>147</v>
      </c>
      <c r="M2168" t="s">
        <v>5923</v>
      </c>
      <c r="N2168" t="s">
        <v>5924</v>
      </c>
      <c r="O2168" t="s">
        <v>5925</v>
      </c>
      <c r="P2168" t="s">
        <v>5926</v>
      </c>
    </row>
    <row r="2169" spans="1:16" x14ac:dyDescent="0.35">
      <c r="A2169" t="s">
        <v>120</v>
      </c>
      <c r="B2169">
        <v>1701216087</v>
      </c>
      <c r="C2169" t="s">
        <v>18</v>
      </c>
      <c r="D2169" t="s">
        <v>20</v>
      </c>
      <c r="E2169" s="29">
        <v>46205</v>
      </c>
      <c r="F2169" t="s">
        <v>4</v>
      </c>
      <c r="G2169" s="28">
        <v>0.66666666666666663</v>
      </c>
      <c r="H2169" s="28">
        <v>0.70138888888888884</v>
      </c>
      <c r="I2169">
        <v>1</v>
      </c>
      <c r="J2169" t="s">
        <v>146</v>
      </c>
      <c r="K2169">
        <v>2</v>
      </c>
      <c r="L2169" t="s">
        <v>147</v>
      </c>
      <c r="M2169" t="s">
        <v>3293</v>
      </c>
      <c r="N2169" t="s">
        <v>3294</v>
      </c>
      <c r="O2169" t="s">
        <v>3295</v>
      </c>
      <c r="P2169" t="s">
        <v>5927</v>
      </c>
    </row>
    <row r="2170" spans="1:16" x14ac:dyDescent="0.35">
      <c r="A2170" t="s">
        <v>120</v>
      </c>
      <c r="B2170">
        <v>1701216087</v>
      </c>
      <c r="C2170" t="s">
        <v>18</v>
      </c>
      <c r="D2170" t="s">
        <v>20</v>
      </c>
      <c r="E2170" s="29">
        <v>46205</v>
      </c>
      <c r="F2170" t="s">
        <v>4</v>
      </c>
      <c r="G2170" s="28">
        <v>0.70833333333333337</v>
      </c>
      <c r="H2170" s="28">
        <v>0.70833333333333337</v>
      </c>
      <c r="I2170">
        <v>0</v>
      </c>
      <c r="J2170" t="s">
        <v>174</v>
      </c>
      <c r="K2170">
        <v>0</v>
      </c>
      <c r="L2170" t="s">
        <v>5905</v>
      </c>
      <c r="M2170" t="s">
        <v>3262</v>
      </c>
      <c r="N2170" t="s">
        <v>3263</v>
      </c>
      <c r="O2170" t="s">
        <v>3264</v>
      </c>
      <c r="P2170" t="s">
        <v>5922</v>
      </c>
    </row>
    <row r="2171" spans="1:16" x14ac:dyDescent="0.35">
      <c r="A2171" t="s">
        <v>120</v>
      </c>
      <c r="B2171">
        <v>1701216087</v>
      </c>
      <c r="C2171" t="s">
        <v>18</v>
      </c>
      <c r="D2171" t="s">
        <v>20</v>
      </c>
      <c r="E2171" s="29">
        <v>46205</v>
      </c>
      <c r="F2171" t="s">
        <v>4</v>
      </c>
      <c r="G2171" s="28">
        <v>0.71527777777777779</v>
      </c>
      <c r="H2171" s="28">
        <v>0.71527777777777779</v>
      </c>
      <c r="I2171">
        <v>0</v>
      </c>
      <c r="J2171" t="s">
        <v>174</v>
      </c>
      <c r="K2171">
        <v>0</v>
      </c>
      <c r="L2171" t="s">
        <v>2466</v>
      </c>
      <c r="M2171" t="s">
        <v>5928</v>
      </c>
      <c r="N2171" t="s">
        <v>5929</v>
      </c>
      <c r="O2171" t="s">
        <v>5930</v>
      </c>
      <c r="P2171" t="s">
        <v>5931</v>
      </c>
    </row>
    <row r="2172" spans="1:16" x14ac:dyDescent="0.35">
      <c r="A2172" t="s">
        <v>120</v>
      </c>
      <c r="B2172">
        <v>1701216087</v>
      </c>
      <c r="C2172" t="s">
        <v>18</v>
      </c>
      <c r="D2172" t="s">
        <v>20</v>
      </c>
      <c r="E2172" s="29">
        <v>46205</v>
      </c>
      <c r="F2172" t="s">
        <v>4</v>
      </c>
      <c r="G2172" s="28">
        <v>0.72222222222222221</v>
      </c>
      <c r="H2172" s="28">
        <v>0.80555555555555558</v>
      </c>
      <c r="I2172">
        <v>2</v>
      </c>
      <c r="J2172" t="s">
        <v>146</v>
      </c>
      <c r="K2172">
        <v>6</v>
      </c>
      <c r="L2172" t="s">
        <v>147</v>
      </c>
      <c r="M2172" t="s">
        <v>5901</v>
      </c>
      <c r="N2172" t="s">
        <v>5902</v>
      </c>
      <c r="O2172" t="s">
        <v>5903</v>
      </c>
      <c r="P2172" t="s">
        <v>5904</v>
      </c>
    </row>
    <row r="2173" spans="1:16" x14ac:dyDescent="0.35">
      <c r="A2173" t="s">
        <v>120</v>
      </c>
      <c r="B2173">
        <v>1701216087</v>
      </c>
      <c r="C2173" t="s">
        <v>18</v>
      </c>
      <c r="D2173" t="s">
        <v>20</v>
      </c>
      <c r="E2173" s="29">
        <v>46207</v>
      </c>
      <c r="F2173" t="s">
        <v>5</v>
      </c>
      <c r="G2173" s="28">
        <v>0.40277777777777779</v>
      </c>
      <c r="H2173" s="28">
        <v>0.40277777777777779</v>
      </c>
      <c r="I2173">
        <v>0</v>
      </c>
      <c r="J2173" t="s">
        <v>174</v>
      </c>
      <c r="K2173">
        <v>0</v>
      </c>
      <c r="L2173" t="s">
        <v>267</v>
      </c>
      <c r="M2173" t="s">
        <v>5897</v>
      </c>
      <c r="N2173" t="s">
        <v>5898</v>
      </c>
      <c r="O2173" t="s">
        <v>5899</v>
      </c>
      <c r="P2173" t="s">
        <v>5900</v>
      </c>
    </row>
    <row r="2174" spans="1:16" x14ac:dyDescent="0.35">
      <c r="A2174" t="s">
        <v>120</v>
      </c>
      <c r="B2174">
        <v>1701216087</v>
      </c>
      <c r="C2174" t="s">
        <v>18</v>
      </c>
      <c r="D2174" t="s">
        <v>20</v>
      </c>
      <c r="E2174" s="29">
        <v>46207</v>
      </c>
      <c r="F2174" t="s">
        <v>5</v>
      </c>
      <c r="G2174" s="28">
        <v>0.40972222222222221</v>
      </c>
      <c r="H2174" s="28">
        <v>0.4236111111111111</v>
      </c>
      <c r="I2174">
        <v>0</v>
      </c>
      <c r="J2174" t="s">
        <v>146</v>
      </c>
      <c r="K2174">
        <v>1</v>
      </c>
      <c r="L2174" t="s">
        <v>147</v>
      </c>
      <c r="M2174" t="s">
        <v>5901</v>
      </c>
      <c r="N2174" t="s">
        <v>5902</v>
      </c>
      <c r="O2174" t="s">
        <v>5903</v>
      </c>
      <c r="P2174" t="s">
        <v>5904</v>
      </c>
    </row>
    <row r="2175" spans="1:16" x14ac:dyDescent="0.35">
      <c r="A2175" t="s">
        <v>120</v>
      </c>
      <c r="B2175">
        <v>1701216087</v>
      </c>
      <c r="C2175" t="s">
        <v>18</v>
      </c>
      <c r="D2175" t="s">
        <v>20</v>
      </c>
      <c r="E2175" s="29">
        <v>46207</v>
      </c>
      <c r="F2175" t="s">
        <v>5</v>
      </c>
      <c r="G2175" s="28">
        <v>0.43055555555555558</v>
      </c>
      <c r="H2175" s="28">
        <v>0.4375</v>
      </c>
      <c r="I2175">
        <v>0</v>
      </c>
      <c r="J2175" t="s">
        <v>146</v>
      </c>
      <c r="K2175">
        <v>0</v>
      </c>
      <c r="L2175" t="s">
        <v>147</v>
      </c>
      <c r="M2175" t="s">
        <v>5932</v>
      </c>
      <c r="N2175" t="s">
        <v>5933</v>
      </c>
      <c r="O2175" t="s">
        <v>5934</v>
      </c>
      <c r="P2175" t="s">
        <v>5935</v>
      </c>
    </row>
    <row r="2176" spans="1:16" x14ac:dyDescent="0.35">
      <c r="A2176" t="s">
        <v>120</v>
      </c>
      <c r="B2176">
        <v>1701216087</v>
      </c>
      <c r="C2176" t="s">
        <v>18</v>
      </c>
      <c r="D2176" t="s">
        <v>20</v>
      </c>
      <c r="E2176" s="29">
        <v>46207</v>
      </c>
      <c r="F2176" t="s">
        <v>5</v>
      </c>
      <c r="G2176" s="28">
        <v>0.44444444444444442</v>
      </c>
      <c r="H2176" s="28">
        <v>0.44444444444444442</v>
      </c>
      <c r="I2176">
        <v>0</v>
      </c>
      <c r="J2176" t="s">
        <v>174</v>
      </c>
      <c r="K2176">
        <v>0</v>
      </c>
      <c r="L2176" t="s">
        <v>825</v>
      </c>
      <c r="M2176" t="s">
        <v>3298</v>
      </c>
      <c r="N2176" t="s">
        <v>3299</v>
      </c>
      <c r="O2176" t="s">
        <v>3300</v>
      </c>
      <c r="P2176" t="s">
        <v>5936</v>
      </c>
    </row>
    <row r="2177" spans="1:16" x14ac:dyDescent="0.35">
      <c r="A2177" t="s">
        <v>120</v>
      </c>
      <c r="B2177">
        <v>1701216087</v>
      </c>
      <c r="C2177" t="s">
        <v>18</v>
      </c>
      <c r="D2177" t="s">
        <v>20</v>
      </c>
      <c r="E2177" s="29">
        <v>46207</v>
      </c>
      <c r="F2177" t="s">
        <v>5</v>
      </c>
      <c r="G2177" s="28">
        <v>0.4513888888888889</v>
      </c>
      <c r="H2177" s="28">
        <v>0.4513888888888889</v>
      </c>
      <c r="I2177">
        <v>0</v>
      </c>
      <c r="J2177" t="s">
        <v>174</v>
      </c>
      <c r="K2177">
        <v>0</v>
      </c>
      <c r="L2177" t="s">
        <v>3472</v>
      </c>
      <c r="M2177" t="s">
        <v>4570</v>
      </c>
      <c r="N2177" t="s">
        <v>4571</v>
      </c>
      <c r="O2177" t="s">
        <v>4572</v>
      </c>
      <c r="P2177" t="s">
        <v>5937</v>
      </c>
    </row>
    <row r="2178" spans="1:16" x14ac:dyDescent="0.35">
      <c r="A2178" t="s">
        <v>120</v>
      </c>
      <c r="B2178">
        <v>1701216087</v>
      </c>
      <c r="C2178" t="s">
        <v>18</v>
      </c>
      <c r="D2178" t="s">
        <v>20</v>
      </c>
      <c r="E2178" s="29">
        <v>46207</v>
      </c>
      <c r="F2178" t="s">
        <v>5</v>
      </c>
      <c r="G2178" s="28">
        <v>0.45833333333333331</v>
      </c>
      <c r="H2178" s="28">
        <v>0.45833333333333331</v>
      </c>
      <c r="I2178">
        <v>0</v>
      </c>
      <c r="J2178" t="s">
        <v>174</v>
      </c>
      <c r="K2178">
        <v>0</v>
      </c>
      <c r="L2178" t="s">
        <v>4402</v>
      </c>
      <c r="M2178" t="s">
        <v>5938</v>
      </c>
      <c r="N2178" t="s">
        <v>5939</v>
      </c>
      <c r="O2178" t="s">
        <v>5940</v>
      </c>
      <c r="P2178" t="s">
        <v>5941</v>
      </c>
    </row>
    <row r="2179" spans="1:16" x14ac:dyDescent="0.35">
      <c r="A2179" t="s">
        <v>120</v>
      </c>
      <c r="B2179">
        <v>1701216087</v>
      </c>
      <c r="C2179" t="s">
        <v>18</v>
      </c>
      <c r="D2179" t="s">
        <v>20</v>
      </c>
      <c r="E2179" s="29">
        <v>46207</v>
      </c>
      <c r="F2179" t="s">
        <v>5</v>
      </c>
      <c r="G2179" s="28">
        <v>0.46527777777777779</v>
      </c>
      <c r="H2179" s="28">
        <v>0.46527777777777779</v>
      </c>
      <c r="I2179">
        <v>0</v>
      </c>
      <c r="J2179" t="s">
        <v>174</v>
      </c>
      <c r="K2179">
        <v>0</v>
      </c>
      <c r="L2179" t="s">
        <v>5942</v>
      </c>
      <c r="M2179" t="s">
        <v>5943</v>
      </c>
      <c r="N2179" t="s">
        <v>5944</v>
      </c>
      <c r="O2179" t="s">
        <v>5945</v>
      </c>
      <c r="P2179" t="s">
        <v>5946</v>
      </c>
    </row>
    <row r="2180" spans="1:16" x14ac:dyDescent="0.35">
      <c r="A2180" t="s">
        <v>120</v>
      </c>
      <c r="B2180">
        <v>1701216087</v>
      </c>
      <c r="C2180" t="s">
        <v>18</v>
      </c>
      <c r="D2180" t="s">
        <v>20</v>
      </c>
      <c r="E2180" s="29">
        <v>46207</v>
      </c>
      <c r="F2180" t="s">
        <v>5</v>
      </c>
      <c r="G2180" s="28">
        <v>0.47222222222222221</v>
      </c>
      <c r="H2180" s="28">
        <v>0.47222222222222221</v>
      </c>
      <c r="I2180">
        <v>0</v>
      </c>
      <c r="J2180" t="s">
        <v>174</v>
      </c>
      <c r="K2180">
        <v>0</v>
      </c>
      <c r="L2180" t="s">
        <v>5947</v>
      </c>
      <c r="M2180" t="s">
        <v>5948</v>
      </c>
      <c r="N2180" t="s">
        <v>5949</v>
      </c>
      <c r="O2180" t="s">
        <v>5950</v>
      </c>
      <c r="P2180" t="s">
        <v>5951</v>
      </c>
    </row>
    <row r="2181" spans="1:16" x14ac:dyDescent="0.35">
      <c r="A2181" t="s">
        <v>120</v>
      </c>
      <c r="B2181">
        <v>1701216087</v>
      </c>
      <c r="C2181" t="s">
        <v>18</v>
      </c>
      <c r="D2181" t="s">
        <v>20</v>
      </c>
      <c r="E2181" s="29">
        <v>46207</v>
      </c>
      <c r="F2181" t="s">
        <v>5</v>
      </c>
      <c r="G2181" s="28">
        <v>0.47916666666666669</v>
      </c>
      <c r="H2181" s="28">
        <v>0.47916666666666669</v>
      </c>
      <c r="I2181">
        <v>0</v>
      </c>
      <c r="J2181" t="s">
        <v>174</v>
      </c>
      <c r="K2181">
        <v>0</v>
      </c>
      <c r="L2181" t="s">
        <v>1148</v>
      </c>
      <c r="M2181" t="s">
        <v>5952</v>
      </c>
      <c r="N2181" t="s">
        <v>5953</v>
      </c>
      <c r="O2181" t="s">
        <v>5954</v>
      </c>
      <c r="P2181" t="s">
        <v>5955</v>
      </c>
    </row>
    <row r="2182" spans="1:16" x14ac:dyDescent="0.35">
      <c r="A2182" t="s">
        <v>120</v>
      </c>
      <c r="B2182">
        <v>1701216087</v>
      </c>
      <c r="C2182" t="s">
        <v>18</v>
      </c>
      <c r="D2182" t="s">
        <v>20</v>
      </c>
      <c r="E2182" s="29">
        <v>46207</v>
      </c>
      <c r="F2182" t="s">
        <v>5</v>
      </c>
      <c r="G2182" s="28">
        <v>0.4861111111111111</v>
      </c>
      <c r="H2182" s="28">
        <v>0.4861111111111111</v>
      </c>
      <c r="I2182">
        <v>0</v>
      </c>
      <c r="J2182" t="s">
        <v>174</v>
      </c>
      <c r="K2182">
        <v>0</v>
      </c>
      <c r="L2182" t="s">
        <v>5956</v>
      </c>
      <c r="M2182" t="s">
        <v>5957</v>
      </c>
      <c r="N2182" t="s">
        <v>5958</v>
      </c>
      <c r="O2182" t="s">
        <v>5959</v>
      </c>
      <c r="P2182" t="s">
        <v>5960</v>
      </c>
    </row>
    <row r="2183" spans="1:16" x14ac:dyDescent="0.35">
      <c r="A2183" t="s">
        <v>120</v>
      </c>
      <c r="B2183">
        <v>1701216087</v>
      </c>
      <c r="C2183" t="s">
        <v>18</v>
      </c>
      <c r="D2183" t="s">
        <v>20</v>
      </c>
      <c r="E2183" s="29">
        <v>46207</v>
      </c>
      <c r="F2183" t="s">
        <v>5</v>
      </c>
      <c r="G2183" s="28">
        <v>0.49305555555555558</v>
      </c>
      <c r="H2183" s="28">
        <v>0.49305555555555558</v>
      </c>
      <c r="I2183">
        <v>0</v>
      </c>
      <c r="J2183" t="s">
        <v>174</v>
      </c>
      <c r="K2183">
        <v>0</v>
      </c>
      <c r="L2183" t="s">
        <v>5961</v>
      </c>
      <c r="M2183" t="s">
        <v>5962</v>
      </c>
      <c r="N2183" t="s">
        <v>5963</v>
      </c>
      <c r="O2183" t="s">
        <v>5964</v>
      </c>
      <c r="P2183" t="s">
        <v>5965</v>
      </c>
    </row>
    <row r="2184" spans="1:16" x14ac:dyDescent="0.35">
      <c r="A2184" t="s">
        <v>120</v>
      </c>
      <c r="B2184">
        <v>1701216087</v>
      </c>
      <c r="C2184" t="s">
        <v>18</v>
      </c>
      <c r="D2184" t="s">
        <v>20</v>
      </c>
      <c r="E2184" s="29">
        <v>46207</v>
      </c>
      <c r="F2184" t="s">
        <v>5</v>
      </c>
      <c r="G2184" s="28">
        <v>0.5</v>
      </c>
      <c r="H2184" s="28">
        <v>0.5</v>
      </c>
      <c r="I2184">
        <v>0</v>
      </c>
      <c r="J2184" t="s">
        <v>174</v>
      </c>
      <c r="K2184">
        <v>0</v>
      </c>
      <c r="L2184" t="s">
        <v>3316</v>
      </c>
      <c r="M2184" t="s">
        <v>4893</v>
      </c>
      <c r="N2184" t="s">
        <v>4894</v>
      </c>
      <c r="O2184" t="s">
        <v>4895</v>
      </c>
      <c r="P2184" t="s">
        <v>5966</v>
      </c>
    </row>
    <row r="2185" spans="1:16" x14ac:dyDescent="0.35">
      <c r="A2185" t="s">
        <v>120</v>
      </c>
      <c r="B2185">
        <v>1701216087</v>
      </c>
      <c r="C2185" t="s">
        <v>18</v>
      </c>
      <c r="D2185" t="s">
        <v>20</v>
      </c>
      <c r="E2185" s="29">
        <v>46207</v>
      </c>
      <c r="F2185" t="s">
        <v>5</v>
      </c>
      <c r="G2185" s="28">
        <v>0.50694444444444442</v>
      </c>
      <c r="H2185" s="28">
        <v>0.50694444444444442</v>
      </c>
      <c r="I2185">
        <v>0</v>
      </c>
      <c r="J2185" t="s">
        <v>174</v>
      </c>
      <c r="K2185">
        <v>0</v>
      </c>
      <c r="L2185" t="s">
        <v>4814</v>
      </c>
      <c r="M2185" t="s">
        <v>5967</v>
      </c>
      <c r="N2185" t="s">
        <v>5968</v>
      </c>
      <c r="O2185" t="s">
        <v>5969</v>
      </c>
      <c r="P2185" t="s">
        <v>5970</v>
      </c>
    </row>
    <row r="2186" spans="1:16" x14ac:dyDescent="0.35">
      <c r="A2186" t="s">
        <v>120</v>
      </c>
      <c r="B2186">
        <v>1701216087</v>
      </c>
      <c r="C2186" t="s">
        <v>18</v>
      </c>
      <c r="D2186" t="s">
        <v>20</v>
      </c>
      <c r="E2186" s="29">
        <v>46207</v>
      </c>
      <c r="F2186" t="s">
        <v>5</v>
      </c>
      <c r="G2186" s="28">
        <v>0.51388888888888884</v>
      </c>
      <c r="H2186" s="28">
        <v>0.53472222222222221</v>
      </c>
      <c r="I2186">
        <v>1</v>
      </c>
      <c r="J2186" t="s">
        <v>146</v>
      </c>
      <c r="K2186">
        <v>2</v>
      </c>
      <c r="L2186" t="s">
        <v>147</v>
      </c>
      <c r="M2186" t="s">
        <v>5971</v>
      </c>
      <c r="N2186" t="s">
        <v>5972</v>
      </c>
      <c r="O2186" t="s">
        <v>5973</v>
      </c>
      <c r="P2186" t="s">
        <v>5974</v>
      </c>
    </row>
    <row r="2187" spans="1:16" x14ac:dyDescent="0.35">
      <c r="A2187" t="s">
        <v>120</v>
      </c>
      <c r="B2187">
        <v>1701216087</v>
      </c>
      <c r="C2187" t="s">
        <v>18</v>
      </c>
      <c r="D2187" t="s">
        <v>20</v>
      </c>
      <c r="E2187" s="29">
        <v>46207</v>
      </c>
      <c r="F2187" t="s">
        <v>5</v>
      </c>
      <c r="G2187" s="28">
        <v>0.54166666666666663</v>
      </c>
      <c r="H2187" s="28">
        <v>0.54166666666666663</v>
      </c>
      <c r="I2187">
        <v>0</v>
      </c>
      <c r="J2187" t="s">
        <v>174</v>
      </c>
      <c r="K2187">
        <v>0</v>
      </c>
      <c r="L2187" t="s">
        <v>5975</v>
      </c>
      <c r="M2187" t="s">
        <v>5976</v>
      </c>
      <c r="N2187" t="s">
        <v>5977</v>
      </c>
      <c r="O2187" t="s">
        <v>5978</v>
      </c>
      <c r="P2187" t="s">
        <v>5979</v>
      </c>
    </row>
    <row r="2188" spans="1:16" x14ac:dyDescent="0.35">
      <c r="A2188" t="s">
        <v>120</v>
      </c>
      <c r="B2188">
        <v>1701216087</v>
      </c>
      <c r="C2188" t="s">
        <v>18</v>
      </c>
      <c r="D2188" t="s">
        <v>20</v>
      </c>
      <c r="E2188" s="29">
        <v>46207</v>
      </c>
      <c r="F2188" t="s">
        <v>5</v>
      </c>
      <c r="G2188" s="28">
        <v>0.54861111111111116</v>
      </c>
      <c r="H2188" s="28">
        <v>0.54861111111111116</v>
      </c>
      <c r="I2188">
        <v>0</v>
      </c>
      <c r="J2188" t="s">
        <v>174</v>
      </c>
      <c r="K2188">
        <v>0</v>
      </c>
      <c r="L2188" t="s">
        <v>5980</v>
      </c>
      <c r="M2188" t="s">
        <v>5981</v>
      </c>
      <c r="N2188" t="s">
        <v>5982</v>
      </c>
      <c r="O2188" t="s">
        <v>5983</v>
      </c>
      <c r="P2188" t="s">
        <v>5984</v>
      </c>
    </row>
    <row r="2189" spans="1:16" x14ac:dyDescent="0.35">
      <c r="A2189" t="s">
        <v>120</v>
      </c>
      <c r="B2189">
        <v>1701216087</v>
      </c>
      <c r="C2189" t="s">
        <v>18</v>
      </c>
      <c r="D2189" t="s">
        <v>20</v>
      </c>
      <c r="E2189" s="29">
        <v>46207</v>
      </c>
      <c r="F2189" t="s">
        <v>5</v>
      </c>
      <c r="G2189" s="28">
        <v>0.55555555555555558</v>
      </c>
      <c r="H2189" s="28">
        <v>0.55555555555555558</v>
      </c>
      <c r="I2189">
        <v>0</v>
      </c>
      <c r="J2189" t="s">
        <v>174</v>
      </c>
      <c r="K2189">
        <v>0</v>
      </c>
      <c r="L2189" t="s">
        <v>5985</v>
      </c>
      <c r="M2189" t="s">
        <v>5986</v>
      </c>
      <c r="N2189" t="s">
        <v>5987</v>
      </c>
      <c r="O2189" t="s">
        <v>5988</v>
      </c>
      <c r="P2189" t="s">
        <v>5989</v>
      </c>
    </row>
    <row r="2190" spans="1:16" x14ac:dyDescent="0.35">
      <c r="A2190" t="s">
        <v>120</v>
      </c>
      <c r="B2190">
        <v>1701216087</v>
      </c>
      <c r="C2190" t="s">
        <v>18</v>
      </c>
      <c r="D2190" t="s">
        <v>20</v>
      </c>
      <c r="E2190" s="29">
        <v>46207</v>
      </c>
      <c r="F2190" t="s">
        <v>5</v>
      </c>
      <c r="G2190" s="28">
        <v>0.5625</v>
      </c>
      <c r="H2190" s="28">
        <v>0.5625</v>
      </c>
      <c r="I2190">
        <v>0</v>
      </c>
      <c r="J2190" t="s">
        <v>174</v>
      </c>
      <c r="K2190">
        <v>0</v>
      </c>
      <c r="L2190" t="s">
        <v>5990</v>
      </c>
      <c r="M2190" t="s">
        <v>5991</v>
      </c>
      <c r="N2190" t="s">
        <v>5992</v>
      </c>
      <c r="O2190" t="s">
        <v>5993</v>
      </c>
      <c r="P2190" t="s">
        <v>5994</v>
      </c>
    </row>
    <row r="2191" spans="1:16" x14ac:dyDescent="0.35">
      <c r="A2191" t="s">
        <v>120</v>
      </c>
      <c r="B2191">
        <v>1701216087</v>
      </c>
      <c r="C2191" t="s">
        <v>18</v>
      </c>
      <c r="D2191" t="s">
        <v>20</v>
      </c>
      <c r="E2191" s="29">
        <v>46207</v>
      </c>
      <c r="F2191" t="s">
        <v>5</v>
      </c>
      <c r="G2191" s="28">
        <v>0.57013888888888886</v>
      </c>
      <c r="H2191" s="28">
        <v>0.57013888888888886</v>
      </c>
      <c r="I2191">
        <v>0</v>
      </c>
      <c r="J2191" t="s">
        <v>174</v>
      </c>
      <c r="K2191">
        <v>0</v>
      </c>
      <c r="L2191" t="s">
        <v>5995</v>
      </c>
      <c r="M2191" t="s">
        <v>5996</v>
      </c>
      <c r="N2191" t="s">
        <v>5997</v>
      </c>
      <c r="O2191" t="s">
        <v>5998</v>
      </c>
      <c r="P2191" t="s">
        <v>5999</v>
      </c>
    </row>
    <row r="2192" spans="1:16" x14ac:dyDescent="0.35">
      <c r="A2192" t="s">
        <v>120</v>
      </c>
      <c r="B2192">
        <v>1701216087</v>
      </c>
      <c r="C2192" t="s">
        <v>18</v>
      </c>
      <c r="D2192" t="s">
        <v>20</v>
      </c>
      <c r="E2192" s="29">
        <v>46207</v>
      </c>
      <c r="F2192" t="s">
        <v>5</v>
      </c>
      <c r="G2192" s="28">
        <v>0.57638888888888884</v>
      </c>
      <c r="H2192" s="28">
        <v>0.57638888888888884</v>
      </c>
      <c r="I2192">
        <v>0</v>
      </c>
      <c r="J2192" t="s">
        <v>174</v>
      </c>
      <c r="K2192">
        <v>0</v>
      </c>
      <c r="L2192" t="s">
        <v>986</v>
      </c>
      <c r="M2192" t="s">
        <v>6000</v>
      </c>
      <c r="N2192" t="s">
        <v>6001</v>
      </c>
      <c r="O2192" t="s">
        <v>6002</v>
      </c>
      <c r="P2192" t="s">
        <v>6003</v>
      </c>
    </row>
    <row r="2193" spans="1:16" x14ac:dyDescent="0.35">
      <c r="A2193" t="s">
        <v>120</v>
      </c>
      <c r="B2193">
        <v>1701216087</v>
      </c>
      <c r="C2193" t="s">
        <v>18</v>
      </c>
      <c r="D2193" t="s">
        <v>20</v>
      </c>
      <c r="E2193" s="29">
        <v>46207</v>
      </c>
      <c r="F2193" t="s">
        <v>5</v>
      </c>
      <c r="G2193" s="28">
        <v>0.58333333333333337</v>
      </c>
      <c r="H2193" s="28">
        <v>0.58333333333333337</v>
      </c>
      <c r="I2193">
        <v>0</v>
      </c>
      <c r="J2193" t="s">
        <v>174</v>
      </c>
      <c r="K2193">
        <v>0</v>
      </c>
      <c r="L2193" t="s">
        <v>5990</v>
      </c>
      <c r="M2193" t="s">
        <v>6004</v>
      </c>
      <c r="N2193" t="s">
        <v>6005</v>
      </c>
      <c r="O2193" t="s">
        <v>6006</v>
      </c>
      <c r="P2193" t="s">
        <v>6007</v>
      </c>
    </row>
    <row r="2194" spans="1:16" x14ac:dyDescent="0.35">
      <c r="A2194" t="s">
        <v>120</v>
      </c>
      <c r="B2194">
        <v>1701216087</v>
      </c>
      <c r="C2194" t="s">
        <v>18</v>
      </c>
      <c r="D2194" t="s">
        <v>20</v>
      </c>
      <c r="E2194" s="29">
        <v>46207</v>
      </c>
      <c r="F2194" t="s">
        <v>5</v>
      </c>
      <c r="G2194" s="28">
        <v>0.59027777777777779</v>
      </c>
      <c r="H2194" s="28">
        <v>0.59027777777777779</v>
      </c>
      <c r="I2194">
        <v>0</v>
      </c>
      <c r="J2194" t="s">
        <v>174</v>
      </c>
      <c r="K2194">
        <v>0</v>
      </c>
      <c r="L2194" t="s">
        <v>6008</v>
      </c>
      <c r="M2194" t="s">
        <v>385</v>
      </c>
      <c r="N2194" t="s">
        <v>386</v>
      </c>
      <c r="O2194" t="s">
        <v>387</v>
      </c>
      <c r="P2194" t="s">
        <v>6009</v>
      </c>
    </row>
    <row r="2195" spans="1:16" x14ac:dyDescent="0.35">
      <c r="A2195" t="s">
        <v>120</v>
      </c>
      <c r="B2195">
        <v>1701216087</v>
      </c>
      <c r="C2195" t="s">
        <v>18</v>
      </c>
      <c r="D2195" t="s">
        <v>20</v>
      </c>
      <c r="E2195" s="29">
        <v>46207</v>
      </c>
      <c r="F2195" t="s">
        <v>5</v>
      </c>
      <c r="G2195" s="28">
        <v>0.59722222222222221</v>
      </c>
      <c r="H2195" s="28">
        <v>0.59722222222222221</v>
      </c>
      <c r="I2195">
        <v>0</v>
      </c>
      <c r="J2195" t="s">
        <v>174</v>
      </c>
      <c r="K2195">
        <v>0</v>
      </c>
      <c r="L2195" t="s">
        <v>1331</v>
      </c>
      <c r="M2195" t="s">
        <v>6010</v>
      </c>
      <c r="N2195" t="s">
        <v>6011</v>
      </c>
      <c r="O2195" t="s">
        <v>6012</v>
      </c>
      <c r="P2195" t="s">
        <v>6013</v>
      </c>
    </row>
    <row r="2196" spans="1:16" x14ac:dyDescent="0.35">
      <c r="A2196" t="s">
        <v>120</v>
      </c>
      <c r="B2196">
        <v>1701216087</v>
      </c>
      <c r="C2196" t="s">
        <v>18</v>
      </c>
      <c r="D2196" t="s">
        <v>20</v>
      </c>
      <c r="E2196" s="29">
        <v>46207</v>
      </c>
      <c r="F2196" t="s">
        <v>5</v>
      </c>
      <c r="G2196" s="28">
        <v>0.60416666666666663</v>
      </c>
      <c r="H2196" s="28">
        <v>0.60416666666666663</v>
      </c>
      <c r="I2196">
        <v>0</v>
      </c>
      <c r="J2196" t="s">
        <v>174</v>
      </c>
      <c r="K2196">
        <v>0</v>
      </c>
      <c r="L2196" t="s">
        <v>1574</v>
      </c>
      <c r="M2196" t="s">
        <v>6014</v>
      </c>
      <c r="N2196" t="s">
        <v>6015</v>
      </c>
      <c r="O2196" t="s">
        <v>6016</v>
      </c>
      <c r="P2196" t="s">
        <v>6017</v>
      </c>
    </row>
    <row r="2197" spans="1:16" x14ac:dyDescent="0.35">
      <c r="A2197" t="s">
        <v>120</v>
      </c>
      <c r="B2197">
        <v>1701216087</v>
      </c>
      <c r="C2197" t="s">
        <v>18</v>
      </c>
      <c r="D2197" t="s">
        <v>20</v>
      </c>
      <c r="E2197" s="29">
        <v>46207</v>
      </c>
      <c r="F2197" t="s">
        <v>5</v>
      </c>
      <c r="G2197" s="28">
        <v>0.61111111111111116</v>
      </c>
      <c r="H2197" s="28">
        <v>0.61111111111111116</v>
      </c>
      <c r="I2197">
        <v>0</v>
      </c>
      <c r="J2197" t="s">
        <v>174</v>
      </c>
      <c r="K2197">
        <v>0</v>
      </c>
      <c r="L2197" t="s">
        <v>3250</v>
      </c>
      <c r="M2197" t="s">
        <v>6018</v>
      </c>
      <c r="N2197" t="s">
        <v>6019</v>
      </c>
      <c r="O2197" t="s">
        <v>6020</v>
      </c>
      <c r="P2197" t="s">
        <v>6021</v>
      </c>
    </row>
    <row r="2198" spans="1:16" x14ac:dyDescent="0.35">
      <c r="A2198" t="s">
        <v>120</v>
      </c>
      <c r="B2198">
        <v>1701216087</v>
      </c>
      <c r="C2198" t="s">
        <v>18</v>
      </c>
      <c r="D2198" t="s">
        <v>20</v>
      </c>
      <c r="E2198" s="29">
        <v>46207</v>
      </c>
      <c r="F2198" t="s">
        <v>5</v>
      </c>
      <c r="G2198" s="28">
        <v>0.61805555555555558</v>
      </c>
      <c r="H2198" s="28">
        <v>0.61805555555555558</v>
      </c>
      <c r="I2198">
        <v>0</v>
      </c>
      <c r="J2198" t="s">
        <v>174</v>
      </c>
      <c r="K2198">
        <v>0</v>
      </c>
      <c r="L2198" t="s">
        <v>1937</v>
      </c>
      <c r="M2198" t="s">
        <v>6022</v>
      </c>
      <c r="N2198" t="s">
        <v>6023</v>
      </c>
      <c r="O2198" t="s">
        <v>6024</v>
      </c>
      <c r="P2198" t="s">
        <v>6025</v>
      </c>
    </row>
    <row r="2199" spans="1:16" x14ac:dyDescent="0.35">
      <c r="A2199" t="s">
        <v>120</v>
      </c>
      <c r="B2199">
        <v>1701216087</v>
      </c>
      <c r="C2199" t="s">
        <v>18</v>
      </c>
      <c r="D2199" t="s">
        <v>20</v>
      </c>
      <c r="E2199" s="29">
        <v>46207</v>
      </c>
      <c r="F2199" t="s">
        <v>5</v>
      </c>
      <c r="G2199" s="28">
        <v>0.625</v>
      </c>
      <c r="H2199" s="28">
        <v>0.625</v>
      </c>
      <c r="I2199">
        <v>0</v>
      </c>
      <c r="J2199" t="s">
        <v>174</v>
      </c>
      <c r="K2199">
        <v>0</v>
      </c>
      <c r="L2199" t="s">
        <v>6026</v>
      </c>
      <c r="M2199" t="s">
        <v>6027</v>
      </c>
      <c r="N2199" t="s">
        <v>6028</v>
      </c>
      <c r="O2199" t="s">
        <v>6029</v>
      </c>
      <c r="P2199" t="s">
        <v>6030</v>
      </c>
    </row>
    <row r="2200" spans="1:16" x14ac:dyDescent="0.35">
      <c r="A2200" t="s">
        <v>120</v>
      </c>
      <c r="B2200">
        <v>1701216087</v>
      </c>
      <c r="C2200" t="s">
        <v>18</v>
      </c>
      <c r="D2200" t="s">
        <v>20</v>
      </c>
      <c r="E2200" s="29">
        <v>46207</v>
      </c>
      <c r="F2200" t="s">
        <v>5</v>
      </c>
      <c r="G2200" s="28">
        <v>0.63194444444444442</v>
      </c>
      <c r="H2200" s="28">
        <v>0.63194444444444442</v>
      </c>
      <c r="I2200">
        <v>0</v>
      </c>
      <c r="J2200" t="s">
        <v>174</v>
      </c>
      <c r="K2200">
        <v>0</v>
      </c>
      <c r="L2200" t="s">
        <v>349</v>
      </c>
      <c r="M2200" t="s">
        <v>6031</v>
      </c>
      <c r="N2200" t="s">
        <v>6032</v>
      </c>
      <c r="O2200" t="s">
        <v>2806</v>
      </c>
      <c r="P2200" t="s">
        <v>6033</v>
      </c>
    </row>
    <row r="2201" spans="1:16" x14ac:dyDescent="0.35">
      <c r="A2201" t="s">
        <v>120</v>
      </c>
      <c r="B2201">
        <v>1701216087</v>
      </c>
      <c r="C2201" t="s">
        <v>18</v>
      </c>
      <c r="D2201" t="s">
        <v>20</v>
      </c>
      <c r="E2201" s="29">
        <v>46207</v>
      </c>
      <c r="F2201" t="s">
        <v>5</v>
      </c>
      <c r="G2201" s="28">
        <v>0.63888888888888884</v>
      </c>
      <c r="H2201" s="28">
        <v>0.63888888888888884</v>
      </c>
      <c r="I2201">
        <v>0</v>
      </c>
      <c r="J2201" t="s">
        <v>174</v>
      </c>
      <c r="K2201">
        <v>0</v>
      </c>
      <c r="L2201" t="s">
        <v>2054</v>
      </c>
      <c r="M2201" t="s">
        <v>6034</v>
      </c>
      <c r="N2201" t="s">
        <v>6035</v>
      </c>
      <c r="O2201" t="s">
        <v>6036</v>
      </c>
      <c r="P2201" t="s">
        <v>6037</v>
      </c>
    </row>
    <row r="2202" spans="1:16" x14ac:dyDescent="0.35">
      <c r="A2202" t="s">
        <v>120</v>
      </c>
      <c r="B2202">
        <v>1701216087</v>
      </c>
      <c r="C2202" t="s">
        <v>18</v>
      </c>
      <c r="D2202" t="s">
        <v>20</v>
      </c>
      <c r="E2202" s="29">
        <v>46207</v>
      </c>
      <c r="F2202" t="s">
        <v>5</v>
      </c>
      <c r="G2202" s="28">
        <v>0.64583333333333337</v>
      </c>
      <c r="H2202" s="28">
        <v>0.64583333333333337</v>
      </c>
      <c r="I2202">
        <v>0</v>
      </c>
      <c r="J2202" t="s">
        <v>174</v>
      </c>
      <c r="K2202">
        <v>0</v>
      </c>
      <c r="L2202" t="s">
        <v>3463</v>
      </c>
      <c r="M2202" t="s">
        <v>6038</v>
      </c>
      <c r="N2202" t="s">
        <v>6039</v>
      </c>
      <c r="O2202" t="s">
        <v>6040</v>
      </c>
      <c r="P2202" t="s">
        <v>6041</v>
      </c>
    </row>
    <row r="2203" spans="1:16" x14ac:dyDescent="0.35">
      <c r="A2203" t="s">
        <v>120</v>
      </c>
      <c r="B2203">
        <v>1701216087</v>
      </c>
      <c r="C2203" t="s">
        <v>18</v>
      </c>
      <c r="D2203" t="s">
        <v>20</v>
      </c>
      <c r="E2203" s="29">
        <v>46207</v>
      </c>
      <c r="F2203" t="s">
        <v>5</v>
      </c>
      <c r="G2203" s="28">
        <v>0.65277777777777779</v>
      </c>
      <c r="H2203" s="28">
        <v>0.65277777777777779</v>
      </c>
      <c r="I2203">
        <v>0</v>
      </c>
      <c r="J2203" t="s">
        <v>174</v>
      </c>
      <c r="K2203">
        <v>0</v>
      </c>
      <c r="L2203" t="s">
        <v>6042</v>
      </c>
      <c r="M2203" t="s">
        <v>6043</v>
      </c>
      <c r="N2203" t="s">
        <v>3692</v>
      </c>
      <c r="O2203" t="s">
        <v>6044</v>
      </c>
      <c r="P2203" t="s">
        <v>6045</v>
      </c>
    </row>
    <row r="2204" spans="1:16" x14ac:dyDescent="0.35">
      <c r="A2204" t="s">
        <v>120</v>
      </c>
      <c r="B2204">
        <v>1701216087</v>
      </c>
      <c r="C2204" t="s">
        <v>18</v>
      </c>
      <c r="D2204" t="s">
        <v>20</v>
      </c>
      <c r="E2204" s="29">
        <v>46207</v>
      </c>
      <c r="F2204" t="s">
        <v>5</v>
      </c>
      <c r="G2204" s="28">
        <v>0.65972222222222221</v>
      </c>
      <c r="H2204" s="28">
        <v>0.65972222222222221</v>
      </c>
      <c r="I2204">
        <v>0</v>
      </c>
      <c r="J2204" t="s">
        <v>174</v>
      </c>
      <c r="K2204">
        <v>0</v>
      </c>
      <c r="L2204" t="s">
        <v>6042</v>
      </c>
      <c r="M2204" t="s">
        <v>6046</v>
      </c>
      <c r="N2204" t="s">
        <v>6047</v>
      </c>
      <c r="O2204" t="s">
        <v>6048</v>
      </c>
      <c r="P2204" t="s">
        <v>6049</v>
      </c>
    </row>
    <row r="2205" spans="1:16" x14ac:dyDescent="0.35">
      <c r="A2205" t="s">
        <v>120</v>
      </c>
      <c r="B2205">
        <v>1701216087</v>
      </c>
      <c r="C2205" t="s">
        <v>18</v>
      </c>
      <c r="D2205" t="s">
        <v>20</v>
      </c>
      <c r="E2205" s="29">
        <v>46207</v>
      </c>
      <c r="F2205" t="s">
        <v>5</v>
      </c>
      <c r="G2205" s="28">
        <v>0.66666666666666663</v>
      </c>
      <c r="H2205" s="28">
        <v>0.68055555555555558</v>
      </c>
      <c r="I2205">
        <v>0</v>
      </c>
      <c r="J2205" t="s">
        <v>146</v>
      </c>
      <c r="K2205">
        <v>1</v>
      </c>
      <c r="L2205" t="s">
        <v>147</v>
      </c>
      <c r="M2205" t="s">
        <v>6043</v>
      </c>
      <c r="N2205" t="s">
        <v>3692</v>
      </c>
      <c r="O2205" t="s">
        <v>6044</v>
      </c>
      <c r="P2205" t="s">
        <v>6045</v>
      </c>
    </row>
    <row r="2206" spans="1:16" x14ac:dyDescent="0.35">
      <c r="A2206" t="s">
        <v>120</v>
      </c>
      <c r="B2206">
        <v>1701216087</v>
      </c>
      <c r="C2206" t="s">
        <v>18</v>
      </c>
      <c r="D2206" t="s">
        <v>20</v>
      </c>
      <c r="E2206" s="29">
        <v>46207</v>
      </c>
      <c r="F2206" t="s">
        <v>5</v>
      </c>
      <c r="G2206" s="28">
        <v>0.6875</v>
      </c>
      <c r="H2206" s="28">
        <v>0.69444444444444442</v>
      </c>
      <c r="I2206">
        <v>0</v>
      </c>
      <c r="J2206" t="s">
        <v>146</v>
      </c>
      <c r="K2206">
        <v>0</v>
      </c>
      <c r="L2206" t="s">
        <v>147</v>
      </c>
      <c r="M2206" t="s">
        <v>6050</v>
      </c>
      <c r="N2206" t="s">
        <v>6051</v>
      </c>
      <c r="O2206" t="s">
        <v>6052</v>
      </c>
      <c r="P2206" t="s">
        <v>6053</v>
      </c>
    </row>
    <row r="2207" spans="1:16" x14ac:dyDescent="0.35">
      <c r="A2207" t="s">
        <v>120</v>
      </c>
      <c r="B2207">
        <v>1701216087</v>
      </c>
      <c r="C2207" t="s">
        <v>18</v>
      </c>
      <c r="D2207" t="s">
        <v>20</v>
      </c>
      <c r="E2207" s="29">
        <v>46207</v>
      </c>
      <c r="F2207" t="s">
        <v>5</v>
      </c>
      <c r="G2207" s="28">
        <v>0.70138888888888884</v>
      </c>
      <c r="H2207" s="28">
        <v>0.70138888888888884</v>
      </c>
      <c r="I2207">
        <v>0</v>
      </c>
      <c r="J2207" t="s">
        <v>174</v>
      </c>
      <c r="K2207">
        <v>0</v>
      </c>
      <c r="L2207" t="s">
        <v>1188</v>
      </c>
      <c r="M2207" t="s">
        <v>6054</v>
      </c>
      <c r="N2207" t="s">
        <v>6055</v>
      </c>
      <c r="O2207" t="s">
        <v>6056</v>
      </c>
      <c r="P2207" t="s">
        <v>6057</v>
      </c>
    </row>
    <row r="2208" spans="1:16" x14ac:dyDescent="0.35">
      <c r="A2208" t="s">
        <v>120</v>
      </c>
      <c r="B2208">
        <v>1701216087</v>
      </c>
      <c r="C2208" t="s">
        <v>18</v>
      </c>
      <c r="D2208" t="s">
        <v>20</v>
      </c>
      <c r="E2208" s="29">
        <v>46207</v>
      </c>
      <c r="F2208" t="s">
        <v>5</v>
      </c>
      <c r="G2208" s="28">
        <v>0.70833333333333337</v>
      </c>
      <c r="H2208" s="28">
        <v>0.70833333333333337</v>
      </c>
      <c r="I2208">
        <v>0</v>
      </c>
      <c r="J2208" t="s">
        <v>174</v>
      </c>
      <c r="K2208">
        <v>0</v>
      </c>
      <c r="L2208" t="s">
        <v>3067</v>
      </c>
      <c r="M2208" t="s">
        <v>2399</v>
      </c>
      <c r="N2208" t="s">
        <v>2400</v>
      </c>
      <c r="O2208" t="s">
        <v>2401</v>
      </c>
      <c r="P2208" t="s">
        <v>6058</v>
      </c>
    </row>
    <row r="2209" spans="1:16" x14ac:dyDescent="0.35">
      <c r="A2209" t="s">
        <v>120</v>
      </c>
      <c r="B2209">
        <v>1701216087</v>
      </c>
      <c r="C2209" t="s">
        <v>18</v>
      </c>
      <c r="D2209" t="s">
        <v>20</v>
      </c>
      <c r="E2209" s="29">
        <v>46207</v>
      </c>
      <c r="F2209" t="s">
        <v>5</v>
      </c>
      <c r="G2209" s="28">
        <v>0.71527777777777779</v>
      </c>
      <c r="H2209" s="28">
        <v>0.71527777777777779</v>
      </c>
      <c r="I2209">
        <v>0</v>
      </c>
      <c r="J2209" t="s">
        <v>174</v>
      </c>
      <c r="K2209">
        <v>0</v>
      </c>
      <c r="L2209" t="s">
        <v>3120</v>
      </c>
      <c r="M2209" t="s">
        <v>2284</v>
      </c>
      <c r="N2209" t="s">
        <v>2285</v>
      </c>
      <c r="O2209" t="s">
        <v>2286</v>
      </c>
      <c r="P2209" t="s">
        <v>6059</v>
      </c>
    </row>
    <row r="2210" spans="1:16" x14ac:dyDescent="0.35">
      <c r="A2210" t="s">
        <v>120</v>
      </c>
      <c r="B2210">
        <v>1701216087</v>
      </c>
      <c r="C2210" t="s">
        <v>18</v>
      </c>
      <c r="D2210" t="s">
        <v>20</v>
      </c>
      <c r="E2210" s="29">
        <v>46207</v>
      </c>
      <c r="F2210" t="s">
        <v>5</v>
      </c>
      <c r="G2210" s="28">
        <v>0.72222222222222221</v>
      </c>
      <c r="H2210" s="28">
        <v>0.72222222222222221</v>
      </c>
      <c r="I2210">
        <v>0</v>
      </c>
      <c r="J2210" t="s">
        <v>174</v>
      </c>
      <c r="K2210">
        <v>0</v>
      </c>
      <c r="L2210" t="s">
        <v>4352</v>
      </c>
      <c r="M2210" t="s">
        <v>6060</v>
      </c>
      <c r="N2210" t="s">
        <v>6061</v>
      </c>
      <c r="O2210" t="s">
        <v>6062</v>
      </c>
      <c r="P2210" t="s">
        <v>6063</v>
      </c>
    </row>
    <row r="2211" spans="1:16" x14ac:dyDescent="0.35">
      <c r="A2211" t="s">
        <v>120</v>
      </c>
      <c r="B2211">
        <v>1701216087</v>
      </c>
      <c r="C2211" t="s">
        <v>18</v>
      </c>
      <c r="D2211" t="s">
        <v>20</v>
      </c>
      <c r="E2211" s="29">
        <v>46207</v>
      </c>
      <c r="F2211" t="s">
        <v>5</v>
      </c>
      <c r="G2211" s="28">
        <v>0.72916666666666663</v>
      </c>
      <c r="H2211" s="28">
        <v>0.72916666666666663</v>
      </c>
      <c r="I2211">
        <v>0</v>
      </c>
      <c r="J2211" t="s">
        <v>174</v>
      </c>
      <c r="K2211">
        <v>0</v>
      </c>
      <c r="L2211" t="s">
        <v>6064</v>
      </c>
      <c r="M2211" t="s">
        <v>6065</v>
      </c>
      <c r="N2211" t="s">
        <v>6066</v>
      </c>
      <c r="O2211" t="s">
        <v>6067</v>
      </c>
      <c r="P2211" t="s">
        <v>6068</v>
      </c>
    </row>
    <row r="2212" spans="1:16" x14ac:dyDescent="0.35">
      <c r="A2212" t="s">
        <v>120</v>
      </c>
      <c r="B2212">
        <v>1701216087</v>
      </c>
      <c r="C2212" t="s">
        <v>18</v>
      </c>
      <c r="D2212" t="s">
        <v>20</v>
      </c>
      <c r="E2212" s="29">
        <v>46207</v>
      </c>
      <c r="F2212" t="s">
        <v>5</v>
      </c>
      <c r="G2212" s="28">
        <v>0.73611111111111116</v>
      </c>
      <c r="H2212" s="28">
        <v>0.73611111111111116</v>
      </c>
      <c r="I2212">
        <v>0</v>
      </c>
      <c r="J2212" t="s">
        <v>174</v>
      </c>
      <c r="K2212">
        <v>0</v>
      </c>
      <c r="L2212" t="s">
        <v>6069</v>
      </c>
      <c r="M2212" t="s">
        <v>6070</v>
      </c>
      <c r="N2212" t="s">
        <v>6071</v>
      </c>
      <c r="O2212" t="s">
        <v>6072</v>
      </c>
      <c r="P2212" t="s">
        <v>6073</v>
      </c>
    </row>
    <row r="2213" spans="1:16" x14ac:dyDescent="0.35">
      <c r="A2213" t="s">
        <v>120</v>
      </c>
      <c r="B2213">
        <v>1701216087</v>
      </c>
      <c r="C2213" t="s">
        <v>18</v>
      </c>
      <c r="D2213" t="s">
        <v>20</v>
      </c>
      <c r="E2213" s="29">
        <v>46207</v>
      </c>
      <c r="F2213" t="s">
        <v>5</v>
      </c>
      <c r="G2213" s="28">
        <v>0.74305555555555558</v>
      </c>
      <c r="H2213" s="28">
        <v>0.74305555555555558</v>
      </c>
      <c r="I2213">
        <v>0</v>
      </c>
      <c r="J2213" t="s">
        <v>174</v>
      </c>
      <c r="K2213">
        <v>0</v>
      </c>
      <c r="L2213" t="s">
        <v>6074</v>
      </c>
      <c r="M2213" t="s">
        <v>6075</v>
      </c>
      <c r="N2213" t="s">
        <v>6076</v>
      </c>
      <c r="O2213" t="s">
        <v>6077</v>
      </c>
      <c r="P2213" t="s">
        <v>6078</v>
      </c>
    </row>
    <row r="2214" spans="1:16" x14ac:dyDescent="0.35">
      <c r="A2214" t="s">
        <v>120</v>
      </c>
      <c r="B2214">
        <v>1701216087</v>
      </c>
      <c r="C2214" t="s">
        <v>18</v>
      </c>
      <c r="D2214" t="s">
        <v>20</v>
      </c>
      <c r="E2214" s="29">
        <v>46207</v>
      </c>
      <c r="F2214" t="s">
        <v>5</v>
      </c>
      <c r="G2214" s="28">
        <v>0.75</v>
      </c>
      <c r="H2214" s="28">
        <v>0.75</v>
      </c>
      <c r="I2214">
        <v>0</v>
      </c>
      <c r="J2214" t="s">
        <v>174</v>
      </c>
      <c r="K2214">
        <v>0</v>
      </c>
      <c r="L2214" t="s">
        <v>4683</v>
      </c>
      <c r="M2214" t="s">
        <v>6079</v>
      </c>
      <c r="N2214" t="s">
        <v>6080</v>
      </c>
      <c r="O2214" t="s">
        <v>6081</v>
      </c>
      <c r="P2214" t="s">
        <v>6082</v>
      </c>
    </row>
    <row r="2215" spans="1:16" x14ac:dyDescent="0.35">
      <c r="A2215" t="s">
        <v>120</v>
      </c>
      <c r="B2215">
        <v>1701216087</v>
      </c>
      <c r="C2215" t="s">
        <v>18</v>
      </c>
      <c r="D2215" t="s">
        <v>20</v>
      </c>
      <c r="E2215" s="29">
        <v>46207</v>
      </c>
      <c r="F2215" t="s">
        <v>5</v>
      </c>
      <c r="G2215" s="28">
        <v>0.75694444444444442</v>
      </c>
      <c r="H2215" s="28">
        <v>0.75694444444444442</v>
      </c>
      <c r="I2215">
        <v>0</v>
      </c>
      <c r="J2215" t="s">
        <v>174</v>
      </c>
      <c r="K2215">
        <v>0</v>
      </c>
      <c r="L2215" t="s">
        <v>6083</v>
      </c>
      <c r="M2215" t="s">
        <v>6084</v>
      </c>
      <c r="N2215" t="s">
        <v>6085</v>
      </c>
      <c r="O2215" t="s">
        <v>6086</v>
      </c>
      <c r="P2215" t="s">
        <v>6087</v>
      </c>
    </row>
    <row r="2216" spans="1:16" x14ac:dyDescent="0.35">
      <c r="A2216" t="s">
        <v>120</v>
      </c>
      <c r="B2216">
        <v>1701216087</v>
      </c>
      <c r="C2216" t="s">
        <v>18</v>
      </c>
      <c r="D2216" t="s">
        <v>20</v>
      </c>
      <c r="E2216" s="29">
        <v>46207</v>
      </c>
      <c r="F2216" t="s">
        <v>5</v>
      </c>
      <c r="G2216" s="28">
        <v>0.76388888888888884</v>
      </c>
      <c r="H2216" s="28">
        <v>0.76388888888888884</v>
      </c>
      <c r="I2216">
        <v>0</v>
      </c>
      <c r="J2216" t="s">
        <v>174</v>
      </c>
      <c r="K2216">
        <v>0</v>
      </c>
      <c r="L2216" t="s">
        <v>5980</v>
      </c>
      <c r="M2216" t="s">
        <v>6088</v>
      </c>
      <c r="N2216" t="s">
        <v>6089</v>
      </c>
      <c r="O2216" t="s">
        <v>6090</v>
      </c>
      <c r="P2216" t="s">
        <v>6091</v>
      </c>
    </row>
    <row r="2217" spans="1:16" x14ac:dyDescent="0.35">
      <c r="A2217" t="s">
        <v>120</v>
      </c>
      <c r="B2217">
        <v>1701216087</v>
      </c>
      <c r="C2217" t="s">
        <v>18</v>
      </c>
      <c r="D2217" t="s">
        <v>20</v>
      </c>
      <c r="E2217" s="29">
        <v>46207</v>
      </c>
      <c r="F2217" t="s">
        <v>5</v>
      </c>
      <c r="G2217" s="28">
        <v>0.77083333333333337</v>
      </c>
      <c r="H2217" s="28">
        <v>0.77083333333333337</v>
      </c>
      <c r="I2217">
        <v>0</v>
      </c>
      <c r="J2217" t="s">
        <v>174</v>
      </c>
      <c r="K2217">
        <v>0</v>
      </c>
      <c r="L2217" t="s">
        <v>830</v>
      </c>
      <c r="M2217" t="s">
        <v>6092</v>
      </c>
      <c r="N2217" t="s">
        <v>6093</v>
      </c>
      <c r="O2217" t="s">
        <v>6094</v>
      </c>
      <c r="P2217" t="s">
        <v>6095</v>
      </c>
    </row>
    <row r="2218" spans="1:16" x14ac:dyDescent="0.35">
      <c r="A2218" t="s">
        <v>120</v>
      </c>
      <c r="B2218">
        <v>1701216087</v>
      </c>
      <c r="C2218" t="s">
        <v>18</v>
      </c>
      <c r="D2218" t="s">
        <v>20</v>
      </c>
      <c r="E2218" s="29">
        <v>46207</v>
      </c>
      <c r="F2218" t="s">
        <v>5</v>
      </c>
      <c r="G2218" s="28">
        <v>0.77777777777777779</v>
      </c>
      <c r="H2218" s="28">
        <v>0.77777777777777779</v>
      </c>
      <c r="I2218">
        <v>0</v>
      </c>
      <c r="J2218" t="s">
        <v>174</v>
      </c>
      <c r="K2218">
        <v>0</v>
      </c>
      <c r="L2218" t="s">
        <v>6096</v>
      </c>
      <c r="M2218" t="s">
        <v>6097</v>
      </c>
      <c r="N2218" t="s">
        <v>6098</v>
      </c>
      <c r="O2218" t="s">
        <v>6099</v>
      </c>
      <c r="P2218" t="s">
        <v>6100</v>
      </c>
    </row>
    <row r="2219" spans="1:16" x14ac:dyDescent="0.35">
      <c r="A2219" t="s">
        <v>120</v>
      </c>
      <c r="B2219">
        <v>1701216087</v>
      </c>
      <c r="C2219" t="s">
        <v>18</v>
      </c>
      <c r="D2219" t="s">
        <v>20</v>
      </c>
      <c r="E2219" s="29">
        <v>46207</v>
      </c>
      <c r="F2219" t="s">
        <v>5</v>
      </c>
      <c r="G2219" s="28">
        <v>0.78472222222222221</v>
      </c>
      <c r="H2219" s="28">
        <v>0.78472222222222221</v>
      </c>
      <c r="I2219">
        <v>0</v>
      </c>
      <c r="J2219" t="s">
        <v>174</v>
      </c>
      <c r="K2219">
        <v>0</v>
      </c>
      <c r="L2219" t="s">
        <v>2008</v>
      </c>
      <c r="M2219" t="s">
        <v>6101</v>
      </c>
      <c r="N2219" t="s">
        <v>6102</v>
      </c>
      <c r="O2219" t="s">
        <v>6103</v>
      </c>
      <c r="P2219" t="s">
        <v>6104</v>
      </c>
    </row>
    <row r="2220" spans="1:16" x14ac:dyDescent="0.35">
      <c r="A2220" t="s">
        <v>120</v>
      </c>
      <c r="B2220">
        <v>1701216087</v>
      </c>
      <c r="C2220" t="s">
        <v>18</v>
      </c>
      <c r="D2220" t="s">
        <v>20</v>
      </c>
      <c r="E2220" s="29">
        <v>46208</v>
      </c>
      <c r="F2220" t="s">
        <v>6</v>
      </c>
      <c r="G2220" s="28">
        <v>0.38194444444444442</v>
      </c>
      <c r="H2220" s="28">
        <v>0.38194444444444442</v>
      </c>
      <c r="I2220">
        <v>0</v>
      </c>
      <c r="J2220" t="s">
        <v>174</v>
      </c>
      <c r="K2220">
        <v>0</v>
      </c>
      <c r="L2220" t="s">
        <v>6105</v>
      </c>
      <c r="M2220" t="s">
        <v>972</v>
      </c>
      <c r="N2220" t="s">
        <v>973</v>
      </c>
      <c r="O2220" t="s">
        <v>974</v>
      </c>
      <c r="P2220" t="s">
        <v>6106</v>
      </c>
    </row>
    <row r="2221" spans="1:16" x14ac:dyDescent="0.35">
      <c r="A2221" t="s">
        <v>120</v>
      </c>
      <c r="B2221">
        <v>1701216087</v>
      </c>
      <c r="C2221" t="s">
        <v>18</v>
      </c>
      <c r="D2221" t="s">
        <v>20</v>
      </c>
      <c r="E2221" s="29">
        <v>46208</v>
      </c>
      <c r="F2221" t="s">
        <v>6</v>
      </c>
      <c r="G2221" s="28">
        <v>0.3888888888888889</v>
      </c>
      <c r="H2221" s="28">
        <v>0.39583333333333331</v>
      </c>
      <c r="I2221">
        <v>0</v>
      </c>
      <c r="J2221" t="s">
        <v>146</v>
      </c>
      <c r="K2221">
        <v>0</v>
      </c>
      <c r="L2221" t="s">
        <v>147</v>
      </c>
      <c r="M2221" t="s">
        <v>6107</v>
      </c>
      <c r="N2221" t="s">
        <v>6108</v>
      </c>
      <c r="O2221" t="s">
        <v>6109</v>
      </c>
      <c r="P2221" t="s">
        <v>6110</v>
      </c>
    </row>
    <row r="2222" spans="1:16" x14ac:dyDescent="0.35">
      <c r="A2222" t="s">
        <v>120</v>
      </c>
      <c r="B2222">
        <v>1701216087</v>
      </c>
      <c r="C2222" t="s">
        <v>18</v>
      </c>
      <c r="D2222" t="s">
        <v>20</v>
      </c>
      <c r="E2222" s="29">
        <v>46208</v>
      </c>
      <c r="F2222" t="s">
        <v>6</v>
      </c>
      <c r="G2222" s="28">
        <v>0.40277777777777779</v>
      </c>
      <c r="H2222" s="28">
        <v>0.40277777777777779</v>
      </c>
      <c r="I2222">
        <v>0</v>
      </c>
      <c r="J2222" t="s">
        <v>174</v>
      </c>
      <c r="K2222">
        <v>0</v>
      </c>
      <c r="L2222" t="s">
        <v>6111</v>
      </c>
      <c r="M2222" t="s">
        <v>6112</v>
      </c>
      <c r="N2222" t="s">
        <v>6113</v>
      </c>
      <c r="O2222" t="s">
        <v>6114</v>
      </c>
      <c r="P2222" t="s">
        <v>6115</v>
      </c>
    </row>
    <row r="2223" spans="1:16" x14ac:dyDescent="0.35">
      <c r="A2223" t="s">
        <v>120</v>
      </c>
      <c r="B2223">
        <v>1701216087</v>
      </c>
      <c r="C2223" t="s">
        <v>18</v>
      </c>
      <c r="D2223" t="s">
        <v>20</v>
      </c>
      <c r="E2223" s="29">
        <v>46208</v>
      </c>
      <c r="F2223" t="s">
        <v>6</v>
      </c>
      <c r="G2223" s="28">
        <v>0.40972222222222221</v>
      </c>
      <c r="H2223" s="28">
        <v>0.40972222222222221</v>
      </c>
      <c r="I2223">
        <v>0</v>
      </c>
      <c r="J2223" t="s">
        <v>174</v>
      </c>
      <c r="K2223">
        <v>0</v>
      </c>
      <c r="L2223" t="s">
        <v>1425</v>
      </c>
      <c r="M2223" t="s">
        <v>982</v>
      </c>
      <c r="N2223" t="s">
        <v>983</v>
      </c>
      <c r="O2223" t="s">
        <v>984</v>
      </c>
      <c r="P2223" t="s">
        <v>6116</v>
      </c>
    </row>
    <row r="2224" spans="1:16" x14ac:dyDescent="0.35">
      <c r="A2224" t="s">
        <v>120</v>
      </c>
      <c r="B2224">
        <v>1701216087</v>
      </c>
      <c r="C2224" t="s">
        <v>18</v>
      </c>
      <c r="D2224" t="s">
        <v>20</v>
      </c>
      <c r="E2224" s="29">
        <v>46208</v>
      </c>
      <c r="F2224" t="s">
        <v>6</v>
      </c>
      <c r="G2224" s="28">
        <v>0.41666666666666669</v>
      </c>
      <c r="H2224" s="28">
        <v>0.41666666666666669</v>
      </c>
      <c r="I2224">
        <v>0</v>
      </c>
      <c r="J2224" t="s">
        <v>174</v>
      </c>
      <c r="K2224">
        <v>0</v>
      </c>
      <c r="L2224" t="s">
        <v>6117</v>
      </c>
      <c r="M2224" t="s">
        <v>6118</v>
      </c>
      <c r="N2224" t="s">
        <v>6119</v>
      </c>
      <c r="O2224" t="s">
        <v>6120</v>
      </c>
      <c r="P2224" t="s">
        <v>6121</v>
      </c>
    </row>
    <row r="2225" spans="1:16" x14ac:dyDescent="0.35">
      <c r="A2225" t="s">
        <v>120</v>
      </c>
      <c r="B2225">
        <v>1701216087</v>
      </c>
      <c r="C2225" t="s">
        <v>18</v>
      </c>
      <c r="D2225" t="s">
        <v>20</v>
      </c>
      <c r="E2225" s="29">
        <v>46208</v>
      </c>
      <c r="F2225" t="s">
        <v>6</v>
      </c>
      <c r="G2225" s="28">
        <v>0.4236111111111111</v>
      </c>
      <c r="H2225" s="28">
        <v>0.4236111111111111</v>
      </c>
      <c r="I2225">
        <v>0</v>
      </c>
      <c r="J2225" t="s">
        <v>174</v>
      </c>
      <c r="K2225">
        <v>0</v>
      </c>
      <c r="L2225" t="s">
        <v>638</v>
      </c>
      <c r="M2225" t="s">
        <v>987</v>
      </c>
      <c r="N2225" t="s">
        <v>6122</v>
      </c>
      <c r="O2225" t="s">
        <v>6123</v>
      </c>
      <c r="P2225" t="s">
        <v>6124</v>
      </c>
    </row>
    <row r="2226" spans="1:16" x14ac:dyDescent="0.35">
      <c r="A2226" t="s">
        <v>120</v>
      </c>
      <c r="B2226">
        <v>1701216087</v>
      </c>
      <c r="C2226" t="s">
        <v>18</v>
      </c>
      <c r="D2226" t="s">
        <v>20</v>
      </c>
      <c r="E2226" s="29">
        <v>46208</v>
      </c>
      <c r="F2226" t="s">
        <v>6</v>
      </c>
      <c r="G2226" s="28">
        <v>0.43055555555555558</v>
      </c>
      <c r="H2226" s="28">
        <v>0.47222222222222221</v>
      </c>
      <c r="I2226">
        <v>1</v>
      </c>
      <c r="J2226" t="s">
        <v>146</v>
      </c>
      <c r="K2226">
        <v>3</v>
      </c>
      <c r="L2226" t="s">
        <v>147</v>
      </c>
      <c r="M2226" t="s">
        <v>6125</v>
      </c>
      <c r="N2226" t="s">
        <v>6126</v>
      </c>
      <c r="O2226" t="s">
        <v>6127</v>
      </c>
      <c r="P2226" t="s">
        <v>6128</v>
      </c>
    </row>
    <row r="2227" spans="1:16" x14ac:dyDescent="0.35">
      <c r="A2227" t="s">
        <v>120</v>
      </c>
      <c r="B2227">
        <v>1701216087</v>
      </c>
      <c r="C2227" t="s">
        <v>18</v>
      </c>
      <c r="D2227" t="s">
        <v>20</v>
      </c>
      <c r="E2227" s="29">
        <v>46208</v>
      </c>
      <c r="F2227" t="s">
        <v>6</v>
      </c>
      <c r="G2227" s="28">
        <v>0.47916666666666669</v>
      </c>
      <c r="H2227" s="28">
        <v>0.47916666666666669</v>
      </c>
      <c r="I2227">
        <v>0</v>
      </c>
      <c r="J2227" t="s">
        <v>174</v>
      </c>
      <c r="K2227">
        <v>0</v>
      </c>
      <c r="L2227" t="s">
        <v>4629</v>
      </c>
      <c r="M2227" t="s">
        <v>6129</v>
      </c>
      <c r="N2227" t="s">
        <v>6130</v>
      </c>
      <c r="O2227" t="s">
        <v>6131</v>
      </c>
      <c r="P2227" t="s">
        <v>6132</v>
      </c>
    </row>
    <row r="2228" spans="1:16" x14ac:dyDescent="0.35">
      <c r="A2228" t="s">
        <v>120</v>
      </c>
      <c r="B2228">
        <v>1701216087</v>
      </c>
      <c r="C2228" t="s">
        <v>18</v>
      </c>
      <c r="D2228" t="s">
        <v>20</v>
      </c>
      <c r="E2228" s="29">
        <v>46208</v>
      </c>
      <c r="F2228" t="s">
        <v>6</v>
      </c>
      <c r="G2228" s="28">
        <v>0.4861111111111111</v>
      </c>
      <c r="H2228" s="28">
        <v>0.52083333333333337</v>
      </c>
      <c r="I2228">
        <v>1</v>
      </c>
      <c r="J2228" t="s">
        <v>146</v>
      </c>
      <c r="K2228">
        <v>2</v>
      </c>
      <c r="L2228" t="s">
        <v>147</v>
      </c>
      <c r="M2228" t="s">
        <v>987</v>
      </c>
      <c r="N2228" t="s">
        <v>6122</v>
      </c>
      <c r="O2228" t="s">
        <v>6123</v>
      </c>
      <c r="P2228" t="s">
        <v>6124</v>
      </c>
    </row>
    <row r="2229" spans="1:16" x14ac:dyDescent="0.35">
      <c r="A2229" t="s">
        <v>120</v>
      </c>
      <c r="B2229">
        <v>1701216087</v>
      </c>
      <c r="C2229" t="s">
        <v>18</v>
      </c>
      <c r="D2229" t="s">
        <v>20</v>
      </c>
      <c r="E2229" s="29">
        <v>46208</v>
      </c>
      <c r="F2229" t="s">
        <v>6</v>
      </c>
      <c r="G2229" s="28">
        <v>0.52777777777777779</v>
      </c>
      <c r="H2229" s="28">
        <v>0.52777777777777779</v>
      </c>
      <c r="I2229">
        <v>0</v>
      </c>
      <c r="J2229" t="s">
        <v>174</v>
      </c>
      <c r="K2229">
        <v>0</v>
      </c>
      <c r="L2229" t="s">
        <v>6133</v>
      </c>
      <c r="M2229" t="s">
        <v>6134</v>
      </c>
      <c r="N2229" t="s">
        <v>6135</v>
      </c>
      <c r="O2229" t="s">
        <v>6136</v>
      </c>
      <c r="P2229" t="s">
        <v>6137</v>
      </c>
    </row>
    <row r="2230" spans="1:16" x14ac:dyDescent="0.35">
      <c r="A2230" t="s">
        <v>120</v>
      </c>
      <c r="B2230">
        <v>1701216087</v>
      </c>
      <c r="C2230" t="s">
        <v>18</v>
      </c>
      <c r="D2230" t="s">
        <v>20</v>
      </c>
      <c r="E2230" s="29">
        <v>46208</v>
      </c>
      <c r="F2230" t="s">
        <v>6</v>
      </c>
      <c r="G2230" s="28">
        <v>0.53472222222222221</v>
      </c>
      <c r="H2230" s="28">
        <v>0.53472222222222221</v>
      </c>
      <c r="I2230">
        <v>0</v>
      </c>
      <c r="J2230" t="s">
        <v>174</v>
      </c>
      <c r="K2230">
        <v>0</v>
      </c>
      <c r="L2230" t="s">
        <v>4670</v>
      </c>
      <c r="M2230" t="s">
        <v>6138</v>
      </c>
      <c r="N2230" t="s">
        <v>6139</v>
      </c>
      <c r="O2230" t="s">
        <v>6140</v>
      </c>
      <c r="P2230" t="s">
        <v>6141</v>
      </c>
    </row>
    <row r="2231" spans="1:16" x14ac:dyDescent="0.35">
      <c r="A2231" t="s">
        <v>120</v>
      </c>
      <c r="B2231">
        <v>1701216087</v>
      </c>
      <c r="C2231" t="s">
        <v>18</v>
      </c>
      <c r="D2231" t="s">
        <v>20</v>
      </c>
      <c r="E2231" s="29">
        <v>46208</v>
      </c>
      <c r="F2231" t="s">
        <v>6</v>
      </c>
      <c r="G2231" s="28">
        <v>0.54166666666666663</v>
      </c>
      <c r="H2231" s="28">
        <v>0.54166666666666663</v>
      </c>
      <c r="I2231">
        <v>0</v>
      </c>
      <c r="J2231" t="s">
        <v>174</v>
      </c>
      <c r="K2231">
        <v>0</v>
      </c>
      <c r="L2231" t="s">
        <v>1331</v>
      </c>
      <c r="M2231" t="s">
        <v>6142</v>
      </c>
      <c r="N2231" t="s">
        <v>6143</v>
      </c>
      <c r="O2231" t="s">
        <v>6144</v>
      </c>
      <c r="P2231" t="s">
        <v>6145</v>
      </c>
    </row>
    <row r="2232" spans="1:16" x14ac:dyDescent="0.35">
      <c r="A2232" t="s">
        <v>120</v>
      </c>
      <c r="B2232">
        <v>1701216087</v>
      </c>
      <c r="C2232" t="s">
        <v>18</v>
      </c>
      <c r="D2232" t="s">
        <v>20</v>
      </c>
      <c r="E2232" s="29">
        <v>46208</v>
      </c>
      <c r="F2232" t="s">
        <v>6</v>
      </c>
      <c r="G2232" s="28">
        <v>0.54861111111111116</v>
      </c>
      <c r="H2232" s="28">
        <v>0.55555555555555558</v>
      </c>
      <c r="I2232">
        <v>0</v>
      </c>
      <c r="J2232" t="s">
        <v>146</v>
      </c>
      <c r="K2232">
        <v>0</v>
      </c>
      <c r="L2232" t="s">
        <v>147</v>
      </c>
      <c r="M2232" t="s">
        <v>6146</v>
      </c>
      <c r="N2232" t="s">
        <v>6147</v>
      </c>
      <c r="O2232" t="s">
        <v>6148</v>
      </c>
      <c r="P2232" t="s">
        <v>6149</v>
      </c>
    </row>
    <row r="2233" spans="1:16" x14ac:dyDescent="0.35">
      <c r="A2233" t="s">
        <v>120</v>
      </c>
      <c r="B2233">
        <v>1701216087</v>
      </c>
      <c r="C2233" t="s">
        <v>18</v>
      </c>
      <c r="D2233" t="s">
        <v>20</v>
      </c>
      <c r="E2233" s="29">
        <v>46208</v>
      </c>
      <c r="F2233" t="s">
        <v>6</v>
      </c>
      <c r="G2233" s="28">
        <v>0.5625</v>
      </c>
      <c r="H2233" s="28">
        <v>0.5625</v>
      </c>
      <c r="I2233">
        <v>0</v>
      </c>
      <c r="J2233" t="s">
        <v>174</v>
      </c>
      <c r="K2233">
        <v>0</v>
      </c>
      <c r="L2233" t="s">
        <v>6150</v>
      </c>
      <c r="M2233" t="s">
        <v>6151</v>
      </c>
      <c r="N2233" t="s">
        <v>6152</v>
      </c>
      <c r="O2233" t="s">
        <v>6153</v>
      </c>
      <c r="P2233" t="s">
        <v>834</v>
      </c>
    </row>
    <row r="2234" spans="1:16" x14ac:dyDescent="0.35">
      <c r="A2234" t="s">
        <v>120</v>
      </c>
      <c r="B2234">
        <v>1701216087</v>
      </c>
      <c r="C2234" t="s">
        <v>18</v>
      </c>
      <c r="D2234" t="s">
        <v>20</v>
      </c>
      <c r="E2234" s="29">
        <v>46208</v>
      </c>
      <c r="F2234" t="s">
        <v>6</v>
      </c>
      <c r="G2234" s="28">
        <v>0.56944444444444442</v>
      </c>
      <c r="H2234" s="28">
        <v>0.56944444444444442</v>
      </c>
      <c r="I2234">
        <v>0</v>
      </c>
      <c r="J2234" t="s">
        <v>174</v>
      </c>
      <c r="K2234">
        <v>0</v>
      </c>
      <c r="L2234" t="s">
        <v>4439</v>
      </c>
      <c r="M2234" t="s">
        <v>6154</v>
      </c>
      <c r="N2234" t="s">
        <v>6155</v>
      </c>
      <c r="O2234" t="s">
        <v>6156</v>
      </c>
      <c r="P2234" t="s">
        <v>6157</v>
      </c>
    </row>
    <row r="2235" spans="1:16" x14ac:dyDescent="0.35">
      <c r="A2235" t="s">
        <v>120</v>
      </c>
      <c r="B2235">
        <v>1701216087</v>
      </c>
      <c r="C2235" t="s">
        <v>18</v>
      </c>
      <c r="D2235" t="s">
        <v>20</v>
      </c>
      <c r="E2235" s="29">
        <v>46208</v>
      </c>
      <c r="F2235" t="s">
        <v>6</v>
      </c>
      <c r="G2235" s="28">
        <v>0.57638888888888884</v>
      </c>
      <c r="H2235" s="28">
        <v>0.57638888888888884</v>
      </c>
      <c r="I2235">
        <v>0</v>
      </c>
      <c r="J2235" t="s">
        <v>174</v>
      </c>
      <c r="K2235">
        <v>0</v>
      </c>
      <c r="L2235" t="s">
        <v>4892</v>
      </c>
      <c r="M2235" t="s">
        <v>6158</v>
      </c>
      <c r="N2235" t="s">
        <v>6159</v>
      </c>
      <c r="O2235" t="s">
        <v>6160</v>
      </c>
      <c r="P2235" t="s">
        <v>6161</v>
      </c>
    </row>
    <row r="2236" spans="1:16" x14ac:dyDescent="0.35">
      <c r="A2236" t="s">
        <v>120</v>
      </c>
      <c r="B2236">
        <v>1701216087</v>
      </c>
      <c r="C2236" t="s">
        <v>18</v>
      </c>
      <c r="D2236" t="s">
        <v>20</v>
      </c>
      <c r="E2236" s="29">
        <v>46208</v>
      </c>
      <c r="F2236" t="s">
        <v>6</v>
      </c>
      <c r="G2236" s="28">
        <v>0.58333333333333337</v>
      </c>
      <c r="H2236" s="28">
        <v>0.59722222222222221</v>
      </c>
      <c r="I2236">
        <v>0</v>
      </c>
      <c r="J2236" t="s">
        <v>146</v>
      </c>
      <c r="K2236">
        <v>1</v>
      </c>
      <c r="L2236" t="s">
        <v>147</v>
      </c>
      <c r="M2236" t="s">
        <v>6162</v>
      </c>
      <c r="N2236" t="s">
        <v>6163</v>
      </c>
      <c r="O2236" t="s">
        <v>6164</v>
      </c>
      <c r="P2236" t="s">
        <v>6165</v>
      </c>
    </row>
    <row r="2237" spans="1:16" x14ac:dyDescent="0.35">
      <c r="A2237" t="s">
        <v>120</v>
      </c>
      <c r="B2237">
        <v>1701216087</v>
      </c>
      <c r="C2237" t="s">
        <v>18</v>
      </c>
      <c r="D2237" t="s">
        <v>20</v>
      </c>
      <c r="E2237" s="29">
        <v>46208</v>
      </c>
      <c r="F2237" t="s">
        <v>6</v>
      </c>
      <c r="G2237" s="28">
        <v>0.60416666666666663</v>
      </c>
      <c r="H2237" s="28">
        <v>0.61805555555555558</v>
      </c>
      <c r="I2237">
        <v>0</v>
      </c>
      <c r="J2237" t="s">
        <v>146</v>
      </c>
      <c r="K2237">
        <v>1</v>
      </c>
      <c r="L2237" t="s">
        <v>147</v>
      </c>
      <c r="M2237" t="s">
        <v>6166</v>
      </c>
      <c r="N2237" t="s">
        <v>6167</v>
      </c>
      <c r="O2237" t="s">
        <v>718</v>
      </c>
      <c r="P2237" t="s">
        <v>6168</v>
      </c>
    </row>
    <row r="2238" spans="1:16" x14ac:dyDescent="0.35">
      <c r="A2238" t="s">
        <v>120</v>
      </c>
      <c r="B2238">
        <v>1701216087</v>
      </c>
      <c r="C2238" t="s">
        <v>18</v>
      </c>
      <c r="D2238" t="s">
        <v>20</v>
      </c>
      <c r="E2238" s="29">
        <v>46208</v>
      </c>
      <c r="F2238" t="s">
        <v>6</v>
      </c>
      <c r="G2238" s="28">
        <v>0.625</v>
      </c>
      <c r="H2238" s="28">
        <v>0.625</v>
      </c>
      <c r="I2238">
        <v>0</v>
      </c>
      <c r="J2238" t="s">
        <v>174</v>
      </c>
      <c r="K2238">
        <v>0</v>
      </c>
      <c r="L2238" t="s">
        <v>6117</v>
      </c>
      <c r="M2238" t="s">
        <v>6169</v>
      </c>
      <c r="N2238" t="s">
        <v>6170</v>
      </c>
      <c r="O2238" t="s">
        <v>6171</v>
      </c>
      <c r="P2238" t="s">
        <v>6172</v>
      </c>
    </row>
    <row r="2239" spans="1:16" x14ac:dyDescent="0.35">
      <c r="A2239" t="s">
        <v>120</v>
      </c>
      <c r="B2239">
        <v>1701216087</v>
      </c>
      <c r="C2239" t="s">
        <v>18</v>
      </c>
      <c r="D2239" t="s">
        <v>20</v>
      </c>
      <c r="E2239" s="29">
        <v>46208</v>
      </c>
      <c r="F2239" t="s">
        <v>6</v>
      </c>
      <c r="G2239" s="28">
        <v>0.63194444444444442</v>
      </c>
      <c r="H2239" s="28">
        <v>0.63194444444444442</v>
      </c>
      <c r="I2239">
        <v>0</v>
      </c>
      <c r="J2239" t="s">
        <v>174</v>
      </c>
      <c r="K2239">
        <v>0</v>
      </c>
      <c r="L2239" t="s">
        <v>6173</v>
      </c>
      <c r="M2239" t="s">
        <v>6174</v>
      </c>
      <c r="N2239" t="s">
        <v>6175</v>
      </c>
      <c r="O2239" t="s">
        <v>6176</v>
      </c>
      <c r="P2239" t="s">
        <v>6177</v>
      </c>
    </row>
    <row r="2240" spans="1:16" x14ac:dyDescent="0.35">
      <c r="A2240" t="s">
        <v>120</v>
      </c>
      <c r="B2240">
        <v>1701216087</v>
      </c>
      <c r="C2240" t="s">
        <v>18</v>
      </c>
      <c r="D2240" t="s">
        <v>20</v>
      </c>
      <c r="E2240" s="29">
        <v>46208</v>
      </c>
      <c r="F2240" t="s">
        <v>6</v>
      </c>
      <c r="G2240" s="28">
        <v>0.63888888888888884</v>
      </c>
      <c r="H2240" s="28">
        <v>0.63888888888888884</v>
      </c>
      <c r="I2240">
        <v>0</v>
      </c>
      <c r="J2240" t="s">
        <v>174</v>
      </c>
      <c r="K2240">
        <v>0</v>
      </c>
      <c r="L2240" t="s">
        <v>1012</v>
      </c>
      <c r="M2240" t="s">
        <v>6178</v>
      </c>
      <c r="N2240" t="s">
        <v>6179</v>
      </c>
      <c r="O2240" t="s">
        <v>6180</v>
      </c>
      <c r="P2240" t="s">
        <v>6181</v>
      </c>
    </row>
    <row r="2241" spans="1:16" x14ac:dyDescent="0.35">
      <c r="A2241" t="s">
        <v>120</v>
      </c>
      <c r="B2241">
        <v>1701216087</v>
      </c>
      <c r="C2241" t="s">
        <v>18</v>
      </c>
      <c r="D2241" t="s">
        <v>20</v>
      </c>
      <c r="E2241" s="29">
        <v>46208</v>
      </c>
      <c r="F2241" t="s">
        <v>6</v>
      </c>
      <c r="G2241" s="28">
        <v>0.64583333333333337</v>
      </c>
      <c r="H2241" s="28">
        <v>0.64583333333333337</v>
      </c>
      <c r="I2241">
        <v>0</v>
      </c>
      <c r="J2241" t="s">
        <v>174</v>
      </c>
      <c r="K2241">
        <v>0</v>
      </c>
      <c r="L2241" t="s">
        <v>1440</v>
      </c>
      <c r="M2241" t="s">
        <v>6182</v>
      </c>
      <c r="N2241" t="s">
        <v>6183</v>
      </c>
      <c r="O2241" t="s">
        <v>6184</v>
      </c>
      <c r="P2241" t="s">
        <v>6185</v>
      </c>
    </row>
    <row r="2242" spans="1:16" x14ac:dyDescent="0.35">
      <c r="A2242" t="s">
        <v>120</v>
      </c>
      <c r="B2242">
        <v>1701216087</v>
      </c>
      <c r="C2242" t="s">
        <v>18</v>
      </c>
      <c r="D2242" t="s">
        <v>20</v>
      </c>
      <c r="E2242" s="29">
        <v>46208</v>
      </c>
      <c r="F2242" t="s">
        <v>6</v>
      </c>
      <c r="G2242" s="28">
        <v>0.65277777777777779</v>
      </c>
      <c r="H2242" s="28">
        <v>0.65972222222222221</v>
      </c>
      <c r="I2242">
        <v>0</v>
      </c>
      <c r="J2242" t="s">
        <v>146</v>
      </c>
      <c r="K2242">
        <v>0</v>
      </c>
      <c r="L2242" t="s">
        <v>147</v>
      </c>
      <c r="M2242" t="s">
        <v>6186</v>
      </c>
      <c r="N2242" t="s">
        <v>6187</v>
      </c>
      <c r="O2242" t="s">
        <v>6188</v>
      </c>
      <c r="P2242" t="s">
        <v>6189</v>
      </c>
    </row>
    <row r="2243" spans="1:16" x14ac:dyDescent="0.35">
      <c r="A2243" t="s">
        <v>120</v>
      </c>
      <c r="B2243">
        <v>1701216087</v>
      </c>
      <c r="C2243" t="s">
        <v>18</v>
      </c>
      <c r="D2243" t="s">
        <v>20</v>
      </c>
      <c r="E2243" s="29">
        <v>46208</v>
      </c>
      <c r="F2243" t="s">
        <v>6</v>
      </c>
      <c r="G2243" s="28">
        <v>0.66666666666666663</v>
      </c>
      <c r="H2243" s="28">
        <v>0.66666666666666663</v>
      </c>
      <c r="I2243">
        <v>0</v>
      </c>
      <c r="J2243" t="s">
        <v>174</v>
      </c>
      <c r="K2243">
        <v>0</v>
      </c>
      <c r="L2243" t="s">
        <v>6190</v>
      </c>
      <c r="M2243" t="s">
        <v>6191</v>
      </c>
      <c r="N2243" t="s">
        <v>6192</v>
      </c>
      <c r="O2243" t="s">
        <v>6193</v>
      </c>
      <c r="P2243" t="s">
        <v>6194</v>
      </c>
    </row>
    <row r="2244" spans="1:16" x14ac:dyDescent="0.35">
      <c r="A2244" t="s">
        <v>120</v>
      </c>
      <c r="B2244">
        <v>1701216087</v>
      </c>
      <c r="C2244" t="s">
        <v>18</v>
      </c>
      <c r="D2244" t="s">
        <v>20</v>
      </c>
      <c r="E2244" s="29">
        <v>46208</v>
      </c>
      <c r="F2244" t="s">
        <v>6</v>
      </c>
      <c r="G2244" s="28">
        <v>0.67361111111111116</v>
      </c>
      <c r="H2244" s="28">
        <v>0.67361111111111116</v>
      </c>
      <c r="I2244">
        <v>0</v>
      </c>
      <c r="J2244" t="s">
        <v>174</v>
      </c>
      <c r="K2244">
        <v>0</v>
      </c>
      <c r="L2244" t="s">
        <v>6195</v>
      </c>
      <c r="M2244" t="s">
        <v>6196</v>
      </c>
      <c r="N2244" t="s">
        <v>6197</v>
      </c>
      <c r="O2244" t="s">
        <v>6198</v>
      </c>
      <c r="P2244" t="s">
        <v>6199</v>
      </c>
    </row>
    <row r="2245" spans="1:16" x14ac:dyDescent="0.35">
      <c r="A2245" t="s">
        <v>120</v>
      </c>
      <c r="B2245">
        <v>1701216087</v>
      </c>
      <c r="C2245" t="s">
        <v>18</v>
      </c>
      <c r="D2245" t="s">
        <v>20</v>
      </c>
      <c r="E2245" s="29">
        <v>46208</v>
      </c>
      <c r="F2245" t="s">
        <v>6</v>
      </c>
      <c r="G2245" s="28">
        <v>0.68055555555555558</v>
      </c>
      <c r="H2245" s="28">
        <v>0.68055555555555558</v>
      </c>
      <c r="I2245">
        <v>0</v>
      </c>
      <c r="J2245" t="s">
        <v>174</v>
      </c>
      <c r="K2245">
        <v>0</v>
      </c>
      <c r="L2245" t="s">
        <v>810</v>
      </c>
      <c r="M2245" t="s">
        <v>6200</v>
      </c>
      <c r="N2245" t="s">
        <v>6201</v>
      </c>
      <c r="O2245" t="s">
        <v>6202</v>
      </c>
      <c r="P2245" t="s">
        <v>6203</v>
      </c>
    </row>
    <row r="2246" spans="1:16" x14ac:dyDescent="0.35">
      <c r="A2246" t="s">
        <v>120</v>
      </c>
      <c r="B2246">
        <v>1701216087</v>
      </c>
      <c r="C2246" t="s">
        <v>18</v>
      </c>
      <c r="D2246" t="s">
        <v>20</v>
      </c>
      <c r="E2246" s="29">
        <v>46208</v>
      </c>
      <c r="F2246" t="s">
        <v>6</v>
      </c>
      <c r="G2246" s="28">
        <v>0.6875</v>
      </c>
      <c r="H2246" s="28">
        <v>0.6875</v>
      </c>
      <c r="I2246">
        <v>0</v>
      </c>
      <c r="J2246" t="s">
        <v>174</v>
      </c>
      <c r="K2246">
        <v>0</v>
      </c>
      <c r="L2246" t="s">
        <v>2702</v>
      </c>
      <c r="M2246" t="s">
        <v>6204</v>
      </c>
      <c r="N2246" t="s">
        <v>6205</v>
      </c>
      <c r="O2246" t="s">
        <v>6206</v>
      </c>
      <c r="P2246" t="s">
        <v>6207</v>
      </c>
    </row>
    <row r="2247" spans="1:16" x14ac:dyDescent="0.35">
      <c r="A2247" t="s">
        <v>120</v>
      </c>
      <c r="B2247">
        <v>1701216087</v>
      </c>
      <c r="C2247" t="s">
        <v>18</v>
      </c>
      <c r="D2247" t="s">
        <v>20</v>
      </c>
      <c r="E2247" s="29">
        <v>46208</v>
      </c>
      <c r="F2247" t="s">
        <v>6</v>
      </c>
      <c r="G2247" s="28">
        <v>0.69444444444444442</v>
      </c>
      <c r="H2247" s="28">
        <v>0.69444444444444442</v>
      </c>
      <c r="I2247">
        <v>0</v>
      </c>
      <c r="J2247" t="s">
        <v>174</v>
      </c>
      <c r="K2247">
        <v>0</v>
      </c>
      <c r="L2247" t="s">
        <v>6133</v>
      </c>
      <c r="M2247" t="s">
        <v>972</v>
      </c>
      <c r="N2247" t="s">
        <v>973</v>
      </c>
      <c r="O2247" t="s">
        <v>974</v>
      </c>
      <c r="P2247" t="s">
        <v>6106</v>
      </c>
    </row>
    <row r="2248" spans="1:16" x14ac:dyDescent="0.35">
      <c r="A2248" t="s">
        <v>120</v>
      </c>
      <c r="B2248">
        <v>1701216087</v>
      </c>
      <c r="C2248" t="s">
        <v>18</v>
      </c>
      <c r="D2248" t="s">
        <v>20</v>
      </c>
      <c r="E2248" s="29">
        <v>46208</v>
      </c>
      <c r="F2248" t="s">
        <v>6</v>
      </c>
      <c r="G2248" s="28">
        <v>0.70138888888888884</v>
      </c>
      <c r="H2248" s="28">
        <v>0.70138888888888884</v>
      </c>
      <c r="I2248">
        <v>0</v>
      </c>
      <c r="J2248" t="s">
        <v>174</v>
      </c>
      <c r="K2248">
        <v>0</v>
      </c>
      <c r="L2248" t="s">
        <v>6208</v>
      </c>
      <c r="M2248" t="s">
        <v>6209</v>
      </c>
      <c r="N2248" t="s">
        <v>6210</v>
      </c>
      <c r="O2248" t="s">
        <v>6211</v>
      </c>
      <c r="P2248" t="s">
        <v>6212</v>
      </c>
    </row>
    <row r="2249" spans="1:16" x14ac:dyDescent="0.35">
      <c r="A2249" t="s">
        <v>120</v>
      </c>
      <c r="B2249">
        <v>1701216087</v>
      </c>
      <c r="C2249" t="s">
        <v>18</v>
      </c>
      <c r="D2249" t="s">
        <v>20</v>
      </c>
      <c r="E2249" s="29">
        <v>46208</v>
      </c>
      <c r="F2249" t="s">
        <v>6</v>
      </c>
      <c r="G2249" s="28">
        <v>0.70833333333333337</v>
      </c>
      <c r="H2249" s="28">
        <v>0.70833333333333337</v>
      </c>
      <c r="I2249">
        <v>0</v>
      </c>
      <c r="J2249" t="s">
        <v>174</v>
      </c>
      <c r="K2249">
        <v>0</v>
      </c>
      <c r="L2249" t="s">
        <v>6213</v>
      </c>
      <c r="M2249" t="s">
        <v>5880</v>
      </c>
      <c r="N2249" t="s">
        <v>5881</v>
      </c>
      <c r="O2249" t="s">
        <v>5882</v>
      </c>
      <c r="P2249" t="s">
        <v>5883</v>
      </c>
    </row>
    <row r="2250" spans="1:16" x14ac:dyDescent="0.35">
      <c r="A2250" t="s">
        <v>120</v>
      </c>
      <c r="B2250">
        <v>1701216087</v>
      </c>
      <c r="C2250" t="s">
        <v>18</v>
      </c>
      <c r="D2250" t="s">
        <v>20</v>
      </c>
      <c r="E2250" s="29">
        <v>46208</v>
      </c>
      <c r="F2250" t="s">
        <v>6</v>
      </c>
      <c r="G2250" s="28">
        <v>0.71527777777777779</v>
      </c>
      <c r="H2250" s="28">
        <v>0.79166666666666663</v>
      </c>
      <c r="I2250">
        <v>2</v>
      </c>
      <c r="J2250" t="s">
        <v>146</v>
      </c>
      <c r="K2250">
        <v>6</v>
      </c>
      <c r="L2250" t="s">
        <v>147</v>
      </c>
      <c r="M2250" t="s">
        <v>6214</v>
      </c>
      <c r="N2250" t="s">
        <v>6215</v>
      </c>
      <c r="O2250" t="s">
        <v>6216</v>
      </c>
      <c r="P2250" t="s">
        <v>6217</v>
      </c>
    </row>
    <row r="2251" spans="1:16" x14ac:dyDescent="0.35">
      <c r="A2251" t="s">
        <v>111</v>
      </c>
      <c r="B2251">
        <v>1324732687</v>
      </c>
      <c r="C2251" t="s">
        <v>18</v>
      </c>
      <c r="D2251" t="s">
        <v>20</v>
      </c>
      <c r="E2251" s="29">
        <v>46204</v>
      </c>
      <c r="F2251" t="s">
        <v>3</v>
      </c>
      <c r="G2251" s="28">
        <v>0.45763888888888887</v>
      </c>
      <c r="H2251" s="28">
        <v>0.45763888888888887</v>
      </c>
      <c r="I2251">
        <v>0</v>
      </c>
      <c r="J2251" t="s">
        <v>174</v>
      </c>
      <c r="K2251">
        <v>0</v>
      </c>
      <c r="L2251" t="s">
        <v>6218</v>
      </c>
      <c r="M2251" t="s">
        <v>6219</v>
      </c>
      <c r="N2251" t="s">
        <v>6220</v>
      </c>
      <c r="O2251" t="s">
        <v>6221</v>
      </c>
      <c r="P2251" t="s">
        <v>6222</v>
      </c>
    </row>
    <row r="2252" spans="1:16" x14ac:dyDescent="0.35">
      <c r="A2252" t="s">
        <v>111</v>
      </c>
      <c r="B2252">
        <v>1324732687</v>
      </c>
      <c r="C2252" t="s">
        <v>18</v>
      </c>
      <c r="D2252" t="s">
        <v>20</v>
      </c>
      <c r="E2252" s="29">
        <v>46204</v>
      </c>
      <c r="F2252" t="s">
        <v>3</v>
      </c>
      <c r="G2252" s="28">
        <v>0.46458333333333335</v>
      </c>
      <c r="H2252" s="28">
        <v>0.47847222222222224</v>
      </c>
      <c r="I2252">
        <v>0</v>
      </c>
      <c r="J2252" t="s">
        <v>146</v>
      </c>
      <c r="K2252">
        <v>1</v>
      </c>
      <c r="L2252" t="s">
        <v>147</v>
      </c>
      <c r="M2252" t="s">
        <v>6223</v>
      </c>
      <c r="N2252" t="s">
        <v>6224</v>
      </c>
      <c r="O2252" t="s">
        <v>6225</v>
      </c>
      <c r="P2252" t="s">
        <v>6226</v>
      </c>
    </row>
    <row r="2253" spans="1:16" x14ac:dyDescent="0.35">
      <c r="A2253" t="s">
        <v>111</v>
      </c>
      <c r="B2253">
        <v>1324732687</v>
      </c>
      <c r="C2253" t="s">
        <v>18</v>
      </c>
      <c r="D2253" t="s">
        <v>20</v>
      </c>
      <c r="E2253" s="29">
        <v>46204</v>
      </c>
      <c r="F2253" t="s">
        <v>3</v>
      </c>
      <c r="G2253" s="28">
        <v>0.48541666666666666</v>
      </c>
      <c r="H2253" s="28">
        <v>0.5131944444444444</v>
      </c>
      <c r="I2253">
        <v>1</v>
      </c>
      <c r="J2253" t="s">
        <v>146</v>
      </c>
      <c r="K2253">
        <v>2</v>
      </c>
      <c r="L2253" t="s">
        <v>147</v>
      </c>
      <c r="M2253" t="s">
        <v>6219</v>
      </c>
      <c r="N2253" t="s">
        <v>6220</v>
      </c>
      <c r="O2253" t="s">
        <v>6221</v>
      </c>
      <c r="P2253" t="s">
        <v>6222</v>
      </c>
    </row>
    <row r="2254" spans="1:16" x14ac:dyDescent="0.35">
      <c r="A2254" t="s">
        <v>111</v>
      </c>
      <c r="B2254">
        <v>1324732687</v>
      </c>
      <c r="C2254" t="s">
        <v>18</v>
      </c>
      <c r="D2254" t="s">
        <v>20</v>
      </c>
      <c r="E2254" s="29">
        <v>46204</v>
      </c>
      <c r="F2254" t="s">
        <v>3</v>
      </c>
      <c r="G2254" s="28">
        <v>0.52013888888888893</v>
      </c>
      <c r="H2254" s="28">
        <v>0.52013888888888893</v>
      </c>
      <c r="I2254">
        <v>0</v>
      </c>
      <c r="J2254" t="s">
        <v>174</v>
      </c>
      <c r="K2254">
        <v>0</v>
      </c>
      <c r="L2254" t="s">
        <v>6218</v>
      </c>
      <c r="M2254" t="s">
        <v>6223</v>
      </c>
      <c r="N2254" t="s">
        <v>6224</v>
      </c>
      <c r="O2254" t="s">
        <v>6225</v>
      </c>
      <c r="P2254" t="s">
        <v>6226</v>
      </c>
    </row>
    <row r="2255" spans="1:16" x14ac:dyDescent="0.35">
      <c r="A2255" t="s">
        <v>111</v>
      </c>
      <c r="B2255">
        <v>1324732687</v>
      </c>
      <c r="C2255" t="s">
        <v>18</v>
      </c>
      <c r="D2255" t="s">
        <v>20</v>
      </c>
      <c r="E2255" s="29">
        <v>46204</v>
      </c>
      <c r="F2255" t="s">
        <v>3</v>
      </c>
      <c r="G2255" s="28">
        <v>0.52708333333333335</v>
      </c>
      <c r="H2255" s="28">
        <v>0.54791666666666672</v>
      </c>
      <c r="I2255">
        <v>1</v>
      </c>
      <c r="J2255" t="s">
        <v>146</v>
      </c>
      <c r="K2255">
        <v>2</v>
      </c>
      <c r="L2255" t="s">
        <v>147</v>
      </c>
      <c r="M2255" t="s">
        <v>6219</v>
      </c>
      <c r="N2255" t="s">
        <v>6220</v>
      </c>
      <c r="O2255" t="s">
        <v>6221</v>
      </c>
      <c r="P2255" t="s">
        <v>6222</v>
      </c>
    </row>
    <row r="2256" spans="1:16" x14ac:dyDescent="0.35">
      <c r="A2256" t="s">
        <v>111</v>
      </c>
      <c r="B2256">
        <v>1324732687</v>
      </c>
      <c r="C2256" t="s">
        <v>18</v>
      </c>
      <c r="D2256" t="s">
        <v>20</v>
      </c>
      <c r="E2256" s="29">
        <v>46204</v>
      </c>
      <c r="F2256" t="s">
        <v>3</v>
      </c>
      <c r="G2256" s="28">
        <v>0.55486111111111114</v>
      </c>
      <c r="H2256" s="28">
        <v>0.55486111111111114</v>
      </c>
      <c r="I2256">
        <v>0</v>
      </c>
      <c r="J2256" t="s">
        <v>174</v>
      </c>
      <c r="K2256">
        <v>0</v>
      </c>
      <c r="L2256" t="s">
        <v>6227</v>
      </c>
      <c r="M2256" t="s">
        <v>6228</v>
      </c>
      <c r="N2256" t="s">
        <v>6229</v>
      </c>
      <c r="O2256" t="s">
        <v>6230</v>
      </c>
      <c r="P2256" t="s">
        <v>6231</v>
      </c>
    </row>
    <row r="2257" spans="1:16" x14ac:dyDescent="0.35">
      <c r="A2257" t="s">
        <v>111</v>
      </c>
      <c r="B2257">
        <v>1324732687</v>
      </c>
      <c r="C2257" t="s">
        <v>18</v>
      </c>
      <c r="D2257" t="s">
        <v>20</v>
      </c>
      <c r="E2257" s="29">
        <v>46204</v>
      </c>
      <c r="F2257" t="s">
        <v>3</v>
      </c>
      <c r="G2257" s="28">
        <v>0.56180555555555556</v>
      </c>
      <c r="H2257" s="28">
        <v>0.5756944444444444</v>
      </c>
      <c r="I2257">
        <v>0</v>
      </c>
      <c r="J2257" t="s">
        <v>146</v>
      </c>
      <c r="K2257">
        <v>1</v>
      </c>
      <c r="L2257" t="s">
        <v>147</v>
      </c>
      <c r="M2257" t="s">
        <v>6232</v>
      </c>
      <c r="N2257" t="s">
        <v>6233</v>
      </c>
      <c r="O2257" t="s">
        <v>6234</v>
      </c>
      <c r="P2257" t="s">
        <v>6235</v>
      </c>
    </row>
    <row r="2258" spans="1:16" x14ac:dyDescent="0.35">
      <c r="A2258" t="s">
        <v>111</v>
      </c>
      <c r="B2258">
        <v>1324732687</v>
      </c>
      <c r="C2258" t="s">
        <v>18</v>
      </c>
      <c r="D2258" t="s">
        <v>20</v>
      </c>
      <c r="E2258" s="29">
        <v>46204</v>
      </c>
      <c r="F2258" t="s">
        <v>3</v>
      </c>
      <c r="G2258" s="28">
        <v>0.58263888888888893</v>
      </c>
      <c r="H2258" s="28">
        <v>0.58263888888888893</v>
      </c>
      <c r="I2258">
        <v>0</v>
      </c>
      <c r="J2258" t="s">
        <v>174</v>
      </c>
      <c r="K2258">
        <v>0</v>
      </c>
      <c r="L2258" t="s">
        <v>6236</v>
      </c>
      <c r="M2258" t="s">
        <v>6237</v>
      </c>
      <c r="N2258" t="s">
        <v>6238</v>
      </c>
      <c r="O2258" t="s">
        <v>6239</v>
      </c>
      <c r="P2258" t="s">
        <v>6240</v>
      </c>
    </row>
    <row r="2259" spans="1:16" x14ac:dyDescent="0.35">
      <c r="A2259" t="s">
        <v>111</v>
      </c>
      <c r="B2259">
        <v>1324732687</v>
      </c>
      <c r="C2259" t="s">
        <v>18</v>
      </c>
      <c r="D2259" t="s">
        <v>20</v>
      </c>
      <c r="E2259" s="29">
        <v>46204</v>
      </c>
      <c r="F2259" t="s">
        <v>3</v>
      </c>
      <c r="G2259" s="28">
        <v>0.58958333333333335</v>
      </c>
      <c r="H2259" s="28">
        <v>0.61041666666666672</v>
      </c>
      <c r="I2259">
        <v>1</v>
      </c>
      <c r="J2259" t="s">
        <v>146</v>
      </c>
      <c r="K2259">
        <v>2</v>
      </c>
      <c r="L2259" t="s">
        <v>147</v>
      </c>
      <c r="M2259" t="s">
        <v>6228</v>
      </c>
      <c r="N2259" t="s">
        <v>6229</v>
      </c>
      <c r="O2259" t="s">
        <v>6230</v>
      </c>
      <c r="P2259" t="s">
        <v>6231</v>
      </c>
    </row>
    <row r="2260" spans="1:16" x14ac:dyDescent="0.35">
      <c r="A2260" t="s">
        <v>111</v>
      </c>
      <c r="B2260">
        <v>1324732687</v>
      </c>
      <c r="C2260" t="s">
        <v>18</v>
      </c>
      <c r="D2260" t="s">
        <v>20</v>
      </c>
      <c r="E2260" s="29">
        <v>46204</v>
      </c>
      <c r="F2260" t="s">
        <v>3</v>
      </c>
      <c r="G2260" s="28">
        <v>0.61736111111111114</v>
      </c>
      <c r="H2260" s="28">
        <v>0.99930555555555556</v>
      </c>
      <c r="I2260">
        <v>9</v>
      </c>
      <c r="J2260" t="s">
        <v>146</v>
      </c>
      <c r="K2260">
        <v>28</v>
      </c>
      <c r="L2260" t="s">
        <v>147</v>
      </c>
      <c r="M2260" t="s">
        <v>148</v>
      </c>
      <c r="N2260" t="s">
        <v>158</v>
      </c>
      <c r="O2260" t="s">
        <v>159</v>
      </c>
      <c r="P2260" t="s">
        <v>149</v>
      </c>
    </row>
    <row r="2261" spans="1:16" x14ac:dyDescent="0.35">
      <c r="A2261" t="s">
        <v>111</v>
      </c>
      <c r="B2261">
        <v>1324732687</v>
      </c>
      <c r="C2261" t="s">
        <v>18</v>
      </c>
      <c r="D2261" t="s">
        <v>20</v>
      </c>
      <c r="E2261" s="29">
        <v>46205</v>
      </c>
      <c r="F2261" t="s">
        <v>4</v>
      </c>
      <c r="G2261" s="28">
        <v>0.38124999999999998</v>
      </c>
      <c r="H2261" s="28">
        <v>0.38124999999999998</v>
      </c>
      <c r="I2261">
        <v>0</v>
      </c>
      <c r="J2261" t="s">
        <v>174</v>
      </c>
      <c r="K2261">
        <v>0</v>
      </c>
      <c r="L2261" t="s">
        <v>4630</v>
      </c>
      <c r="M2261" t="s">
        <v>6241</v>
      </c>
      <c r="N2261" t="s">
        <v>6242</v>
      </c>
      <c r="O2261" t="s">
        <v>6243</v>
      </c>
      <c r="P2261" t="s">
        <v>6244</v>
      </c>
    </row>
    <row r="2262" spans="1:16" x14ac:dyDescent="0.35">
      <c r="A2262" t="s">
        <v>111</v>
      </c>
      <c r="B2262">
        <v>1324732687</v>
      </c>
      <c r="C2262" t="s">
        <v>18</v>
      </c>
      <c r="D2262" t="s">
        <v>20</v>
      </c>
      <c r="E2262" s="29">
        <v>46205</v>
      </c>
      <c r="F2262" t="s">
        <v>4</v>
      </c>
      <c r="G2262" s="28">
        <v>0.38819444444444445</v>
      </c>
      <c r="H2262" s="28">
        <v>0.38819444444444445</v>
      </c>
      <c r="I2262">
        <v>0</v>
      </c>
      <c r="J2262" t="s">
        <v>174</v>
      </c>
      <c r="K2262">
        <v>0</v>
      </c>
      <c r="L2262" t="s">
        <v>4860</v>
      </c>
      <c r="M2262" t="s">
        <v>6245</v>
      </c>
      <c r="N2262" t="s">
        <v>6246</v>
      </c>
      <c r="O2262" t="s">
        <v>6247</v>
      </c>
      <c r="P2262" t="s">
        <v>6248</v>
      </c>
    </row>
    <row r="2263" spans="1:16" x14ac:dyDescent="0.35">
      <c r="A2263" t="s">
        <v>111</v>
      </c>
      <c r="B2263">
        <v>1324732687</v>
      </c>
      <c r="C2263" t="s">
        <v>18</v>
      </c>
      <c r="D2263" t="s">
        <v>20</v>
      </c>
      <c r="E2263" s="29">
        <v>46205</v>
      </c>
      <c r="F2263" t="s">
        <v>4</v>
      </c>
      <c r="G2263" s="28">
        <v>0.39513888888888887</v>
      </c>
      <c r="H2263" s="28">
        <v>0.39513888888888887</v>
      </c>
      <c r="I2263">
        <v>0</v>
      </c>
      <c r="J2263" t="s">
        <v>174</v>
      </c>
      <c r="K2263">
        <v>0</v>
      </c>
      <c r="L2263" t="s">
        <v>6249</v>
      </c>
      <c r="M2263" t="s">
        <v>6250</v>
      </c>
      <c r="N2263" t="s">
        <v>6251</v>
      </c>
      <c r="O2263" t="s">
        <v>6252</v>
      </c>
      <c r="P2263" t="s">
        <v>6253</v>
      </c>
    </row>
    <row r="2264" spans="1:16" x14ac:dyDescent="0.35">
      <c r="A2264" t="s">
        <v>111</v>
      </c>
      <c r="B2264">
        <v>1324732687</v>
      </c>
      <c r="C2264" t="s">
        <v>18</v>
      </c>
      <c r="D2264" t="s">
        <v>20</v>
      </c>
      <c r="E2264" s="29">
        <v>46205</v>
      </c>
      <c r="F2264" t="s">
        <v>4</v>
      </c>
      <c r="G2264" s="28">
        <v>0.40208333333333335</v>
      </c>
      <c r="H2264" s="28">
        <v>0.40208333333333335</v>
      </c>
      <c r="I2264">
        <v>0</v>
      </c>
      <c r="J2264" t="s">
        <v>174</v>
      </c>
      <c r="K2264">
        <v>0</v>
      </c>
      <c r="L2264" t="s">
        <v>4805</v>
      </c>
      <c r="M2264" t="s">
        <v>6254</v>
      </c>
      <c r="N2264" t="s">
        <v>6255</v>
      </c>
      <c r="O2264" t="s">
        <v>6256</v>
      </c>
      <c r="P2264" t="s">
        <v>6257</v>
      </c>
    </row>
    <row r="2265" spans="1:16" x14ac:dyDescent="0.35">
      <c r="A2265" t="s">
        <v>111</v>
      </c>
      <c r="B2265">
        <v>1324732687</v>
      </c>
      <c r="C2265" t="s">
        <v>18</v>
      </c>
      <c r="D2265" t="s">
        <v>20</v>
      </c>
      <c r="E2265" s="29">
        <v>46205</v>
      </c>
      <c r="F2265" t="s">
        <v>4</v>
      </c>
      <c r="G2265" s="28">
        <v>0.40902777777777777</v>
      </c>
      <c r="H2265" s="28">
        <v>0.40902777777777777</v>
      </c>
      <c r="I2265">
        <v>0</v>
      </c>
      <c r="J2265" t="s">
        <v>174</v>
      </c>
      <c r="K2265">
        <v>0</v>
      </c>
      <c r="L2265" t="s">
        <v>6258</v>
      </c>
      <c r="M2265" t="s">
        <v>6259</v>
      </c>
      <c r="N2265" t="s">
        <v>6260</v>
      </c>
      <c r="O2265" t="s">
        <v>6261</v>
      </c>
      <c r="P2265" t="s">
        <v>6262</v>
      </c>
    </row>
    <row r="2266" spans="1:16" x14ac:dyDescent="0.35">
      <c r="A2266" t="s">
        <v>111</v>
      </c>
      <c r="B2266">
        <v>1324732687</v>
      </c>
      <c r="C2266" t="s">
        <v>18</v>
      </c>
      <c r="D2266" t="s">
        <v>20</v>
      </c>
      <c r="E2266" s="29">
        <v>46205</v>
      </c>
      <c r="F2266" t="s">
        <v>4</v>
      </c>
      <c r="G2266" s="28">
        <v>0.41597222222222224</v>
      </c>
      <c r="H2266" s="28">
        <v>0.42986111111111114</v>
      </c>
      <c r="I2266">
        <v>0</v>
      </c>
      <c r="J2266" t="s">
        <v>146</v>
      </c>
      <c r="K2266">
        <v>1</v>
      </c>
      <c r="L2266" t="s">
        <v>147</v>
      </c>
      <c r="M2266" t="s">
        <v>6263</v>
      </c>
      <c r="N2266" t="s">
        <v>6264</v>
      </c>
      <c r="O2266" t="s">
        <v>6265</v>
      </c>
      <c r="P2266" t="s">
        <v>6266</v>
      </c>
    </row>
    <row r="2267" spans="1:16" x14ac:dyDescent="0.35">
      <c r="A2267" t="s">
        <v>111</v>
      </c>
      <c r="B2267">
        <v>1324732687</v>
      </c>
      <c r="C2267" t="s">
        <v>18</v>
      </c>
      <c r="D2267" t="s">
        <v>20</v>
      </c>
      <c r="E2267" s="29">
        <v>46205</v>
      </c>
      <c r="F2267" t="s">
        <v>4</v>
      </c>
      <c r="G2267" s="28">
        <v>0.43680555555555556</v>
      </c>
      <c r="H2267" s="28">
        <v>0.43680555555555556</v>
      </c>
      <c r="I2267">
        <v>0</v>
      </c>
      <c r="J2267" t="s">
        <v>174</v>
      </c>
      <c r="K2267">
        <v>0</v>
      </c>
      <c r="L2267" t="s">
        <v>4230</v>
      </c>
      <c r="M2267" t="s">
        <v>6267</v>
      </c>
      <c r="N2267" t="s">
        <v>2347</v>
      </c>
      <c r="O2267" t="s">
        <v>6268</v>
      </c>
      <c r="P2267" t="s">
        <v>6269</v>
      </c>
    </row>
    <row r="2268" spans="1:16" x14ac:dyDescent="0.35">
      <c r="A2268" t="s">
        <v>111</v>
      </c>
      <c r="B2268">
        <v>1324732687</v>
      </c>
      <c r="C2268" t="s">
        <v>18</v>
      </c>
      <c r="D2268" t="s">
        <v>20</v>
      </c>
      <c r="E2268" s="29">
        <v>46205</v>
      </c>
      <c r="F2268" t="s">
        <v>4</v>
      </c>
      <c r="G2268" s="28">
        <v>0.44374999999999998</v>
      </c>
      <c r="H2268" s="28">
        <v>0.44374999999999998</v>
      </c>
      <c r="I2268">
        <v>0</v>
      </c>
      <c r="J2268" t="s">
        <v>174</v>
      </c>
      <c r="K2268">
        <v>0</v>
      </c>
      <c r="L2268" t="s">
        <v>6270</v>
      </c>
      <c r="M2268" t="s">
        <v>6271</v>
      </c>
      <c r="N2268" t="s">
        <v>6272</v>
      </c>
      <c r="O2268" t="s">
        <v>6273</v>
      </c>
      <c r="P2268" t="s">
        <v>6274</v>
      </c>
    </row>
    <row r="2269" spans="1:16" x14ac:dyDescent="0.35">
      <c r="A2269" t="s">
        <v>111</v>
      </c>
      <c r="B2269">
        <v>1324732687</v>
      </c>
      <c r="C2269" t="s">
        <v>18</v>
      </c>
      <c r="D2269" t="s">
        <v>20</v>
      </c>
      <c r="E2269" s="29">
        <v>46205</v>
      </c>
      <c r="F2269" t="s">
        <v>4</v>
      </c>
      <c r="G2269" s="28">
        <v>0.45069444444444445</v>
      </c>
      <c r="H2269" s="28">
        <v>0.45069444444444445</v>
      </c>
      <c r="I2269">
        <v>0</v>
      </c>
      <c r="J2269" t="s">
        <v>174</v>
      </c>
      <c r="K2269">
        <v>0</v>
      </c>
      <c r="L2269" t="s">
        <v>6275</v>
      </c>
      <c r="M2269" t="s">
        <v>6276</v>
      </c>
      <c r="N2269" t="s">
        <v>6277</v>
      </c>
      <c r="O2269" t="s">
        <v>6278</v>
      </c>
      <c r="P2269" t="s">
        <v>6279</v>
      </c>
    </row>
    <row r="2270" spans="1:16" x14ac:dyDescent="0.35">
      <c r="A2270" t="s">
        <v>111</v>
      </c>
      <c r="B2270">
        <v>1324732687</v>
      </c>
      <c r="C2270" t="s">
        <v>18</v>
      </c>
      <c r="D2270" t="s">
        <v>20</v>
      </c>
      <c r="E2270" s="29">
        <v>46205</v>
      </c>
      <c r="F2270" t="s">
        <v>4</v>
      </c>
      <c r="G2270" s="28">
        <v>0.45763888888888887</v>
      </c>
      <c r="H2270" s="28">
        <v>0.45763888888888887</v>
      </c>
      <c r="I2270">
        <v>0</v>
      </c>
      <c r="J2270" t="s">
        <v>174</v>
      </c>
      <c r="K2270">
        <v>0</v>
      </c>
      <c r="L2270" t="s">
        <v>6280</v>
      </c>
      <c r="M2270" t="s">
        <v>894</v>
      </c>
      <c r="N2270" t="s">
        <v>6281</v>
      </c>
      <c r="O2270" t="s">
        <v>6282</v>
      </c>
      <c r="P2270" t="s">
        <v>6283</v>
      </c>
    </row>
    <row r="2271" spans="1:16" x14ac:dyDescent="0.35">
      <c r="A2271" t="s">
        <v>111</v>
      </c>
      <c r="B2271">
        <v>1324732687</v>
      </c>
      <c r="C2271" t="s">
        <v>18</v>
      </c>
      <c r="D2271" t="s">
        <v>20</v>
      </c>
      <c r="E2271" s="29">
        <v>46205</v>
      </c>
      <c r="F2271" t="s">
        <v>4</v>
      </c>
      <c r="G2271" s="28">
        <v>0.46458333333333335</v>
      </c>
      <c r="H2271" s="28">
        <v>0.46458333333333335</v>
      </c>
      <c r="I2271">
        <v>0</v>
      </c>
      <c r="J2271" t="s">
        <v>174</v>
      </c>
      <c r="K2271">
        <v>0</v>
      </c>
      <c r="L2271" t="s">
        <v>4830</v>
      </c>
      <c r="M2271" t="s">
        <v>6284</v>
      </c>
      <c r="N2271" t="s">
        <v>6285</v>
      </c>
      <c r="O2271" t="s">
        <v>6286</v>
      </c>
      <c r="P2271" t="s">
        <v>6287</v>
      </c>
    </row>
    <row r="2272" spans="1:16" x14ac:dyDescent="0.35">
      <c r="A2272" t="s">
        <v>111</v>
      </c>
      <c r="B2272">
        <v>1324732687</v>
      </c>
      <c r="C2272" t="s">
        <v>18</v>
      </c>
      <c r="D2272" t="s">
        <v>20</v>
      </c>
      <c r="E2272" s="29">
        <v>46205</v>
      </c>
      <c r="F2272" t="s">
        <v>4</v>
      </c>
      <c r="G2272" s="28">
        <v>0.47152777777777777</v>
      </c>
      <c r="H2272" s="28">
        <v>0.47152777777777777</v>
      </c>
      <c r="I2272">
        <v>0</v>
      </c>
      <c r="J2272" t="s">
        <v>174</v>
      </c>
      <c r="K2272">
        <v>0</v>
      </c>
      <c r="L2272" t="s">
        <v>6288</v>
      </c>
      <c r="M2272" t="s">
        <v>6289</v>
      </c>
      <c r="N2272" t="s">
        <v>6290</v>
      </c>
      <c r="O2272" t="s">
        <v>6291</v>
      </c>
      <c r="P2272" t="s">
        <v>6292</v>
      </c>
    </row>
    <row r="2273" spans="1:16" x14ac:dyDescent="0.35">
      <c r="A2273" t="s">
        <v>111</v>
      </c>
      <c r="B2273">
        <v>1324732687</v>
      </c>
      <c r="C2273" t="s">
        <v>18</v>
      </c>
      <c r="D2273" t="s">
        <v>20</v>
      </c>
      <c r="E2273" s="29">
        <v>46205</v>
      </c>
      <c r="F2273" t="s">
        <v>4</v>
      </c>
      <c r="G2273" s="28">
        <v>0.47847222222222224</v>
      </c>
      <c r="H2273" s="28">
        <v>0.47847222222222224</v>
      </c>
      <c r="I2273">
        <v>0</v>
      </c>
      <c r="J2273" t="s">
        <v>174</v>
      </c>
      <c r="K2273">
        <v>0</v>
      </c>
      <c r="L2273" t="s">
        <v>6293</v>
      </c>
      <c r="M2273" t="s">
        <v>6294</v>
      </c>
      <c r="N2273" t="s">
        <v>6295</v>
      </c>
      <c r="O2273" t="s">
        <v>6296</v>
      </c>
      <c r="P2273" t="s">
        <v>6297</v>
      </c>
    </row>
    <row r="2274" spans="1:16" x14ac:dyDescent="0.35">
      <c r="A2274" t="s">
        <v>111</v>
      </c>
      <c r="B2274">
        <v>1324732687</v>
      </c>
      <c r="C2274" t="s">
        <v>18</v>
      </c>
      <c r="D2274" t="s">
        <v>20</v>
      </c>
      <c r="E2274" s="29">
        <v>46205</v>
      </c>
      <c r="F2274" t="s">
        <v>4</v>
      </c>
      <c r="G2274" s="28">
        <v>0.48541666666666666</v>
      </c>
      <c r="H2274" s="28">
        <v>0.48541666666666666</v>
      </c>
      <c r="I2274">
        <v>0</v>
      </c>
      <c r="J2274" t="s">
        <v>174</v>
      </c>
      <c r="K2274">
        <v>0</v>
      </c>
      <c r="L2274" t="s">
        <v>6298</v>
      </c>
      <c r="M2274" t="s">
        <v>6299</v>
      </c>
      <c r="N2274" t="s">
        <v>6300</v>
      </c>
      <c r="O2274" t="s">
        <v>6301</v>
      </c>
      <c r="P2274" t="s">
        <v>6302</v>
      </c>
    </row>
    <row r="2275" spans="1:16" x14ac:dyDescent="0.35">
      <c r="A2275" t="s">
        <v>111</v>
      </c>
      <c r="B2275">
        <v>1324732687</v>
      </c>
      <c r="C2275" t="s">
        <v>18</v>
      </c>
      <c r="D2275" t="s">
        <v>20</v>
      </c>
      <c r="E2275" s="29">
        <v>46205</v>
      </c>
      <c r="F2275" t="s">
        <v>4</v>
      </c>
      <c r="G2275" s="28">
        <v>0.49236111111111114</v>
      </c>
      <c r="H2275" s="28">
        <v>0.49236111111111114</v>
      </c>
      <c r="I2275">
        <v>0</v>
      </c>
      <c r="J2275" t="s">
        <v>174</v>
      </c>
      <c r="K2275">
        <v>0</v>
      </c>
      <c r="L2275" t="s">
        <v>4752</v>
      </c>
      <c r="M2275" t="s">
        <v>6303</v>
      </c>
      <c r="N2275" t="s">
        <v>6304</v>
      </c>
      <c r="O2275" t="s">
        <v>6305</v>
      </c>
      <c r="P2275" t="s">
        <v>6306</v>
      </c>
    </row>
    <row r="2276" spans="1:16" x14ac:dyDescent="0.35">
      <c r="A2276" t="s">
        <v>111</v>
      </c>
      <c r="B2276">
        <v>1324732687</v>
      </c>
      <c r="C2276" t="s">
        <v>18</v>
      </c>
      <c r="D2276" t="s">
        <v>20</v>
      </c>
      <c r="E2276" s="29">
        <v>46205</v>
      </c>
      <c r="F2276" t="s">
        <v>4</v>
      </c>
      <c r="G2276" s="28">
        <v>0.49930555555555556</v>
      </c>
      <c r="H2276" s="28">
        <v>0.49930555555555556</v>
      </c>
      <c r="I2276">
        <v>0</v>
      </c>
      <c r="J2276" t="s">
        <v>174</v>
      </c>
      <c r="K2276">
        <v>0</v>
      </c>
      <c r="L2276" t="s">
        <v>6307</v>
      </c>
      <c r="M2276" t="s">
        <v>6308</v>
      </c>
      <c r="N2276" t="s">
        <v>6309</v>
      </c>
      <c r="O2276" t="s">
        <v>6310</v>
      </c>
      <c r="P2276" t="s">
        <v>6311</v>
      </c>
    </row>
    <row r="2277" spans="1:16" x14ac:dyDescent="0.35">
      <c r="A2277" t="s">
        <v>111</v>
      </c>
      <c r="B2277">
        <v>1324732687</v>
      </c>
      <c r="C2277" t="s">
        <v>18</v>
      </c>
      <c r="D2277" t="s">
        <v>20</v>
      </c>
      <c r="E2277" s="29">
        <v>46205</v>
      </c>
      <c r="F2277" t="s">
        <v>4</v>
      </c>
      <c r="G2277" s="28">
        <v>0.5131944444444444</v>
      </c>
      <c r="H2277" s="28">
        <v>0.5131944444444444</v>
      </c>
      <c r="I2277">
        <v>0</v>
      </c>
      <c r="J2277" t="s">
        <v>174</v>
      </c>
      <c r="K2277">
        <v>0</v>
      </c>
      <c r="L2277" t="s">
        <v>4316</v>
      </c>
      <c r="M2277" t="s">
        <v>922</v>
      </c>
      <c r="N2277" t="s">
        <v>6312</v>
      </c>
      <c r="O2277" t="s">
        <v>6313</v>
      </c>
      <c r="P2277" t="s">
        <v>6314</v>
      </c>
    </row>
    <row r="2278" spans="1:16" x14ac:dyDescent="0.35">
      <c r="A2278" t="s">
        <v>111</v>
      </c>
      <c r="B2278">
        <v>1324732687</v>
      </c>
      <c r="C2278" t="s">
        <v>18</v>
      </c>
      <c r="D2278" t="s">
        <v>20</v>
      </c>
      <c r="E2278" s="29">
        <v>46205</v>
      </c>
      <c r="F2278" t="s">
        <v>4</v>
      </c>
      <c r="G2278" s="28">
        <v>0.52013888888888893</v>
      </c>
      <c r="H2278" s="28">
        <v>0.52013888888888893</v>
      </c>
      <c r="I2278">
        <v>0</v>
      </c>
      <c r="J2278" t="s">
        <v>174</v>
      </c>
      <c r="K2278">
        <v>0</v>
      </c>
      <c r="L2278" t="s">
        <v>6315</v>
      </c>
      <c r="M2278" t="s">
        <v>6316</v>
      </c>
      <c r="N2278" t="s">
        <v>6317</v>
      </c>
      <c r="O2278" t="s">
        <v>6318</v>
      </c>
      <c r="P2278" t="s">
        <v>6319</v>
      </c>
    </row>
    <row r="2279" spans="1:16" x14ac:dyDescent="0.35">
      <c r="A2279" t="s">
        <v>111</v>
      </c>
      <c r="B2279">
        <v>1324732687</v>
      </c>
      <c r="C2279" t="s">
        <v>18</v>
      </c>
      <c r="D2279" t="s">
        <v>20</v>
      </c>
      <c r="E2279" s="29">
        <v>46205</v>
      </c>
      <c r="F2279" t="s">
        <v>4</v>
      </c>
      <c r="G2279" s="28">
        <v>0.52708333333333335</v>
      </c>
      <c r="H2279" s="28">
        <v>0.52708333333333335</v>
      </c>
      <c r="I2279">
        <v>0</v>
      </c>
      <c r="J2279" t="s">
        <v>174</v>
      </c>
      <c r="K2279">
        <v>0</v>
      </c>
      <c r="L2279" t="s">
        <v>4660</v>
      </c>
      <c r="M2279" t="s">
        <v>6320</v>
      </c>
      <c r="N2279" t="s">
        <v>6321</v>
      </c>
      <c r="O2279" t="s">
        <v>6322</v>
      </c>
      <c r="P2279" t="s">
        <v>6323</v>
      </c>
    </row>
    <row r="2280" spans="1:16" x14ac:dyDescent="0.35">
      <c r="A2280" t="s">
        <v>111</v>
      </c>
      <c r="B2280">
        <v>1324732687</v>
      </c>
      <c r="C2280" t="s">
        <v>18</v>
      </c>
      <c r="D2280" t="s">
        <v>20</v>
      </c>
      <c r="E2280" s="29">
        <v>46205</v>
      </c>
      <c r="F2280" t="s">
        <v>4</v>
      </c>
      <c r="G2280" s="28">
        <v>0.53402777777777777</v>
      </c>
      <c r="H2280" s="28">
        <v>0.53402777777777777</v>
      </c>
      <c r="I2280">
        <v>0</v>
      </c>
      <c r="J2280" t="s">
        <v>174</v>
      </c>
      <c r="K2280">
        <v>0</v>
      </c>
      <c r="L2280" t="s">
        <v>6315</v>
      </c>
      <c r="M2280" t="s">
        <v>6324</v>
      </c>
      <c r="N2280" t="s">
        <v>6325</v>
      </c>
      <c r="O2280" t="s">
        <v>6326</v>
      </c>
      <c r="P2280" t="s">
        <v>6327</v>
      </c>
    </row>
    <row r="2281" spans="1:16" x14ac:dyDescent="0.35">
      <c r="A2281" t="s">
        <v>111</v>
      </c>
      <c r="B2281">
        <v>1324732687</v>
      </c>
      <c r="C2281" t="s">
        <v>18</v>
      </c>
      <c r="D2281" t="s">
        <v>20</v>
      </c>
      <c r="E2281" s="29">
        <v>46205</v>
      </c>
      <c r="F2281" t="s">
        <v>4</v>
      </c>
      <c r="G2281" s="28">
        <v>0.54097222222222219</v>
      </c>
      <c r="H2281" s="28">
        <v>0.54791666666666672</v>
      </c>
      <c r="I2281">
        <v>0</v>
      </c>
      <c r="J2281" t="s">
        <v>146</v>
      </c>
      <c r="K2281">
        <v>1</v>
      </c>
      <c r="L2281" t="s">
        <v>147</v>
      </c>
      <c r="M2281" t="s">
        <v>6328</v>
      </c>
      <c r="N2281" t="s">
        <v>6329</v>
      </c>
      <c r="O2281" t="s">
        <v>6330</v>
      </c>
      <c r="P2281" t="s">
        <v>6331</v>
      </c>
    </row>
    <row r="2282" spans="1:16" x14ac:dyDescent="0.35">
      <c r="A2282" t="s">
        <v>111</v>
      </c>
      <c r="B2282">
        <v>1324732687</v>
      </c>
      <c r="C2282" t="s">
        <v>18</v>
      </c>
      <c r="D2282" t="s">
        <v>20</v>
      </c>
      <c r="E2282" s="29">
        <v>46205</v>
      </c>
      <c r="F2282" t="s">
        <v>4</v>
      </c>
      <c r="G2282" s="28">
        <v>0.55486111111111114</v>
      </c>
      <c r="H2282" s="28">
        <v>0.55486111111111114</v>
      </c>
      <c r="I2282">
        <v>0</v>
      </c>
      <c r="J2282" t="s">
        <v>174</v>
      </c>
      <c r="K2282">
        <v>0</v>
      </c>
      <c r="L2282" t="s">
        <v>6332</v>
      </c>
      <c r="M2282" t="s">
        <v>6333</v>
      </c>
      <c r="N2282" t="s">
        <v>6334</v>
      </c>
      <c r="O2282" t="s">
        <v>6335</v>
      </c>
      <c r="P2282" t="s">
        <v>6336</v>
      </c>
    </row>
    <row r="2283" spans="1:16" x14ac:dyDescent="0.35">
      <c r="A2283" t="s">
        <v>111</v>
      </c>
      <c r="B2283">
        <v>1324732687</v>
      </c>
      <c r="C2283" t="s">
        <v>18</v>
      </c>
      <c r="D2283" t="s">
        <v>20</v>
      </c>
      <c r="E2283" s="29">
        <v>46205</v>
      </c>
      <c r="F2283" t="s">
        <v>4</v>
      </c>
      <c r="G2283" s="28">
        <v>0.56180555555555556</v>
      </c>
      <c r="H2283" s="28">
        <v>0.56180555555555556</v>
      </c>
      <c r="I2283">
        <v>0</v>
      </c>
      <c r="J2283" t="s">
        <v>174</v>
      </c>
      <c r="K2283">
        <v>0</v>
      </c>
      <c r="L2283" t="s">
        <v>5175</v>
      </c>
      <c r="M2283" t="s">
        <v>6337</v>
      </c>
      <c r="N2283" t="s">
        <v>6338</v>
      </c>
      <c r="O2283" t="s">
        <v>6339</v>
      </c>
      <c r="P2283" t="s">
        <v>6340</v>
      </c>
    </row>
    <row r="2284" spans="1:16" x14ac:dyDescent="0.35">
      <c r="A2284" t="s">
        <v>111</v>
      </c>
      <c r="B2284">
        <v>1324732687</v>
      </c>
      <c r="C2284" t="s">
        <v>18</v>
      </c>
      <c r="D2284" t="s">
        <v>20</v>
      </c>
      <c r="E2284" s="29">
        <v>46205</v>
      </c>
      <c r="F2284" t="s">
        <v>4</v>
      </c>
      <c r="G2284" s="28">
        <v>0.56874999999999998</v>
      </c>
      <c r="H2284" s="28">
        <v>0.56874999999999998</v>
      </c>
      <c r="I2284">
        <v>0</v>
      </c>
      <c r="J2284" t="s">
        <v>174</v>
      </c>
      <c r="K2284">
        <v>0</v>
      </c>
      <c r="L2284" t="s">
        <v>4835</v>
      </c>
      <c r="M2284" t="s">
        <v>6341</v>
      </c>
      <c r="N2284" t="s">
        <v>6342</v>
      </c>
      <c r="O2284" t="s">
        <v>6343</v>
      </c>
      <c r="P2284" t="s">
        <v>6344</v>
      </c>
    </row>
    <row r="2285" spans="1:16" x14ac:dyDescent="0.35">
      <c r="A2285" t="s">
        <v>111</v>
      </c>
      <c r="B2285">
        <v>1324732687</v>
      </c>
      <c r="C2285" t="s">
        <v>18</v>
      </c>
      <c r="D2285" t="s">
        <v>20</v>
      </c>
      <c r="E2285" s="29">
        <v>46205</v>
      </c>
      <c r="F2285" t="s">
        <v>4</v>
      </c>
      <c r="G2285" s="28">
        <v>0.5756944444444444</v>
      </c>
      <c r="H2285" s="28">
        <v>0.5756944444444444</v>
      </c>
      <c r="I2285">
        <v>0</v>
      </c>
      <c r="J2285" t="s">
        <v>174</v>
      </c>
      <c r="K2285">
        <v>0</v>
      </c>
      <c r="L2285" t="s">
        <v>4556</v>
      </c>
      <c r="M2285" t="s">
        <v>6345</v>
      </c>
      <c r="N2285" t="s">
        <v>6346</v>
      </c>
      <c r="O2285" t="s">
        <v>6347</v>
      </c>
      <c r="P2285" t="s">
        <v>6348</v>
      </c>
    </row>
    <row r="2286" spans="1:16" x14ac:dyDescent="0.35">
      <c r="A2286" t="s">
        <v>111</v>
      </c>
      <c r="B2286">
        <v>1324732687</v>
      </c>
      <c r="C2286" t="s">
        <v>18</v>
      </c>
      <c r="D2286" t="s">
        <v>20</v>
      </c>
      <c r="E2286" s="29">
        <v>46205</v>
      </c>
      <c r="F2286" t="s">
        <v>4</v>
      </c>
      <c r="G2286" s="28">
        <v>0.58263888888888893</v>
      </c>
      <c r="H2286" s="28">
        <v>0.58263888888888893</v>
      </c>
      <c r="I2286">
        <v>0</v>
      </c>
      <c r="J2286" t="s">
        <v>174</v>
      </c>
      <c r="K2286">
        <v>0</v>
      </c>
      <c r="L2286" t="s">
        <v>1672</v>
      </c>
      <c r="M2286" t="s">
        <v>6349</v>
      </c>
      <c r="N2286" t="s">
        <v>6350</v>
      </c>
      <c r="O2286" t="s">
        <v>6351</v>
      </c>
      <c r="P2286" t="s">
        <v>6352</v>
      </c>
    </row>
    <row r="2287" spans="1:16" x14ac:dyDescent="0.35">
      <c r="A2287" t="s">
        <v>111</v>
      </c>
      <c r="B2287">
        <v>1324732687</v>
      </c>
      <c r="C2287" t="s">
        <v>18</v>
      </c>
      <c r="D2287" t="s">
        <v>20</v>
      </c>
      <c r="E2287" s="29">
        <v>46205</v>
      </c>
      <c r="F2287" t="s">
        <v>4</v>
      </c>
      <c r="G2287" s="28">
        <v>0.58958333333333335</v>
      </c>
      <c r="H2287" s="28">
        <v>0.58958333333333335</v>
      </c>
      <c r="I2287">
        <v>0</v>
      </c>
      <c r="J2287" t="s">
        <v>174</v>
      </c>
      <c r="K2287">
        <v>0</v>
      </c>
      <c r="L2287" t="s">
        <v>1148</v>
      </c>
      <c r="M2287" t="s">
        <v>6353</v>
      </c>
      <c r="N2287" t="s">
        <v>6354</v>
      </c>
      <c r="O2287" t="s">
        <v>6355</v>
      </c>
      <c r="P2287" t="s">
        <v>6356</v>
      </c>
    </row>
    <row r="2288" spans="1:16" x14ac:dyDescent="0.35">
      <c r="A2288" t="s">
        <v>111</v>
      </c>
      <c r="B2288">
        <v>1324732687</v>
      </c>
      <c r="C2288" t="s">
        <v>18</v>
      </c>
      <c r="D2288" t="s">
        <v>20</v>
      </c>
      <c r="E2288" s="29">
        <v>46205</v>
      </c>
      <c r="F2288" t="s">
        <v>4</v>
      </c>
      <c r="G2288" s="28">
        <v>0.59652777777777777</v>
      </c>
      <c r="H2288" s="28">
        <v>0.61041666666666672</v>
      </c>
      <c r="I2288">
        <v>0</v>
      </c>
      <c r="J2288" t="s">
        <v>146</v>
      </c>
      <c r="K2288">
        <v>1</v>
      </c>
      <c r="L2288" t="s">
        <v>147</v>
      </c>
      <c r="M2288" t="s">
        <v>6357</v>
      </c>
      <c r="N2288" t="s">
        <v>6358</v>
      </c>
      <c r="O2288" t="s">
        <v>6359</v>
      </c>
      <c r="P2288" t="s">
        <v>6360</v>
      </c>
    </row>
    <row r="2289" spans="1:16" x14ac:dyDescent="0.35">
      <c r="A2289" t="s">
        <v>111</v>
      </c>
      <c r="B2289">
        <v>1324732687</v>
      </c>
      <c r="C2289" t="s">
        <v>18</v>
      </c>
      <c r="D2289" t="s">
        <v>20</v>
      </c>
      <c r="E2289" s="29">
        <v>46205</v>
      </c>
      <c r="F2289" t="s">
        <v>4</v>
      </c>
      <c r="G2289" s="28">
        <v>0.61736111111111114</v>
      </c>
      <c r="H2289" s="28">
        <v>0.74930555555555556</v>
      </c>
      <c r="I2289">
        <v>3</v>
      </c>
      <c r="J2289" t="s">
        <v>146</v>
      </c>
      <c r="K2289">
        <v>10</v>
      </c>
      <c r="L2289" t="s">
        <v>147</v>
      </c>
      <c r="M2289" t="s">
        <v>6361</v>
      </c>
      <c r="N2289" t="s">
        <v>6362</v>
      </c>
      <c r="O2289" t="s">
        <v>6363</v>
      </c>
      <c r="P2289" t="s">
        <v>6364</v>
      </c>
    </row>
    <row r="2290" spans="1:16" x14ac:dyDescent="0.35">
      <c r="A2290" t="s">
        <v>111</v>
      </c>
      <c r="B2290">
        <v>1324732687</v>
      </c>
      <c r="C2290" t="s">
        <v>18</v>
      </c>
      <c r="D2290" t="s">
        <v>20</v>
      </c>
      <c r="E2290" s="29">
        <v>46205</v>
      </c>
      <c r="F2290" t="s">
        <v>4</v>
      </c>
      <c r="G2290" s="28">
        <v>0.75624999999999998</v>
      </c>
      <c r="H2290" s="28">
        <v>0.77013888888888893</v>
      </c>
      <c r="I2290">
        <v>0</v>
      </c>
      <c r="J2290" t="s">
        <v>146</v>
      </c>
      <c r="K2290">
        <v>1</v>
      </c>
      <c r="L2290" t="s">
        <v>147</v>
      </c>
      <c r="M2290" t="s">
        <v>6357</v>
      </c>
      <c r="N2290" t="s">
        <v>6358</v>
      </c>
      <c r="O2290" t="s">
        <v>6359</v>
      </c>
      <c r="P2290" t="s">
        <v>6360</v>
      </c>
    </row>
    <row r="2291" spans="1:16" x14ac:dyDescent="0.35">
      <c r="A2291" t="s">
        <v>111</v>
      </c>
      <c r="B2291">
        <v>1324732687</v>
      </c>
      <c r="C2291" t="s">
        <v>18</v>
      </c>
      <c r="D2291" t="s">
        <v>20</v>
      </c>
      <c r="E2291" s="29">
        <v>46205</v>
      </c>
      <c r="F2291" t="s">
        <v>4</v>
      </c>
      <c r="G2291" s="28">
        <v>0.77708333333333335</v>
      </c>
      <c r="H2291" s="28">
        <v>0.77708333333333335</v>
      </c>
      <c r="I2291">
        <v>0</v>
      </c>
      <c r="J2291" t="s">
        <v>174</v>
      </c>
      <c r="K2291">
        <v>0</v>
      </c>
      <c r="L2291" t="s">
        <v>6270</v>
      </c>
      <c r="M2291" t="s">
        <v>6365</v>
      </c>
      <c r="N2291" t="s">
        <v>6366</v>
      </c>
      <c r="O2291" t="s">
        <v>6367</v>
      </c>
      <c r="P2291" t="s">
        <v>6368</v>
      </c>
    </row>
    <row r="2292" spans="1:16" x14ac:dyDescent="0.35">
      <c r="A2292" t="s">
        <v>111</v>
      </c>
      <c r="B2292">
        <v>1324732687</v>
      </c>
      <c r="C2292" t="s">
        <v>18</v>
      </c>
      <c r="D2292" t="s">
        <v>20</v>
      </c>
      <c r="E2292" s="29">
        <v>46205</v>
      </c>
      <c r="F2292" t="s">
        <v>4</v>
      </c>
      <c r="G2292" s="28">
        <v>0.78402777777777777</v>
      </c>
      <c r="H2292" s="28">
        <v>0.78402777777777777</v>
      </c>
      <c r="I2292">
        <v>0</v>
      </c>
      <c r="J2292" t="s">
        <v>174</v>
      </c>
      <c r="K2292">
        <v>0</v>
      </c>
      <c r="L2292" t="s">
        <v>5300</v>
      </c>
      <c r="M2292" t="s">
        <v>6369</v>
      </c>
      <c r="N2292" t="s">
        <v>6370</v>
      </c>
      <c r="O2292" t="s">
        <v>6371</v>
      </c>
      <c r="P2292" t="s">
        <v>6372</v>
      </c>
    </row>
    <row r="2293" spans="1:16" x14ac:dyDescent="0.35">
      <c r="A2293" t="s">
        <v>111</v>
      </c>
      <c r="B2293">
        <v>1324732687</v>
      </c>
      <c r="C2293" t="s">
        <v>18</v>
      </c>
      <c r="D2293" t="s">
        <v>20</v>
      </c>
      <c r="E2293" s="29">
        <v>46205</v>
      </c>
      <c r="F2293" t="s">
        <v>4</v>
      </c>
      <c r="G2293" s="28">
        <v>0.79097222222222219</v>
      </c>
      <c r="H2293" s="28">
        <v>0.79097222222222219</v>
      </c>
      <c r="I2293">
        <v>0</v>
      </c>
      <c r="J2293" t="s">
        <v>174</v>
      </c>
      <c r="K2293">
        <v>0</v>
      </c>
      <c r="L2293" t="s">
        <v>4547</v>
      </c>
      <c r="M2293" t="s">
        <v>6373</v>
      </c>
      <c r="N2293" t="s">
        <v>6374</v>
      </c>
      <c r="O2293" t="s">
        <v>6375</v>
      </c>
      <c r="P2293" t="s">
        <v>6376</v>
      </c>
    </row>
    <row r="2294" spans="1:16" x14ac:dyDescent="0.35">
      <c r="A2294" t="s">
        <v>111</v>
      </c>
      <c r="B2294">
        <v>1324732687</v>
      </c>
      <c r="C2294" t="s">
        <v>18</v>
      </c>
      <c r="D2294" t="s">
        <v>20</v>
      </c>
      <c r="E2294" s="29">
        <v>46207</v>
      </c>
      <c r="F2294" t="s">
        <v>5</v>
      </c>
      <c r="G2294" s="28">
        <v>0.43680555555555556</v>
      </c>
      <c r="H2294" s="28">
        <v>0.47847222222222224</v>
      </c>
      <c r="I2294">
        <v>1</v>
      </c>
      <c r="J2294" t="s">
        <v>146</v>
      </c>
      <c r="K2294">
        <v>3</v>
      </c>
      <c r="L2294" t="s">
        <v>147</v>
      </c>
      <c r="M2294" t="s">
        <v>6357</v>
      </c>
      <c r="N2294" t="s">
        <v>6358</v>
      </c>
      <c r="O2294" t="s">
        <v>6359</v>
      </c>
      <c r="P2294" t="s">
        <v>6360</v>
      </c>
    </row>
    <row r="2295" spans="1:16" x14ac:dyDescent="0.35">
      <c r="A2295" t="s">
        <v>111</v>
      </c>
      <c r="B2295">
        <v>1324732687</v>
      </c>
      <c r="C2295" t="s">
        <v>18</v>
      </c>
      <c r="D2295" t="s">
        <v>20</v>
      </c>
      <c r="E2295" s="29">
        <v>46207</v>
      </c>
      <c r="F2295" t="s">
        <v>5</v>
      </c>
      <c r="G2295" s="28">
        <v>0.49236111111111114</v>
      </c>
      <c r="H2295" s="28">
        <v>0.49236111111111114</v>
      </c>
      <c r="I2295">
        <v>0</v>
      </c>
      <c r="J2295" t="s">
        <v>174</v>
      </c>
      <c r="K2295">
        <v>0</v>
      </c>
      <c r="L2295" t="s">
        <v>186</v>
      </c>
      <c r="M2295" t="s">
        <v>6377</v>
      </c>
      <c r="N2295" t="s">
        <v>6378</v>
      </c>
      <c r="O2295" t="s">
        <v>6379</v>
      </c>
      <c r="P2295" t="s">
        <v>6380</v>
      </c>
    </row>
    <row r="2296" spans="1:16" x14ac:dyDescent="0.35">
      <c r="A2296" t="s">
        <v>111</v>
      </c>
      <c r="B2296">
        <v>1324732687</v>
      </c>
      <c r="C2296" t="s">
        <v>18</v>
      </c>
      <c r="D2296" t="s">
        <v>20</v>
      </c>
      <c r="E2296" s="29">
        <v>46207</v>
      </c>
      <c r="F2296" t="s">
        <v>5</v>
      </c>
      <c r="G2296" s="28">
        <v>0.49930555555555556</v>
      </c>
      <c r="H2296" s="28">
        <v>0.75624999999999998</v>
      </c>
      <c r="I2296">
        <v>6</v>
      </c>
      <c r="J2296" t="s">
        <v>146</v>
      </c>
      <c r="K2296">
        <v>18</v>
      </c>
      <c r="L2296" t="s">
        <v>147</v>
      </c>
      <c r="M2296" t="s">
        <v>6361</v>
      </c>
      <c r="N2296" t="s">
        <v>6362</v>
      </c>
      <c r="O2296" t="s">
        <v>6363</v>
      </c>
      <c r="P2296" t="s">
        <v>6364</v>
      </c>
    </row>
    <row r="2297" spans="1:16" x14ac:dyDescent="0.35">
      <c r="A2297" t="s">
        <v>111</v>
      </c>
      <c r="B2297">
        <v>1324732687</v>
      </c>
      <c r="C2297" t="s">
        <v>18</v>
      </c>
      <c r="D2297" t="s">
        <v>20</v>
      </c>
      <c r="E2297" s="29">
        <v>46207</v>
      </c>
      <c r="F2297" t="s">
        <v>5</v>
      </c>
      <c r="G2297" s="28">
        <v>0.7631944444444444</v>
      </c>
      <c r="H2297" s="28">
        <v>0.7631944444444444</v>
      </c>
      <c r="I2297">
        <v>0</v>
      </c>
      <c r="J2297" t="s">
        <v>174</v>
      </c>
      <c r="K2297">
        <v>0</v>
      </c>
      <c r="L2297" t="s">
        <v>480</v>
      </c>
      <c r="M2297" t="s">
        <v>6377</v>
      </c>
      <c r="N2297" t="s">
        <v>6378</v>
      </c>
      <c r="O2297" t="s">
        <v>6379</v>
      </c>
      <c r="P2297" t="s">
        <v>6380</v>
      </c>
    </row>
    <row r="2298" spans="1:16" x14ac:dyDescent="0.35">
      <c r="A2298" t="s">
        <v>111</v>
      </c>
      <c r="B2298">
        <v>1324732687</v>
      </c>
      <c r="C2298" t="s">
        <v>18</v>
      </c>
      <c r="D2298" t="s">
        <v>20</v>
      </c>
      <c r="E2298" s="29">
        <v>46207</v>
      </c>
      <c r="F2298" t="s">
        <v>5</v>
      </c>
      <c r="G2298" s="28">
        <v>0.77013888888888893</v>
      </c>
      <c r="H2298" s="28">
        <v>0.77013888888888893</v>
      </c>
      <c r="I2298">
        <v>0</v>
      </c>
      <c r="J2298" t="s">
        <v>174</v>
      </c>
      <c r="K2298">
        <v>0</v>
      </c>
      <c r="L2298" t="s">
        <v>6381</v>
      </c>
      <c r="M2298" t="s">
        <v>6357</v>
      </c>
      <c r="N2298" t="s">
        <v>6358</v>
      </c>
      <c r="O2298" t="s">
        <v>6359</v>
      </c>
      <c r="P2298" t="s">
        <v>6360</v>
      </c>
    </row>
    <row r="2299" spans="1:16" x14ac:dyDescent="0.35">
      <c r="A2299" t="s">
        <v>111</v>
      </c>
      <c r="B2299">
        <v>1324732687</v>
      </c>
      <c r="C2299" t="s">
        <v>18</v>
      </c>
      <c r="D2299" t="s">
        <v>20</v>
      </c>
      <c r="E2299" s="29">
        <v>46207</v>
      </c>
      <c r="F2299" t="s">
        <v>5</v>
      </c>
      <c r="G2299" s="28">
        <v>0.77708333333333335</v>
      </c>
      <c r="H2299" s="28">
        <v>0.77708333333333335</v>
      </c>
      <c r="I2299">
        <v>0</v>
      </c>
      <c r="J2299" t="s">
        <v>174</v>
      </c>
      <c r="K2299">
        <v>0</v>
      </c>
      <c r="L2299" t="s">
        <v>186</v>
      </c>
      <c r="M2299" t="s">
        <v>6361</v>
      </c>
      <c r="N2299" t="s">
        <v>6362</v>
      </c>
      <c r="O2299" t="s">
        <v>6363</v>
      </c>
      <c r="P2299" t="s">
        <v>6364</v>
      </c>
    </row>
    <row r="2300" spans="1:16" x14ac:dyDescent="0.35">
      <c r="A2300" t="s">
        <v>111</v>
      </c>
      <c r="B2300">
        <v>1324732687</v>
      </c>
      <c r="C2300" t="s">
        <v>18</v>
      </c>
      <c r="D2300" t="s">
        <v>20</v>
      </c>
      <c r="E2300" s="29">
        <v>46207</v>
      </c>
      <c r="F2300" t="s">
        <v>5</v>
      </c>
      <c r="G2300" s="28">
        <v>0.78402777777777777</v>
      </c>
      <c r="H2300" s="28">
        <v>0.78402777777777777</v>
      </c>
      <c r="I2300">
        <v>0</v>
      </c>
      <c r="J2300" t="s">
        <v>174</v>
      </c>
      <c r="K2300">
        <v>0</v>
      </c>
      <c r="L2300" t="s">
        <v>480</v>
      </c>
      <c r="M2300" t="s">
        <v>6377</v>
      </c>
      <c r="N2300" t="s">
        <v>6378</v>
      </c>
      <c r="O2300" t="s">
        <v>6379</v>
      </c>
      <c r="P2300" t="s">
        <v>6380</v>
      </c>
    </row>
    <row r="2301" spans="1:16" x14ac:dyDescent="0.35">
      <c r="A2301" t="s">
        <v>111</v>
      </c>
      <c r="B2301">
        <v>1324732687</v>
      </c>
      <c r="C2301" t="s">
        <v>18</v>
      </c>
      <c r="D2301" t="s">
        <v>20</v>
      </c>
      <c r="E2301" s="29">
        <v>46207</v>
      </c>
      <c r="F2301" t="s">
        <v>5</v>
      </c>
      <c r="G2301" s="28">
        <v>0.79097222222222219</v>
      </c>
      <c r="H2301" s="28">
        <v>0.79097222222222219</v>
      </c>
      <c r="I2301">
        <v>0</v>
      </c>
      <c r="J2301" t="s">
        <v>174</v>
      </c>
      <c r="K2301">
        <v>0</v>
      </c>
      <c r="L2301" t="s">
        <v>480</v>
      </c>
      <c r="M2301" t="s">
        <v>6357</v>
      </c>
      <c r="N2301" t="s">
        <v>6358</v>
      </c>
      <c r="O2301" t="s">
        <v>6359</v>
      </c>
      <c r="P2301" t="s">
        <v>6360</v>
      </c>
    </row>
    <row r="2302" spans="1:16" x14ac:dyDescent="0.35">
      <c r="A2302" t="s">
        <v>111</v>
      </c>
      <c r="B2302">
        <v>1324732687</v>
      </c>
      <c r="C2302" t="s">
        <v>18</v>
      </c>
      <c r="D2302" t="s">
        <v>20</v>
      </c>
      <c r="E2302" s="29">
        <v>46208</v>
      </c>
      <c r="F2302" t="s">
        <v>6</v>
      </c>
      <c r="G2302" s="28">
        <v>0.42986111111111114</v>
      </c>
      <c r="H2302" s="28">
        <v>0.42986111111111114</v>
      </c>
      <c r="I2302">
        <v>0</v>
      </c>
      <c r="J2302" t="s">
        <v>174</v>
      </c>
      <c r="K2302">
        <v>0</v>
      </c>
      <c r="L2302" t="s">
        <v>6381</v>
      </c>
      <c r="M2302" t="s">
        <v>6357</v>
      </c>
      <c r="N2302" t="s">
        <v>6358</v>
      </c>
      <c r="O2302" t="s">
        <v>6359</v>
      </c>
      <c r="P2302" t="s">
        <v>6360</v>
      </c>
    </row>
    <row r="2303" spans="1:16" x14ac:dyDescent="0.35">
      <c r="A2303" t="s">
        <v>111</v>
      </c>
      <c r="B2303">
        <v>1324732687</v>
      </c>
      <c r="C2303" t="s">
        <v>18</v>
      </c>
      <c r="D2303" t="s">
        <v>20</v>
      </c>
      <c r="E2303" s="29">
        <v>46208</v>
      </c>
      <c r="F2303" t="s">
        <v>6</v>
      </c>
      <c r="G2303" s="28">
        <v>0.43680555555555556</v>
      </c>
      <c r="H2303" s="28">
        <v>0.45069444444444445</v>
      </c>
      <c r="I2303">
        <v>0</v>
      </c>
      <c r="J2303" t="s">
        <v>146</v>
      </c>
      <c r="K2303">
        <v>1</v>
      </c>
      <c r="L2303" t="s">
        <v>147</v>
      </c>
      <c r="M2303" t="s">
        <v>6361</v>
      </c>
      <c r="N2303" t="s">
        <v>6362</v>
      </c>
      <c r="O2303" t="s">
        <v>6363</v>
      </c>
      <c r="P2303" t="s">
        <v>6364</v>
      </c>
    </row>
    <row r="2304" spans="1:16" x14ac:dyDescent="0.35">
      <c r="A2304" t="s">
        <v>111</v>
      </c>
      <c r="B2304">
        <v>1324732687</v>
      </c>
      <c r="C2304" t="s">
        <v>18</v>
      </c>
      <c r="D2304" t="s">
        <v>20</v>
      </c>
      <c r="E2304" s="29">
        <v>46208</v>
      </c>
      <c r="F2304" t="s">
        <v>6</v>
      </c>
      <c r="G2304" s="28">
        <v>0.45763888888888887</v>
      </c>
      <c r="H2304" s="28">
        <v>0.47847222222222224</v>
      </c>
      <c r="I2304">
        <v>1</v>
      </c>
      <c r="J2304" t="s">
        <v>146</v>
      </c>
      <c r="K2304">
        <v>2</v>
      </c>
      <c r="L2304" t="s">
        <v>147</v>
      </c>
      <c r="M2304" t="s">
        <v>6357</v>
      </c>
      <c r="N2304" t="s">
        <v>6358</v>
      </c>
      <c r="O2304" t="s">
        <v>6359</v>
      </c>
      <c r="P2304" t="s">
        <v>6360</v>
      </c>
    </row>
    <row r="2305" spans="1:16" x14ac:dyDescent="0.35">
      <c r="A2305" t="s">
        <v>111</v>
      </c>
      <c r="B2305">
        <v>1324732687</v>
      </c>
      <c r="C2305" t="s">
        <v>18</v>
      </c>
      <c r="D2305" t="s">
        <v>20</v>
      </c>
      <c r="E2305" s="29">
        <v>46208</v>
      </c>
      <c r="F2305" t="s">
        <v>6</v>
      </c>
      <c r="G2305" s="28">
        <v>0.48541666666666666</v>
      </c>
      <c r="H2305" s="28">
        <v>0.48541666666666666</v>
      </c>
      <c r="I2305">
        <v>0</v>
      </c>
      <c r="J2305" t="s">
        <v>174</v>
      </c>
      <c r="K2305">
        <v>0</v>
      </c>
      <c r="L2305" t="s">
        <v>1307</v>
      </c>
      <c r="M2305" t="s">
        <v>6382</v>
      </c>
      <c r="N2305" t="s">
        <v>6383</v>
      </c>
      <c r="O2305" t="s">
        <v>6384</v>
      </c>
      <c r="P2305" t="s">
        <v>6385</v>
      </c>
    </row>
    <row r="2306" spans="1:16" x14ac:dyDescent="0.35">
      <c r="A2306" t="s">
        <v>111</v>
      </c>
      <c r="B2306">
        <v>1324732687</v>
      </c>
      <c r="C2306" t="s">
        <v>18</v>
      </c>
      <c r="D2306" t="s">
        <v>20</v>
      </c>
      <c r="E2306" s="29">
        <v>46208</v>
      </c>
      <c r="F2306" t="s">
        <v>6</v>
      </c>
      <c r="G2306" s="28">
        <v>0.49236111111111114</v>
      </c>
      <c r="H2306" s="28">
        <v>0.49236111111111114</v>
      </c>
      <c r="I2306">
        <v>0</v>
      </c>
      <c r="J2306" t="s">
        <v>174</v>
      </c>
      <c r="K2306">
        <v>0</v>
      </c>
      <c r="L2306" t="s">
        <v>1307</v>
      </c>
      <c r="M2306" t="s">
        <v>6357</v>
      </c>
      <c r="N2306" t="s">
        <v>6358</v>
      </c>
      <c r="O2306" t="s">
        <v>6359</v>
      </c>
      <c r="P2306" t="s">
        <v>6360</v>
      </c>
    </row>
    <row r="2307" spans="1:16" x14ac:dyDescent="0.35">
      <c r="A2307" t="s">
        <v>111</v>
      </c>
      <c r="B2307">
        <v>1324732687</v>
      </c>
      <c r="C2307" t="s">
        <v>18</v>
      </c>
      <c r="D2307" t="s">
        <v>20</v>
      </c>
      <c r="E2307" s="29">
        <v>46208</v>
      </c>
      <c r="F2307" t="s">
        <v>6</v>
      </c>
      <c r="G2307" s="28">
        <v>0.49930555555555556</v>
      </c>
      <c r="H2307" s="28">
        <v>0.49930555555555556</v>
      </c>
      <c r="I2307">
        <v>0</v>
      </c>
      <c r="J2307" t="s">
        <v>174</v>
      </c>
      <c r="K2307">
        <v>0</v>
      </c>
      <c r="L2307" t="s">
        <v>695</v>
      </c>
      <c r="M2307" t="s">
        <v>6382</v>
      </c>
      <c r="N2307" t="s">
        <v>6383</v>
      </c>
      <c r="O2307" t="s">
        <v>6384</v>
      </c>
      <c r="P2307" t="s">
        <v>6385</v>
      </c>
    </row>
    <row r="2308" spans="1:16" x14ac:dyDescent="0.35">
      <c r="A2308" t="s">
        <v>111</v>
      </c>
      <c r="B2308">
        <v>1324732687</v>
      </c>
      <c r="C2308" t="s">
        <v>18</v>
      </c>
      <c r="D2308" t="s">
        <v>20</v>
      </c>
      <c r="E2308" s="29">
        <v>46208</v>
      </c>
      <c r="F2308" t="s">
        <v>6</v>
      </c>
      <c r="G2308" s="28">
        <v>0.50624999999999998</v>
      </c>
      <c r="H2308" s="28">
        <v>0.74236111111111114</v>
      </c>
      <c r="I2308">
        <v>6</v>
      </c>
      <c r="J2308" t="s">
        <v>146</v>
      </c>
      <c r="K2308">
        <v>17</v>
      </c>
      <c r="L2308" t="s">
        <v>147</v>
      </c>
      <c r="M2308" t="s">
        <v>6361</v>
      </c>
      <c r="N2308" t="s">
        <v>6362</v>
      </c>
      <c r="O2308" t="s">
        <v>6363</v>
      </c>
      <c r="P2308" t="s">
        <v>6364</v>
      </c>
    </row>
    <row r="2309" spans="1:16" x14ac:dyDescent="0.35">
      <c r="A2309" t="s">
        <v>111</v>
      </c>
      <c r="B2309">
        <v>1324732687</v>
      </c>
      <c r="C2309" t="s">
        <v>18</v>
      </c>
      <c r="D2309" t="s">
        <v>20</v>
      </c>
      <c r="E2309" s="29">
        <v>46208</v>
      </c>
      <c r="F2309" t="s">
        <v>6</v>
      </c>
      <c r="G2309" s="28">
        <v>0.74930555555555556</v>
      </c>
      <c r="H2309" s="28">
        <v>0.74930555555555556</v>
      </c>
      <c r="I2309">
        <v>0</v>
      </c>
      <c r="J2309" t="s">
        <v>174</v>
      </c>
      <c r="K2309">
        <v>0</v>
      </c>
      <c r="L2309" t="s">
        <v>186</v>
      </c>
      <c r="M2309" t="s">
        <v>6377</v>
      </c>
      <c r="N2309" t="s">
        <v>6378</v>
      </c>
      <c r="O2309" t="s">
        <v>6379</v>
      </c>
      <c r="P2309" t="s">
        <v>6380</v>
      </c>
    </row>
    <row r="2310" spans="1:16" x14ac:dyDescent="0.35">
      <c r="A2310" t="s">
        <v>111</v>
      </c>
      <c r="B2310">
        <v>1324732687</v>
      </c>
      <c r="C2310" t="s">
        <v>18</v>
      </c>
      <c r="D2310" t="s">
        <v>20</v>
      </c>
      <c r="E2310" s="29">
        <v>46208</v>
      </c>
      <c r="F2310" t="s">
        <v>6</v>
      </c>
      <c r="G2310" s="28">
        <v>0.75624999999999998</v>
      </c>
      <c r="H2310" s="28">
        <v>0.79097222222222219</v>
      </c>
      <c r="I2310">
        <v>1</v>
      </c>
      <c r="J2310" t="s">
        <v>146</v>
      </c>
      <c r="K2310">
        <v>2</v>
      </c>
      <c r="L2310" t="s">
        <v>147</v>
      </c>
      <c r="M2310" t="s">
        <v>6361</v>
      </c>
      <c r="N2310" t="s">
        <v>6362</v>
      </c>
      <c r="O2310" t="s">
        <v>6363</v>
      </c>
      <c r="P2310" t="s">
        <v>6364</v>
      </c>
    </row>
    <row r="2311" spans="1:16" x14ac:dyDescent="0.35">
      <c r="A2311" t="s">
        <v>128</v>
      </c>
      <c r="B2311">
        <v>1704124003</v>
      </c>
      <c r="C2311" t="s">
        <v>18</v>
      </c>
      <c r="D2311" t="s">
        <v>21</v>
      </c>
      <c r="E2311" s="29">
        <v>46204</v>
      </c>
      <c r="F2311" t="s">
        <v>3</v>
      </c>
      <c r="G2311" s="28">
        <v>0.38263888888888886</v>
      </c>
      <c r="H2311" s="28">
        <v>0.38263888888888886</v>
      </c>
      <c r="I2311">
        <v>0</v>
      </c>
      <c r="J2311" t="s">
        <v>174</v>
      </c>
      <c r="K2311">
        <v>0</v>
      </c>
      <c r="L2311" t="s">
        <v>359</v>
      </c>
      <c r="M2311" t="s">
        <v>6386</v>
      </c>
      <c r="N2311" t="s">
        <v>6387</v>
      </c>
      <c r="O2311" t="s">
        <v>6388</v>
      </c>
      <c r="P2311" t="s">
        <v>6389</v>
      </c>
    </row>
    <row r="2312" spans="1:16" x14ac:dyDescent="0.35">
      <c r="A2312" t="s">
        <v>128</v>
      </c>
      <c r="B2312">
        <v>1704124003</v>
      </c>
      <c r="C2312" t="s">
        <v>18</v>
      </c>
      <c r="D2312" t="s">
        <v>21</v>
      </c>
      <c r="E2312" s="29">
        <v>46204</v>
      </c>
      <c r="F2312" t="s">
        <v>3</v>
      </c>
      <c r="G2312" s="28">
        <v>0.38958333333333334</v>
      </c>
      <c r="H2312" s="28">
        <v>0.38958333333333334</v>
      </c>
      <c r="I2312">
        <v>0</v>
      </c>
      <c r="J2312" t="s">
        <v>174</v>
      </c>
      <c r="K2312">
        <v>0</v>
      </c>
      <c r="L2312" t="s">
        <v>6390</v>
      </c>
      <c r="M2312" t="s">
        <v>6391</v>
      </c>
      <c r="N2312" t="s">
        <v>6392</v>
      </c>
      <c r="O2312" t="s">
        <v>6393</v>
      </c>
      <c r="P2312" t="s">
        <v>6394</v>
      </c>
    </row>
    <row r="2313" spans="1:16" x14ac:dyDescent="0.35">
      <c r="A2313" t="s">
        <v>128</v>
      </c>
      <c r="B2313">
        <v>1704124003</v>
      </c>
      <c r="C2313" t="s">
        <v>18</v>
      </c>
      <c r="D2313" t="s">
        <v>21</v>
      </c>
      <c r="E2313" s="29">
        <v>46204</v>
      </c>
      <c r="F2313" t="s">
        <v>3</v>
      </c>
      <c r="G2313" s="28">
        <v>0.39652777777777776</v>
      </c>
      <c r="H2313" s="28">
        <v>0.39652777777777776</v>
      </c>
      <c r="I2313">
        <v>0</v>
      </c>
      <c r="J2313" t="s">
        <v>174</v>
      </c>
      <c r="K2313">
        <v>0</v>
      </c>
      <c r="L2313" t="s">
        <v>6395</v>
      </c>
      <c r="M2313" t="s">
        <v>6396</v>
      </c>
      <c r="N2313" t="s">
        <v>6397</v>
      </c>
      <c r="O2313" t="s">
        <v>6398</v>
      </c>
      <c r="P2313" t="s">
        <v>6399</v>
      </c>
    </row>
    <row r="2314" spans="1:16" x14ac:dyDescent="0.35">
      <c r="A2314" t="s">
        <v>128</v>
      </c>
      <c r="B2314">
        <v>1704124003</v>
      </c>
      <c r="C2314" t="s">
        <v>18</v>
      </c>
      <c r="D2314" t="s">
        <v>21</v>
      </c>
      <c r="E2314" s="29">
        <v>46204</v>
      </c>
      <c r="F2314" t="s">
        <v>3</v>
      </c>
      <c r="G2314" s="28">
        <v>0.40347222222222223</v>
      </c>
      <c r="H2314" s="28">
        <v>0.40347222222222223</v>
      </c>
      <c r="I2314">
        <v>0</v>
      </c>
      <c r="J2314" t="s">
        <v>174</v>
      </c>
      <c r="K2314">
        <v>0</v>
      </c>
      <c r="L2314" t="s">
        <v>6400</v>
      </c>
      <c r="M2314" t="s">
        <v>6401</v>
      </c>
      <c r="N2314" t="s">
        <v>6402</v>
      </c>
      <c r="O2314" t="s">
        <v>6403</v>
      </c>
      <c r="P2314" t="s">
        <v>6404</v>
      </c>
    </row>
    <row r="2315" spans="1:16" x14ac:dyDescent="0.35">
      <c r="A2315" t="s">
        <v>128</v>
      </c>
      <c r="B2315">
        <v>1704124003</v>
      </c>
      <c r="C2315" t="s">
        <v>18</v>
      </c>
      <c r="D2315" t="s">
        <v>21</v>
      </c>
      <c r="E2315" s="29">
        <v>46204</v>
      </c>
      <c r="F2315" t="s">
        <v>3</v>
      </c>
      <c r="G2315" s="28">
        <v>0.41041666666666665</v>
      </c>
      <c r="H2315" s="28">
        <v>0.41041666666666665</v>
      </c>
      <c r="I2315">
        <v>0</v>
      </c>
      <c r="J2315" t="s">
        <v>174</v>
      </c>
      <c r="K2315">
        <v>0</v>
      </c>
      <c r="L2315" t="s">
        <v>176</v>
      </c>
      <c r="M2315" t="s">
        <v>6405</v>
      </c>
      <c r="N2315" t="s">
        <v>6406</v>
      </c>
      <c r="O2315" t="s">
        <v>6407</v>
      </c>
      <c r="P2315" t="s">
        <v>6408</v>
      </c>
    </row>
    <row r="2316" spans="1:16" x14ac:dyDescent="0.35">
      <c r="A2316" t="s">
        <v>128</v>
      </c>
      <c r="B2316">
        <v>1704124003</v>
      </c>
      <c r="C2316" t="s">
        <v>18</v>
      </c>
      <c r="D2316" t="s">
        <v>21</v>
      </c>
      <c r="E2316" s="29">
        <v>46204</v>
      </c>
      <c r="F2316" t="s">
        <v>3</v>
      </c>
      <c r="G2316" s="28">
        <v>0.41805555555555557</v>
      </c>
      <c r="H2316" s="28">
        <v>0.43125000000000002</v>
      </c>
      <c r="I2316">
        <v>0</v>
      </c>
      <c r="J2316" t="s">
        <v>146</v>
      </c>
      <c r="K2316">
        <v>1</v>
      </c>
      <c r="L2316" t="s">
        <v>147</v>
      </c>
      <c r="M2316" t="s">
        <v>6409</v>
      </c>
      <c r="N2316" t="s">
        <v>6410</v>
      </c>
      <c r="O2316" t="s">
        <v>6411</v>
      </c>
      <c r="P2316" t="s">
        <v>6412</v>
      </c>
    </row>
    <row r="2317" spans="1:16" x14ac:dyDescent="0.35">
      <c r="A2317" t="s">
        <v>128</v>
      </c>
      <c r="B2317">
        <v>1704124003</v>
      </c>
      <c r="C2317" t="s">
        <v>18</v>
      </c>
      <c r="D2317" t="s">
        <v>21</v>
      </c>
      <c r="E2317" s="29">
        <v>46204</v>
      </c>
      <c r="F2317" t="s">
        <v>3</v>
      </c>
      <c r="G2317" s="28">
        <v>0.43819444444444444</v>
      </c>
      <c r="H2317" s="28">
        <v>0.43819444444444444</v>
      </c>
      <c r="I2317">
        <v>0</v>
      </c>
      <c r="J2317" t="s">
        <v>174</v>
      </c>
      <c r="K2317">
        <v>0</v>
      </c>
      <c r="L2317" t="s">
        <v>2707</v>
      </c>
      <c r="M2317" t="s">
        <v>6413</v>
      </c>
      <c r="N2317" t="s">
        <v>6414</v>
      </c>
      <c r="O2317" t="s">
        <v>6415</v>
      </c>
      <c r="P2317" t="s">
        <v>6416</v>
      </c>
    </row>
    <row r="2318" spans="1:16" x14ac:dyDescent="0.35">
      <c r="A2318" t="s">
        <v>128</v>
      </c>
      <c r="B2318">
        <v>1704124003</v>
      </c>
      <c r="C2318" t="s">
        <v>18</v>
      </c>
      <c r="D2318" t="s">
        <v>21</v>
      </c>
      <c r="E2318" s="29">
        <v>46204</v>
      </c>
      <c r="F2318" t="s">
        <v>3</v>
      </c>
      <c r="G2318" s="28">
        <v>0.44513888888888886</v>
      </c>
      <c r="H2318" s="28">
        <v>0.44513888888888886</v>
      </c>
      <c r="I2318">
        <v>0</v>
      </c>
      <c r="J2318" t="s">
        <v>174</v>
      </c>
      <c r="K2318">
        <v>0</v>
      </c>
      <c r="L2318" t="s">
        <v>1891</v>
      </c>
      <c r="M2318" t="s">
        <v>6417</v>
      </c>
      <c r="N2318" t="s">
        <v>6418</v>
      </c>
      <c r="O2318" t="s">
        <v>6419</v>
      </c>
      <c r="P2318" t="s">
        <v>6420</v>
      </c>
    </row>
    <row r="2319" spans="1:16" x14ac:dyDescent="0.35">
      <c r="A2319" t="s">
        <v>128</v>
      </c>
      <c r="B2319">
        <v>1704124003</v>
      </c>
      <c r="C2319" t="s">
        <v>18</v>
      </c>
      <c r="D2319" t="s">
        <v>21</v>
      </c>
      <c r="E2319" s="29">
        <v>46204</v>
      </c>
      <c r="F2319" t="s">
        <v>3</v>
      </c>
      <c r="G2319" s="28">
        <v>0.45208333333333334</v>
      </c>
      <c r="H2319" s="28">
        <v>0.45208333333333334</v>
      </c>
      <c r="I2319">
        <v>0</v>
      </c>
      <c r="J2319" t="s">
        <v>174</v>
      </c>
      <c r="K2319">
        <v>0</v>
      </c>
      <c r="L2319" t="s">
        <v>6421</v>
      </c>
      <c r="M2319" t="s">
        <v>6422</v>
      </c>
      <c r="N2319" t="s">
        <v>6423</v>
      </c>
      <c r="O2319" t="s">
        <v>6424</v>
      </c>
      <c r="P2319" t="s">
        <v>6425</v>
      </c>
    </row>
    <row r="2320" spans="1:16" x14ac:dyDescent="0.35">
      <c r="A2320" t="s">
        <v>128</v>
      </c>
      <c r="B2320">
        <v>1704124003</v>
      </c>
      <c r="C2320" t="s">
        <v>18</v>
      </c>
      <c r="D2320" t="s">
        <v>21</v>
      </c>
      <c r="E2320" s="29">
        <v>46204</v>
      </c>
      <c r="F2320" t="s">
        <v>3</v>
      </c>
      <c r="G2320" s="28">
        <v>0.45833333333333331</v>
      </c>
      <c r="H2320" s="28">
        <v>0.47986111111111113</v>
      </c>
      <c r="I2320">
        <v>1</v>
      </c>
      <c r="J2320" t="s">
        <v>146</v>
      </c>
      <c r="K2320">
        <v>2</v>
      </c>
      <c r="L2320" t="s">
        <v>147</v>
      </c>
      <c r="M2320" t="s">
        <v>6426</v>
      </c>
      <c r="N2320" t="s">
        <v>6427</v>
      </c>
      <c r="O2320" t="s">
        <v>6428</v>
      </c>
      <c r="P2320" t="s">
        <v>6429</v>
      </c>
    </row>
    <row r="2321" spans="1:16" x14ac:dyDescent="0.35">
      <c r="A2321" t="s">
        <v>128</v>
      </c>
      <c r="B2321">
        <v>1704124003</v>
      </c>
      <c r="C2321" t="s">
        <v>18</v>
      </c>
      <c r="D2321" t="s">
        <v>21</v>
      </c>
      <c r="E2321" s="29">
        <v>46204</v>
      </c>
      <c r="F2321" t="s">
        <v>3</v>
      </c>
      <c r="G2321" s="28">
        <v>0.48680555555555555</v>
      </c>
      <c r="H2321" s="28">
        <v>0.50069444444444444</v>
      </c>
      <c r="I2321">
        <v>0</v>
      </c>
      <c r="J2321" t="s">
        <v>146</v>
      </c>
      <c r="K2321">
        <v>1</v>
      </c>
      <c r="L2321" t="s">
        <v>147</v>
      </c>
      <c r="M2321" t="s">
        <v>6422</v>
      </c>
      <c r="N2321" t="s">
        <v>6423</v>
      </c>
      <c r="O2321" t="s">
        <v>6424</v>
      </c>
      <c r="P2321" t="s">
        <v>6425</v>
      </c>
    </row>
    <row r="2322" spans="1:16" x14ac:dyDescent="0.35">
      <c r="A2322" t="s">
        <v>128</v>
      </c>
      <c r="B2322">
        <v>1704124003</v>
      </c>
      <c r="C2322" t="s">
        <v>18</v>
      </c>
      <c r="D2322" t="s">
        <v>21</v>
      </c>
      <c r="E2322" s="29">
        <v>46204</v>
      </c>
      <c r="F2322" t="s">
        <v>3</v>
      </c>
      <c r="G2322" s="28">
        <v>0.50763888888888886</v>
      </c>
      <c r="H2322" s="28">
        <v>0.52152777777777781</v>
      </c>
      <c r="I2322">
        <v>0</v>
      </c>
      <c r="J2322" t="s">
        <v>146</v>
      </c>
      <c r="K2322">
        <v>1</v>
      </c>
      <c r="L2322" t="s">
        <v>147</v>
      </c>
      <c r="M2322" t="s">
        <v>6426</v>
      </c>
      <c r="N2322" t="s">
        <v>6427</v>
      </c>
      <c r="O2322" t="s">
        <v>6428</v>
      </c>
      <c r="P2322" t="s">
        <v>6429</v>
      </c>
    </row>
    <row r="2323" spans="1:16" x14ac:dyDescent="0.35">
      <c r="A2323" t="s">
        <v>128</v>
      </c>
      <c r="B2323">
        <v>1704124003</v>
      </c>
      <c r="C2323" t="s">
        <v>18</v>
      </c>
      <c r="D2323" t="s">
        <v>21</v>
      </c>
      <c r="E2323" s="29">
        <v>46204</v>
      </c>
      <c r="F2323" t="s">
        <v>3</v>
      </c>
      <c r="G2323" s="28">
        <v>0.52847222222222223</v>
      </c>
      <c r="H2323" s="28">
        <v>0.53541666666666665</v>
      </c>
      <c r="I2323">
        <v>0</v>
      </c>
      <c r="J2323" t="s">
        <v>146</v>
      </c>
      <c r="K2323">
        <v>0</v>
      </c>
      <c r="L2323" t="s">
        <v>147</v>
      </c>
      <c r="M2323" t="s">
        <v>6422</v>
      </c>
      <c r="N2323" t="s">
        <v>6423</v>
      </c>
      <c r="O2323" t="s">
        <v>6424</v>
      </c>
      <c r="P2323" t="s">
        <v>6425</v>
      </c>
    </row>
    <row r="2324" spans="1:16" x14ac:dyDescent="0.35">
      <c r="A2324" t="s">
        <v>128</v>
      </c>
      <c r="B2324">
        <v>1704124003</v>
      </c>
      <c r="C2324" t="s">
        <v>18</v>
      </c>
      <c r="D2324" t="s">
        <v>21</v>
      </c>
      <c r="E2324" s="29">
        <v>46204</v>
      </c>
      <c r="F2324" t="s">
        <v>3</v>
      </c>
      <c r="G2324" s="28">
        <v>0.54236111111111107</v>
      </c>
      <c r="H2324" s="28">
        <v>0.54236111111111107</v>
      </c>
      <c r="I2324">
        <v>0</v>
      </c>
      <c r="J2324" t="s">
        <v>174</v>
      </c>
      <c r="K2324">
        <v>0</v>
      </c>
      <c r="L2324" t="s">
        <v>5109</v>
      </c>
      <c r="M2324" t="s">
        <v>6417</v>
      </c>
      <c r="N2324" t="s">
        <v>6418</v>
      </c>
      <c r="O2324" t="s">
        <v>6419</v>
      </c>
      <c r="P2324" t="s">
        <v>6420</v>
      </c>
    </row>
    <row r="2325" spans="1:16" x14ac:dyDescent="0.35">
      <c r="A2325" t="s">
        <v>128</v>
      </c>
      <c r="B2325">
        <v>1704124003</v>
      </c>
      <c r="C2325" t="s">
        <v>18</v>
      </c>
      <c r="D2325" t="s">
        <v>21</v>
      </c>
      <c r="E2325" s="29">
        <v>46204</v>
      </c>
      <c r="F2325" t="s">
        <v>3</v>
      </c>
      <c r="G2325" s="28">
        <v>0.5493055555555556</v>
      </c>
      <c r="H2325" s="28">
        <v>0.5493055555555556</v>
      </c>
      <c r="I2325">
        <v>0</v>
      </c>
      <c r="J2325" t="s">
        <v>174</v>
      </c>
      <c r="K2325">
        <v>0</v>
      </c>
      <c r="L2325" t="s">
        <v>293</v>
      </c>
      <c r="M2325" t="s">
        <v>6409</v>
      </c>
      <c r="N2325" t="s">
        <v>6410</v>
      </c>
      <c r="O2325" t="s">
        <v>6411</v>
      </c>
      <c r="P2325" t="s">
        <v>6412</v>
      </c>
    </row>
    <row r="2326" spans="1:16" x14ac:dyDescent="0.35">
      <c r="A2326" t="s">
        <v>128</v>
      </c>
      <c r="B2326">
        <v>1704124003</v>
      </c>
      <c r="C2326" t="s">
        <v>18</v>
      </c>
      <c r="D2326" t="s">
        <v>21</v>
      </c>
      <c r="E2326" s="29">
        <v>46204</v>
      </c>
      <c r="F2326" t="s">
        <v>3</v>
      </c>
      <c r="G2326" s="28">
        <v>0.55625000000000002</v>
      </c>
      <c r="H2326" s="28">
        <v>0.55625000000000002</v>
      </c>
      <c r="I2326">
        <v>0</v>
      </c>
      <c r="J2326" t="s">
        <v>174</v>
      </c>
      <c r="K2326">
        <v>0</v>
      </c>
      <c r="L2326" t="s">
        <v>6430</v>
      </c>
      <c r="M2326" t="s">
        <v>6431</v>
      </c>
      <c r="N2326" t="s">
        <v>6432</v>
      </c>
      <c r="O2326" t="s">
        <v>6433</v>
      </c>
      <c r="P2326" t="s">
        <v>6434</v>
      </c>
    </row>
    <row r="2327" spans="1:16" x14ac:dyDescent="0.35">
      <c r="A2327" t="s">
        <v>128</v>
      </c>
      <c r="B2327">
        <v>1704124003</v>
      </c>
      <c r="C2327" t="s">
        <v>18</v>
      </c>
      <c r="D2327" t="s">
        <v>21</v>
      </c>
      <c r="E2327" s="29">
        <v>46204</v>
      </c>
      <c r="F2327" t="s">
        <v>3</v>
      </c>
      <c r="G2327" s="28">
        <v>0.56319444444444444</v>
      </c>
      <c r="H2327" s="28">
        <v>0.56319444444444444</v>
      </c>
      <c r="I2327">
        <v>0</v>
      </c>
      <c r="J2327" t="s">
        <v>174</v>
      </c>
      <c r="K2327">
        <v>0</v>
      </c>
      <c r="L2327" t="s">
        <v>1520</v>
      </c>
      <c r="M2327" t="s">
        <v>6435</v>
      </c>
      <c r="N2327" t="s">
        <v>6436</v>
      </c>
      <c r="O2327" t="s">
        <v>6437</v>
      </c>
      <c r="P2327" t="s">
        <v>6438</v>
      </c>
    </row>
    <row r="2328" spans="1:16" x14ac:dyDescent="0.35">
      <c r="A2328" t="s">
        <v>128</v>
      </c>
      <c r="B2328">
        <v>1704124003</v>
      </c>
      <c r="C2328" t="s">
        <v>18</v>
      </c>
      <c r="D2328" t="s">
        <v>21</v>
      </c>
      <c r="E2328" s="29">
        <v>46204</v>
      </c>
      <c r="F2328" t="s">
        <v>3</v>
      </c>
      <c r="G2328" s="28">
        <v>0.57013888888888886</v>
      </c>
      <c r="H2328" s="28">
        <v>0.57013888888888886</v>
      </c>
      <c r="I2328">
        <v>0</v>
      </c>
      <c r="J2328" t="s">
        <v>174</v>
      </c>
      <c r="K2328">
        <v>0</v>
      </c>
      <c r="L2328" t="s">
        <v>6390</v>
      </c>
      <c r="M2328" t="s">
        <v>6396</v>
      </c>
      <c r="N2328" t="s">
        <v>6397</v>
      </c>
      <c r="O2328" t="s">
        <v>6398</v>
      </c>
      <c r="P2328" t="s">
        <v>6399</v>
      </c>
    </row>
    <row r="2329" spans="1:16" x14ac:dyDescent="0.35">
      <c r="A2329" t="s">
        <v>128</v>
      </c>
      <c r="B2329">
        <v>1704124003</v>
      </c>
      <c r="C2329" t="s">
        <v>18</v>
      </c>
      <c r="D2329" t="s">
        <v>21</v>
      </c>
      <c r="E2329" s="29">
        <v>46204</v>
      </c>
      <c r="F2329" t="s">
        <v>3</v>
      </c>
      <c r="G2329" s="28">
        <v>0.57708333333333328</v>
      </c>
      <c r="H2329" s="28">
        <v>0.57708333333333328</v>
      </c>
      <c r="I2329">
        <v>0</v>
      </c>
      <c r="J2329" t="s">
        <v>174</v>
      </c>
      <c r="K2329">
        <v>0</v>
      </c>
      <c r="L2329" t="s">
        <v>437</v>
      </c>
      <c r="M2329" t="s">
        <v>6391</v>
      </c>
      <c r="N2329" t="s">
        <v>6392</v>
      </c>
      <c r="O2329" t="s">
        <v>6393</v>
      </c>
      <c r="P2329" t="s">
        <v>6394</v>
      </c>
    </row>
    <row r="2330" spans="1:16" x14ac:dyDescent="0.35">
      <c r="A2330" t="s">
        <v>128</v>
      </c>
      <c r="B2330">
        <v>1704124003</v>
      </c>
      <c r="C2330" t="s">
        <v>18</v>
      </c>
      <c r="D2330" t="s">
        <v>21</v>
      </c>
      <c r="E2330" s="29">
        <v>46204</v>
      </c>
      <c r="F2330" t="s">
        <v>3</v>
      </c>
      <c r="G2330" s="28">
        <v>0.58402777777777781</v>
      </c>
      <c r="H2330" s="28">
        <v>0.58402777777777781</v>
      </c>
      <c r="I2330">
        <v>0</v>
      </c>
      <c r="J2330" t="s">
        <v>174</v>
      </c>
      <c r="K2330">
        <v>0</v>
      </c>
      <c r="L2330" t="s">
        <v>1027</v>
      </c>
      <c r="M2330" t="s">
        <v>6439</v>
      </c>
      <c r="N2330" t="s">
        <v>6440</v>
      </c>
      <c r="O2330" t="s">
        <v>6441</v>
      </c>
      <c r="P2330" t="s">
        <v>6442</v>
      </c>
    </row>
    <row r="2331" spans="1:16" x14ac:dyDescent="0.35">
      <c r="A2331" t="s">
        <v>128</v>
      </c>
      <c r="B2331">
        <v>1704124003</v>
      </c>
      <c r="C2331" t="s">
        <v>18</v>
      </c>
      <c r="D2331" t="s">
        <v>21</v>
      </c>
      <c r="E2331" s="29">
        <v>46204</v>
      </c>
      <c r="F2331" t="s">
        <v>3</v>
      </c>
      <c r="G2331" s="28">
        <v>0.59097222222222223</v>
      </c>
      <c r="H2331" s="28">
        <v>0.59097222222222223</v>
      </c>
      <c r="I2331">
        <v>0</v>
      </c>
      <c r="J2331" t="s">
        <v>174</v>
      </c>
      <c r="K2331">
        <v>0</v>
      </c>
      <c r="L2331" t="s">
        <v>2248</v>
      </c>
      <c r="M2331" t="s">
        <v>6443</v>
      </c>
      <c r="N2331" t="s">
        <v>6444</v>
      </c>
      <c r="O2331" t="s">
        <v>6445</v>
      </c>
      <c r="P2331" t="s">
        <v>6446</v>
      </c>
    </row>
    <row r="2332" spans="1:16" x14ac:dyDescent="0.35">
      <c r="A2332" t="s">
        <v>128</v>
      </c>
      <c r="B2332">
        <v>1704124003</v>
      </c>
      <c r="C2332" t="s">
        <v>18</v>
      </c>
      <c r="D2332" t="s">
        <v>21</v>
      </c>
      <c r="E2332" s="29">
        <v>46204</v>
      </c>
      <c r="F2332" t="s">
        <v>3</v>
      </c>
      <c r="G2332" s="28">
        <v>0.59791666666666665</v>
      </c>
      <c r="H2332" s="28">
        <v>0.59791666666666665</v>
      </c>
      <c r="I2332">
        <v>0</v>
      </c>
      <c r="J2332" t="s">
        <v>174</v>
      </c>
      <c r="K2332">
        <v>0</v>
      </c>
      <c r="L2332" t="s">
        <v>6447</v>
      </c>
      <c r="M2332" t="s">
        <v>6448</v>
      </c>
      <c r="N2332" t="s">
        <v>6449</v>
      </c>
      <c r="O2332" t="s">
        <v>6450</v>
      </c>
      <c r="P2332" t="s">
        <v>6451</v>
      </c>
    </row>
    <row r="2333" spans="1:16" x14ac:dyDescent="0.35">
      <c r="A2333" t="s">
        <v>128</v>
      </c>
      <c r="B2333">
        <v>1704124003</v>
      </c>
      <c r="C2333" t="s">
        <v>18</v>
      </c>
      <c r="D2333" t="s">
        <v>21</v>
      </c>
      <c r="E2333" s="29">
        <v>46204</v>
      </c>
      <c r="F2333" t="s">
        <v>3</v>
      </c>
      <c r="G2333" s="28">
        <v>0.60486111111111107</v>
      </c>
      <c r="H2333" s="28">
        <v>0.6118055555555556</v>
      </c>
      <c r="I2333">
        <v>0</v>
      </c>
      <c r="J2333" t="s">
        <v>146</v>
      </c>
      <c r="K2333">
        <v>1</v>
      </c>
      <c r="L2333" t="s">
        <v>147</v>
      </c>
      <c r="M2333" t="s">
        <v>6452</v>
      </c>
      <c r="N2333" t="s">
        <v>6453</v>
      </c>
      <c r="O2333" t="s">
        <v>6454</v>
      </c>
      <c r="P2333" t="s">
        <v>6455</v>
      </c>
    </row>
    <row r="2334" spans="1:16" x14ac:dyDescent="0.35">
      <c r="A2334" t="s">
        <v>128</v>
      </c>
      <c r="B2334">
        <v>1704124003</v>
      </c>
      <c r="C2334" t="s">
        <v>18</v>
      </c>
      <c r="D2334" t="s">
        <v>21</v>
      </c>
      <c r="E2334" s="29">
        <v>46204</v>
      </c>
      <c r="F2334" t="s">
        <v>3</v>
      </c>
      <c r="G2334" s="28">
        <v>0.61805555555555558</v>
      </c>
      <c r="H2334" s="28">
        <v>0.61805555555555558</v>
      </c>
      <c r="I2334">
        <v>0</v>
      </c>
      <c r="J2334" t="s">
        <v>174</v>
      </c>
      <c r="K2334">
        <v>0</v>
      </c>
      <c r="L2334" t="s">
        <v>6456</v>
      </c>
      <c r="M2334" t="s">
        <v>6448</v>
      </c>
      <c r="N2334" t="s">
        <v>6449</v>
      </c>
      <c r="O2334" t="s">
        <v>6450</v>
      </c>
      <c r="P2334" t="s">
        <v>6451</v>
      </c>
    </row>
    <row r="2335" spans="1:16" x14ac:dyDescent="0.35">
      <c r="A2335" t="s">
        <v>128</v>
      </c>
      <c r="B2335">
        <v>1704124003</v>
      </c>
      <c r="C2335" t="s">
        <v>18</v>
      </c>
      <c r="D2335" t="s">
        <v>21</v>
      </c>
      <c r="E2335" s="29">
        <v>46204</v>
      </c>
      <c r="F2335" t="s">
        <v>3</v>
      </c>
      <c r="G2335" s="28">
        <v>0.62569444444444444</v>
      </c>
      <c r="H2335" s="28">
        <v>0.62569444444444444</v>
      </c>
      <c r="I2335">
        <v>0</v>
      </c>
      <c r="J2335" t="s">
        <v>174</v>
      </c>
      <c r="K2335">
        <v>0</v>
      </c>
      <c r="L2335" t="s">
        <v>6456</v>
      </c>
      <c r="M2335" t="s">
        <v>6457</v>
      </c>
      <c r="N2335" t="s">
        <v>6458</v>
      </c>
      <c r="O2335" t="s">
        <v>6459</v>
      </c>
      <c r="P2335" t="s">
        <v>6460</v>
      </c>
    </row>
    <row r="2336" spans="1:16" x14ac:dyDescent="0.35">
      <c r="A2336" t="s">
        <v>128</v>
      </c>
      <c r="B2336">
        <v>1704124003</v>
      </c>
      <c r="C2336" t="s">
        <v>18</v>
      </c>
      <c r="D2336" t="s">
        <v>21</v>
      </c>
      <c r="E2336" s="29">
        <v>46204</v>
      </c>
      <c r="F2336" t="s">
        <v>3</v>
      </c>
      <c r="G2336" s="28">
        <v>0.63263888888888886</v>
      </c>
      <c r="H2336" s="28">
        <v>0.63958333333333328</v>
      </c>
      <c r="I2336">
        <v>0</v>
      </c>
      <c r="J2336" t="s">
        <v>146</v>
      </c>
      <c r="K2336">
        <v>0</v>
      </c>
      <c r="L2336" t="s">
        <v>147</v>
      </c>
      <c r="M2336" t="s">
        <v>6448</v>
      </c>
      <c r="N2336" t="s">
        <v>6449</v>
      </c>
      <c r="O2336" t="s">
        <v>6450</v>
      </c>
      <c r="P2336" t="s">
        <v>6451</v>
      </c>
    </row>
    <row r="2337" spans="1:16" x14ac:dyDescent="0.35">
      <c r="A2337" t="s">
        <v>128</v>
      </c>
      <c r="B2337">
        <v>1704124003</v>
      </c>
      <c r="C2337" t="s">
        <v>18</v>
      </c>
      <c r="D2337" t="s">
        <v>21</v>
      </c>
      <c r="E2337" s="29">
        <v>46204</v>
      </c>
      <c r="F2337" t="s">
        <v>3</v>
      </c>
      <c r="G2337" s="28">
        <v>0.64652777777777781</v>
      </c>
      <c r="H2337" s="28">
        <v>0.64652777777777781</v>
      </c>
      <c r="I2337">
        <v>0</v>
      </c>
      <c r="J2337" t="s">
        <v>174</v>
      </c>
      <c r="K2337">
        <v>0</v>
      </c>
      <c r="L2337" t="s">
        <v>6456</v>
      </c>
      <c r="M2337" t="s">
        <v>6457</v>
      </c>
      <c r="N2337" t="s">
        <v>6458</v>
      </c>
      <c r="O2337" t="s">
        <v>6459</v>
      </c>
      <c r="P2337" t="s">
        <v>6460</v>
      </c>
    </row>
    <row r="2338" spans="1:16" x14ac:dyDescent="0.35">
      <c r="A2338" t="s">
        <v>128</v>
      </c>
      <c r="B2338">
        <v>1704124003</v>
      </c>
      <c r="C2338" t="s">
        <v>18</v>
      </c>
      <c r="D2338" t="s">
        <v>21</v>
      </c>
      <c r="E2338" s="29">
        <v>46204</v>
      </c>
      <c r="F2338" t="s">
        <v>3</v>
      </c>
      <c r="G2338" s="28">
        <v>0.65347222222222223</v>
      </c>
      <c r="H2338" s="28">
        <v>0.66041666666666665</v>
      </c>
      <c r="I2338">
        <v>0</v>
      </c>
      <c r="J2338" t="s">
        <v>146</v>
      </c>
      <c r="K2338">
        <v>0</v>
      </c>
      <c r="L2338" t="s">
        <v>147</v>
      </c>
      <c r="M2338" t="s">
        <v>6448</v>
      </c>
      <c r="N2338" t="s">
        <v>6449</v>
      </c>
      <c r="O2338" t="s">
        <v>6450</v>
      </c>
      <c r="P2338" t="s">
        <v>6451</v>
      </c>
    </row>
    <row r="2339" spans="1:16" x14ac:dyDescent="0.35">
      <c r="A2339" t="s">
        <v>128</v>
      </c>
      <c r="B2339">
        <v>1704124003</v>
      </c>
      <c r="C2339" t="s">
        <v>18</v>
      </c>
      <c r="D2339" t="s">
        <v>21</v>
      </c>
      <c r="E2339" s="29">
        <v>46204</v>
      </c>
      <c r="F2339" t="s">
        <v>3</v>
      </c>
      <c r="G2339" s="28">
        <v>0.66736111111111107</v>
      </c>
      <c r="H2339" s="28">
        <v>0.66736111111111107</v>
      </c>
      <c r="I2339">
        <v>0</v>
      </c>
      <c r="J2339" t="s">
        <v>174</v>
      </c>
      <c r="K2339">
        <v>0</v>
      </c>
      <c r="L2339" t="s">
        <v>6456</v>
      </c>
      <c r="M2339" t="s">
        <v>6457</v>
      </c>
      <c r="N2339" t="s">
        <v>6458</v>
      </c>
      <c r="O2339" t="s">
        <v>6459</v>
      </c>
      <c r="P2339" t="s">
        <v>6460</v>
      </c>
    </row>
    <row r="2340" spans="1:16" x14ac:dyDescent="0.35">
      <c r="A2340" t="s">
        <v>128</v>
      </c>
      <c r="B2340">
        <v>1704124003</v>
      </c>
      <c r="C2340" t="s">
        <v>18</v>
      </c>
      <c r="D2340" t="s">
        <v>21</v>
      </c>
      <c r="E2340" s="29">
        <v>46204</v>
      </c>
      <c r="F2340" t="s">
        <v>3</v>
      </c>
      <c r="G2340" s="28">
        <v>0.67500000000000004</v>
      </c>
      <c r="H2340" s="28">
        <v>0.68125000000000002</v>
      </c>
      <c r="I2340">
        <v>0</v>
      </c>
      <c r="J2340" t="s">
        <v>146</v>
      </c>
      <c r="K2340">
        <v>0</v>
      </c>
      <c r="L2340" t="s">
        <v>147</v>
      </c>
      <c r="M2340" t="s">
        <v>6448</v>
      </c>
      <c r="N2340" t="s">
        <v>6449</v>
      </c>
      <c r="O2340" t="s">
        <v>6450</v>
      </c>
      <c r="P2340" t="s">
        <v>6451</v>
      </c>
    </row>
    <row r="2341" spans="1:16" x14ac:dyDescent="0.35">
      <c r="A2341" t="s">
        <v>128</v>
      </c>
      <c r="B2341">
        <v>1704124003</v>
      </c>
      <c r="C2341" t="s">
        <v>18</v>
      </c>
      <c r="D2341" t="s">
        <v>21</v>
      </c>
      <c r="E2341" s="29">
        <v>46204</v>
      </c>
      <c r="F2341" t="s">
        <v>3</v>
      </c>
      <c r="G2341" s="28">
        <v>0.68819444444444444</v>
      </c>
      <c r="H2341" s="28">
        <v>0.68819444444444444</v>
      </c>
      <c r="I2341">
        <v>0</v>
      </c>
      <c r="J2341" t="s">
        <v>174</v>
      </c>
      <c r="K2341">
        <v>0</v>
      </c>
      <c r="L2341" t="s">
        <v>6456</v>
      </c>
      <c r="M2341" t="s">
        <v>6457</v>
      </c>
      <c r="N2341" t="s">
        <v>6458</v>
      </c>
      <c r="O2341" t="s">
        <v>6459</v>
      </c>
      <c r="P2341" t="s">
        <v>6460</v>
      </c>
    </row>
    <row r="2342" spans="1:16" x14ac:dyDescent="0.35">
      <c r="A2342" t="s">
        <v>128</v>
      </c>
      <c r="B2342">
        <v>1704124003</v>
      </c>
      <c r="C2342" t="s">
        <v>18</v>
      </c>
      <c r="D2342" t="s">
        <v>21</v>
      </c>
      <c r="E2342" s="29">
        <v>46204</v>
      </c>
      <c r="F2342" t="s">
        <v>3</v>
      </c>
      <c r="G2342" s="28">
        <v>0.69513888888888886</v>
      </c>
      <c r="H2342" s="28">
        <v>0.70208333333333328</v>
      </c>
      <c r="I2342">
        <v>0</v>
      </c>
      <c r="J2342" t="s">
        <v>146</v>
      </c>
      <c r="K2342">
        <v>0</v>
      </c>
      <c r="L2342" t="s">
        <v>147</v>
      </c>
      <c r="M2342" t="s">
        <v>6448</v>
      </c>
      <c r="N2342" t="s">
        <v>6449</v>
      </c>
      <c r="O2342" t="s">
        <v>6450</v>
      </c>
      <c r="P2342" t="s">
        <v>6451</v>
      </c>
    </row>
    <row r="2343" spans="1:16" x14ac:dyDescent="0.35">
      <c r="A2343" t="s">
        <v>128</v>
      </c>
      <c r="B2343">
        <v>1704124003</v>
      </c>
      <c r="C2343" t="s">
        <v>18</v>
      </c>
      <c r="D2343" t="s">
        <v>21</v>
      </c>
      <c r="E2343" s="29">
        <v>46204</v>
      </c>
      <c r="F2343" t="s">
        <v>3</v>
      </c>
      <c r="G2343" s="28">
        <v>0.70902777777777781</v>
      </c>
      <c r="H2343" s="28">
        <v>0.72291666666666665</v>
      </c>
      <c r="I2343">
        <v>0</v>
      </c>
      <c r="J2343" t="s">
        <v>146</v>
      </c>
      <c r="K2343">
        <v>1</v>
      </c>
      <c r="L2343" t="s">
        <v>147</v>
      </c>
      <c r="M2343" t="s">
        <v>6457</v>
      </c>
      <c r="N2343" t="s">
        <v>6458</v>
      </c>
      <c r="O2343" t="s">
        <v>6459</v>
      </c>
      <c r="P2343" t="s">
        <v>6460</v>
      </c>
    </row>
    <row r="2344" spans="1:16" x14ac:dyDescent="0.35">
      <c r="A2344" t="s">
        <v>128</v>
      </c>
      <c r="B2344">
        <v>1704124003</v>
      </c>
      <c r="C2344" t="s">
        <v>18</v>
      </c>
      <c r="D2344" t="s">
        <v>21</v>
      </c>
      <c r="E2344" s="29">
        <v>46204</v>
      </c>
      <c r="F2344" t="s">
        <v>3</v>
      </c>
      <c r="G2344" s="28">
        <v>0.72986111111111107</v>
      </c>
      <c r="H2344" s="28">
        <v>0.75069444444444444</v>
      </c>
      <c r="I2344">
        <v>1</v>
      </c>
      <c r="J2344" t="s">
        <v>146</v>
      </c>
      <c r="K2344">
        <v>2</v>
      </c>
      <c r="L2344" t="s">
        <v>147</v>
      </c>
      <c r="M2344" t="s">
        <v>6461</v>
      </c>
      <c r="N2344" t="s">
        <v>6462</v>
      </c>
      <c r="O2344" t="s">
        <v>6463</v>
      </c>
      <c r="P2344" t="s">
        <v>6464</v>
      </c>
    </row>
    <row r="2345" spans="1:16" x14ac:dyDescent="0.35">
      <c r="A2345" t="s">
        <v>128</v>
      </c>
      <c r="B2345">
        <v>1704124003</v>
      </c>
      <c r="C2345" t="s">
        <v>18</v>
      </c>
      <c r="D2345" t="s">
        <v>21</v>
      </c>
      <c r="E2345" s="29">
        <v>46204</v>
      </c>
      <c r="F2345" t="s">
        <v>3</v>
      </c>
      <c r="G2345" s="28">
        <v>0.75763888888888886</v>
      </c>
      <c r="H2345" s="28">
        <v>0.76458333333333328</v>
      </c>
      <c r="I2345">
        <v>0</v>
      </c>
      <c r="J2345" t="s">
        <v>146</v>
      </c>
      <c r="K2345">
        <v>0</v>
      </c>
      <c r="L2345" t="s">
        <v>147</v>
      </c>
      <c r="M2345" t="s">
        <v>6457</v>
      </c>
      <c r="N2345" t="s">
        <v>6458</v>
      </c>
      <c r="O2345" t="s">
        <v>6459</v>
      </c>
      <c r="P2345" t="s">
        <v>6460</v>
      </c>
    </row>
    <row r="2346" spans="1:16" x14ac:dyDescent="0.35">
      <c r="A2346" t="s">
        <v>128</v>
      </c>
      <c r="B2346">
        <v>1704124003</v>
      </c>
      <c r="C2346" t="s">
        <v>18</v>
      </c>
      <c r="D2346" t="s">
        <v>21</v>
      </c>
      <c r="E2346" s="29">
        <v>46204</v>
      </c>
      <c r="F2346" t="s">
        <v>3</v>
      </c>
      <c r="G2346" s="28">
        <v>0.77152777777777781</v>
      </c>
      <c r="H2346" s="28">
        <v>0.77847222222222223</v>
      </c>
      <c r="I2346">
        <v>0</v>
      </c>
      <c r="J2346" t="s">
        <v>146</v>
      </c>
      <c r="K2346">
        <v>0</v>
      </c>
      <c r="L2346" t="s">
        <v>147</v>
      </c>
      <c r="M2346" t="s">
        <v>6448</v>
      </c>
      <c r="N2346" t="s">
        <v>6449</v>
      </c>
      <c r="O2346" t="s">
        <v>6450</v>
      </c>
      <c r="P2346" t="s">
        <v>6451</v>
      </c>
    </row>
    <row r="2347" spans="1:16" x14ac:dyDescent="0.35">
      <c r="A2347" t="s">
        <v>128</v>
      </c>
      <c r="B2347">
        <v>1704124003</v>
      </c>
      <c r="C2347" t="s">
        <v>18</v>
      </c>
      <c r="D2347" t="s">
        <v>21</v>
      </c>
      <c r="E2347" s="29">
        <v>46204</v>
      </c>
      <c r="F2347" t="s">
        <v>3</v>
      </c>
      <c r="G2347" s="28">
        <v>0.78541666666666665</v>
      </c>
      <c r="H2347" s="28">
        <v>0.79236111111111107</v>
      </c>
      <c r="I2347">
        <v>0</v>
      </c>
      <c r="J2347" t="s">
        <v>146</v>
      </c>
      <c r="K2347">
        <v>0</v>
      </c>
      <c r="L2347" t="s">
        <v>147</v>
      </c>
      <c r="M2347" t="s">
        <v>6457</v>
      </c>
      <c r="N2347" t="s">
        <v>6458</v>
      </c>
      <c r="O2347" t="s">
        <v>6459</v>
      </c>
      <c r="P2347" t="s">
        <v>6460</v>
      </c>
    </row>
    <row r="2348" spans="1:16" x14ac:dyDescent="0.35">
      <c r="A2348" t="s">
        <v>128</v>
      </c>
      <c r="B2348">
        <v>1704124003</v>
      </c>
      <c r="C2348" t="s">
        <v>18</v>
      </c>
      <c r="D2348" t="s">
        <v>21</v>
      </c>
      <c r="E2348" s="29">
        <v>46205</v>
      </c>
      <c r="F2348" t="s">
        <v>4</v>
      </c>
      <c r="G2348" s="28">
        <v>0.37569444444444444</v>
      </c>
      <c r="H2348" s="28">
        <v>0.38958333333333334</v>
      </c>
      <c r="I2348">
        <v>0</v>
      </c>
      <c r="J2348" t="s">
        <v>146</v>
      </c>
      <c r="K2348">
        <v>1</v>
      </c>
      <c r="L2348" t="s">
        <v>147</v>
      </c>
      <c r="M2348" t="s">
        <v>6465</v>
      </c>
      <c r="N2348" t="s">
        <v>6466</v>
      </c>
      <c r="O2348" t="s">
        <v>6467</v>
      </c>
      <c r="P2348" t="s">
        <v>6468</v>
      </c>
    </row>
    <row r="2349" spans="1:16" x14ac:dyDescent="0.35">
      <c r="A2349" t="s">
        <v>128</v>
      </c>
      <c r="B2349">
        <v>1704124003</v>
      </c>
      <c r="C2349" t="s">
        <v>18</v>
      </c>
      <c r="D2349" t="s">
        <v>21</v>
      </c>
      <c r="E2349" s="29">
        <v>46205</v>
      </c>
      <c r="F2349" t="s">
        <v>4</v>
      </c>
      <c r="G2349" s="28">
        <v>0.39652777777777776</v>
      </c>
      <c r="H2349" s="28">
        <v>0.39652777777777776</v>
      </c>
      <c r="I2349">
        <v>0</v>
      </c>
      <c r="J2349" t="s">
        <v>174</v>
      </c>
      <c r="K2349">
        <v>0</v>
      </c>
      <c r="L2349" t="s">
        <v>6469</v>
      </c>
      <c r="M2349" t="s">
        <v>6470</v>
      </c>
      <c r="N2349" t="s">
        <v>6471</v>
      </c>
      <c r="O2349" t="s">
        <v>6472</v>
      </c>
      <c r="P2349" t="s">
        <v>6473</v>
      </c>
    </row>
    <row r="2350" spans="1:16" x14ac:dyDescent="0.35">
      <c r="A2350" t="s">
        <v>128</v>
      </c>
      <c r="B2350">
        <v>1704124003</v>
      </c>
      <c r="C2350" t="s">
        <v>18</v>
      </c>
      <c r="D2350" t="s">
        <v>21</v>
      </c>
      <c r="E2350" s="29">
        <v>46205</v>
      </c>
      <c r="F2350" t="s">
        <v>4</v>
      </c>
      <c r="G2350" s="28">
        <v>0.40347222222222223</v>
      </c>
      <c r="H2350" s="28">
        <v>0.40347222222222223</v>
      </c>
      <c r="I2350">
        <v>0</v>
      </c>
      <c r="J2350" t="s">
        <v>174</v>
      </c>
      <c r="K2350">
        <v>0</v>
      </c>
      <c r="L2350" t="s">
        <v>176</v>
      </c>
      <c r="M2350" t="s">
        <v>6409</v>
      </c>
      <c r="N2350" t="s">
        <v>6410</v>
      </c>
      <c r="O2350" t="s">
        <v>6411</v>
      </c>
      <c r="P2350" t="s">
        <v>6412</v>
      </c>
    </row>
    <row r="2351" spans="1:16" x14ac:dyDescent="0.35">
      <c r="A2351" t="s">
        <v>128</v>
      </c>
      <c r="B2351">
        <v>1704124003</v>
      </c>
      <c r="C2351" t="s">
        <v>18</v>
      </c>
      <c r="D2351" t="s">
        <v>21</v>
      </c>
      <c r="E2351" s="29">
        <v>46205</v>
      </c>
      <c r="F2351" t="s">
        <v>4</v>
      </c>
      <c r="G2351" s="28">
        <v>0.41041666666666665</v>
      </c>
      <c r="H2351" s="28">
        <v>0.41041666666666665</v>
      </c>
      <c r="I2351">
        <v>0</v>
      </c>
      <c r="J2351" t="s">
        <v>174</v>
      </c>
      <c r="K2351">
        <v>0</v>
      </c>
      <c r="L2351" t="s">
        <v>6474</v>
      </c>
      <c r="M2351" t="s">
        <v>6405</v>
      </c>
      <c r="N2351" t="s">
        <v>6406</v>
      </c>
      <c r="O2351" t="s">
        <v>6407</v>
      </c>
      <c r="P2351" t="s">
        <v>6408</v>
      </c>
    </row>
    <row r="2352" spans="1:16" x14ac:dyDescent="0.35">
      <c r="A2352" t="s">
        <v>128</v>
      </c>
      <c r="B2352">
        <v>1704124003</v>
      </c>
      <c r="C2352" t="s">
        <v>18</v>
      </c>
      <c r="D2352" t="s">
        <v>21</v>
      </c>
      <c r="E2352" s="29">
        <v>46205</v>
      </c>
      <c r="F2352" t="s">
        <v>4</v>
      </c>
      <c r="G2352" s="28">
        <v>0.41736111111111113</v>
      </c>
      <c r="H2352" s="28">
        <v>0.41736111111111113</v>
      </c>
      <c r="I2352">
        <v>0</v>
      </c>
      <c r="J2352" t="s">
        <v>174</v>
      </c>
      <c r="K2352">
        <v>0</v>
      </c>
      <c r="L2352" t="s">
        <v>6475</v>
      </c>
      <c r="M2352" t="s">
        <v>6476</v>
      </c>
      <c r="N2352" t="s">
        <v>6477</v>
      </c>
      <c r="O2352" t="s">
        <v>6478</v>
      </c>
      <c r="P2352" t="s">
        <v>6479</v>
      </c>
    </row>
    <row r="2353" spans="1:16" x14ac:dyDescent="0.35">
      <c r="A2353" t="s">
        <v>128</v>
      </c>
      <c r="B2353">
        <v>1704124003</v>
      </c>
      <c r="C2353" t="s">
        <v>18</v>
      </c>
      <c r="D2353" t="s">
        <v>21</v>
      </c>
      <c r="E2353" s="29">
        <v>46205</v>
      </c>
      <c r="F2353" t="s">
        <v>4</v>
      </c>
      <c r="G2353" s="28">
        <v>0.42430555555555555</v>
      </c>
      <c r="H2353" s="28">
        <v>0.42430555555555555</v>
      </c>
      <c r="I2353">
        <v>0</v>
      </c>
      <c r="J2353" t="s">
        <v>174</v>
      </c>
      <c r="K2353">
        <v>0</v>
      </c>
      <c r="L2353" t="s">
        <v>247</v>
      </c>
      <c r="M2353" t="s">
        <v>6480</v>
      </c>
      <c r="N2353" t="s">
        <v>6481</v>
      </c>
      <c r="O2353" t="s">
        <v>6482</v>
      </c>
      <c r="P2353" t="s">
        <v>6483</v>
      </c>
    </row>
    <row r="2354" spans="1:16" x14ac:dyDescent="0.35">
      <c r="A2354" t="s">
        <v>128</v>
      </c>
      <c r="B2354">
        <v>1704124003</v>
      </c>
      <c r="C2354" t="s">
        <v>18</v>
      </c>
      <c r="D2354" t="s">
        <v>21</v>
      </c>
      <c r="E2354" s="29">
        <v>46205</v>
      </c>
      <c r="F2354" t="s">
        <v>4</v>
      </c>
      <c r="G2354" s="28">
        <v>0.43125000000000002</v>
      </c>
      <c r="H2354" s="28">
        <v>0.43125000000000002</v>
      </c>
      <c r="I2354">
        <v>0</v>
      </c>
      <c r="J2354" t="s">
        <v>174</v>
      </c>
      <c r="K2354">
        <v>0</v>
      </c>
      <c r="L2354" t="s">
        <v>6484</v>
      </c>
      <c r="M2354" t="s">
        <v>6485</v>
      </c>
      <c r="N2354" t="s">
        <v>6486</v>
      </c>
      <c r="O2354" t="s">
        <v>6487</v>
      </c>
      <c r="P2354" t="s">
        <v>6488</v>
      </c>
    </row>
    <row r="2355" spans="1:16" x14ac:dyDescent="0.35">
      <c r="A2355" t="s">
        <v>128</v>
      </c>
      <c r="B2355">
        <v>1704124003</v>
      </c>
      <c r="C2355" t="s">
        <v>18</v>
      </c>
      <c r="D2355" t="s">
        <v>21</v>
      </c>
      <c r="E2355" s="29">
        <v>46205</v>
      </c>
      <c r="F2355" t="s">
        <v>4</v>
      </c>
      <c r="G2355" s="28">
        <v>0.43819444444444444</v>
      </c>
      <c r="H2355" s="28">
        <v>0.43819444444444444</v>
      </c>
      <c r="I2355">
        <v>0</v>
      </c>
      <c r="J2355" t="s">
        <v>174</v>
      </c>
      <c r="K2355">
        <v>0</v>
      </c>
      <c r="L2355" t="s">
        <v>5384</v>
      </c>
      <c r="M2355" t="s">
        <v>6489</v>
      </c>
      <c r="N2355" t="s">
        <v>6490</v>
      </c>
      <c r="O2355" t="s">
        <v>6491</v>
      </c>
      <c r="P2355" t="s">
        <v>6492</v>
      </c>
    </row>
    <row r="2356" spans="1:16" x14ac:dyDescent="0.35">
      <c r="A2356" t="s">
        <v>128</v>
      </c>
      <c r="B2356">
        <v>1704124003</v>
      </c>
      <c r="C2356" t="s">
        <v>18</v>
      </c>
      <c r="D2356" t="s">
        <v>21</v>
      </c>
      <c r="E2356" s="29">
        <v>46205</v>
      </c>
      <c r="F2356" t="s">
        <v>4</v>
      </c>
      <c r="G2356" s="28">
        <v>0.44513888888888886</v>
      </c>
      <c r="H2356" s="28">
        <v>0.44513888888888886</v>
      </c>
      <c r="I2356">
        <v>0</v>
      </c>
      <c r="J2356" t="s">
        <v>174</v>
      </c>
      <c r="K2356">
        <v>0</v>
      </c>
      <c r="L2356" t="s">
        <v>359</v>
      </c>
      <c r="M2356" t="s">
        <v>6391</v>
      </c>
      <c r="N2356" t="s">
        <v>6392</v>
      </c>
      <c r="O2356" t="s">
        <v>6393</v>
      </c>
      <c r="P2356" t="s">
        <v>6394</v>
      </c>
    </row>
    <row r="2357" spans="1:16" x14ac:dyDescent="0.35">
      <c r="A2357" t="s">
        <v>128</v>
      </c>
      <c r="B2357">
        <v>1704124003</v>
      </c>
      <c r="C2357" t="s">
        <v>18</v>
      </c>
      <c r="D2357" t="s">
        <v>21</v>
      </c>
      <c r="E2357" s="29">
        <v>46205</v>
      </c>
      <c r="F2357" t="s">
        <v>4</v>
      </c>
      <c r="G2357" s="28">
        <v>0.45208333333333334</v>
      </c>
      <c r="H2357" s="28">
        <v>0.46597222222222223</v>
      </c>
      <c r="I2357">
        <v>0</v>
      </c>
      <c r="J2357" t="s">
        <v>146</v>
      </c>
      <c r="K2357">
        <v>1</v>
      </c>
      <c r="L2357" t="s">
        <v>147</v>
      </c>
      <c r="M2357" t="s">
        <v>6386</v>
      </c>
      <c r="N2357" t="s">
        <v>6387</v>
      </c>
      <c r="O2357" t="s">
        <v>6388</v>
      </c>
      <c r="P2357" t="s">
        <v>6389</v>
      </c>
    </row>
    <row r="2358" spans="1:16" x14ac:dyDescent="0.35">
      <c r="A2358" t="s">
        <v>128</v>
      </c>
      <c r="B2358">
        <v>1704124003</v>
      </c>
      <c r="C2358" t="s">
        <v>18</v>
      </c>
      <c r="D2358" t="s">
        <v>21</v>
      </c>
      <c r="E2358" s="29">
        <v>46205</v>
      </c>
      <c r="F2358" t="s">
        <v>4</v>
      </c>
      <c r="G2358" s="28">
        <v>0.47291666666666665</v>
      </c>
      <c r="H2358" s="28">
        <v>0.47291666666666665</v>
      </c>
      <c r="I2358">
        <v>0</v>
      </c>
      <c r="J2358" t="s">
        <v>174</v>
      </c>
      <c r="K2358">
        <v>0</v>
      </c>
      <c r="L2358" t="s">
        <v>2539</v>
      </c>
      <c r="M2358" t="s">
        <v>6493</v>
      </c>
      <c r="N2358" t="s">
        <v>6494</v>
      </c>
      <c r="O2358" t="s">
        <v>6495</v>
      </c>
      <c r="P2358" t="s">
        <v>6496</v>
      </c>
    </row>
    <row r="2359" spans="1:16" x14ac:dyDescent="0.35">
      <c r="A2359" t="s">
        <v>128</v>
      </c>
      <c r="B2359">
        <v>1704124003</v>
      </c>
      <c r="C2359" t="s">
        <v>18</v>
      </c>
      <c r="D2359" t="s">
        <v>21</v>
      </c>
      <c r="E2359" s="29">
        <v>46205</v>
      </c>
      <c r="F2359" t="s">
        <v>4</v>
      </c>
      <c r="G2359" s="28">
        <v>0.47986111111111113</v>
      </c>
      <c r="H2359" s="28">
        <v>0.47986111111111113</v>
      </c>
      <c r="I2359">
        <v>0</v>
      </c>
      <c r="J2359" t="s">
        <v>174</v>
      </c>
      <c r="K2359">
        <v>0</v>
      </c>
      <c r="L2359" t="s">
        <v>509</v>
      </c>
      <c r="M2359" t="s">
        <v>6497</v>
      </c>
      <c r="N2359" t="s">
        <v>6498</v>
      </c>
      <c r="O2359" t="s">
        <v>6499</v>
      </c>
      <c r="P2359" t="s">
        <v>6500</v>
      </c>
    </row>
    <row r="2360" spans="1:16" x14ac:dyDescent="0.35">
      <c r="A2360" t="s">
        <v>128</v>
      </c>
      <c r="B2360">
        <v>1704124003</v>
      </c>
      <c r="C2360" t="s">
        <v>18</v>
      </c>
      <c r="D2360" t="s">
        <v>21</v>
      </c>
      <c r="E2360" s="29">
        <v>46205</v>
      </c>
      <c r="F2360" t="s">
        <v>4</v>
      </c>
      <c r="G2360" s="28">
        <v>0.48680555555555555</v>
      </c>
      <c r="H2360" s="28">
        <v>0.48680555555555555</v>
      </c>
      <c r="I2360">
        <v>0</v>
      </c>
      <c r="J2360" t="s">
        <v>174</v>
      </c>
      <c r="K2360">
        <v>0</v>
      </c>
      <c r="L2360" t="s">
        <v>2757</v>
      </c>
      <c r="M2360" t="s">
        <v>6501</v>
      </c>
      <c r="N2360" t="s">
        <v>6502</v>
      </c>
      <c r="O2360" t="s">
        <v>6503</v>
      </c>
      <c r="P2360" t="s">
        <v>6504</v>
      </c>
    </row>
    <row r="2361" spans="1:16" x14ac:dyDescent="0.35">
      <c r="A2361" t="s">
        <v>128</v>
      </c>
      <c r="B2361">
        <v>1704124003</v>
      </c>
      <c r="C2361" t="s">
        <v>18</v>
      </c>
      <c r="D2361" t="s">
        <v>21</v>
      </c>
      <c r="E2361" s="29">
        <v>46205</v>
      </c>
      <c r="F2361" t="s">
        <v>4</v>
      </c>
      <c r="G2361" s="28">
        <v>0.49375000000000002</v>
      </c>
      <c r="H2361" s="28">
        <v>0.49375000000000002</v>
      </c>
      <c r="I2361">
        <v>0</v>
      </c>
      <c r="J2361" t="s">
        <v>174</v>
      </c>
      <c r="K2361">
        <v>0</v>
      </c>
      <c r="L2361" t="s">
        <v>6505</v>
      </c>
      <c r="M2361" t="s">
        <v>6448</v>
      </c>
      <c r="N2361" t="s">
        <v>6449</v>
      </c>
      <c r="O2361" t="s">
        <v>6450</v>
      </c>
      <c r="P2361" t="s">
        <v>6451</v>
      </c>
    </row>
    <row r="2362" spans="1:16" x14ac:dyDescent="0.35">
      <c r="A2362" t="s">
        <v>128</v>
      </c>
      <c r="B2362">
        <v>1704124003</v>
      </c>
      <c r="C2362" t="s">
        <v>18</v>
      </c>
      <c r="D2362" t="s">
        <v>21</v>
      </c>
      <c r="E2362" s="29">
        <v>46205</v>
      </c>
      <c r="F2362" t="s">
        <v>4</v>
      </c>
      <c r="G2362" s="28">
        <v>0.50069444444444444</v>
      </c>
      <c r="H2362" s="28">
        <v>0.51458333333333328</v>
      </c>
      <c r="I2362">
        <v>0</v>
      </c>
      <c r="J2362" t="s">
        <v>146</v>
      </c>
      <c r="K2362">
        <v>1</v>
      </c>
      <c r="L2362" t="s">
        <v>147</v>
      </c>
      <c r="M2362" t="s">
        <v>6506</v>
      </c>
      <c r="N2362" t="s">
        <v>6507</v>
      </c>
      <c r="O2362" t="s">
        <v>6508</v>
      </c>
      <c r="P2362" t="s">
        <v>6509</v>
      </c>
    </row>
    <row r="2363" spans="1:16" x14ac:dyDescent="0.35">
      <c r="A2363" t="s">
        <v>128</v>
      </c>
      <c r="B2363">
        <v>1704124003</v>
      </c>
      <c r="C2363" t="s">
        <v>18</v>
      </c>
      <c r="D2363" t="s">
        <v>21</v>
      </c>
      <c r="E2363" s="29">
        <v>46205</v>
      </c>
      <c r="F2363" t="s">
        <v>4</v>
      </c>
      <c r="G2363" s="28">
        <v>0.52152777777777781</v>
      </c>
      <c r="H2363" s="28">
        <v>0.53541666666666665</v>
      </c>
      <c r="I2363">
        <v>0</v>
      </c>
      <c r="J2363" t="s">
        <v>146</v>
      </c>
      <c r="K2363">
        <v>1</v>
      </c>
      <c r="L2363" t="s">
        <v>147</v>
      </c>
      <c r="M2363" t="s">
        <v>6448</v>
      </c>
      <c r="N2363" t="s">
        <v>6449</v>
      </c>
      <c r="O2363" t="s">
        <v>6450</v>
      </c>
      <c r="P2363" t="s">
        <v>6451</v>
      </c>
    </row>
    <row r="2364" spans="1:16" x14ac:dyDescent="0.35">
      <c r="A2364" t="s">
        <v>128</v>
      </c>
      <c r="B2364">
        <v>1704124003</v>
      </c>
      <c r="C2364" t="s">
        <v>18</v>
      </c>
      <c r="D2364" t="s">
        <v>21</v>
      </c>
      <c r="E2364" s="29">
        <v>46205</v>
      </c>
      <c r="F2364" t="s">
        <v>4</v>
      </c>
      <c r="G2364" s="28">
        <v>0.54236111111111107</v>
      </c>
      <c r="H2364" s="28">
        <v>0.54236111111111107</v>
      </c>
      <c r="I2364">
        <v>0</v>
      </c>
      <c r="J2364" t="s">
        <v>174</v>
      </c>
      <c r="K2364">
        <v>0</v>
      </c>
      <c r="L2364" t="s">
        <v>6456</v>
      </c>
      <c r="M2364" t="s">
        <v>6457</v>
      </c>
      <c r="N2364" t="s">
        <v>6458</v>
      </c>
      <c r="O2364" t="s">
        <v>6459</v>
      </c>
      <c r="P2364" t="s">
        <v>6460</v>
      </c>
    </row>
    <row r="2365" spans="1:16" x14ac:dyDescent="0.35">
      <c r="A2365" t="s">
        <v>128</v>
      </c>
      <c r="B2365">
        <v>1704124003</v>
      </c>
      <c r="C2365" t="s">
        <v>18</v>
      </c>
      <c r="D2365" t="s">
        <v>21</v>
      </c>
      <c r="E2365" s="29">
        <v>46205</v>
      </c>
      <c r="F2365" t="s">
        <v>4</v>
      </c>
      <c r="G2365" s="28">
        <v>0.5493055555555556</v>
      </c>
      <c r="H2365" s="28">
        <v>0.5493055555555556</v>
      </c>
      <c r="I2365">
        <v>0</v>
      </c>
      <c r="J2365" t="s">
        <v>174</v>
      </c>
      <c r="K2365">
        <v>0</v>
      </c>
      <c r="L2365" t="s">
        <v>6510</v>
      </c>
      <c r="M2365" t="s">
        <v>6448</v>
      </c>
      <c r="N2365" t="s">
        <v>6449</v>
      </c>
      <c r="O2365" t="s">
        <v>6450</v>
      </c>
      <c r="P2365" t="s">
        <v>6451</v>
      </c>
    </row>
    <row r="2366" spans="1:16" x14ac:dyDescent="0.35">
      <c r="A2366" t="s">
        <v>128</v>
      </c>
      <c r="B2366">
        <v>1704124003</v>
      </c>
      <c r="C2366" t="s">
        <v>18</v>
      </c>
      <c r="D2366" t="s">
        <v>21</v>
      </c>
      <c r="E2366" s="29">
        <v>46205</v>
      </c>
      <c r="F2366" t="s">
        <v>4</v>
      </c>
      <c r="G2366" s="28">
        <v>0.55625000000000002</v>
      </c>
      <c r="H2366" s="28">
        <v>0.55625000000000002</v>
      </c>
      <c r="I2366">
        <v>0</v>
      </c>
      <c r="J2366" t="s">
        <v>174</v>
      </c>
      <c r="K2366">
        <v>0</v>
      </c>
      <c r="L2366" t="s">
        <v>6105</v>
      </c>
      <c r="M2366" t="s">
        <v>6511</v>
      </c>
      <c r="N2366" t="s">
        <v>6512</v>
      </c>
      <c r="O2366" t="s">
        <v>6513</v>
      </c>
      <c r="P2366" t="s">
        <v>6514</v>
      </c>
    </row>
    <row r="2367" spans="1:16" x14ac:dyDescent="0.35">
      <c r="A2367" t="s">
        <v>128</v>
      </c>
      <c r="B2367">
        <v>1704124003</v>
      </c>
      <c r="C2367" t="s">
        <v>18</v>
      </c>
      <c r="D2367" t="s">
        <v>21</v>
      </c>
      <c r="E2367" s="29">
        <v>46205</v>
      </c>
      <c r="F2367" t="s">
        <v>4</v>
      </c>
      <c r="G2367" s="28">
        <v>0.56319444444444444</v>
      </c>
      <c r="H2367" s="28">
        <v>0.56319444444444444</v>
      </c>
      <c r="I2367">
        <v>0</v>
      </c>
      <c r="J2367" t="s">
        <v>174</v>
      </c>
      <c r="K2367">
        <v>0</v>
      </c>
      <c r="L2367" t="s">
        <v>6515</v>
      </c>
      <c r="M2367" t="s">
        <v>6386</v>
      </c>
      <c r="N2367" t="s">
        <v>6387</v>
      </c>
      <c r="O2367" t="s">
        <v>6388</v>
      </c>
      <c r="P2367" t="s">
        <v>6389</v>
      </c>
    </row>
    <row r="2368" spans="1:16" x14ac:dyDescent="0.35">
      <c r="A2368" t="s">
        <v>128</v>
      </c>
      <c r="B2368">
        <v>1704124003</v>
      </c>
      <c r="C2368" t="s">
        <v>18</v>
      </c>
      <c r="D2368" t="s">
        <v>21</v>
      </c>
      <c r="E2368" s="29">
        <v>46205</v>
      </c>
      <c r="F2368" t="s">
        <v>4</v>
      </c>
      <c r="G2368" s="28">
        <v>0.56944444444444442</v>
      </c>
      <c r="H2368" s="28">
        <v>0.58402777777777781</v>
      </c>
      <c r="I2368">
        <v>0</v>
      </c>
      <c r="J2368" t="s">
        <v>146</v>
      </c>
      <c r="K2368">
        <v>1</v>
      </c>
      <c r="L2368" t="s">
        <v>147</v>
      </c>
      <c r="M2368" t="s">
        <v>6516</v>
      </c>
      <c r="N2368" t="s">
        <v>6517</v>
      </c>
      <c r="O2368" t="s">
        <v>6518</v>
      </c>
      <c r="P2368" t="s">
        <v>6519</v>
      </c>
    </row>
    <row r="2369" spans="1:16" x14ac:dyDescent="0.35">
      <c r="A2369" t="s">
        <v>128</v>
      </c>
      <c r="B2369">
        <v>1704124003</v>
      </c>
      <c r="C2369" t="s">
        <v>18</v>
      </c>
      <c r="D2369" t="s">
        <v>21</v>
      </c>
      <c r="E2369" s="29">
        <v>46205</v>
      </c>
      <c r="F2369" t="s">
        <v>4</v>
      </c>
      <c r="G2369" s="28">
        <v>0.59097222222222223</v>
      </c>
      <c r="H2369" s="28">
        <v>0.59097222222222223</v>
      </c>
      <c r="I2369">
        <v>0</v>
      </c>
      <c r="J2369" t="s">
        <v>174</v>
      </c>
      <c r="K2369">
        <v>0</v>
      </c>
      <c r="L2369" t="s">
        <v>6520</v>
      </c>
      <c r="M2369" t="s">
        <v>6391</v>
      </c>
      <c r="N2369" t="s">
        <v>6392</v>
      </c>
      <c r="O2369" t="s">
        <v>6393</v>
      </c>
      <c r="P2369" t="s">
        <v>6394</v>
      </c>
    </row>
    <row r="2370" spans="1:16" x14ac:dyDescent="0.35">
      <c r="A2370" t="s">
        <v>128</v>
      </c>
      <c r="B2370">
        <v>1704124003</v>
      </c>
      <c r="C2370" t="s">
        <v>18</v>
      </c>
      <c r="D2370" t="s">
        <v>21</v>
      </c>
      <c r="E2370" s="29">
        <v>46205</v>
      </c>
      <c r="F2370" t="s">
        <v>4</v>
      </c>
      <c r="G2370" s="28">
        <v>0.59791666666666665</v>
      </c>
      <c r="H2370" s="28">
        <v>0.59791666666666665</v>
      </c>
      <c r="I2370">
        <v>0</v>
      </c>
      <c r="J2370" t="s">
        <v>174</v>
      </c>
      <c r="K2370">
        <v>0</v>
      </c>
      <c r="L2370" t="s">
        <v>1481</v>
      </c>
      <c r="M2370" t="s">
        <v>6521</v>
      </c>
      <c r="N2370" t="s">
        <v>6522</v>
      </c>
      <c r="O2370" t="s">
        <v>6523</v>
      </c>
      <c r="P2370" t="s">
        <v>6524</v>
      </c>
    </row>
    <row r="2371" spans="1:16" x14ac:dyDescent="0.35">
      <c r="A2371" t="s">
        <v>128</v>
      </c>
      <c r="B2371">
        <v>1704124003</v>
      </c>
      <c r="C2371" t="s">
        <v>18</v>
      </c>
      <c r="D2371" t="s">
        <v>21</v>
      </c>
      <c r="E2371" s="29">
        <v>46205</v>
      </c>
      <c r="F2371" t="s">
        <v>4</v>
      </c>
      <c r="G2371" s="28">
        <v>0.60486111111111107</v>
      </c>
      <c r="H2371" s="28">
        <v>0.60486111111111107</v>
      </c>
      <c r="I2371">
        <v>0</v>
      </c>
      <c r="J2371" t="s">
        <v>174</v>
      </c>
      <c r="K2371">
        <v>0</v>
      </c>
      <c r="L2371" t="s">
        <v>2672</v>
      </c>
      <c r="M2371" t="s">
        <v>6525</v>
      </c>
      <c r="N2371" t="s">
        <v>6526</v>
      </c>
      <c r="O2371" t="s">
        <v>6527</v>
      </c>
      <c r="P2371" t="s">
        <v>6528</v>
      </c>
    </row>
    <row r="2372" spans="1:16" x14ac:dyDescent="0.35">
      <c r="A2372" t="s">
        <v>128</v>
      </c>
      <c r="B2372">
        <v>1704124003</v>
      </c>
      <c r="C2372" t="s">
        <v>18</v>
      </c>
      <c r="D2372" t="s">
        <v>21</v>
      </c>
      <c r="E2372" s="29">
        <v>46205</v>
      </c>
      <c r="F2372" t="s">
        <v>4</v>
      </c>
      <c r="G2372" s="28">
        <v>0.6118055555555556</v>
      </c>
      <c r="H2372" s="28">
        <v>0.6118055555555556</v>
      </c>
      <c r="I2372">
        <v>0</v>
      </c>
      <c r="J2372" t="s">
        <v>174</v>
      </c>
      <c r="K2372">
        <v>0</v>
      </c>
      <c r="L2372" t="s">
        <v>3608</v>
      </c>
      <c r="M2372" t="s">
        <v>6529</v>
      </c>
      <c r="N2372" t="s">
        <v>6530</v>
      </c>
      <c r="O2372" t="s">
        <v>6531</v>
      </c>
      <c r="P2372" t="s">
        <v>6532</v>
      </c>
    </row>
    <row r="2373" spans="1:16" x14ac:dyDescent="0.35">
      <c r="A2373" t="s">
        <v>128</v>
      </c>
      <c r="B2373">
        <v>1704124003</v>
      </c>
      <c r="C2373" t="s">
        <v>18</v>
      </c>
      <c r="D2373" t="s">
        <v>21</v>
      </c>
      <c r="E2373" s="29">
        <v>46205</v>
      </c>
      <c r="F2373" t="s">
        <v>4</v>
      </c>
      <c r="G2373" s="28">
        <v>0.61875000000000002</v>
      </c>
      <c r="H2373" s="28">
        <v>0.61875000000000002</v>
      </c>
      <c r="I2373">
        <v>0</v>
      </c>
      <c r="J2373" t="s">
        <v>174</v>
      </c>
      <c r="K2373">
        <v>0</v>
      </c>
      <c r="L2373" t="s">
        <v>6533</v>
      </c>
      <c r="M2373" t="s">
        <v>6534</v>
      </c>
      <c r="N2373" t="s">
        <v>6535</v>
      </c>
      <c r="O2373" t="s">
        <v>6536</v>
      </c>
      <c r="P2373" t="s">
        <v>6537</v>
      </c>
    </row>
    <row r="2374" spans="1:16" x14ac:dyDescent="0.35">
      <c r="A2374" t="s">
        <v>128</v>
      </c>
      <c r="B2374">
        <v>1704124003</v>
      </c>
      <c r="C2374" t="s">
        <v>18</v>
      </c>
      <c r="D2374" t="s">
        <v>21</v>
      </c>
      <c r="E2374" s="29">
        <v>46205</v>
      </c>
      <c r="F2374" t="s">
        <v>4</v>
      </c>
      <c r="G2374" s="28">
        <v>0.62569444444444444</v>
      </c>
      <c r="H2374" s="28">
        <v>0.62569444444444444</v>
      </c>
      <c r="I2374">
        <v>0</v>
      </c>
      <c r="J2374" t="s">
        <v>174</v>
      </c>
      <c r="K2374">
        <v>0</v>
      </c>
      <c r="L2374" t="s">
        <v>2672</v>
      </c>
      <c r="M2374" t="s">
        <v>6538</v>
      </c>
      <c r="N2374" t="s">
        <v>6539</v>
      </c>
      <c r="O2374" t="s">
        <v>6540</v>
      </c>
      <c r="P2374" t="s">
        <v>6541</v>
      </c>
    </row>
    <row r="2375" spans="1:16" x14ac:dyDescent="0.35">
      <c r="A2375" t="s">
        <v>128</v>
      </c>
      <c r="B2375">
        <v>1704124003</v>
      </c>
      <c r="C2375" t="s">
        <v>18</v>
      </c>
      <c r="D2375" t="s">
        <v>21</v>
      </c>
      <c r="E2375" s="29">
        <v>46205</v>
      </c>
      <c r="F2375" t="s">
        <v>4</v>
      </c>
      <c r="G2375" s="28">
        <v>0.63263888888888886</v>
      </c>
      <c r="H2375" s="28">
        <v>0.63263888888888886</v>
      </c>
      <c r="I2375">
        <v>0</v>
      </c>
      <c r="J2375" t="s">
        <v>174</v>
      </c>
      <c r="K2375">
        <v>0</v>
      </c>
      <c r="L2375" t="s">
        <v>6542</v>
      </c>
      <c r="M2375" t="s">
        <v>6543</v>
      </c>
      <c r="N2375" t="s">
        <v>6544</v>
      </c>
      <c r="O2375" t="s">
        <v>6545</v>
      </c>
      <c r="P2375" t="s">
        <v>940</v>
      </c>
    </row>
    <row r="2376" spans="1:16" x14ac:dyDescent="0.35">
      <c r="A2376" t="s">
        <v>128</v>
      </c>
      <c r="B2376">
        <v>1704124003</v>
      </c>
      <c r="C2376" t="s">
        <v>18</v>
      </c>
      <c r="D2376" t="s">
        <v>21</v>
      </c>
      <c r="E2376" s="29">
        <v>46205</v>
      </c>
      <c r="F2376" t="s">
        <v>4</v>
      </c>
      <c r="G2376" s="28">
        <v>0.63958333333333328</v>
      </c>
      <c r="H2376" s="28">
        <v>0.63958333333333328</v>
      </c>
      <c r="I2376">
        <v>0</v>
      </c>
      <c r="J2376" t="s">
        <v>174</v>
      </c>
      <c r="K2376">
        <v>0</v>
      </c>
      <c r="L2376" t="s">
        <v>6546</v>
      </c>
      <c r="M2376" t="s">
        <v>6547</v>
      </c>
      <c r="N2376" t="s">
        <v>6548</v>
      </c>
      <c r="O2376" t="s">
        <v>6549</v>
      </c>
      <c r="P2376" t="s">
        <v>6550</v>
      </c>
    </row>
    <row r="2377" spans="1:16" x14ac:dyDescent="0.35">
      <c r="A2377" t="s">
        <v>128</v>
      </c>
      <c r="B2377">
        <v>1704124003</v>
      </c>
      <c r="C2377" t="s">
        <v>18</v>
      </c>
      <c r="D2377" t="s">
        <v>21</v>
      </c>
      <c r="E2377" s="29">
        <v>46205</v>
      </c>
      <c r="F2377" t="s">
        <v>4</v>
      </c>
      <c r="G2377" s="28">
        <v>0.64652777777777781</v>
      </c>
      <c r="H2377" s="28">
        <v>0.64652777777777781</v>
      </c>
      <c r="I2377">
        <v>0</v>
      </c>
      <c r="J2377" t="s">
        <v>174</v>
      </c>
      <c r="K2377">
        <v>0</v>
      </c>
      <c r="L2377" t="s">
        <v>946</v>
      </c>
      <c r="M2377" t="s">
        <v>6551</v>
      </c>
      <c r="N2377" t="s">
        <v>6552</v>
      </c>
      <c r="O2377" t="s">
        <v>6553</v>
      </c>
      <c r="P2377" t="s">
        <v>6554</v>
      </c>
    </row>
    <row r="2378" spans="1:16" x14ac:dyDescent="0.35">
      <c r="A2378" t="s">
        <v>128</v>
      </c>
      <c r="B2378">
        <v>1704124003</v>
      </c>
      <c r="C2378" t="s">
        <v>18</v>
      </c>
      <c r="D2378" t="s">
        <v>21</v>
      </c>
      <c r="E2378" s="29">
        <v>46205</v>
      </c>
      <c r="F2378" t="s">
        <v>4</v>
      </c>
      <c r="G2378" s="28">
        <v>0.65347222222222223</v>
      </c>
      <c r="H2378" s="28">
        <v>0.65347222222222223</v>
      </c>
      <c r="I2378">
        <v>0</v>
      </c>
      <c r="J2378" t="s">
        <v>174</v>
      </c>
      <c r="K2378">
        <v>0</v>
      </c>
      <c r="L2378" t="s">
        <v>3836</v>
      </c>
      <c r="M2378" t="s">
        <v>6555</v>
      </c>
      <c r="N2378" t="s">
        <v>6556</v>
      </c>
      <c r="O2378" t="s">
        <v>6557</v>
      </c>
      <c r="P2378" t="s">
        <v>6558</v>
      </c>
    </row>
    <row r="2379" spans="1:16" x14ac:dyDescent="0.35">
      <c r="A2379" t="s">
        <v>128</v>
      </c>
      <c r="B2379">
        <v>1704124003</v>
      </c>
      <c r="C2379" t="s">
        <v>18</v>
      </c>
      <c r="D2379" t="s">
        <v>21</v>
      </c>
      <c r="E2379" s="29">
        <v>46205</v>
      </c>
      <c r="F2379" t="s">
        <v>4</v>
      </c>
      <c r="G2379" s="28">
        <v>0.66041666666666665</v>
      </c>
      <c r="H2379" s="28">
        <v>0.66736111111111107</v>
      </c>
      <c r="I2379">
        <v>0</v>
      </c>
      <c r="J2379" t="s">
        <v>146</v>
      </c>
      <c r="K2379">
        <v>0</v>
      </c>
      <c r="L2379" t="s">
        <v>147</v>
      </c>
      <c r="M2379" t="s">
        <v>6559</v>
      </c>
      <c r="N2379" t="s">
        <v>6560</v>
      </c>
      <c r="O2379" t="s">
        <v>6561</v>
      </c>
      <c r="P2379" t="s">
        <v>6562</v>
      </c>
    </row>
    <row r="2380" spans="1:16" x14ac:dyDescent="0.35">
      <c r="A2380" t="s">
        <v>128</v>
      </c>
      <c r="B2380">
        <v>1704124003</v>
      </c>
      <c r="C2380" t="s">
        <v>18</v>
      </c>
      <c r="D2380" t="s">
        <v>21</v>
      </c>
      <c r="E2380" s="29">
        <v>46205</v>
      </c>
      <c r="F2380" t="s">
        <v>4</v>
      </c>
      <c r="G2380" s="28">
        <v>0.6743055555555556</v>
      </c>
      <c r="H2380" s="28">
        <v>0.6743055555555556</v>
      </c>
      <c r="I2380">
        <v>0</v>
      </c>
      <c r="J2380" t="s">
        <v>174</v>
      </c>
      <c r="K2380">
        <v>0</v>
      </c>
      <c r="L2380" t="s">
        <v>6563</v>
      </c>
      <c r="M2380" t="s">
        <v>6564</v>
      </c>
      <c r="N2380" t="s">
        <v>6565</v>
      </c>
      <c r="O2380" t="s">
        <v>6566</v>
      </c>
      <c r="P2380" t="s">
        <v>6567</v>
      </c>
    </row>
    <row r="2381" spans="1:16" x14ac:dyDescent="0.35">
      <c r="A2381" t="s">
        <v>128</v>
      </c>
      <c r="B2381">
        <v>1704124003</v>
      </c>
      <c r="C2381" t="s">
        <v>18</v>
      </c>
      <c r="D2381" t="s">
        <v>21</v>
      </c>
      <c r="E2381" s="29">
        <v>46205</v>
      </c>
      <c r="F2381" t="s">
        <v>4</v>
      </c>
      <c r="G2381" s="28">
        <v>0.68125000000000002</v>
      </c>
      <c r="H2381" s="28">
        <v>0.68125000000000002</v>
      </c>
      <c r="I2381">
        <v>0</v>
      </c>
      <c r="J2381" t="s">
        <v>174</v>
      </c>
      <c r="K2381">
        <v>0</v>
      </c>
      <c r="L2381" t="s">
        <v>1042</v>
      </c>
      <c r="M2381" t="s">
        <v>6568</v>
      </c>
      <c r="N2381" t="s">
        <v>6569</v>
      </c>
      <c r="O2381" t="s">
        <v>6570</v>
      </c>
      <c r="P2381" t="s">
        <v>6571</v>
      </c>
    </row>
    <row r="2382" spans="1:16" x14ac:dyDescent="0.35">
      <c r="A2382" t="s">
        <v>128</v>
      </c>
      <c r="B2382">
        <v>1704124003</v>
      </c>
      <c r="C2382" t="s">
        <v>18</v>
      </c>
      <c r="D2382" t="s">
        <v>21</v>
      </c>
      <c r="E2382" s="29">
        <v>46205</v>
      </c>
      <c r="F2382" t="s">
        <v>4</v>
      </c>
      <c r="G2382" s="28">
        <v>0.68819444444444444</v>
      </c>
      <c r="H2382" s="28">
        <v>0.68819444444444444</v>
      </c>
      <c r="I2382">
        <v>0</v>
      </c>
      <c r="J2382" t="s">
        <v>174</v>
      </c>
      <c r="K2382">
        <v>0</v>
      </c>
      <c r="L2382" t="s">
        <v>6572</v>
      </c>
      <c r="M2382" t="s">
        <v>6573</v>
      </c>
      <c r="N2382" t="s">
        <v>6574</v>
      </c>
      <c r="O2382" t="s">
        <v>6575</v>
      </c>
      <c r="P2382" t="s">
        <v>6576</v>
      </c>
    </row>
    <row r="2383" spans="1:16" x14ac:dyDescent="0.35">
      <c r="A2383" t="s">
        <v>128</v>
      </c>
      <c r="B2383">
        <v>1704124003</v>
      </c>
      <c r="C2383" t="s">
        <v>18</v>
      </c>
      <c r="D2383" t="s">
        <v>21</v>
      </c>
      <c r="E2383" s="29">
        <v>46205</v>
      </c>
      <c r="F2383" t="s">
        <v>4</v>
      </c>
      <c r="G2383" s="28">
        <v>0.69513888888888886</v>
      </c>
      <c r="H2383" s="28">
        <v>0.69513888888888886</v>
      </c>
      <c r="I2383">
        <v>0</v>
      </c>
      <c r="J2383" t="s">
        <v>174</v>
      </c>
      <c r="K2383">
        <v>0</v>
      </c>
      <c r="L2383" t="s">
        <v>6577</v>
      </c>
      <c r="M2383" t="s">
        <v>6578</v>
      </c>
      <c r="N2383" t="s">
        <v>6579</v>
      </c>
      <c r="O2383" t="s">
        <v>6580</v>
      </c>
      <c r="P2383" t="s">
        <v>6581</v>
      </c>
    </row>
    <row r="2384" spans="1:16" x14ac:dyDescent="0.35">
      <c r="A2384" t="s">
        <v>128</v>
      </c>
      <c r="B2384">
        <v>1704124003</v>
      </c>
      <c r="C2384" t="s">
        <v>18</v>
      </c>
      <c r="D2384" t="s">
        <v>21</v>
      </c>
      <c r="E2384" s="29">
        <v>46205</v>
      </c>
      <c r="F2384" t="s">
        <v>4</v>
      </c>
      <c r="G2384" s="28">
        <v>0.70208333333333328</v>
      </c>
      <c r="H2384" s="28">
        <v>0.70208333333333328</v>
      </c>
      <c r="I2384">
        <v>0</v>
      </c>
      <c r="J2384" t="s">
        <v>174</v>
      </c>
      <c r="K2384">
        <v>0</v>
      </c>
      <c r="L2384" t="s">
        <v>6105</v>
      </c>
      <c r="M2384" t="s">
        <v>6582</v>
      </c>
      <c r="N2384" t="s">
        <v>6583</v>
      </c>
      <c r="O2384" t="s">
        <v>6584</v>
      </c>
      <c r="P2384" t="s">
        <v>6585</v>
      </c>
    </row>
    <row r="2385" spans="1:16" x14ac:dyDescent="0.35">
      <c r="A2385" t="s">
        <v>128</v>
      </c>
      <c r="B2385">
        <v>1704124003</v>
      </c>
      <c r="C2385" t="s">
        <v>18</v>
      </c>
      <c r="D2385" t="s">
        <v>21</v>
      </c>
      <c r="E2385" s="29">
        <v>46205</v>
      </c>
      <c r="F2385" t="s">
        <v>4</v>
      </c>
      <c r="G2385" s="28">
        <v>0.70902777777777781</v>
      </c>
      <c r="H2385" s="28">
        <v>0.70902777777777781</v>
      </c>
      <c r="I2385">
        <v>0</v>
      </c>
      <c r="J2385" t="s">
        <v>174</v>
      </c>
      <c r="K2385">
        <v>0</v>
      </c>
      <c r="L2385" t="s">
        <v>6586</v>
      </c>
      <c r="M2385" t="s">
        <v>6587</v>
      </c>
      <c r="N2385" t="s">
        <v>6588</v>
      </c>
      <c r="O2385" t="s">
        <v>6589</v>
      </c>
      <c r="P2385" t="s">
        <v>6590</v>
      </c>
    </row>
    <row r="2386" spans="1:16" x14ac:dyDescent="0.35">
      <c r="A2386" t="s">
        <v>128</v>
      </c>
      <c r="B2386">
        <v>1704124003</v>
      </c>
      <c r="C2386" t="s">
        <v>18</v>
      </c>
      <c r="D2386" t="s">
        <v>21</v>
      </c>
      <c r="E2386" s="29">
        <v>46205</v>
      </c>
      <c r="F2386" t="s">
        <v>4</v>
      </c>
      <c r="G2386" s="28">
        <v>0.71597222222222223</v>
      </c>
      <c r="H2386" s="28">
        <v>0.71597222222222223</v>
      </c>
      <c r="I2386">
        <v>0</v>
      </c>
      <c r="J2386" t="s">
        <v>174</v>
      </c>
      <c r="K2386">
        <v>0</v>
      </c>
      <c r="L2386" t="s">
        <v>1425</v>
      </c>
      <c r="M2386" t="s">
        <v>6591</v>
      </c>
      <c r="N2386" t="s">
        <v>6592</v>
      </c>
      <c r="O2386" t="s">
        <v>6593</v>
      </c>
      <c r="P2386" t="s">
        <v>6594</v>
      </c>
    </row>
    <row r="2387" spans="1:16" x14ac:dyDescent="0.35">
      <c r="A2387" t="s">
        <v>128</v>
      </c>
      <c r="B2387">
        <v>1704124003</v>
      </c>
      <c r="C2387" t="s">
        <v>18</v>
      </c>
      <c r="D2387" t="s">
        <v>21</v>
      </c>
      <c r="E2387" s="29">
        <v>46205</v>
      </c>
      <c r="F2387" t="s">
        <v>4</v>
      </c>
      <c r="G2387" s="28">
        <v>0.72291666666666665</v>
      </c>
      <c r="H2387" s="28">
        <v>0.72291666666666665</v>
      </c>
      <c r="I2387">
        <v>0</v>
      </c>
      <c r="J2387" t="s">
        <v>174</v>
      </c>
      <c r="K2387">
        <v>0</v>
      </c>
      <c r="L2387" t="s">
        <v>5262</v>
      </c>
      <c r="M2387" t="s">
        <v>6595</v>
      </c>
      <c r="N2387" t="s">
        <v>6596</v>
      </c>
      <c r="O2387" t="s">
        <v>6597</v>
      </c>
      <c r="P2387" t="s">
        <v>6598</v>
      </c>
    </row>
    <row r="2388" spans="1:16" x14ac:dyDescent="0.35">
      <c r="A2388" t="s">
        <v>128</v>
      </c>
      <c r="B2388">
        <v>1704124003</v>
      </c>
      <c r="C2388" t="s">
        <v>18</v>
      </c>
      <c r="D2388" t="s">
        <v>21</v>
      </c>
      <c r="E2388" s="29">
        <v>46205</v>
      </c>
      <c r="F2388" t="s">
        <v>4</v>
      </c>
      <c r="G2388" s="28">
        <v>0.72986111111111107</v>
      </c>
      <c r="H2388" s="28">
        <v>0.86875000000000002</v>
      </c>
      <c r="I2388">
        <v>3</v>
      </c>
      <c r="J2388" t="s">
        <v>146</v>
      </c>
      <c r="K2388">
        <v>10</v>
      </c>
      <c r="L2388" t="s">
        <v>147</v>
      </c>
      <c r="M2388" t="s">
        <v>6599</v>
      </c>
      <c r="N2388" t="s">
        <v>6600</v>
      </c>
      <c r="O2388" t="s">
        <v>6601</v>
      </c>
      <c r="P2388" t="s">
        <v>6602</v>
      </c>
    </row>
    <row r="2389" spans="1:16" x14ac:dyDescent="0.35">
      <c r="A2389" t="s">
        <v>128</v>
      </c>
      <c r="B2389">
        <v>1704124003</v>
      </c>
      <c r="C2389" t="s">
        <v>18</v>
      </c>
      <c r="D2389" t="s">
        <v>21</v>
      </c>
      <c r="E2389" s="29">
        <v>46207</v>
      </c>
      <c r="F2389" t="s">
        <v>5</v>
      </c>
      <c r="G2389" s="28">
        <v>0.37569444444444444</v>
      </c>
      <c r="H2389" s="28">
        <v>0.38263888888888886</v>
      </c>
      <c r="I2389">
        <v>0</v>
      </c>
      <c r="J2389" t="s">
        <v>146</v>
      </c>
      <c r="K2389">
        <v>0</v>
      </c>
      <c r="L2389" t="s">
        <v>147</v>
      </c>
      <c r="M2389" t="s">
        <v>6603</v>
      </c>
      <c r="N2389" t="s">
        <v>6604</v>
      </c>
      <c r="O2389" t="s">
        <v>6605</v>
      </c>
      <c r="P2389" t="s">
        <v>6606</v>
      </c>
    </row>
    <row r="2390" spans="1:16" x14ac:dyDescent="0.35">
      <c r="A2390" t="s">
        <v>128</v>
      </c>
      <c r="B2390">
        <v>1704124003</v>
      </c>
      <c r="C2390" t="s">
        <v>18</v>
      </c>
      <c r="D2390" t="s">
        <v>21</v>
      </c>
      <c r="E2390" s="29">
        <v>46207</v>
      </c>
      <c r="F2390" t="s">
        <v>5</v>
      </c>
      <c r="G2390" s="28">
        <v>0.38958333333333334</v>
      </c>
      <c r="H2390" s="28">
        <v>0.38958333333333334</v>
      </c>
      <c r="I2390">
        <v>0</v>
      </c>
      <c r="J2390" t="s">
        <v>174</v>
      </c>
      <c r="K2390">
        <v>0</v>
      </c>
      <c r="L2390" t="s">
        <v>1094</v>
      </c>
      <c r="M2390" t="s">
        <v>6607</v>
      </c>
      <c r="N2390" t="s">
        <v>6608</v>
      </c>
      <c r="O2390" t="s">
        <v>6609</v>
      </c>
      <c r="P2390" t="s">
        <v>6610</v>
      </c>
    </row>
    <row r="2391" spans="1:16" x14ac:dyDescent="0.35">
      <c r="A2391" t="s">
        <v>128</v>
      </c>
      <c r="B2391">
        <v>1704124003</v>
      </c>
      <c r="C2391" t="s">
        <v>18</v>
      </c>
      <c r="D2391" t="s">
        <v>21</v>
      </c>
      <c r="E2391" s="29">
        <v>46207</v>
      </c>
      <c r="F2391" t="s">
        <v>5</v>
      </c>
      <c r="G2391" s="28">
        <v>0.39652777777777776</v>
      </c>
      <c r="H2391" s="28">
        <v>0.39652777777777776</v>
      </c>
      <c r="I2391">
        <v>0</v>
      </c>
      <c r="J2391" t="s">
        <v>174</v>
      </c>
      <c r="K2391">
        <v>0</v>
      </c>
      <c r="L2391" t="s">
        <v>1989</v>
      </c>
      <c r="M2391" t="s">
        <v>6591</v>
      </c>
      <c r="N2391" t="s">
        <v>6592</v>
      </c>
      <c r="O2391" t="s">
        <v>6593</v>
      </c>
      <c r="P2391" t="s">
        <v>6594</v>
      </c>
    </row>
    <row r="2392" spans="1:16" x14ac:dyDescent="0.35">
      <c r="A2392" t="s">
        <v>128</v>
      </c>
      <c r="B2392">
        <v>1704124003</v>
      </c>
      <c r="C2392" t="s">
        <v>18</v>
      </c>
      <c r="D2392" t="s">
        <v>21</v>
      </c>
      <c r="E2392" s="29">
        <v>46207</v>
      </c>
      <c r="F2392" t="s">
        <v>5</v>
      </c>
      <c r="G2392" s="28">
        <v>0.40347222222222223</v>
      </c>
      <c r="H2392" s="28">
        <v>0.40347222222222223</v>
      </c>
      <c r="I2392">
        <v>0</v>
      </c>
      <c r="J2392" t="s">
        <v>174</v>
      </c>
      <c r="K2392">
        <v>0</v>
      </c>
      <c r="L2392" t="s">
        <v>1989</v>
      </c>
      <c r="M2392" t="s">
        <v>6611</v>
      </c>
      <c r="N2392" t="s">
        <v>6612</v>
      </c>
      <c r="O2392" t="s">
        <v>6613</v>
      </c>
      <c r="P2392" t="s">
        <v>6614</v>
      </c>
    </row>
    <row r="2393" spans="1:16" x14ac:dyDescent="0.35">
      <c r="A2393" t="s">
        <v>128</v>
      </c>
      <c r="B2393">
        <v>1704124003</v>
      </c>
      <c r="C2393" t="s">
        <v>18</v>
      </c>
      <c r="D2393" t="s">
        <v>21</v>
      </c>
      <c r="E2393" s="29">
        <v>46207</v>
      </c>
      <c r="F2393" t="s">
        <v>5</v>
      </c>
      <c r="G2393" s="28">
        <v>0.40763888888888888</v>
      </c>
      <c r="H2393" s="28">
        <v>0.42430555555555555</v>
      </c>
      <c r="I2393">
        <v>0</v>
      </c>
      <c r="J2393" t="s">
        <v>146</v>
      </c>
      <c r="K2393">
        <v>1</v>
      </c>
      <c r="L2393" t="s">
        <v>147</v>
      </c>
      <c r="M2393" t="s">
        <v>6591</v>
      </c>
      <c r="N2393" t="s">
        <v>6592</v>
      </c>
      <c r="O2393" t="s">
        <v>6593</v>
      </c>
      <c r="P2393" t="s">
        <v>6594</v>
      </c>
    </row>
    <row r="2394" spans="1:16" x14ac:dyDescent="0.35">
      <c r="A2394" t="s">
        <v>128</v>
      </c>
      <c r="B2394">
        <v>1704124003</v>
      </c>
      <c r="C2394" t="s">
        <v>18</v>
      </c>
      <c r="D2394" t="s">
        <v>21</v>
      </c>
      <c r="E2394" s="29">
        <v>46207</v>
      </c>
      <c r="F2394" t="s">
        <v>5</v>
      </c>
      <c r="G2394" s="28">
        <v>0.43125000000000002</v>
      </c>
      <c r="H2394" s="28">
        <v>0.43125000000000002</v>
      </c>
      <c r="I2394">
        <v>0</v>
      </c>
      <c r="J2394" t="s">
        <v>174</v>
      </c>
      <c r="K2394">
        <v>0</v>
      </c>
      <c r="L2394" t="s">
        <v>3815</v>
      </c>
      <c r="M2394" t="s">
        <v>6611</v>
      </c>
      <c r="N2394" t="s">
        <v>6612</v>
      </c>
      <c r="O2394" t="s">
        <v>6613</v>
      </c>
      <c r="P2394" t="s">
        <v>6614</v>
      </c>
    </row>
    <row r="2395" spans="1:16" x14ac:dyDescent="0.35">
      <c r="A2395" t="s">
        <v>128</v>
      </c>
      <c r="B2395">
        <v>1704124003</v>
      </c>
      <c r="C2395" t="s">
        <v>18</v>
      </c>
      <c r="D2395" t="s">
        <v>21</v>
      </c>
      <c r="E2395" s="29">
        <v>46207</v>
      </c>
      <c r="F2395" t="s">
        <v>5</v>
      </c>
      <c r="G2395" s="28">
        <v>0.43888888888888888</v>
      </c>
      <c r="H2395" s="28">
        <v>0.43888888888888888</v>
      </c>
      <c r="I2395">
        <v>0</v>
      </c>
      <c r="J2395" t="s">
        <v>174</v>
      </c>
      <c r="K2395">
        <v>0</v>
      </c>
      <c r="L2395" t="s">
        <v>1094</v>
      </c>
      <c r="M2395" t="s">
        <v>6607</v>
      </c>
      <c r="N2395" t="s">
        <v>6608</v>
      </c>
      <c r="O2395" t="s">
        <v>6609</v>
      </c>
      <c r="P2395" t="s">
        <v>6610</v>
      </c>
    </row>
    <row r="2396" spans="1:16" x14ac:dyDescent="0.35">
      <c r="A2396" t="s">
        <v>128</v>
      </c>
      <c r="B2396">
        <v>1704124003</v>
      </c>
      <c r="C2396" t="s">
        <v>18</v>
      </c>
      <c r="D2396" t="s">
        <v>21</v>
      </c>
      <c r="E2396" s="29">
        <v>46207</v>
      </c>
      <c r="F2396" t="s">
        <v>5</v>
      </c>
      <c r="G2396" s="28">
        <v>0.45208333333333334</v>
      </c>
      <c r="H2396" s="28">
        <v>0.45208333333333334</v>
      </c>
      <c r="I2396">
        <v>0</v>
      </c>
      <c r="J2396" t="s">
        <v>174</v>
      </c>
      <c r="K2396">
        <v>0</v>
      </c>
      <c r="L2396" t="s">
        <v>1094</v>
      </c>
      <c r="M2396" t="s">
        <v>6591</v>
      </c>
      <c r="N2396" t="s">
        <v>6592</v>
      </c>
      <c r="O2396" t="s">
        <v>6593</v>
      </c>
      <c r="P2396" t="s">
        <v>6594</v>
      </c>
    </row>
    <row r="2397" spans="1:16" x14ac:dyDescent="0.35">
      <c r="A2397" t="s">
        <v>128</v>
      </c>
      <c r="B2397">
        <v>1704124003</v>
      </c>
      <c r="C2397" t="s">
        <v>18</v>
      </c>
      <c r="D2397" t="s">
        <v>21</v>
      </c>
      <c r="E2397" s="29">
        <v>46207</v>
      </c>
      <c r="F2397" t="s">
        <v>5</v>
      </c>
      <c r="G2397" s="28">
        <v>0.45902777777777776</v>
      </c>
      <c r="H2397" s="28">
        <v>0.45902777777777776</v>
      </c>
      <c r="I2397">
        <v>0</v>
      </c>
      <c r="J2397" t="s">
        <v>174</v>
      </c>
      <c r="K2397">
        <v>0</v>
      </c>
      <c r="L2397" t="s">
        <v>1094</v>
      </c>
      <c r="M2397" t="s">
        <v>6607</v>
      </c>
      <c r="N2397" t="s">
        <v>6608</v>
      </c>
      <c r="O2397" t="s">
        <v>6609</v>
      </c>
      <c r="P2397" t="s">
        <v>6610</v>
      </c>
    </row>
    <row r="2398" spans="1:16" x14ac:dyDescent="0.35">
      <c r="A2398" t="s">
        <v>128</v>
      </c>
      <c r="B2398">
        <v>1704124003</v>
      </c>
      <c r="C2398" t="s">
        <v>18</v>
      </c>
      <c r="D2398" t="s">
        <v>21</v>
      </c>
      <c r="E2398" s="29">
        <v>46207</v>
      </c>
      <c r="F2398" t="s">
        <v>5</v>
      </c>
      <c r="G2398" s="28">
        <v>0.46597222222222223</v>
      </c>
      <c r="H2398" s="28">
        <v>0.52152777777777781</v>
      </c>
      <c r="I2398">
        <v>1</v>
      </c>
      <c r="J2398" t="s">
        <v>146</v>
      </c>
      <c r="K2398">
        <v>4</v>
      </c>
      <c r="L2398" t="s">
        <v>147</v>
      </c>
      <c r="M2398" t="s">
        <v>6591</v>
      </c>
      <c r="N2398" t="s">
        <v>6592</v>
      </c>
      <c r="O2398" t="s">
        <v>6593</v>
      </c>
      <c r="P2398" t="s">
        <v>6594</v>
      </c>
    </row>
    <row r="2399" spans="1:16" x14ac:dyDescent="0.35">
      <c r="A2399" t="s">
        <v>128</v>
      </c>
      <c r="B2399">
        <v>1704124003</v>
      </c>
      <c r="C2399" t="s">
        <v>18</v>
      </c>
      <c r="D2399" t="s">
        <v>21</v>
      </c>
      <c r="E2399" s="29">
        <v>46207</v>
      </c>
      <c r="F2399" t="s">
        <v>5</v>
      </c>
      <c r="G2399" s="28">
        <v>0.52777777777777779</v>
      </c>
      <c r="H2399" s="28">
        <v>0.52777777777777779</v>
      </c>
      <c r="I2399">
        <v>0</v>
      </c>
      <c r="J2399" t="s">
        <v>174</v>
      </c>
      <c r="K2399">
        <v>0</v>
      </c>
      <c r="L2399" t="s">
        <v>6615</v>
      </c>
      <c r="M2399" t="s">
        <v>6616</v>
      </c>
      <c r="N2399" t="s">
        <v>6617</v>
      </c>
      <c r="O2399" t="s">
        <v>6618</v>
      </c>
      <c r="P2399" t="s">
        <v>6619</v>
      </c>
    </row>
    <row r="2400" spans="1:16" x14ac:dyDescent="0.35">
      <c r="A2400" t="s">
        <v>128</v>
      </c>
      <c r="B2400">
        <v>1704124003</v>
      </c>
      <c r="C2400" t="s">
        <v>18</v>
      </c>
      <c r="D2400" t="s">
        <v>21</v>
      </c>
      <c r="E2400" s="29">
        <v>46207</v>
      </c>
      <c r="F2400" t="s">
        <v>5</v>
      </c>
      <c r="G2400" s="28">
        <v>0.53541666666666665</v>
      </c>
      <c r="H2400" s="28">
        <v>0.53541666666666665</v>
      </c>
      <c r="I2400">
        <v>0</v>
      </c>
      <c r="J2400" t="s">
        <v>174</v>
      </c>
      <c r="K2400">
        <v>0</v>
      </c>
      <c r="L2400" t="s">
        <v>6620</v>
      </c>
      <c r="M2400" t="s">
        <v>6599</v>
      </c>
      <c r="N2400" t="s">
        <v>6600</v>
      </c>
      <c r="O2400" t="s">
        <v>6601</v>
      </c>
      <c r="P2400" t="s">
        <v>6602</v>
      </c>
    </row>
    <row r="2401" spans="1:16" x14ac:dyDescent="0.35">
      <c r="A2401" t="s">
        <v>128</v>
      </c>
      <c r="B2401">
        <v>1704124003</v>
      </c>
      <c r="C2401" t="s">
        <v>18</v>
      </c>
      <c r="D2401" t="s">
        <v>21</v>
      </c>
      <c r="E2401" s="29">
        <v>46207</v>
      </c>
      <c r="F2401" t="s">
        <v>5</v>
      </c>
      <c r="G2401" s="28">
        <v>0.54236111111111107</v>
      </c>
      <c r="H2401" s="28">
        <v>0.54236111111111107</v>
      </c>
      <c r="I2401">
        <v>0</v>
      </c>
      <c r="J2401" t="s">
        <v>174</v>
      </c>
      <c r="K2401">
        <v>0</v>
      </c>
      <c r="L2401" t="s">
        <v>2309</v>
      </c>
      <c r="M2401" t="s">
        <v>6621</v>
      </c>
      <c r="N2401" t="s">
        <v>6622</v>
      </c>
      <c r="O2401" t="s">
        <v>6623</v>
      </c>
      <c r="P2401" t="s">
        <v>6624</v>
      </c>
    </row>
    <row r="2402" spans="1:16" x14ac:dyDescent="0.35">
      <c r="A2402" t="s">
        <v>128</v>
      </c>
      <c r="B2402">
        <v>1704124003</v>
      </c>
      <c r="C2402" t="s">
        <v>18</v>
      </c>
      <c r="D2402" t="s">
        <v>21</v>
      </c>
      <c r="E2402" s="29">
        <v>46207</v>
      </c>
      <c r="F2402" t="s">
        <v>5</v>
      </c>
      <c r="G2402" s="28">
        <v>0.5493055555555556</v>
      </c>
      <c r="H2402" s="28">
        <v>0.56319444444444444</v>
      </c>
      <c r="I2402">
        <v>0</v>
      </c>
      <c r="J2402" t="s">
        <v>146</v>
      </c>
      <c r="K2402">
        <v>1</v>
      </c>
      <c r="L2402" t="s">
        <v>147</v>
      </c>
      <c r="M2402" t="s">
        <v>6625</v>
      </c>
      <c r="N2402" t="s">
        <v>6626</v>
      </c>
      <c r="O2402" t="s">
        <v>6627</v>
      </c>
      <c r="P2402" t="s">
        <v>6628</v>
      </c>
    </row>
    <row r="2403" spans="1:16" x14ac:dyDescent="0.35">
      <c r="A2403" t="s">
        <v>128</v>
      </c>
      <c r="B2403">
        <v>1704124003</v>
      </c>
      <c r="C2403" t="s">
        <v>18</v>
      </c>
      <c r="D2403" t="s">
        <v>21</v>
      </c>
      <c r="E2403" s="29">
        <v>46207</v>
      </c>
      <c r="F2403" t="s">
        <v>5</v>
      </c>
      <c r="G2403" s="28">
        <v>0.57013888888888886</v>
      </c>
      <c r="H2403" s="28">
        <v>0.57013888888888886</v>
      </c>
      <c r="I2403">
        <v>0</v>
      </c>
      <c r="J2403" t="s">
        <v>174</v>
      </c>
      <c r="K2403">
        <v>0</v>
      </c>
      <c r="L2403" t="s">
        <v>4665</v>
      </c>
      <c r="M2403" t="s">
        <v>6629</v>
      </c>
      <c r="N2403" t="s">
        <v>6630</v>
      </c>
      <c r="O2403" t="s">
        <v>6631</v>
      </c>
      <c r="P2403" t="s">
        <v>6632</v>
      </c>
    </row>
    <row r="2404" spans="1:16" x14ac:dyDescent="0.35">
      <c r="A2404" t="s">
        <v>128</v>
      </c>
      <c r="B2404">
        <v>1704124003</v>
      </c>
      <c r="C2404" t="s">
        <v>18</v>
      </c>
      <c r="D2404" t="s">
        <v>21</v>
      </c>
      <c r="E2404" s="29">
        <v>46207</v>
      </c>
      <c r="F2404" t="s">
        <v>5</v>
      </c>
      <c r="G2404" s="28">
        <v>0.57708333333333328</v>
      </c>
      <c r="H2404" s="28">
        <v>0.65347222222222223</v>
      </c>
      <c r="I2404">
        <v>2</v>
      </c>
      <c r="J2404" t="s">
        <v>146</v>
      </c>
      <c r="K2404">
        <v>6</v>
      </c>
      <c r="L2404" t="s">
        <v>147</v>
      </c>
      <c r="M2404" t="s">
        <v>6625</v>
      </c>
      <c r="N2404" t="s">
        <v>6626</v>
      </c>
      <c r="O2404" t="s">
        <v>6627</v>
      </c>
      <c r="P2404" t="s">
        <v>6628</v>
      </c>
    </row>
    <row r="2405" spans="1:16" x14ac:dyDescent="0.35">
      <c r="A2405" t="s">
        <v>128</v>
      </c>
      <c r="B2405">
        <v>1704124003</v>
      </c>
      <c r="C2405" t="s">
        <v>18</v>
      </c>
      <c r="D2405" t="s">
        <v>21</v>
      </c>
      <c r="E2405" s="29">
        <v>46207</v>
      </c>
      <c r="F2405" t="s">
        <v>5</v>
      </c>
      <c r="G2405" s="28">
        <v>0.66041666666666665</v>
      </c>
      <c r="H2405" s="28">
        <v>0.66041666666666665</v>
      </c>
      <c r="I2405">
        <v>0</v>
      </c>
      <c r="J2405" t="s">
        <v>174</v>
      </c>
      <c r="K2405">
        <v>0</v>
      </c>
      <c r="L2405" t="s">
        <v>6620</v>
      </c>
      <c r="M2405" t="s">
        <v>6621</v>
      </c>
      <c r="N2405" t="s">
        <v>6622</v>
      </c>
      <c r="O2405" t="s">
        <v>6623</v>
      </c>
      <c r="P2405" t="s">
        <v>6624</v>
      </c>
    </row>
    <row r="2406" spans="1:16" x14ac:dyDescent="0.35">
      <c r="A2406" t="s">
        <v>128</v>
      </c>
      <c r="B2406">
        <v>1704124003</v>
      </c>
      <c r="C2406" t="s">
        <v>18</v>
      </c>
      <c r="D2406" t="s">
        <v>21</v>
      </c>
      <c r="E2406" s="29">
        <v>46207</v>
      </c>
      <c r="F2406" t="s">
        <v>5</v>
      </c>
      <c r="G2406" s="28">
        <v>0.66736111111111107</v>
      </c>
      <c r="H2406" s="28">
        <v>0.68125000000000002</v>
      </c>
      <c r="I2406">
        <v>0</v>
      </c>
      <c r="J2406" t="s">
        <v>146</v>
      </c>
      <c r="K2406">
        <v>1</v>
      </c>
      <c r="L2406" t="s">
        <v>147</v>
      </c>
      <c r="M2406" t="s">
        <v>6599</v>
      </c>
      <c r="N2406" t="s">
        <v>6600</v>
      </c>
      <c r="O2406" t="s">
        <v>6601</v>
      </c>
      <c r="P2406" t="s">
        <v>6602</v>
      </c>
    </row>
    <row r="2407" spans="1:16" x14ac:dyDescent="0.35">
      <c r="A2407" t="s">
        <v>128</v>
      </c>
      <c r="B2407">
        <v>1704124003</v>
      </c>
      <c r="C2407" t="s">
        <v>18</v>
      </c>
      <c r="D2407" t="s">
        <v>21</v>
      </c>
      <c r="E2407" s="29">
        <v>46207</v>
      </c>
      <c r="F2407" t="s">
        <v>5</v>
      </c>
      <c r="G2407" s="28">
        <v>0.68819444444444444</v>
      </c>
      <c r="H2407" s="28">
        <v>0.68819444444444444</v>
      </c>
      <c r="I2407">
        <v>0</v>
      </c>
      <c r="J2407" t="s">
        <v>174</v>
      </c>
      <c r="K2407">
        <v>0</v>
      </c>
      <c r="L2407" t="s">
        <v>3110</v>
      </c>
      <c r="M2407" t="s">
        <v>6633</v>
      </c>
      <c r="N2407" t="s">
        <v>6634</v>
      </c>
      <c r="O2407" t="s">
        <v>6635</v>
      </c>
      <c r="P2407" t="s">
        <v>6636</v>
      </c>
    </row>
    <row r="2408" spans="1:16" x14ac:dyDescent="0.35">
      <c r="A2408" t="s">
        <v>128</v>
      </c>
      <c r="B2408">
        <v>1704124003</v>
      </c>
      <c r="C2408" t="s">
        <v>18</v>
      </c>
      <c r="D2408" t="s">
        <v>21</v>
      </c>
      <c r="E2408" s="29">
        <v>46207</v>
      </c>
      <c r="F2408" t="s">
        <v>5</v>
      </c>
      <c r="G2408" s="28">
        <v>0.69513888888888886</v>
      </c>
      <c r="H2408" s="28">
        <v>0.81319444444444444</v>
      </c>
      <c r="I2408">
        <v>3</v>
      </c>
      <c r="J2408" t="s">
        <v>146</v>
      </c>
      <c r="K2408">
        <v>8</v>
      </c>
      <c r="L2408" t="s">
        <v>147</v>
      </c>
      <c r="M2408" t="s">
        <v>6599</v>
      </c>
      <c r="N2408" t="s">
        <v>6600</v>
      </c>
      <c r="O2408" t="s">
        <v>6601</v>
      </c>
      <c r="P2408" t="s">
        <v>6602</v>
      </c>
    </row>
    <row r="2409" spans="1:16" x14ac:dyDescent="0.35">
      <c r="A2409" t="s">
        <v>128</v>
      </c>
      <c r="B2409">
        <v>1704124003</v>
      </c>
      <c r="C2409" t="s">
        <v>18</v>
      </c>
      <c r="D2409" t="s">
        <v>21</v>
      </c>
      <c r="E2409" s="29">
        <v>46208</v>
      </c>
      <c r="F2409" t="s">
        <v>6</v>
      </c>
      <c r="G2409" s="28">
        <v>0.37569444444444444</v>
      </c>
      <c r="H2409" s="28">
        <v>0.37569444444444444</v>
      </c>
      <c r="I2409">
        <v>0</v>
      </c>
      <c r="J2409" t="s">
        <v>174</v>
      </c>
      <c r="K2409">
        <v>0</v>
      </c>
      <c r="L2409" t="s">
        <v>6637</v>
      </c>
      <c r="M2409" t="s">
        <v>6638</v>
      </c>
      <c r="N2409" t="s">
        <v>6639</v>
      </c>
      <c r="O2409" t="s">
        <v>6640</v>
      </c>
      <c r="P2409" t="s">
        <v>6641</v>
      </c>
    </row>
    <row r="2410" spans="1:16" x14ac:dyDescent="0.35">
      <c r="A2410" t="s">
        <v>128</v>
      </c>
      <c r="B2410">
        <v>1704124003</v>
      </c>
      <c r="C2410" t="s">
        <v>18</v>
      </c>
      <c r="D2410" t="s">
        <v>21</v>
      </c>
      <c r="E2410" s="29">
        <v>46208</v>
      </c>
      <c r="F2410" t="s">
        <v>6</v>
      </c>
      <c r="G2410" s="28">
        <v>0.38263888888888886</v>
      </c>
      <c r="H2410" s="28">
        <v>0.38263888888888886</v>
      </c>
      <c r="I2410">
        <v>0</v>
      </c>
      <c r="J2410" t="s">
        <v>174</v>
      </c>
      <c r="K2410">
        <v>0</v>
      </c>
      <c r="L2410" t="s">
        <v>1783</v>
      </c>
      <c r="M2410" t="s">
        <v>6642</v>
      </c>
      <c r="N2410" t="s">
        <v>6643</v>
      </c>
      <c r="O2410" t="s">
        <v>6644</v>
      </c>
      <c r="P2410" t="s">
        <v>6645</v>
      </c>
    </row>
    <row r="2411" spans="1:16" x14ac:dyDescent="0.35">
      <c r="A2411" t="s">
        <v>128</v>
      </c>
      <c r="B2411">
        <v>1704124003</v>
      </c>
      <c r="C2411" t="s">
        <v>18</v>
      </c>
      <c r="D2411" t="s">
        <v>21</v>
      </c>
      <c r="E2411" s="29">
        <v>46208</v>
      </c>
      <c r="F2411" t="s">
        <v>6</v>
      </c>
      <c r="G2411" s="28">
        <v>0.39027777777777778</v>
      </c>
      <c r="H2411" s="28">
        <v>0.39652777777777776</v>
      </c>
      <c r="I2411">
        <v>0</v>
      </c>
      <c r="J2411" t="s">
        <v>146</v>
      </c>
      <c r="K2411">
        <v>0</v>
      </c>
      <c r="L2411" t="s">
        <v>147</v>
      </c>
      <c r="M2411" t="s">
        <v>6646</v>
      </c>
      <c r="N2411" t="s">
        <v>6647</v>
      </c>
      <c r="O2411" t="s">
        <v>6648</v>
      </c>
      <c r="P2411" t="s">
        <v>6649</v>
      </c>
    </row>
    <row r="2412" spans="1:16" x14ac:dyDescent="0.35">
      <c r="A2412" t="s">
        <v>128</v>
      </c>
      <c r="B2412">
        <v>1704124003</v>
      </c>
      <c r="C2412" t="s">
        <v>18</v>
      </c>
      <c r="D2412" t="s">
        <v>21</v>
      </c>
      <c r="E2412" s="29">
        <v>46208</v>
      </c>
      <c r="F2412" t="s">
        <v>6</v>
      </c>
      <c r="G2412" s="28">
        <v>0.40347222222222223</v>
      </c>
      <c r="H2412" s="28">
        <v>0.40347222222222223</v>
      </c>
      <c r="I2412">
        <v>0</v>
      </c>
      <c r="J2412" t="s">
        <v>174</v>
      </c>
      <c r="K2412">
        <v>0</v>
      </c>
      <c r="L2412" t="s">
        <v>6542</v>
      </c>
      <c r="M2412" t="s">
        <v>6547</v>
      </c>
      <c r="N2412" t="s">
        <v>6548</v>
      </c>
      <c r="O2412" t="s">
        <v>6549</v>
      </c>
      <c r="P2412" t="s">
        <v>6550</v>
      </c>
    </row>
    <row r="2413" spans="1:16" x14ac:dyDescent="0.35">
      <c r="A2413" t="s">
        <v>128</v>
      </c>
      <c r="B2413">
        <v>1704124003</v>
      </c>
      <c r="C2413" t="s">
        <v>18</v>
      </c>
      <c r="D2413" t="s">
        <v>21</v>
      </c>
      <c r="E2413" s="29">
        <v>46208</v>
      </c>
      <c r="F2413" t="s">
        <v>6</v>
      </c>
      <c r="G2413" s="28">
        <v>0.41041666666666665</v>
      </c>
      <c r="H2413" s="28">
        <v>0.41041666666666665</v>
      </c>
      <c r="I2413">
        <v>0</v>
      </c>
      <c r="J2413" t="s">
        <v>174</v>
      </c>
      <c r="K2413">
        <v>0</v>
      </c>
      <c r="L2413" t="s">
        <v>6650</v>
      </c>
      <c r="M2413" t="s">
        <v>6543</v>
      </c>
      <c r="N2413" t="s">
        <v>6544</v>
      </c>
      <c r="O2413" t="s">
        <v>6545</v>
      </c>
      <c r="P2413" t="s">
        <v>940</v>
      </c>
    </row>
    <row r="2414" spans="1:16" x14ac:dyDescent="0.35">
      <c r="A2414" t="s">
        <v>128</v>
      </c>
      <c r="B2414">
        <v>1704124003</v>
      </c>
      <c r="C2414" t="s">
        <v>18</v>
      </c>
      <c r="D2414" t="s">
        <v>21</v>
      </c>
      <c r="E2414" s="29">
        <v>46208</v>
      </c>
      <c r="F2414" t="s">
        <v>6</v>
      </c>
      <c r="G2414" s="28">
        <v>0.41736111111111113</v>
      </c>
      <c r="H2414" s="28">
        <v>0.41736111111111113</v>
      </c>
      <c r="I2414">
        <v>0</v>
      </c>
      <c r="J2414" t="s">
        <v>174</v>
      </c>
      <c r="K2414">
        <v>0</v>
      </c>
      <c r="L2414" t="s">
        <v>4824</v>
      </c>
      <c r="M2414" t="s">
        <v>6651</v>
      </c>
      <c r="N2414" t="s">
        <v>6652</v>
      </c>
      <c r="O2414" t="s">
        <v>6653</v>
      </c>
      <c r="P2414" t="s">
        <v>6654</v>
      </c>
    </row>
    <row r="2415" spans="1:16" x14ac:dyDescent="0.35">
      <c r="A2415" t="s">
        <v>128</v>
      </c>
      <c r="B2415">
        <v>1704124003</v>
      </c>
      <c r="C2415" t="s">
        <v>18</v>
      </c>
      <c r="D2415" t="s">
        <v>21</v>
      </c>
      <c r="E2415" s="29">
        <v>46208</v>
      </c>
      <c r="F2415" t="s">
        <v>6</v>
      </c>
      <c r="G2415" s="28">
        <v>0.42430555555555555</v>
      </c>
      <c r="H2415" s="28">
        <v>0.42430555555555555</v>
      </c>
      <c r="I2415">
        <v>0</v>
      </c>
      <c r="J2415" t="s">
        <v>174</v>
      </c>
      <c r="K2415">
        <v>0</v>
      </c>
      <c r="L2415" t="s">
        <v>6655</v>
      </c>
      <c r="M2415" t="s">
        <v>6529</v>
      </c>
      <c r="N2415" t="s">
        <v>6530</v>
      </c>
      <c r="O2415" t="s">
        <v>6531</v>
      </c>
      <c r="P2415" t="s">
        <v>6532</v>
      </c>
    </row>
    <row r="2416" spans="1:16" x14ac:dyDescent="0.35">
      <c r="A2416" t="s">
        <v>128</v>
      </c>
      <c r="B2416">
        <v>1704124003</v>
      </c>
      <c r="C2416" t="s">
        <v>18</v>
      </c>
      <c r="D2416" t="s">
        <v>21</v>
      </c>
      <c r="E2416" s="29">
        <v>46208</v>
      </c>
      <c r="F2416" t="s">
        <v>6</v>
      </c>
      <c r="G2416" s="28">
        <v>0.43055555555555558</v>
      </c>
      <c r="H2416" s="28">
        <v>0.43055555555555558</v>
      </c>
      <c r="I2416">
        <v>0</v>
      </c>
      <c r="J2416" t="s">
        <v>174</v>
      </c>
      <c r="K2416">
        <v>0</v>
      </c>
      <c r="L2416" t="s">
        <v>1148</v>
      </c>
      <c r="M2416" t="s">
        <v>6525</v>
      </c>
      <c r="N2416" t="s">
        <v>6656</v>
      </c>
      <c r="O2416" t="s">
        <v>6657</v>
      </c>
      <c r="P2416" t="s">
        <v>6658</v>
      </c>
    </row>
    <row r="2417" spans="1:16" x14ac:dyDescent="0.35">
      <c r="A2417" t="s">
        <v>128</v>
      </c>
      <c r="B2417">
        <v>1704124003</v>
      </c>
      <c r="C2417" t="s">
        <v>18</v>
      </c>
      <c r="D2417" t="s">
        <v>21</v>
      </c>
      <c r="E2417" s="29">
        <v>46208</v>
      </c>
      <c r="F2417" t="s">
        <v>6</v>
      </c>
      <c r="G2417" s="28">
        <v>0.43819444444444444</v>
      </c>
      <c r="H2417" s="28">
        <v>0.43819444444444444</v>
      </c>
      <c r="I2417">
        <v>0</v>
      </c>
      <c r="J2417" t="s">
        <v>174</v>
      </c>
      <c r="K2417">
        <v>0</v>
      </c>
      <c r="L2417" t="s">
        <v>6659</v>
      </c>
      <c r="M2417" t="s">
        <v>6521</v>
      </c>
      <c r="N2417" t="s">
        <v>6522</v>
      </c>
      <c r="O2417" t="s">
        <v>6523</v>
      </c>
      <c r="P2417" t="s">
        <v>6524</v>
      </c>
    </row>
    <row r="2418" spans="1:16" x14ac:dyDescent="0.35">
      <c r="A2418" t="s">
        <v>128</v>
      </c>
      <c r="B2418">
        <v>1704124003</v>
      </c>
      <c r="C2418" t="s">
        <v>18</v>
      </c>
      <c r="D2418" t="s">
        <v>21</v>
      </c>
      <c r="E2418" s="29">
        <v>46208</v>
      </c>
      <c r="F2418" t="s">
        <v>6</v>
      </c>
      <c r="G2418" s="28">
        <v>0.44513888888888886</v>
      </c>
      <c r="H2418" s="28">
        <v>0.44513888888888886</v>
      </c>
      <c r="I2418">
        <v>0</v>
      </c>
      <c r="J2418" t="s">
        <v>174</v>
      </c>
      <c r="K2418">
        <v>0</v>
      </c>
      <c r="L2418" t="s">
        <v>6475</v>
      </c>
      <c r="M2418" t="s">
        <v>6660</v>
      </c>
      <c r="N2418" t="s">
        <v>6661</v>
      </c>
      <c r="O2418" t="s">
        <v>6662</v>
      </c>
      <c r="P2418" t="s">
        <v>6663</v>
      </c>
    </row>
    <row r="2419" spans="1:16" x14ac:dyDescent="0.35">
      <c r="A2419" t="s">
        <v>128</v>
      </c>
      <c r="B2419">
        <v>1704124003</v>
      </c>
      <c r="C2419" t="s">
        <v>18</v>
      </c>
      <c r="D2419" t="s">
        <v>21</v>
      </c>
      <c r="E2419" s="29">
        <v>46208</v>
      </c>
      <c r="F2419" t="s">
        <v>6</v>
      </c>
      <c r="G2419" s="28">
        <v>0.45208333333333334</v>
      </c>
      <c r="H2419" s="28">
        <v>0.47291666666666665</v>
      </c>
      <c r="I2419">
        <v>0</v>
      </c>
      <c r="J2419" t="s">
        <v>146</v>
      </c>
      <c r="K2419">
        <v>2</v>
      </c>
      <c r="L2419" t="s">
        <v>147</v>
      </c>
      <c r="M2419" t="s">
        <v>6664</v>
      </c>
      <c r="N2419" t="s">
        <v>6665</v>
      </c>
      <c r="O2419" t="s">
        <v>6666</v>
      </c>
      <c r="P2419" t="s">
        <v>6667</v>
      </c>
    </row>
    <row r="2420" spans="1:16" x14ac:dyDescent="0.35">
      <c r="A2420" t="s">
        <v>128</v>
      </c>
      <c r="B2420">
        <v>1704124003</v>
      </c>
      <c r="C2420" t="s">
        <v>18</v>
      </c>
      <c r="D2420" t="s">
        <v>21</v>
      </c>
      <c r="E2420" s="29">
        <v>46208</v>
      </c>
      <c r="F2420" t="s">
        <v>6</v>
      </c>
      <c r="G2420" s="28">
        <v>0.47986111111111113</v>
      </c>
      <c r="H2420" s="28">
        <v>0.47986111111111113</v>
      </c>
      <c r="I2420">
        <v>0</v>
      </c>
      <c r="J2420" t="s">
        <v>174</v>
      </c>
      <c r="K2420">
        <v>0</v>
      </c>
      <c r="L2420" t="s">
        <v>247</v>
      </c>
      <c r="M2420" t="s">
        <v>6668</v>
      </c>
      <c r="N2420" t="s">
        <v>6669</v>
      </c>
      <c r="O2420" t="s">
        <v>6670</v>
      </c>
      <c r="P2420" t="s">
        <v>6671</v>
      </c>
    </row>
    <row r="2421" spans="1:16" x14ac:dyDescent="0.35">
      <c r="A2421" t="s">
        <v>128</v>
      </c>
      <c r="B2421">
        <v>1704124003</v>
      </c>
      <c r="C2421" t="s">
        <v>18</v>
      </c>
      <c r="D2421" t="s">
        <v>21</v>
      </c>
      <c r="E2421" s="29">
        <v>46208</v>
      </c>
      <c r="F2421" t="s">
        <v>6</v>
      </c>
      <c r="G2421" s="28">
        <v>0.48680555555555555</v>
      </c>
      <c r="H2421" s="28">
        <v>0.48680555555555555</v>
      </c>
      <c r="I2421">
        <v>0</v>
      </c>
      <c r="J2421" t="s">
        <v>174</v>
      </c>
      <c r="K2421">
        <v>0</v>
      </c>
      <c r="L2421" t="s">
        <v>3472</v>
      </c>
      <c r="M2421" t="s">
        <v>6672</v>
      </c>
      <c r="N2421" t="s">
        <v>6673</v>
      </c>
      <c r="O2421" t="s">
        <v>6674</v>
      </c>
      <c r="P2421" t="s">
        <v>6675</v>
      </c>
    </row>
    <row r="2422" spans="1:16" x14ac:dyDescent="0.35">
      <c r="A2422" t="s">
        <v>128</v>
      </c>
      <c r="B2422">
        <v>1704124003</v>
      </c>
      <c r="C2422" t="s">
        <v>18</v>
      </c>
      <c r="D2422" t="s">
        <v>21</v>
      </c>
      <c r="E2422" s="29">
        <v>46208</v>
      </c>
      <c r="F2422" t="s">
        <v>6</v>
      </c>
      <c r="G2422" s="28">
        <v>0.49375000000000002</v>
      </c>
      <c r="H2422" s="28">
        <v>0.51458333333333328</v>
      </c>
      <c r="I2422">
        <v>0</v>
      </c>
      <c r="J2422" t="s">
        <v>146</v>
      </c>
      <c r="K2422">
        <v>1</v>
      </c>
      <c r="L2422" t="s">
        <v>147</v>
      </c>
      <c r="M2422" t="s">
        <v>6676</v>
      </c>
      <c r="N2422" t="s">
        <v>6677</v>
      </c>
      <c r="O2422" t="s">
        <v>6678</v>
      </c>
      <c r="P2422" t="s">
        <v>6679</v>
      </c>
    </row>
    <row r="2423" spans="1:16" x14ac:dyDescent="0.35">
      <c r="A2423" t="s">
        <v>128</v>
      </c>
      <c r="B2423">
        <v>1704124003</v>
      </c>
      <c r="C2423" t="s">
        <v>18</v>
      </c>
      <c r="D2423" t="s">
        <v>21</v>
      </c>
      <c r="E2423" s="29">
        <v>46208</v>
      </c>
      <c r="F2423" t="s">
        <v>6</v>
      </c>
      <c r="G2423" s="28">
        <v>0.52152777777777781</v>
      </c>
      <c r="H2423" s="28">
        <v>0.54236111111111107</v>
      </c>
      <c r="I2423">
        <v>0</v>
      </c>
      <c r="J2423" t="s">
        <v>146</v>
      </c>
      <c r="K2423">
        <v>1</v>
      </c>
      <c r="L2423" t="s">
        <v>147</v>
      </c>
      <c r="M2423" t="s">
        <v>6680</v>
      </c>
      <c r="N2423" t="s">
        <v>6681</v>
      </c>
      <c r="O2423" t="s">
        <v>6682</v>
      </c>
      <c r="P2423" t="s">
        <v>6683</v>
      </c>
    </row>
    <row r="2424" spans="1:16" x14ac:dyDescent="0.35">
      <c r="A2424" t="s">
        <v>128</v>
      </c>
      <c r="B2424">
        <v>1704124003</v>
      </c>
      <c r="C2424" t="s">
        <v>18</v>
      </c>
      <c r="D2424" t="s">
        <v>21</v>
      </c>
      <c r="E2424" s="29">
        <v>46208</v>
      </c>
      <c r="F2424" t="s">
        <v>6</v>
      </c>
      <c r="G2424" s="28">
        <v>0.5493055555555556</v>
      </c>
      <c r="H2424" s="28">
        <v>0.58402777777777781</v>
      </c>
      <c r="I2424">
        <v>1</v>
      </c>
      <c r="J2424" t="s">
        <v>146</v>
      </c>
      <c r="K2424">
        <v>2</v>
      </c>
      <c r="L2424" t="s">
        <v>147</v>
      </c>
      <c r="M2424" t="s">
        <v>6684</v>
      </c>
      <c r="N2424" t="s">
        <v>6685</v>
      </c>
      <c r="O2424" t="s">
        <v>6686</v>
      </c>
      <c r="P2424" t="s">
        <v>6687</v>
      </c>
    </row>
    <row r="2425" spans="1:16" x14ac:dyDescent="0.35">
      <c r="A2425" t="s">
        <v>128</v>
      </c>
      <c r="B2425">
        <v>1704124003</v>
      </c>
      <c r="C2425" t="s">
        <v>18</v>
      </c>
      <c r="D2425" t="s">
        <v>21</v>
      </c>
      <c r="E2425" s="29">
        <v>46208</v>
      </c>
      <c r="F2425" t="s">
        <v>6</v>
      </c>
      <c r="G2425" s="28">
        <v>0.59097222222222223</v>
      </c>
      <c r="H2425" s="28">
        <v>0.59097222222222223</v>
      </c>
      <c r="I2425">
        <v>0</v>
      </c>
      <c r="J2425" t="s">
        <v>174</v>
      </c>
      <c r="K2425">
        <v>0</v>
      </c>
      <c r="L2425" t="s">
        <v>595</v>
      </c>
      <c r="M2425" t="s">
        <v>6688</v>
      </c>
      <c r="N2425" t="s">
        <v>6689</v>
      </c>
      <c r="O2425" t="s">
        <v>6690</v>
      </c>
      <c r="P2425" t="s">
        <v>6691</v>
      </c>
    </row>
    <row r="2426" spans="1:16" x14ac:dyDescent="0.35">
      <c r="A2426" t="s">
        <v>128</v>
      </c>
      <c r="B2426">
        <v>1704124003</v>
      </c>
      <c r="C2426" t="s">
        <v>18</v>
      </c>
      <c r="D2426" t="s">
        <v>21</v>
      </c>
      <c r="E2426" s="29">
        <v>46208</v>
      </c>
      <c r="F2426" t="s">
        <v>6</v>
      </c>
      <c r="G2426" s="28">
        <v>0.59791666666666665</v>
      </c>
      <c r="H2426" s="28">
        <v>0.6118055555555556</v>
      </c>
      <c r="I2426">
        <v>0</v>
      </c>
      <c r="J2426" t="s">
        <v>146</v>
      </c>
      <c r="K2426">
        <v>1</v>
      </c>
      <c r="L2426" t="s">
        <v>147</v>
      </c>
      <c r="M2426" t="s">
        <v>6692</v>
      </c>
      <c r="N2426" t="s">
        <v>6693</v>
      </c>
      <c r="O2426" t="s">
        <v>6694</v>
      </c>
      <c r="P2426" t="s">
        <v>6695</v>
      </c>
    </row>
    <row r="2427" spans="1:16" x14ac:dyDescent="0.35">
      <c r="A2427" t="s">
        <v>128</v>
      </c>
      <c r="B2427">
        <v>1704124003</v>
      </c>
      <c r="C2427" t="s">
        <v>18</v>
      </c>
      <c r="D2427" t="s">
        <v>21</v>
      </c>
      <c r="E2427" s="29">
        <v>46208</v>
      </c>
      <c r="F2427" t="s">
        <v>6</v>
      </c>
      <c r="G2427" s="28">
        <v>0.61875000000000002</v>
      </c>
      <c r="H2427" s="28">
        <v>0.72291666666666665</v>
      </c>
      <c r="I2427">
        <v>2</v>
      </c>
      <c r="J2427" t="s">
        <v>146</v>
      </c>
      <c r="K2427">
        <v>8</v>
      </c>
      <c r="L2427" t="s">
        <v>147</v>
      </c>
      <c r="M2427" t="s">
        <v>6696</v>
      </c>
      <c r="N2427" t="s">
        <v>6697</v>
      </c>
      <c r="O2427" t="s">
        <v>6698</v>
      </c>
      <c r="P2427" t="s">
        <v>6699</v>
      </c>
    </row>
    <row r="2428" spans="1:16" x14ac:dyDescent="0.35">
      <c r="A2428" t="s">
        <v>128</v>
      </c>
      <c r="B2428">
        <v>1704124003</v>
      </c>
      <c r="C2428" t="s">
        <v>18</v>
      </c>
      <c r="D2428" t="s">
        <v>21</v>
      </c>
      <c r="E2428" s="29">
        <v>46208</v>
      </c>
      <c r="F2428" t="s">
        <v>6</v>
      </c>
      <c r="G2428" s="28">
        <v>0.72986111111111107</v>
      </c>
      <c r="H2428" s="28">
        <v>0.72986111111111107</v>
      </c>
      <c r="I2428">
        <v>0</v>
      </c>
      <c r="J2428" t="s">
        <v>174</v>
      </c>
      <c r="K2428">
        <v>0</v>
      </c>
      <c r="L2428" t="s">
        <v>3552</v>
      </c>
      <c r="M2428" t="s">
        <v>6700</v>
      </c>
      <c r="N2428" t="s">
        <v>6701</v>
      </c>
      <c r="O2428" t="s">
        <v>6702</v>
      </c>
      <c r="P2428" t="s">
        <v>6703</v>
      </c>
    </row>
    <row r="2429" spans="1:16" x14ac:dyDescent="0.35">
      <c r="A2429" t="s">
        <v>128</v>
      </c>
      <c r="B2429">
        <v>1704124003</v>
      </c>
      <c r="C2429" t="s">
        <v>18</v>
      </c>
      <c r="D2429" t="s">
        <v>21</v>
      </c>
      <c r="E2429" s="29">
        <v>46208</v>
      </c>
      <c r="F2429" t="s">
        <v>6</v>
      </c>
      <c r="G2429" s="28">
        <v>0.7368055555555556</v>
      </c>
      <c r="H2429" s="28">
        <v>0.7368055555555556</v>
      </c>
      <c r="I2429">
        <v>0</v>
      </c>
      <c r="J2429" t="s">
        <v>174</v>
      </c>
      <c r="K2429">
        <v>0</v>
      </c>
      <c r="L2429" t="s">
        <v>1481</v>
      </c>
      <c r="M2429" t="s">
        <v>6704</v>
      </c>
      <c r="N2429" t="s">
        <v>6705</v>
      </c>
      <c r="O2429" t="s">
        <v>6706</v>
      </c>
      <c r="P2429" t="s">
        <v>6707</v>
      </c>
    </row>
    <row r="2430" spans="1:16" x14ac:dyDescent="0.35">
      <c r="A2430" t="s">
        <v>128</v>
      </c>
      <c r="B2430">
        <v>1704124003</v>
      </c>
      <c r="C2430" t="s">
        <v>18</v>
      </c>
      <c r="D2430" t="s">
        <v>21</v>
      </c>
      <c r="E2430" s="29">
        <v>46208</v>
      </c>
      <c r="F2430" t="s">
        <v>6</v>
      </c>
      <c r="G2430" s="28">
        <v>0.74375000000000002</v>
      </c>
      <c r="H2430" s="28">
        <v>0.77152777777777781</v>
      </c>
      <c r="I2430">
        <v>1</v>
      </c>
      <c r="J2430" t="s">
        <v>146</v>
      </c>
      <c r="K2430">
        <v>2</v>
      </c>
      <c r="L2430" t="s">
        <v>147</v>
      </c>
      <c r="M2430" t="s">
        <v>6708</v>
      </c>
      <c r="N2430" t="s">
        <v>6709</v>
      </c>
      <c r="O2430" t="s">
        <v>6710</v>
      </c>
      <c r="P2430" t="s">
        <v>6711</v>
      </c>
    </row>
    <row r="2431" spans="1:16" x14ac:dyDescent="0.35">
      <c r="A2431" t="s">
        <v>128</v>
      </c>
      <c r="B2431">
        <v>1704124003</v>
      </c>
      <c r="C2431" t="s">
        <v>18</v>
      </c>
      <c r="D2431" t="s">
        <v>21</v>
      </c>
      <c r="E2431" s="29">
        <v>46208</v>
      </c>
      <c r="F2431" t="s">
        <v>6</v>
      </c>
      <c r="G2431" s="28">
        <v>0.77847222222222223</v>
      </c>
      <c r="H2431" s="28">
        <v>0.77847222222222223</v>
      </c>
      <c r="I2431">
        <v>0</v>
      </c>
      <c r="J2431" t="s">
        <v>174</v>
      </c>
      <c r="K2431">
        <v>0</v>
      </c>
      <c r="L2431" t="s">
        <v>6712</v>
      </c>
      <c r="M2431" t="s">
        <v>6713</v>
      </c>
      <c r="N2431" t="s">
        <v>6714</v>
      </c>
      <c r="O2431" t="s">
        <v>6715</v>
      </c>
      <c r="P2431" t="s">
        <v>6716</v>
      </c>
    </row>
    <row r="2432" spans="1:16" x14ac:dyDescent="0.35">
      <c r="A2432" t="s">
        <v>128</v>
      </c>
      <c r="B2432">
        <v>1704124003</v>
      </c>
      <c r="C2432" t="s">
        <v>18</v>
      </c>
      <c r="D2432" t="s">
        <v>21</v>
      </c>
      <c r="E2432" s="29">
        <v>46208</v>
      </c>
      <c r="F2432" t="s">
        <v>6</v>
      </c>
      <c r="G2432" s="28">
        <v>0.78541666666666665</v>
      </c>
      <c r="H2432" s="28">
        <v>0.78541666666666665</v>
      </c>
      <c r="I2432">
        <v>0</v>
      </c>
      <c r="J2432" t="s">
        <v>174</v>
      </c>
      <c r="K2432">
        <v>0</v>
      </c>
      <c r="L2432" t="s">
        <v>6456</v>
      </c>
      <c r="M2432" t="s">
        <v>6457</v>
      </c>
      <c r="N2432" t="s">
        <v>6458</v>
      </c>
      <c r="O2432" t="s">
        <v>6459</v>
      </c>
      <c r="P2432" t="s">
        <v>6460</v>
      </c>
    </row>
    <row r="2433" spans="1:16" x14ac:dyDescent="0.35">
      <c r="A2433" t="s">
        <v>99</v>
      </c>
      <c r="B2433">
        <v>1322845174</v>
      </c>
      <c r="C2433" t="s">
        <v>18</v>
      </c>
      <c r="D2433" t="s">
        <v>21</v>
      </c>
      <c r="E2433" s="29">
        <v>46204</v>
      </c>
      <c r="F2433" t="s">
        <v>3</v>
      </c>
      <c r="G2433" s="28">
        <v>0.39791666666666664</v>
      </c>
      <c r="H2433" s="28">
        <v>0.39791666666666664</v>
      </c>
      <c r="I2433">
        <v>0</v>
      </c>
      <c r="J2433" t="s">
        <v>174</v>
      </c>
      <c r="K2433">
        <v>0</v>
      </c>
      <c r="L2433" t="s">
        <v>6717</v>
      </c>
      <c r="M2433" t="s">
        <v>3228</v>
      </c>
      <c r="N2433" t="s">
        <v>3229</v>
      </c>
      <c r="O2433" t="s">
        <v>3230</v>
      </c>
      <c r="P2433" t="s">
        <v>3231</v>
      </c>
    </row>
    <row r="2434" spans="1:16" x14ac:dyDescent="0.35">
      <c r="A2434" t="s">
        <v>99</v>
      </c>
      <c r="B2434">
        <v>1322845174</v>
      </c>
      <c r="C2434" t="s">
        <v>18</v>
      </c>
      <c r="D2434" t="s">
        <v>21</v>
      </c>
      <c r="E2434" s="29">
        <v>46204</v>
      </c>
      <c r="F2434" t="s">
        <v>3</v>
      </c>
      <c r="G2434" s="28">
        <v>0.40486111111111112</v>
      </c>
      <c r="H2434" s="28">
        <v>0.40486111111111112</v>
      </c>
      <c r="I2434">
        <v>0</v>
      </c>
      <c r="J2434" t="s">
        <v>174</v>
      </c>
      <c r="K2434">
        <v>0</v>
      </c>
      <c r="L2434" t="s">
        <v>6718</v>
      </c>
      <c r="M2434" t="s">
        <v>6719</v>
      </c>
      <c r="N2434" t="s">
        <v>6720</v>
      </c>
      <c r="O2434" t="s">
        <v>6721</v>
      </c>
      <c r="P2434" t="s">
        <v>6722</v>
      </c>
    </row>
    <row r="2435" spans="1:16" x14ac:dyDescent="0.35">
      <c r="A2435" t="s">
        <v>99</v>
      </c>
      <c r="B2435">
        <v>1322845174</v>
      </c>
      <c r="C2435" t="s">
        <v>18</v>
      </c>
      <c r="D2435" t="s">
        <v>21</v>
      </c>
      <c r="E2435" s="29">
        <v>46204</v>
      </c>
      <c r="F2435" t="s">
        <v>3</v>
      </c>
      <c r="G2435" s="28">
        <v>0.41180555555555554</v>
      </c>
      <c r="H2435" s="28">
        <v>0.41180555555555554</v>
      </c>
      <c r="I2435">
        <v>0</v>
      </c>
      <c r="J2435" t="s">
        <v>174</v>
      </c>
      <c r="K2435">
        <v>0</v>
      </c>
      <c r="L2435" t="s">
        <v>1266</v>
      </c>
      <c r="M2435" t="s">
        <v>6723</v>
      </c>
      <c r="N2435" t="s">
        <v>6724</v>
      </c>
      <c r="O2435" t="s">
        <v>6725</v>
      </c>
      <c r="P2435" t="s">
        <v>6726</v>
      </c>
    </row>
    <row r="2436" spans="1:16" x14ac:dyDescent="0.35">
      <c r="A2436" t="s">
        <v>99</v>
      </c>
      <c r="B2436">
        <v>1322845174</v>
      </c>
      <c r="C2436" t="s">
        <v>18</v>
      </c>
      <c r="D2436" t="s">
        <v>21</v>
      </c>
      <c r="E2436" s="29">
        <v>46204</v>
      </c>
      <c r="F2436" t="s">
        <v>3</v>
      </c>
      <c r="G2436" s="28">
        <v>0.41875000000000001</v>
      </c>
      <c r="H2436" s="28">
        <v>0.41875000000000001</v>
      </c>
      <c r="I2436">
        <v>0</v>
      </c>
      <c r="J2436" t="s">
        <v>174</v>
      </c>
      <c r="K2436">
        <v>0</v>
      </c>
      <c r="L2436" t="s">
        <v>6727</v>
      </c>
      <c r="M2436" t="s">
        <v>6728</v>
      </c>
      <c r="N2436" t="s">
        <v>6729</v>
      </c>
      <c r="O2436" t="s">
        <v>6730</v>
      </c>
      <c r="P2436" t="s">
        <v>6731</v>
      </c>
    </row>
    <row r="2437" spans="1:16" x14ac:dyDescent="0.35">
      <c r="A2437" t="s">
        <v>99</v>
      </c>
      <c r="B2437">
        <v>1322845174</v>
      </c>
      <c r="C2437" t="s">
        <v>18</v>
      </c>
      <c r="D2437" t="s">
        <v>21</v>
      </c>
      <c r="E2437" s="29">
        <v>46204</v>
      </c>
      <c r="F2437" t="s">
        <v>3</v>
      </c>
      <c r="G2437" s="28">
        <v>0.42638888888888887</v>
      </c>
      <c r="H2437" s="28">
        <v>0.42638888888888887</v>
      </c>
      <c r="I2437">
        <v>0</v>
      </c>
      <c r="J2437" t="s">
        <v>174</v>
      </c>
      <c r="K2437">
        <v>0</v>
      </c>
      <c r="L2437" t="s">
        <v>6732</v>
      </c>
      <c r="M2437" t="s">
        <v>3355</v>
      </c>
      <c r="N2437" t="s">
        <v>3356</v>
      </c>
      <c r="O2437" t="s">
        <v>3357</v>
      </c>
      <c r="P2437" t="s">
        <v>3358</v>
      </c>
    </row>
    <row r="2438" spans="1:16" x14ac:dyDescent="0.35">
      <c r="A2438" t="s">
        <v>99</v>
      </c>
      <c r="B2438">
        <v>1322845174</v>
      </c>
      <c r="C2438" t="s">
        <v>18</v>
      </c>
      <c r="D2438" t="s">
        <v>21</v>
      </c>
      <c r="E2438" s="29">
        <v>46204</v>
      </c>
      <c r="F2438" t="s">
        <v>3</v>
      </c>
      <c r="G2438" s="28">
        <v>0.43333333333333335</v>
      </c>
      <c r="H2438" s="28">
        <v>0.43333333333333335</v>
      </c>
      <c r="I2438">
        <v>0</v>
      </c>
      <c r="J2438" t="s">
        <v>174</v>
      </c>
      <c r="K2438">
        <v>0</v>
      </c>
      <c r="L2438" t="s">
        <v>853</v>
      </c>
      <c r="M2438" t="s">
        <v>6733</v>
      </c>
      <c r="N2438" t="s">
        <v>6734</v>
      </c>
      <c r="O2438" t="s">
        <v>6735</v>
      </c>
      <c r="P2438" t="s">
        <v>6736</v>
      </c>
    </row>
    <row r="2439" spans="1:16" x14ac:dyDescent="0.35">
      <c r="A2439" t="s">
        <v>99</v>
      </c>
      <c r="B2439">
        <v>1322845174</v>
      </c>
      <c r="C2439" t="s">
        <v>18</v>
      </c>
      <c r="D2439" t="s">
        <v>21</v>
      </c>
      <c r="E2439" s="29">
        <v>46204</v>
      </c>
      <c r="F2439" t="s">
        <v>3</v>
      </c>
      <c r="G2439" s="28">
        <v>0.44027777777777777</v>
      </c>
      <c r="H2439" s="28">
        <v>0.44027777777777777</v>
      </c>
      <c r="I2439">
        <v>0</v>
      </c>
      <c r="J2439" t="s">
        <v>174</v>
      </c>
      <c r="K2439">
        <v>0</v>
      </c>
      <c r="L2439" t="s">
        <v>6737</v>
      </c>
      <c r="M2439" t="s">
        <v>6738</v>
      </c>
      <c r="N2439" t="s">
        <v>6739</v>
      </c>
      <c r="O2439" t="s">
        <v>6740</v>
      </c>
      <c r="P2439" t="s">
        <v>6741</v>
      </c>
    </row>
    <row r="2440" spans="1:16" x14ac:dyDescent="0.35">
      <c r="A2440" t="s">
        <v>99</v>
      </c>
      <c r="B2440">
        <v>1322845174</v>
      </c>
      <c r="C2440" t="s">
        <v>18</v>
      </c>
      <c r="D2440" t="s">
        <v>21</v>
      </c>
      <c r="E2440" s="29">
        <v>46204</v>
      </c>
      <c r="F2440" t="s">
        <v>3</v>
      </c>
      <c r="G2440" s="28">
        <v>0.44722222222222224</v>
      </c>
      <c r="H2440" s="28">
        <v>0.44722222222222224</v>
      </c>
      <c r="I2440">
        <v>0</v>
      </c>
      <c r="J2440" t="s">
        <v>174</v>
      </c>
      <c r="K2440">
        <v>0</v>
      </c>
      <c r="L2440" t="s">
        <v>6742</v>
      </c>
      <c r="M2440" t="s">
        <v>6743</v>
      </c>
      <c r="N2440" t="s">
        <v>6744</v>
      </c>
      <c r="O2440" t="s">
        <v>6745</v>
      </c>
      <c r="P2440" t="s">
        <v>6746</v>
      </c>
    </row>
    <row r="2441" spans="1:16" x14ac:dyDescent="0.35">
      <c r="A2441" t="s">
        <v>99</v>
      </c>
      <c r="B2441">
        <v>1322845174</v>
      </c>
      <c r="C2441" t="s">
        <v>18</v>
      </c>
      <c r="D2441" t="s">
        <v>21</v>
      </c>
      <c r="E2441" s="29">
        <v>46204</v>
      </c>
      <c r="F2441" t="s">
        <v>3</v>
      </c>
      <c r="G2441" s="28">
        <v>0.45347222222222222</v>
      </c>
      <c r="H2441" s="28">
        <v>0.46111111111111114</v>
      </c>
      <c r="I2441">
        <v>0</v>
      </c>
      <c r="J2441" t="s">
        <v>146</v>
      </c>
      <c r="K2441">
        <v>1</v>
      </c>
      <c r="L2441" t="s">
        <v>147</v>
      </c>
      <c r="M2441" t="s">
        <v>6747</v>
      </c>
      <c r="N2441" t="s">
        <v>6748</v>
      </c>
      <c r="O2441" t="s">
        <v>6749</v>
      </c>
      <c r="P2441" t="s">
        <v>6750</v>
      </c>
    </row>
    <row r="2442" spans="1:16" x14ac:dyDescent="0.35">
      <c r="A2442" t="s">
        <v>99</v>
      </c>
      <c r="B2442">
        <v>1322845174</v>
      </c>
      <c r="C2442" t="s">
        <v>18</v>
      </c>
      <c r="D2442" t="s">
        <v>21</v>
      </c>
      <c r="E2442" s="29">
        <v>46204</v>
      </c>
      <c r="F2442" t="s">
        <v>3</v>
      </c>
      <c r="G2442" s="28">
        <v>0.46736111111111112</v>
      </c>
      <c r="H2442" s="28">
        <v>0.49513888888888891</v>
      </c>
      <c r="I2442">
        <v>1</v>
      </c>
      <c r="J2442" t="s">
        <v>146</v>
      </c>
      <c r="K2442">
        <v>2</v>
      </c>
      <c r="L2442" t="s">
        <v>147</v>
      </c>
      <c r="M2442" t="s">
        <v>6751</v>
      </c>
      <c r="N2442" t="s">
        <v>6752</v>
      </c>
      <c r="O2442" t="s">
        <v>6753</v>
      </c>
      <c r="P2442" t="s">
        <v>6754</v>
      </c>
    </row>
    <row r="2443" spans="1:16" x14ac:dyDescent="0.35">
      <c r="A2443" t="s">
        <v>99</v>
      </c>
      <c r="B2443">
        <v>1322845174</v>
      </c>
      <c r="C2443" t="s">
        <v>18</v>
      </c>
      <c r="D2443" t="s">
        <v>21</v>
      </c>
      <c r="E2443" s="29">
        <v>46204</v>
      </c>
      <c r="F2443" t="s">
        <v>3</v>
      </c>
      <c r="G2443" s="28">
        <v>0.50208333333333333</v>
      </c>
      <c r="H2443" s="28">
        <v>0.50208333333333333</v>
      </c>
      <c r="I2443">
        <v>0</v>
      </c>
      <c r="J2443" t="s">
        <v>174</v>
      </c>
      <c r="K2443">
        <v>0</v>
      </c>
      <c r="L2443" t="s">
        <v>1084</v>
      </c>
      <c r="M2443" t="s">
        <v>6755</v>
      </c>
      <c r="N2443" t="s">
        <v>6756</v>
      </c>
      <c r="O2443" t="s">
        <v>6757</v>
      </c>
      <c r="P2443" t="s">
        <v>6758</v>
      </c>
    </row>
    <row r="2444" spans="1:16" x14ac:dyDescent="0.35">
      <c r="A2444" t="s">
        <v>99</v>
      </c>
      <c r="B2444">
        <v>1322845174</v>
      </c>
      <c r="C2444" t="s">
        <v>18</v>
      </c>
      <c r="D2444" t="s">
        <v>21</v>
      </c>
      <c r="E2444" s="29">
        <v>46204</v>
      </c>
      <c r="F2444" t="s">
        <v>3</v>
      </c>
      <c r="G2444" s="28">
        <v>0.50902777777777775</v>
      </c>
      <c r="H2444" s="28">
        <v>0.51597222222222228</v>
      </c>
      <c r="I2444">
        <v>0</v>
      </c>
      <c r="J2444" t="s">
        <v>146</v>
      </c>
      <c r="K2444">
        <v>1</v>
      </c>
      <c r="L2444" t="s">
        <v>147</v>
      </c>
      <c r="M2444" t="s">
        <v>6759</v>
      </c>
      <c r="N2444" t="s">
        <v>6760</v>
      </c>
      <c r="O2444" t="s">
        <v>6761</v>
      </c>
      <c r="P2444" t="s">
        <v>6762</v>
      </c>
    </row>
    <row r="2445" spans="1:16" x14ac:dyDescent="0.35">
      <c r="A2445" t="s">
        <v>99</v>
      </c>
      <c r="B2445">
        <v>1322845174</v>
      </c>
      <c r="C2445" t="s">
        <v>18</v>
      </c>
      <c r="D2445" t="s">
        <v>21</v>
      </c>
      <c r="E2445" s="29">
        <v>46204</v>
      </c>
      <c r="F2445" t="s">
        <v>3</v>
      </c>
      <c r="G2445" s="28">
        <v>0.5229166666666667</v>
      </c>
      <c r="H2445" s="28">
        <v>0.53680555555555554</v>
      </c>
      <c r="I2445">
        <v>0</v>
      </c>
      <c r="J2445" t="s">
        <v>146</v>
      </c>
      <c r="K2445">
        <v>1</v>
      </c>
      <c r="L2445" t="s">
        <v>147</v>
      </c>
      <c r="M2445" t="s">
        <v>6763</v>
      </c>
      <c r="N2445" t="s">
        <v>6764</v>
      </c>
      <c r="O2445" t="s">
        <v>6765</v>
      </c>
      <c r="P2445" t="s">
        <v>6766</v>
      </c>
    </row>
    <row r="2446" spans="1:16" x14ac:dyDescent="0.35">
      <c r="A2446" t="s">
        <v>99</v>
      </c>
      <c r="B2446">
        <v>1322845174</v>
      </c>
      <c r="C2446" t="s">
        <v>18</v>
      </c>
      <c r="D2446" t="s">
        <v>21</v>
      </c>
      <c r="E2446" s="29">
        <v>46204</v>
      </c>
      <c r="F2446" t="s">
        <v>3</v>
      </c>
      <c r="G2446" s="28">
        <v>0.54374999999999996</v>
      </c>
      <c r="H2446" s="28">
        <v>0.59930555555555554</v>
      </c>
      <c r="I2446">
        <v>1</v>
      </c>
      <c r="J2446" t="s">
        <v>146</v>
      </c>
      <c r="K2446">
        <v>4</v>
      </c>
      <c r="L2446" t="s">
        <v>147</v>
      </c>
      <c r="M2446" t="s">
        <v>6751</v>
      </c>
      <c r="N2446" t="s">
        <v>6752</v>
      </c>
      <c r="O2446" t="s">
        <v>6753</v>
      </c>
      <c r="P2446" t="s">
        <v>6754</v>
      </c>
    </row>
    <row r="2447" spans="1:16" x14ac:dyDescent="0.35">
      <c r="A2447" t="s">
        <v>99</v>
      </c>
      <c r="B2447">
        <v>1322845174</v>
      </c>
      <c r="C2447" t="s">
        <v>18</v>
      </c>
      <c r="D2447" t="s">
        <v>21</v>
      </c>
      <c r="E2447" s="29">
        <v>46204</v>
      </c>
      <c r="F2447" t="s">
        <v>3</v>
      </c>
      <c r="G2447" s="28">
        <v>0.60624999999999996</v>
      </c>
      <c r="H2447" s="28">
        <v>0.60624999999999996</v>
      </c>
      <c r="I2447">
        <v>0</v>
      </c>
      <c r="J2447" t="s">
        <v>174</v>
      </c>
      <c r="K2447">
        <v>0</v>
      </c>
      <c r="L2447" t="s">
        <v>5170</v>
      </c>
      <c r="M2447" t="s">
        <v>6767</v>
      </c>
      <c r="N2447" t="s">
        <v>6768</v>
      </c>
      <c r="O2447" t="s">
        <v>6769</v>
      </c>
      <c r="P2447" t="s">
        <v>6231</v>
      </c>
    </row>
    <row r="2448" spans="1:16" x14ac:dyDescent="0.35">
      <c r="A2448" t="s">
        <v>99</v>
      </c>
      <c r="B2448">
        <v>1322845174</v>
      </c>
      <c r="C2448" t="s">
        <v>18</v>
      </c>
      <c r="D2448" t="s">
        <v>21</v>
      </c>
      <c r="E2448" s="29">
        <v>46204</v>
      </c>
      <c r="F2448" t="s">
        <v>3</v>
      </c>
      <c r="G2448" s="28">
        <v>0.61319444444444449</v>
      </c>
      <c r="H2448" s="28">
        <v>0.61319444444444449</v>
      </c>
      <c r="I2448">
        <v>0</v>
      </c>
      <c r="J2448" t="s">
        <v>174</v>
      </c>
      <c r="K2448">
        <v>0</v>
      </c>
      <c r="L2448" t="s">
        <v>4574</v>
      </c>
      <c r="M2448" t="s">
        <v>6770</v>
      </c>
      <c r="N2448" t="s">
        <v>6771</v>
      </c>
      <c r="O2448" t="s">
        <v>6772</v>
      </c>
      <c r="P2448" t="s">
        <v>6773</v>
      </c>
    </row>
    <row r="2449" spans="1:16" x14ac:dyDescent="0.35">
      <c r="A2449" t="s">
        <v>99</v>
      </c>
      <c r="B2449">
        <v>1322845174</v>
      </c>
      <c r="C2449" t="s">
        <v>18</v>
      </c>
      <c r="D2449" t="s">
        <v>21</v>
      </c>
      <c r="E2449" s="29">
        <v>46204</v>
      </c>
      <c r="F2449" t="s">
        <v>3</v>
      </c>
      <c r="G2449" s="28">
        <v>0.62013888888888891</v>
      </c>
      <c r="H2449" s="28">
        <v>0.62013888888888891</v>
      </c>
      <c r="I2449">
        <v>0</v>
      </c>
      <c r="J2449" t="s">
        <v>174</v>
      </c>
      <c r="K2449">
        <v>0</v>
      </c>
      <c r="L2449" t="s">
        <v>6774</v>
      </c>
      <c r="M2449" t="s">
        <v>6775</v>
      </c>
      <c r="N2449" t="s">
        <v>6776</v>
      </c>
      <c r="O2449" t="s">
        <v>6777</v>
      </c>
      <c r="P2449" t="s">
        <v>6778</v>
      </c>
    </row>
    <row r="2450" spans="1:16" x14ac:dyDescent="0.35">
      <c r="A2450" t="s">
        <v>99</v>
      </c>
      <c r="B2450">
        <v>1322845174</v>
      </c>
      <c r="C2450" t="s">
        <v>18</v>
      </c>
      <c r="D2450" t="s">
        <v>21</v>
      </c>
      <c r="E2450" s="29">
        <v>46204</v>
      </c>
      <c r="F2450" t="s">
        <v>3</v>
      </c>
      <c r="G2450" s="28">
        <v>0.62708333333333333</v>
      </c>
      <c r="H2450" s="28">
        <v>0.62708333333333333</v>
      </c>
      <c r="I2450">
        <v>0</v>
      </c>
      <c r="J2450" t="s">
        <v>174</v>
      </c>
      <c r="K2450">
        <v>0</v>
      </c>
      <c r="L2450" t="s">
        <v>6779</v>
      </c>
      <c r="M2450" t="s">
        <v>6780</v>
      </c>
      <c r="N2450" t="s">
        <v>6781</v>
      </c>
      <c r="O2450" t="s">
        <v>6782</v>
      </c>
      <c r="P2450" t="s">
        <v>6783</v>
      </c>
    </row>
    <row r="2451" spans="1:16" x14ac:dyDescent="0.35">
      <c r="A2451" t="s">
        <v>99</v>
      </c>
      <c r="B2451">
        <v>1322845174</v>
      </c>
      <c r="C2451" t="s">
        <v>18</v>
      </c>
      <c r="D2451" t="s">
        <v>21</v>
      </c>
      <c r="E2451" s="29">
        <v>46204</v>
      </c>
      <c r="F2451" t="s">
        <v>3</v>
      </c>
      <c r="G2451" s="28">
        <v>0.63402777777777775</v>
      </c>
      <c r="H2451" s="28">
        <v>0.63402777777777775</v>
      </c>
      <c r="I2451">
        <v>0</v>
      </c>
      <c r="J2451" t="s">
        <v>174</v>
      </c>
      <c r="K2451">
        <v>0</v>
      </c>
      <c r="L2451" t="s">
        <v>3288</v>
      </c>
      <c r="M2451" t="s">
        <v>3367</v>
      </c>
      <c r="N2451" t="s">
        <v>3368</v>
      </c>
      <c r="O2451" t="s">
        <v>3369</v>
      </c>
      <c r="P2451" t="s">
        <v>3370</v>
      </c>
    </row>
    <row r="2452" spans="1:16" x14ac:dyDescent="0.35">
      <c r="A2452" t="s">
        <v>99</v>
      </c>
      <c r="B2452">
        <v>1322845174</v>
      </c>
      <c r="C2452" t="s">
        <v>18</v>
      </c>
      <c r="D2452" t="s">
        <v>21</v>
      </c>
      <c r="E2452" s="29">
        <v>46204</v>
      </c>
      <c r="F2452" t="s">
        <v>3</v>
      </c>
      <c r="G2452" s="28">
        <v>0.64097222222222228</v>
      </c>
      <c r="H2452" s="28">
        <v>0.64097222222222228</v>
      </c>
      <c r="I2452">
        <v>0</v>
      </c>
      <c r="J2452" t="s">
        <v>174</v>
      </c>
      <c r="K2452">
        <v>0</v>
      </c>
      <c r="L2452" t="s">
        <v>3210</v>
      </c>
      <c r="M2452" t="s">
        <v>3211</v>
      </c>
      <c r="N2452" t="s">
        <v>3212</v>
      </c>
      <c r="O2452" t="s">
        <v>3213</v>
      </c>
      <c r="P2452" t="s">
        <v>3214</v>
      </c>
    </row>
    <row r="2453" spans="1:16" x14ac:dyDescent="0.35">
      <c r="A2453" t="s">
        <v>99</v>
      </c>
      <c r="B2453">
        <v>1322845174</v>
      </c>
      <c r="C2453" t="s">
        <v>18</v>
      </c>
      <c r="D2453" t="s">
        <v>21</v>
      </c>
      <c r="E2453" s="29">
        <v>46204</v>
      </c>
      <c r="F2453" t="s">
        <v>3</v>
      </c>
      <c r="G2453" s="28">
        <v>0.6479166666666667</v>
      </c>
      <c r="H2453" s="28">
        <v>0.6479166666666667</v>
      </c>
      <c r="I2453">
        <v>0</v>
      </c>
      <c r="J2453" t="s">
        <v>174</v>
      </c>
      <c r="K2453">
        <v>0</v>
      </c>
      <c r="L2453" t="s">
        <v>3241</v>
      </c>
      <c r="M2453" t="s">
        <v>3215</v>
      </c>
      <c r="N2453" t="s">
        <v>3216</v>
      </c>
      <c r="O2453" t="s">
        <v>3217</v>
      </c>
      <c r="P2453" t="s">
        <v>3218</v>
      </c>
    </row>
    <row r="2454" spans="1:16" x14ac:dyDescent="0.35">
      <c r="A2454" t="s">
        <v>99</v>
      </c>
      <c r="B2454">
        <v>1322845174</v>
      </c>
      <c r="C2454" t="s">
        <v>18</v>
      </c>
      <c r="D2454" t="s">
        <v>21</v>
      </c>
      <c r="E2454" s="29">
        <v>46204</v>
      </c>
      <c r="F2454" t="s">
        <v>3</v>
      </c>
      <c r="G2454" s="28">
        <v>0.68333333333333335</v>
      </c>
      <c r="H2454" s="28">
        <v>0.68333333333333335</v>
      </c>
      <c r="I2454">
        <v>0</v>
      </c>
      <c r="J2454" t="s">
        <v>174</v>
      </c>
      <c r="K2454">
        <v>0</v>
      </c>
      <c r="L2454" t="s">
        <v>6784</v>
      </c>
      <c r="M2454" t="s">
        <v>6785</v>
      </c>
      <c r="N2454" t="s">
        <v>6786</v>
      </c>
      <c r="O2454" t="s">
        <v>3244</v>
      </c>
      <c r="P2454" t="s">
        <v>3305</v>
      </c>
    </row>
    <row r="2455" spans="1:16" x14ac:dyDescent="0.35">
      <c r="A2455" t="s">
        <v>99</v>
      </c>
      <c r="B2455">
        <v>1322845174</v>
      </c>
      <c r="C2455" t="s">
        <v>18</v>
      </c>
      <c r="D2455" t="s">
        <v>21</v>
      </c>
      <c r="E2455" s="29">
        <v>46204</v>
      </c>
      <c r="F2455" t="s">
        <v>3</v>
      </c>
      <c r="G2455" s="28">
        <v>0.68958333333333333</v>
      </c>
      <c r="H2455" s="28">
        <v>0.80069444444444449</v>
      </c>
      <c r="I2455">
        <v>3</v>
      </c>
      <c r="J2455" t="s">
        <v>146</v>
      </c>
      <c r="K2455">
        <v>8</v>
      </c>
      <c r="L2455" t="s">
        <v>147</v>
      </c>
      <c r="M2455" t="s">
        <v>3242</v>
      </c>
      <c r="N2455" t="s">
        <v>3243</v>
      </c>
      <c r="O2455" t="s">
        <v>3244</v>
      </c>
      <c r="P2455" t="s">
        <v>3239</v>
      </c>
    </row>
    <row r="2456" spans="1:16" x14ac:dyDescent="0.35">
      <c r="A2456" t="s">
        <v>99</v>
      </c>
      <c r="B2456">
        <v>1322845174</v>
      </c>
      <c r="C2456" t="s">
        <v>18</v>
      </c>
      <c r="D2456" t="s">
        <v>21</v>
      </c>
      <c r="E2456" s="29">
        <v>46205</v>
      </c>
      <c r="F2456" t="s">
        <v>4</v>
      </c>
      <c r="G2456" s="28">
        <v>0.37708333333333333</v>
      </c>
      <c r="H2456" s="28">
        <v>0.39791666666666664</v>
      </c>
      <c r="I2456">
        <v>0</v>
      </c>
      <c r="J2456" t="s">
        <v>146</v>
      </c>
      <c r="K2456">
        <v>2</v>
      </c>
      <c r="L2456" t="s">
        <v>147</v>
      </c>
      <c r="M2456" t="s">
        <v>6787</v>
      </c>
      <c r="N2456" t="s">
        <v>6788</v>
      </c>
      <c r="O2456" t="s">
        <v>6789</v>
      </c>
      <c r="P2456" t="s">
        <v>6790</v>
      </c>
    </row>
    <row r="2457" spans="1:16" x14ac:dyDescent="0.35">
      <c r="A2457" t="s">
        <v>99</v>
      </c>
      <c r="B2457">
        <v>1322845174</v>
      </c>
      <c r="C2457" t="s">
        <v>18</v>
      </c>
      <c r="D2457" t="s">
        <v>21</v>
      </c>
      <c r="E2457" s="29">
        <v>46205</v>
      </c>
      <c r="F2457" t="s">
        <v>4</v>
      </c>
      <c r="G2457" s="28">
        <v>0.40486111111111112</v>
      </c>
      <c r="H2457" s="28">
        <v>0.40486111111111112</v>
      </c>
      <c r="I2457">
        <v>0</v>
      </c>
      <c r="J2457" t="s">
        <v>174</v>
      </c>
      <c r="K2457">
        <v>0</v>
      </c>
      <c r="L2457" t="s">
        <v>2772</v>
      </c>
      <c r="M2457" t="s">
        <v>6791</v>
      </c>
      <c r="N2457" t="s">
        <v>6792</v>
      </c>
      <c r="O2457" t="s">
        <v>6793</v>
      </c>
      <c r="P2457" t="s">
        <v>6794</v>
      </c>
    </row>
    <row r="2458" spans="1:16" x14ac:dyDescent="0.35">
      <c r="A2458" t="s">
        <v>99</v>
      </c>
      <c r="B2458">
        <v>1322845174</v>
      </c>
      <c r="C2458" t="s">
        <v>18</v>
      </c>
      <c r="D2458" t="s">
        <v>21</v>
      </c>
      <c r="E2458" s="29">
        <v>46205</v>
      </c>
      <c r="F2458" t="s">
        <v>4</v>
      </c>
      <c r="G2458" s="28">
        <v>0.41180555555555554</v>
      </c>
      <c r="H2458" s="28">
        <v>0.41180555555555554</v>
      </c>
      <c r="I2458">
        <v>0</v>
      </c>
      <c r="J2458" t="s">
        <v>174</v>
      </c>
      <c r="K2458">
        <v>0</v>
      </c>
      <c r="L2458" t="s">
        <v>6795</v>
      </c>
      <c r="M2458" t="s">
        <v>6796</v>
      </c>
      <c r="N2458" t="s">
        <v>6797</v>
      </c>
      <c r="O2458" t="s">
        <v>6798</v>
      </c>
      <c r="P2458" t="s">
        <v>6799</v>
      </c>
    </row>
    <row r="2459" spans="1:16" x14ac:dyDescent="0.35">
      <c r="A2459" t="s">
        <v>99</v>
      </c>
      <c r="B2459">
        <v>1322845174</v>
      </c>
      <c r="C2459" t="s">
        <v>18</v>
      </c>
      <c r="D2459" t="s">
        <v>21</v>
      </c>
      <c r="E2459" s="29">
        <v>46205</v>
      </c>
      <c r="F2459" t="s">
        <v>4</v>
      </c>
      <c r="G2459" s="28">
        <v>0.41875000000000001</v>
      </c>
      <c r="H2459" s="28">
        <v>0.41875000000000001</v>
      </c>
      <c r="I2459">
        <v>0</v>
      </c>
      <c r="J2459" t="s">
        <v>174</v>
      </c>
      <c r="K2459">
        <v>0</v>
      </c>
      <c r="L2459" t="s">
        <v>3526</v>
      </c>
      <c r="M2459" t="s">
        <v>6800</v>
      </c>
      <c r="N2459" t="s">
        <v>6801</v>
      </c>
      <c r="O2459" t="s">
        <v>6802</v>
      </c>
      <c r="P2459" t="s">
        <v>6803</v>
      </c>
    </row>
    <row r="2460" spans="1:16" x14ac:dyDescent="0.35">
      <c r="A2460" t="s">
        <v>99</v>
      </c>
      <c r="B2460">
        <v>1322845174</v>
      </c>
      <c r="C2460" t="s">
        <v>18</v>
      </c>
      <c r="D2460" t="s">
        <v>21</v>
      </c>
      <c r="E2460" s="29">
        <v>46205</v>
      </c>
      <c r="F2460" t="s">
        <v>4</v>
      </c>
      <c r="G2460" s="28">
        <v>0.42569444444444443</v>
      </c>
      <c r="H2460" s="28">
        <v>0.43958333333333333</v>
      </c>
      <c r="I2460">
        <v>0</v>
      </c>
      <c r="J2460" t="s">
        <v>146</v>
      </c>
      <c r="K2460">
        <v>1</v>
      </c>
      <c r="L2460" t="s">
        <v>147</v>
      </c>
      <c r="M2460" t="s">
        <v>6787</v>
      </c>
      <c r="N2460" t="s">
        <v>6788</v>
      </c>
      <c r="O2460" t="s">
        <v>6789</v>
      </c>
      <c r="P2460" t="s">
        <v>6790</v>
      </c>
    </row>
    <row r="2461" spans="1:16" x14ac:dyDescent="0.35">
      <c r="A2461" t="s">
        <v>99</v>
      </c>
      <c r="B2461">
        <v>1322845174</v>
      </c>
      <c r="C2461" t="s">
        <v>18</v>
      </c>
      <c r="D2461" t="s">
        <v>21</v>
      </c>
      <c r="E2461" s="29">
        <v>46205</v>
      </c>
      <c r="F2461" t="s">
        <v>4</v>
      </c>
      <c r="G2461" s="28">
        <v>0.4465277777777778</v>
      </c>
      <c r="H2461" s="28">
        <v>0.4465277777777778</v>
      </c>
      <c r="I2461">
        <v>0</v>
      </c>
      <c r="J2461" t="s">
        <v>174</v>
      </c>
      <c r="K2461">
        <v>0</v>
      </c>
      <c r="L2461" t="s">
        <v>3526</v>
      </c>
      <c r="M2461" t="s">
        <v>6800</v>
      </c>
      <c r="N2461" t="s">
        <v>6801</v>
      </c>
      <c r="O2461" t="s">
        <v>6802</v>
      </c>
      <c r="P2461" t="s">
        <v>6803</v>
      </c>
    </row>
    <row r="2462" spans="1:16" x14ac:dyDescent="0.35">
      <c r="A2462" t="s">
        <v>99</v>
      </c>
      <c r="B2462">
        <v>1322845174</v>
      </c>
      <c r="C2462" t="s">
        <v>18</v>
      </c>
      <c r="D2462" t="s">
        <v>21</v>
      </c>
      <c r="E2462" s="29">
        <v>46205</v>
      </c>
      <c r="F2462" t="s">
        <v>4</v>
      </c>
      <c r="G2462" s="28">
        <v>0.45347222222222222</v>
      </c>
      <c r="H2462" s="28">
        <v>0.47430555555555554</v>
      </c>
      <c r="I2462">
        <v>0</v>
      </c>
      <c r="J2462" t="s">
        <v>146</v>
      </c>
      <c r="K2462">
        <v>2</v>
      </c>
      <c r="L2462" t="s">
        <v>147</v>
      </c>
      <c r="M2462" t="s">
        <v>6787</v>
      </c>
      <c r="N2462" t="s">
        <v>6788</v>
      </c>
      <c r="O2462" t="s">
        <v>6789</v>
      </c>
      <c r="P2462" t="s">
        <v>6790</v>
      </c>
    </row>
    <row r="2463" spans="1:16" x14ac:dyDescent="0.35">
      <c r="A2463" t="s">
        <v>99</v>
      </c>
      <c r="B2463">
        <v>1322845174</v>
      </c>
      <c r="C2463" t="s">
        <v>18</v>
      </c>
      <c r="D2463" t="s">
        <v>21</v>
      </c>
      <c r="E2463" s="29">
        <v>46205</v>
      </c>
      <c r="F2463" t="s">
        <v>4</v>
      </c>
      <c r="G2463" s="28">
        <v>0.48125000000000001</v>
      </c>
      <c r="H2463" s="28">
        <v>0.48125000000000001</v>
      </c>
      <c r="I2463">
        <v>0</v>
      </c>
      <c r="J2463" t="s">
        <v>174</v>
      </c>
      <c r="K2463">
        <v>0</v>
      </c>
      <c r="L2463" t="s">
        <v>3526</v>
      </c>
      <c r="M2463" t="s">
        <v>6800</v>
      </c>
      <c r="N2463" t="s">
        <v>6801</v>
      </c>
      <c r="O2463" t="s">
        <v>6802</v>
      </c>
      <c r="P2463" t="s">
        <v>6803</v>
      </c>
    </row>
    <row r="2464" spans="1:16" x14ac:dyDescent="0.35">
      <c r="A2464" t="s">
        <v>99</v>
      </c>
      <c r="B2464">
        <v>1322845174</v>
      </c>
      <c r="C2464" t="s">
        <v>18</v>
      </c>
      <c r="D2464" t="s">
        <v>21</v>
      </c>
      <c r="E2464" s="29">
        <v>46205</v>
      </c>
      <c r="F2464" t="s">
        <v>4</v>
      </c>
      <c r="G2464" s="28">
        <v>0.48819444444444443</v>
      </c>
      <c r="H2464" s="28">
        <v>0.50902777777777775</v>
      </c>
      <c r="I2464">
        <v>0</v>
      </c>
      <c r="J2464" t="s">
        <v>146</v>
      </c>
      <c r="K2464">
        <v>2</v>
      </c>
      <c r="L2464" t="s">
        <v>147</v>
      </c>
      <c r="M2464" t="s">
        <v>6787</v>
      </c>
      <c r="N2464" t="s">
        <v>6788</v>
      </c>
      <c r="O2464" t="s">
        <v>6789</v>
      </c>
      <c r="P2464" t="s">
        <v>6790</v>
      </c>
    </row>
    <row r="2465" spans="1:16" x14ac:dyDescent="0.35">
      <c r="A2465" t="s">
        <v>99</v>
      </c>
      <c r="B2465">
        <v>1322845174</v>
      </c>
      <c r="C2465" t="s">
        <v>18</v>
      </c>
      <c r="D2465" t="s">
        <v>21</v>
      </c>
      <c r="E2465" s="29">
        <v>46205</v>
      </c>
      <c r="F2465" t="s">
        <v>4</v>
      </c>
      <c r="G2465" s="28">
        <v>0.51597222222222228</v>
      </c>
      <c r="H2465" s="28">
        <v>0.51597222222222228</v>
      </c>
      <c r="I2465">
        <v>0</v>
      </c>
      <c r="J2465" t="s">
        <v>174</v>
      </c>
      <c r="K2465">
        <v>0</v>
      </c>
      <c r="L2465" t="s">
        <v>3526</v>
      </c>
      <c r="M2465" t="s">
        <v>6800</v>
      </c>
      <c r="N2465" t="s">
        <v>6801</v>
      </c>
      <c r="O2465" t="s">
        <v>6802</v>
      </c>
      <c r="P2465" t="s">
        <v>6803</v>
      </c>
    </row>
    <row r="2466" spans="1:16" x14ac:dyDescent="0.35">
      <c r="A2466" t="s">
        <v>99</v>
      </c>
      <c r="B2466">
        <v>1322845174</v>
      </c>
      <c r="C2466" t="s">
        <v>18</v>
      </c>
      <c r="D2466" t="s">
        <v>21</v>
      </c>
      <c r="E2466" s="29">
        <v>46205</v>
      </c>
      <c r="F2466" t="s">
        <v>4</v>
      </c>
      <c r="G2466" s="28">
        <v>0.5229166666666667</v>
      </c>
      <c r="H2466" s="28">
        <v>0.56458333333333333</v>
      </c>
      <c r="I2466">
        <v>1</v>
      </c>
      <c r="J2466" t="s">
        <v>146</v>
      </c>
      <c r="K2466">
        <v>3</v>
      </c>
      <c r="L2466" t="s">
        <v>147</v>
      </c>
      <c r="M2466" t="s">
        <v>6787</v>
      </c>
      <c r="N2466" t="s">
        <v>6788</v>
      </c>
      <c r="O2466" t="s">
        <v>6789</v>
      </c>
      <c r="P2466" t="s">
        <v>6790</v>
      </c>
    </row>
    <row r="2467" spans="1:16" x14ac:dyDescent="0.35">
      <c r="A2467" t="s">
        <v>99</v>
      </c>
      <c r="B2467">
        <v>1322845174</v>
      </c>
      <c r="C2467" t="s">
        <v>18</v>
      </c>
      <c r="D2467" t="s">
        <v>21</v>
      </c>
      <c r="E2467" s="29">
        <v>46205</v>
      </c>
      <c r="F2467" t="s">
        <v>4</v>
      </c>
      <c r="G2467" s="28">
        <v>0.57152777777777775</v>
      </c>
      <c r="H2467" s="28">
        <v>0.59236111111111112</v>
      </c>
      <c r="I2467">
        <v>1</v>
      </c>
      <c r="J2467" t="s">
        <v>146</v>
      </c>
      <c r="K2467">
        <v>2</v>
      </c>
      <c r="L2467" t="s">
        <v>147</v>
      </c>
      <c r="M2467" t="s">
        <v>6791</v>
      </c>
      <c r="N2467" t="s">
        <v>6792</v>
      </c>
      <c r="O2467" t="s">
        <v>6793</v>
      </c>
      <c r="P2467" t="s">
        <v>6794</v>
      </c>
    </row>
    <row r="2468" spans="1:16" x14ac:dyDescent="0.35">
      <c r="A2468" t="s">
        <v>99</v>
      </c>
      <c r="B2468">
        <v>1322845174</v>
      </c>
      <c r="C2468" t="s">
        <v>18</v>
      </c>
      <c r="D2468" t="s">
        <v>21</v>
      </c>
      <c r="E2468" s="29">
        <v>46205</v>
      </c>
      <c r="F2468" t="s">
        <v>4</v>
      </c>
      <c r="G2468" s="28">
        <v>0.59930555555555554</v>
      </c>
      <c r="H2468" s="28">
        <v>0.62013888888888891</v>
      </c>
      <c r="I2468">
        <v>1</v>
      </c>
      <c r="J2468" t="s">
        <v>146</v>
      </c>
      <c r="K2468">
        <v>2</v>
      </c>
      <c r="L2468" t="s">
        <v>147</v>
      </c>
      <c r="M2468" t="s">
        <v>6800</v>
      </c>
      <c r="N2468" t="s">
        <v>6801</v>
      </c>
      <c r="O2468" t="s">
        <v>6802</v>
      </c>
      <c r="P2468" t="s">
        <v>6803</v>
      </c>
    </row>
    <row r="2469" spans="1:16" x14ac:dyDescent="0.35">
      <c r="A2469" t="s">
        <v>99</v>
      </c>
      <c r="B2469">
        <v>1322845174</v>
      </c>
      <c r="C2469" t="s">
        <v>18</v>
      </c>
      <c r="D2469" t="s">
        <v>21</v>
      </c>
      <c r="E2469" s="29">
        <v>46205</v>
      </c>
      <c r="F2469" t="s">
        <v>4</v>
      </c>
      <c r="G2469" s="28">
        <v>0.62708333333333333</v>
      </c>
      <c r="H2469" s="28">
        <v>0.71736111111111112</v>
      </c>
      <c r="I2469">
        <v>2</v>
      </c>
      <c r="J2469" t="s">
        <v>146</v>
      </c>
      <c r="K2469">
        <v>6</v>
      </c>
      <c r="L2469" t="s">
        <v>147</v>
      </c>
      <c r="M2469" t="s">
        <v>6787</v>
      </c>
      <c r="N2469" t="s">
        <v>6788</v>
      </c>
      <c r="O2469" t="s">
        <v>6789</v>
      </c>
      <c r="P2469" t="s">
        <v>6790</v>
      </c>
    </row>
    <row r="2470" spans="1:16" x14ac:dyDescent="0.35">
      <c r="A2470" t="s">
        <v>99</v>
      </c>
      <c r="B2470">
        <v>1322845174</v>
      </c>
      <c r="C2470" t="s">
        <v>18</v>
      </c>
      <c r="D2470" t="s">
        <v>21</v>
      </c>
      <c r="E2470" s="29">
        <v>46205</v>
      </c>
      <c r="F2470" t="s">
        <v>4</v>
      </c>
      <c r="G2470" s="28">
        <v>0.72430555555555554</v>
      </c>
      <c r="H2470" s="28">
        <v>0.72430555555555554</v>
      </c>
      <c r="I2470">
        <v>0</v>
      </c>
      <c r="J2470" t="s">
        <v>174</v>
      </c>
      <c r="K2470">
        <v>0</v>
      </c>
      <c r="L2470" t="s">
        <v>3526</v>
      </c>
      <c r="M2470" t="s">
        <v>6800</v>
      </c>
      <c r="N2470" t="s">
        <v>6801</v>
      </c>
      <c r="O2470" t="s">
        <v>6802</v>
      </c>
      <c r="P2470" t="s">
        <v>6803</v>
      </c>
    </row>
    <row r="2471" spans="1:16" x14ac:dyDescent="0.35">
      <c r="A2471" t="s">
        <v>99</v>
      </c>
      <c r="B2471">
        <v>1322845174</v>
      </c>
      <c r="C2471" t="s">
        <v>18</v>
      </c>
      <c r="D2471" t="s">
        <v>21</v>
      </c>
      <c r="E2471" s="29">
        <v>46205</v>
      </c>
      <c r="F2471" t="s">
        <v>4</v>
      </c>
      <c r="G2471" s="28">
        <v>0.73124999999999996</v>
      </c>
      <c r="H2471" s="28">
        <v>0.75902777777777775</v>
      </c>
      <c r="I2471">
        <v>1</v>
      </c>
      <c r="J2471" t="s">
        <v>146</v>
      </c>
      <c r="K2471">
        <v>2</v>
      </c>
      <c r="L2471" t="s">
        <v>147</v>
      </c>
      <c r="M2471" t="s">
        <v>6787</v>
      </c>
      <c r="N2471" t="s">
        <v>6788</v>
      </c>
      <c r="O2471" t="s">
        <v>6789</v>
      </c>
      <c r="P2471" t="s">
        <v>6790</v>
      </c>
    </row>
    <row r="2472" spans="1:16" x14ac:dyDescent="0.35">
      <c r="A2472" t="s">
        <v>99</v>
      </c>
      <c r="B2472">
        <v>1322845174</v>
      </c>
      <c r="C2472" t="s">
        <v>18</v>
      </c>
      <c r="D2472" t="s">
        <v>21</v>
      </c>
      <c r="E2472" s="29">
        <v>46205</v>
      </c>
      <c r="F2472" t="s">
        <v>4</v>
      </c>
      <c r="G2472" s="28">
        <v>0.76597222222222228</v>
      </c>
      <c r="H2472" s="28">
        <v>0.76597222222222228</v>
      </c>
      <c r="I2472">
        <v>0</v>
      </c>
      <c r="J2472" t="s">
        <v>174</v>
      </c>
      <c r="K2472">
        <v>0</v>
      </c>
      <c r="L2472" t="s">
        <v>3531</v>
      </c>
      <c r="M2472" t="s">
        <v>6804</v>
      </c>
      <c r="N2472" t="s">
        <v>6805</v>
      </c>
      <c r="O2472" t="s">
        <v>6806</v>
      </c>
      <c r="P2472" t="s">
        <v>6807</v>
      </c>
    </row>
    <row r="2473" spans="1:16" x14ac:dyDescent="0.35">
      <c r="A2473" t="s">
        <v>99</v>
      </c>
      <c r="B2473">
        <v>1322845174</v>
      </c>
      <c r="C2473" t="s">
        <v>18</v>
      </c>
      <c r="D2473" t="s">
        <v>21</v>
      </c>
      <c r="E2473" s="29">
        <v>46205</v>
      </c>
      <c r="F2473" t="s">
        <v>4</v>
      </c>
      <c r="G2473" s="28">
        <v>0.7729166666666667</v>
      </c>
      <c r="H2473" s="28">
        <v>0.7729166666666667</v>
      </c>
      <c r="I2473">
        <v>0</v>
      </c>
      <c r="J2473" t="s">
        <v>174</v>
      </c>
      <c r="K2473">
        <v>0</v>
      </c>
      <c r="L2473" t="s">
        <v>3526</v>
      </c>
      <c r="M2473" t="s">
        <v>6800</v>
      </c>
      <c r="N2473" t="s">
        <v>6801</v>
      </c>
      <c r="O2473" t="s">
        <v>6802</v>
      </c>
      <c r="P2473" t="s">
        <v>6803</v>
      </c>
    </row>
    <row r="2474" spans="1:16" x14ac:dyDescent="0.35">
      <c r="A2474" t="s">
        <v>99</v>
      </c>
      <c r="B2474">
        <v>1322845174</v>
      </c>
      <c r="C2474" t="s">
        <v>18</v>
      </c>
      <c r="D2474" t="s">
        <v>21</v>
      </c>
      <c r="E2474" s="29">
        <v>46205</v>
      </c>
      <c r="F2474" t="s">
        <v>4</v>
      </c>
      <c r="G2474" s="28">
        <v>0.77986111111111112</v>
      </c>
      <c r="H2474" s="28">
        <v>0.77986111111111112</v>
      </c>
      <c r="I2474">
        <v>0</v>
      </c>
      <c r="J2474" t="s">
        <v>174</v>
      </c>
      <c r="K2474">
        <v>0</v>
      </c>
      <c r="L2474" t="s">
        <v>3526</v>
      </c>
      <c r="M2474" t="s">
        <v>6787</v>
      </c>
      <c r="N2474" t="s">
        <v>6788</v>
      </c>
      <c r="O2474" t="s">
        <v>6789</v>
      </c>
      <c r="P2474" t="s">
        <v>6790</v>
      </c>
    </row>
    <row r="2475" spans="1:16" x14ac:dyDescent="0.35">
      <c r="A2475" t="s">
        <v>99</v>
      </c>
      <c r="B2475">
        <v>1322845174</v>
      </c>
      <c r="C2475" t="s">
        <v>18</v>
      </c>
      <c r="D2475" t="s">
        <v>21</v>
      </c>
      <c r="E2475" s="29">
        <v>46205</v>
      </c>
      <c r="F2475" t="s">
        <v>4</v>
      </c>
      <c r="G2475" s="28">
        <v>0.78680555555555554</v>
      </c>
      <c r="H2475" s="28">
        <v>0.78680555555555554</v>
      </c>
      <c r="I2475">
        <v>0</v>
      </c>
      <c r="J2475" t="s">
        <v>174</v>
      </c>
      <c r="K2475">
        <v>0</v>
      </c>
      <c r="L2475" t="s">
        <v>394</v>
      </c>
      <c r="M2475" t="s">
        <v>6800</v>
      </c>
      <c r="N2475" t="s">
        <v>6801</v>
      </c>
      <c r="O2475" t="s">
        <v>6802</v>
      </c>
      <c r="P2475" t="s">
        <v>6803</v>
      </c>
    </row>
    <row r="2476" spans="1:16" x14ac:dyDescent="0.35">
      <c r="A2476" t="s">
        <v>99</v>
      </c>
      <c r="B2476">
        <v>1322845174</v>
      </c>
      <c r="C2476" t="s">
        <v>18</v>
      </c>
      <c r="D2476" t="s">
        <v>21</v>
      </c>
      <c r="E2476" s="29">
        <v>46207</v>
      </c>
      <c r="F2476" t="s">
        <v>5</v>
      </c>
      <c r="G2476" s="28">
        <v>0.3840277777777778</v>
      </c>
      <c r="H2476" s="28">
        <v>0.3840277777777778</v>
      </c>
      <c r="I2476">
        <v>0</v>
      </c>
      <c r="J2476" t="s">
        <v>174</v>
      </c>
      <c r="K2476">
        <v>0</v>
      </c>
      <c r="L2476" t="s">
        <v>3531</v>
      </c>
      <c r="M2476" t="s">
        <v>6808</v>
      </c>
      <c r="N2476" t="s">
        <v>6809</v>
      </c>
      <c r="O2476" t="s">
        <v>6810</v>
      </c>
      <c r="P2476" t="s">
        <v>6811</v>
      </c>
    </row>
    <row r="2477" spans="1:16" x14ac:dyDescent="0.35">
      <c r="A2477" t="s">
        <v>99</v>
      </c>
      <c r="B2477">
        <v>1322845174</v>
      </c>
      <c r="C2477" t="s">
        <v>18</v>
      </c>
      <c r="D2477" t="s">
        <v>21</v>
      </c>
      <c r="E2477" s="29">
        <v>46207</v>
      </c>
      <c r="F2477" t="s">
        <v>5</v>
      </c>
      <c r="G2477" s="28">
        <v>0.39097222222222222</v>
      </c>
      <c r="H2477" s="28">
        <v>0.70347222222222228</v>
      </c>
      <c r="I2477">
        <v>8</v>
      </c>
      <c r="J2477" t="s">
        <v>146</v>
      </c>
      <c r="K2477">
        <v>22</v>
      </c>
      <c r="L2477" t="s">
        <v>147</v>
      </c>
      <c r="M2477" t="s">
        <v>6812</v>
      </c>
      <c r="N2477" t="s">
        <v>6813</v>
      </c>
      <c r="O2477" t="s">
        <v>6814</v>
      </c>
      <c r="P2477" t="s">
        <v>6815</v>
      </c>
    </row>
    <row r="2478" spans="1:16" x14ac:dyDescent="0.35">
      <c r="A2478" t="s">
        <v>99</v>
      </c>
      <c r="B2478">
        <v>1322845174</v>
      </c>
      <c r="C2478" t="s">
        <v>18</v>
      </c>
      <c r="D2478" t="s">
        <v>21</v>
      </c>
      <c r="E2478" s="29">
        <v>46207</v>
      </c>
      <c r="F2478" t="s">
        <v>5</v>
      </c>
      <c r="G2478" s="28">
        <v>0.7104166666666667</v>
      </c>
      <c r="H2478" s="28">
        <v>0.7104166666666667</v>
      </c>
      <c r="I2478">
        <v>0</v>
      </c>
      <c r="J2478" t="s">
        <v>174</v>
      </c>
      <c r="K2478">
        <v>0</v>
      </c>
      <c r="L2478" t="s">
        <v>6816</v>
      </c>
      <c r="M2478" t="s">
        <v>6817</v>
      </c>
      <c r="N2478" t="s">
        <v>6818</v>
      </c>
      <c r="O2478" t="s">
        <v>6819</v>
      </c>
      <c r="P2478" t="s">
        <v>6820</v>
      </c>
    </row>
    <row r="2479" spans="1:16" x14ac:dyDescent="0.35">
      <c r="A2479" t="s">
        <v>99</v>
      </c>
      <c r="B2479">
        <v>1322845174</v>
      </c>
      <c r="C2479" t="s">
        <v>18</v>
      </c>
      <c r="D2479" t="s">
        <v>21</v>
      </c>
      <c r="E2479" s="29">
        <v>46207</v>
      </c>
      <c r="F2479" t="s">
        <v>5</v>
      </c>
      <c r="G2479" s="28">
        <v>0.71736111111111112</v>
      </c>
      <c r="H2479" s="28">
        <v>0.71736111111111112</v>
      </c>
      <c r="I2479">
        <v>0</v>
      </c>
      <c r="J2479" t="s">
        <v>174</v>
      </c>
      <c r="K2479">
        <v>0</v>
      </c>
      <c r="L2479" t="s">
        <v>4588</v>
      </c>
      <c r="M2479" t="s">
        <v>6821</v>
      </c>
      <c r="N2479" t="s">
        <v>6822</v>
      </c>
      <c r="O2479" t="s">
        <v>6823</v>
      </c>
      <c r="P2479" t="s">
        <v>6824</v>
      </c>
    </row>
    <row r="2480" spans="1:16" x14ac:dyDescent="0.35">
      <c r="A2480" t="s">
        <v>99</v>
      </c>
      <c r="B2480">
        <v>1322845174</v>
      </c>
      <c r="C2480" t="s">
        <v>18</v>
      </c>
      <c r="D2480" t="s">
        <v>21</v>
      </c>
      <c r="E2480" s="29">
        <v>46207</v>
      </c>
      <c r="F2480" t="s">
        <v>5</v>
      </c>
      <c r="G2480" s="28">
        <v>0.72430555555555554</v>
      </c>
      <c r="H2480" s="28">
        <v>0.72430555555555554</v>
      </c>
      <c r="I2480">
        <v>0</v>
      </c>
      <c r="J2480" t="s">
        <v>174</v>
      </c>
      <c r="K2480">
        <v>0</v>
      </c>
      <c r="L2480" t="s">
        <v>3082</v>
      </c>
      <c r="M2480" t="s">
        <v>6825</v>
      </c>
      <c r="N2480" t="s">
        <v>6826</v>
      </c>
      <c r="O2480" t="s">
        <v>6827</v>
      </c>
      <c r="P2480" t="s">
        <v>6828</v>
      </c>
    </row>
    <row r="2481" spans="1:16" x14ac:dyDescent="0.35">
      <c r="A2481" t="s">
        <v>99</v>
      </c>
      <c r="B2481">
        <v>1322845174</v>
      </c>
      <c r="C2481" t="s">
        <v>18</v>
      </c>
      <c r="D2481" t="s">
        <v>21</v>
      </c>
      <c r="E2481" s="29">
        <v>46207</v>
      </c>
      <c r="F2481" t="s">
        <v>5</v>
      </c>
      <c r="G2481" s="28">
        <v>0.73124999999999996</v>
      </c>
      <c r="H2481" s="28">
        <v>0.73124999999999996</v>
      </c>
      <c r="I2481">
        <v>0</v>
      </c>
      <c r="J2481" t="s">
        <v>174</v>
      </c>
      <c r="K2481">
        <v>0</v>
      </c>
      <c r="L2481" t="s">
        <v>514</v>
      </c>
      <c r="M2481" t="s">
        <v>6829</v>
      </c>
      <c r="N2481" t="s">
        <v>6830</v>
      </c>
      <c r="O2481" t="s">
        <v>6831</v>
      </c>
      <c r="P2481" t="s">
        <v>6832</v>
      </c>
    </row>
    <row r="2482" spans="1:16" x14ac:dyDescent="0.35">
      <c r="A2482" t="s">
        <v>99</v>
      </c>
      <c r="B2482">
        <v>1322845174</v>
      </c>
      <c r="C2482" t="s">
        <v>18</v>
      </c>
      <c r="D2482" t="s">
        <v>21</v>
      </c>
      <c r="E2482" s="29">
        <v>46207</v>
      </c>
      <c r="F2482" t="s">
        <v>5</v>
      </c>
      <c r="G2482" s="28">
        <v>0.73819444444444449</v>
      </c>
      <c r="H2482" s="28">
        <v>0.73819444444444449</v>
      </c>
      <c r="I2482">
        <v>0</v>
      </c>
      <c r="J2482" t="s">
        <v>174</v>
      </c>
      <c r="K2482">
        <v>0</v>
      </c>
      <c r="L2482" t="s">
        <v>1195</v>
      </c>
      <c r="M2482" t="s">
        <v>6833</v>
      </c>
      <c r="N2482" t="s">
        <v>6834</v>
      </c>
      <c r="O2482" t="s">
        <v>6835</v>
      </c>
      <c r="P2482" t="s">
        <v>6836</v>
      </c>
    </row>
    <row r="2483" spans="1:16" x14ac:dyDescent="0.35">
      <c r="A2483" t="s">
        <v>99</v>
      </c>
      <c r="B2483">
        <v>1322845174</v>
      </c>
      <c r="C2483" t="s">
        <v>18</v>
      </c>
      <c r="D2483" t="s">
        <v>21</v>
      </c>
      <c r="E2483" s="29">
        <v>46207</v>
      </c>
      <c r="F2483" t="s">
        <v>5</v>
      </c>
      <c r="G2483" s="28">
        <v>0.74513888888888891</v>
      </c>
      <c r="H2483" s="28">
        <v>0.77986111111111112</v>
      </c>
      <c r="I2483">
        <v>1</v>
      </c>
      <c r="J2483" t="s">
        <v>146</v>
      </c>
      <c r="K2483">
        <v>2</v>
      </c>
      <c r="L2483" t="s">
        <v>147</v>
      </c>
      <c r="M2483" t="s">
        <v>6787</v>
      </c>
      <c r="N2483" t="s">
        <v>6788</v>
      </c>
      <c r="O2483" t="s">
        <v>6789</v>
      </c>
      <c r="P2483" t="s">
        <v>6790</v>
      </c>
    </row>
    <row r="2484" spans="1:16" x14ac:dyDescent="0.35">
      <c r="A2484" t="s">
        <v>99</v>
      </c>
      <c r="B2484">
        <v>1322845174</v>
      </c>
      <c r="C2484" t="s">
        <v>18</v>
      </c>
      <c r="D2484" t="s">
        <v>21</v>
      </c>
      <c r="E2484" s="29">
        <v>46207</v>
      </c>
      <c r="F2484" t="s">
        <v>5</v>
      </c>
      <c r="G2484" s="28">
        <v>0.78680555555555554</v>
      </c>
      <c r="H2484" s="28">
        <v>0.78680555555555554</v>
      </c>
      <c r="I2484">
        <v>0</v>
      </c>
      <c r="J2484" t="s">
        <v>174</v>
      </c>
      <c r="K2484">
        <v>0</v>
      </c>
      <c r="L2484" t="s">
        <v>3526</v>
      </c>
      <c r="M2484" t="s">
        <v>6800</v>
      </c>
      <c r="N2484" t="s">
        <v>6801</v>
      </c>
      <c r="O2484" t="s">
        <v>6802</v>
      </c>
      <c r="P2484" t="s">
        <v>6803</v>
      </c>
    </row>
    <row r="2485" spans="1:16" x14ac:dyDescent="0.35">
      <c r="A2485" t="s">
        <v>99</v>
      </c>
      <c r="B2485">
        <v>1322845174</v>
      </c>
      <c r="C2485" t="s">
        <v>18</v>
      </c>
      <c r="D2485" t="s">
        <v>21</v>
      </c>
      <c r="E2485" s="29">
        <v>46208</v>
      </c>
      <c r="F2485" t="s">
        <v>6</v>
      </c>
      <c r="G2485" s="28">
        <v>0.37708333333333333</v>
      </c>
      <c r="H2485" s="28">
        <v>0.37708333333333333</v>
      </c>
      <c r="I2485">
        <v>0</v>
      </c>
      <c r="J2485" t="s">
        <v>174</v>
      </c>
      <c r="K2485">
        <v>0</v>
      </c>
      <c r="L2485" t="s">
        <v>793</v>
      </c>
      <c r="M2485" t="s">
        <v>6837</v>
      </c>
      <c r="N2485" t="s">
        <v>6838</v>
      </c>
      <c r="O2485" t="s">
        <v>6839</v>
      </c>
      <c r="P2485" t="s">
        <v>6840</v>
      </c>
    </row>
    <row r="2486" spans="1:16" x14ac:dyDescent="0.35">
      <c r="A2486" t="s">
        <v>99</v>
      </c>
      <c r="B2486">
        <v>1322845174</v>
      </c>
      <c r="C2486" t="s">
        <v>18</v>
      </c>
      <c r="D2486" t="s">
        <v>21</v>
      </c>
      <c r="E2486" s="29">
        <v>46208</v>
      </c>
      <c r="F2486" t="s">
        <v>6</v>
      </c>
      <c r="G2486" s="28">
        <v>0.39097222222222222</v>
      </c>
      <c r="H2486" s="28">
        <v>0.39097222222222222</v>
      </c>
      <c r="I2486">
        <v>0</v>
      </c>
      <c r="J2486" t="s">
        <v>174</v>
      </c>
      <c r="K2486">
        <v>0</v>
      </c>
      <c r="L2486" t="s">
        <v>4716</v>
      </c>
      <c r="M2486" t="s">
        <v>585</v>
      </c>
      <c r="N2486" t="s">
        <v>581</v>
      </c>
      <c r="O2486" t="s">
        <v>582</v>
      </c>
      <c r="P2486" t="s">
        <v>2530</v>
      </c>
    </row>
    <row r="2487" spans="1:16" x14ac:dyDescent="0.35">
      <c r="A2487" t="s">
        <v>99</v>
      </c>
      <c r="B2487">
        <v>1322845174</v>
      </c>
      <c r="C2487" t="s">
        <v>18</v>
      </c>
      <c r="D2487" t="s">
        <v>21</v>
      </c>
      <c r="E2487" s="29">
        <v>46208</v>
      </c>
      <c r="F2487" t="s">
        <v>6</v>
      </c>
      <c r="G2487" s="28">
        <v>0.39791666666666664</v>
      </c>
      <c r="H2487" s="28">
        <v>0.39791666666666664</v>
      </c>
      <c r="I2487">
        <v>0</v>
      </c>
      <c r="J2487" t="s">
        <v>174</v>
      </c>
      <c r="K2487">
        <v>0</v>
      </c>
      <c r="L2487" t="s">
        <v>6841</v>
      </c>
      <c r="M2487" t="s">
        <v>6842</v>
      </c>
      <c r="N2487" t="s">
        <v>6843</v>
      </c>
      <c r="O2487" t="s">
        <v>6844</v>
      </c>
      <c r="P2487" t="s">
        <v>6845</v>
      </c>
    </row>
    <row r="2488" spans="1:16" x14ac:dyDescent="0.35">
      <c r="A2488" t="s">
        <v>99</v>
      </c>
      <c r="B2488">
        <v>1322845174</v>
      </c>
      <c r="C2488" t="s">
        <v>18</v>
      </c>
      <c r="D2488" t="s">
        <v>21</v>
      </c>
      <c r="E2488" s="29">
        <v>46208</v>
      </c>
      <c r="F2488" t="s">
        <v>6</v>
      </c>
      <c r="G2488" s="28">
        <v>0.40486111111111112</v>
      </c>
      <c r="H2488" s="28">
        <v>0.40486111111111112</v>
      </c>
      <c r="I2488">
        <v>0</v>
      </c>
      <c r="J2488" t="s">
        <v>174</v>
      </c>
      <c r="K2488">
        <v>0</v>
      </c>
      <c r="L2488" t="s">
        <v>3472</v>
      </c>
      <c r="M2488" t="s">
        <v>6846</v>
      </c>
      <c r="N2488" t="s">
        <v>6847</v>
      </c>
      <c r="O2488" t="s">
        <v>6848</v>
      </c>
      <c r="P2488" t="s">
        <v>6849</v>
      </c>
    </row>
    <row r="2489" spans="1:16" x14ac:dyDescent="0.35">
      <c r="A2489" t="s">
        <v>99</v>
      </c>
      <c r="B2489">
        <v>1322845174</v>
      </c>
      <c r="C2489" t="s">
        <v>18</v>
      </c>
      <c r="D2489" t="s">
        <v>21</v>
      </c>
      <c r="E2489" s="29">
        <v>46208</v>
      </c>
      <c r="F2489" t="s">
        <v>6</v>
      </c>
      <c r="G2489" s="28">
        <v>0.41180555555555554</v>
      </c>
      <c r="H2489" s="28">
        <v>0.41180555555555554</v>
      </c>
      <c r="I2489">
        <v>0</v>
      </c>
      <c r="J2489" t="s">
        <v>174</v>
      </c>
      <c r="K2489">
        <v>0</v>
      </c>
      <c r="L2489" t="s">
        <v>6850</v>
      </c>
      <c r="M2489" t="s">
        <v>6851</v>
      </c>
      <c r="N2489" t="s">
        <v>6852</v>
      </c>
      <c r="O2489" t="s">
        <v>6853</v>
      </c>
      <c r="P2489" t="s">
        <v>6854</v>
      </c>
    </row>
    <row r="2490" spans="1:16" x14ac:dyDescent="0.35">
      <c r="A2490" t="s">
        <v>99</v>
      </c>
      <c r="B2490">
        <v>1322845174</v>
      </c>
      <c r="C2490" t="s">
        <v>18</v>
      </c>
      <c r="D2490" t="s">
        <v>21</v>
      </c>
      <c r="E2490" s="29">
        <v>46208</v>
      </c>
      <c r="F2490" t="s">
        <v>6</v>
      </c>
      <c r="G2490" s="28">
        <v>0.41944444444444445</v>
      </c>
      <c r="H2490" s="28">
        <v>0.41944444444444445</v>
      </c>
      <c r="I2490">
        <v>0</v>
      </c>
      <c r="J2490" t="s">
        <v>174</v>
      </c>
      <c r="K2490">
        <v>0</v>
      </c>
      <c r="L2490" t="s">
        <v>6855</v>
      </c>
      <c r="M2490" t="s">
        <v>6856</v>
      </c>
      <c r="N2490" t="s">
        <v>6857</v>
      </c>
      <c r="O2490" t="s">
        <v>6858</v>
      </c>
      <c r="P2490" t="s">
        <v>6859</v>
      </c>
    </row>
    <row r="2491" spans="1:16" x14ac:dyDescent="0.35">
      <c r="A2491" t="s">
        <v>99</v>
      </c>
      <c r="B2491">
        <v>1322845174</v>
      </c>
      <c r="C2491" t="s">
        <v>18</v>
      </c>
      <c r="D2491" t="s">
        <v>21</v>
      </c>
      <c r="E2491" s="29">
        <v>46208</v>
      </c>
      <c r="F2491" t="s">
        <v>6</v>
      </c>
      <c r="G2491" s="28">
        <v>0.42569444444444443</v>
      </c>
      <c r="H2491" s="28">
        <v>0.42569444444444443</v>
      </c>
      <c r="I2491">
        <v>0</v>
      </c>
      <c r="J2491" t="s">
        <v>174</v>
      </c>
      <c r="K2491">
        <v>0</v>
      </c>
      <c r="L2491" t="s">
        <v>4830</v>
      </c>
      <c r="M2491" t="s">
        <v>6860</v>
      </c>
      <c r="N2491" t="s">
        <v>6861</v>
      </c>
      <c r="O2491" t="s">
        <v>6862</v>
      </c>
      <c r="P2491" t="s">
        <v>6863</v>
      </c>
    </row>
    <row r="2492" spans="1:16" x14ac:dyDescent="0.35">
      <c r="A2492" t="s">
        <v>99</v>
      </c>
      <c r="B2492">
        <v>1322845174</v>
      </c>
      <c r="C2492" t="s">
        <v>18</v>
      </c>
      <c r="D2492" t="s">
        <v>21</v>
      </c>
      <c r="E2492" s="29">
        <v>46208</v>
      </c>
      <c r="F2492" t="s">
        <v>6</v>
      </c>
      <c r="G2492" s="28">
        <v>0.43263888888888891</v>
      </c>
      <c r="H2492" s="28">
        <v>0.43263888888888891</v>
      </c>
      <c r="I2492">
        <v>0</v>
      </c>
      <c r="J2492" t="s">
        <v>174</v>
      </c>
      <c r="K2492">
        <v>0</v>
      </c>
      <c r="L2492" t="s">
        <v>6864</v>
      </c>
      <c r="M2492" t="s">
        <v>6865</v>
      </c>
      <c r="N2492" t="s">
        <v>6866</v>
      </c>
      <c r="O2492" t="s">
        <v>6867</v>
      </c>
      <c r="P2492" t="s">
        <v>6868</v>
      </c>
    </row>
    <row r="2493" spans="1:16" x14ac:dyDescent="0.35">
      <c r="A2493" t="s">
        <v>99</v>
      </c>
      <c r="B2493">
        <v>1322845174</v>
      </c>
      <c r="C2493" t="s">
        <v>18</v>
      </c>
      <c r="D2493" t="s">
        <v>21</v>
      </c>
      <c r="E2493" s="29">
        <v>46208</v>
      </c>
      <c r="F2493" t="s">
        <v>6</v>
      </c>
      <c r="G2493" s="28">
        <v>0.43958333333333333</v>
      </c>
      <c r="H2493" s="28">
        <v>0.43958333333333333</v>
      </c>
      <c r="I2493">
        <v>0</v>
      </c>
      <c r="J2493" t="s">
        <v>174</v>
      </c>
      <c r="K2493">
        <v>0</v>
      </c>
      <c r="L2493" t="s">
        <v>6869</v>
      </c>
      <c r="M2493" t="s">
        <v>1668</v>
      </c>
      <c r="N2493" t="s">
        <v>1669</v>
      </c>
      <c r="O2493" t="s">
        <v>1670</v>
      </c>
      <c r="P2493" t="s">
        <v>1671</v>
      </c>
    </row>
    <row r="2494" spans="1:16" x14ac:dyDescent="0.35">
      <c r="A2494" t="s">
        <v>99</v>
      </c>
      <c r="B2494">
        <v>1322845174</v>
      </c>
      <c r="C2494" t="s">
        <v>18</v>
      </c>
      <c r="D2494" t="s">
        <v>21</v>
      </c>
      <c r="E2494" s="29">
        <v>46208</v>
      </c>
      <c r="F2494" t="s">
        <v>6</v>
      </c>
      <c r="G2494" s="28">
        <v>0.4465277777777778</v>
      </c>
      <c r="H2494" s="28">
        <v>0.4465277777777778</v>
      </c>
      <c r="I2494">
        <v>0</v>
      </c>
      <c r="J2494" t="s">
        <v>174</v>
      </c>
      <c r="K2494">
        <v>0</v>
      </c>
      <c r="L2494" t="s">
        <v>6870</v>
      </c>
      <c r="M2494" t="s">
        <v>6871</v>
      </c>
      <c r="N2494" t="s">
        <v>6872</v>
      </c>
      <c r="O2494" t="s">
        <v>6873</v>
      </c>
      <c r="P2494" t="s">
        <v>6874</v>
      </c>
    </row>
    <row r="2495" spans="1:16" x14ac:dyDescent="0.35">
      <c r="A2495" t="s">
        <v>99</v>
      </c>
      <c r="B2495">
        <v>1322845174</v>
      </c>
      <c r="C2495" t="s">
        <v>18</v>
      </c>
      <c r="D2495" t="s">
        <v>21</v>
      </c>
      <c r="E2495" s="29">
        <v>46208</v>
      </c>
      <c r="F2495" t="s">
        <v>6</v>
      </c>
      <c r="G2495" s="28">
        <v>0.45347222222222222</v>
      </c>
      <c r="H2495" s="28">
        <v>0.45347222222222222</v>
      </c>
      <c r="I2495">
        <v>0</v>
      </c>
      <c r="J2495" t="s">
        <v>174</v>
      </c>
      <c r="K2495">
        <v>0</v>
      </c>
      <c r="L2495" t="s">
        <v>6875</v>
      </c>
      <c r="M2495" t="s">
        <v>6876</v>
      </c>
      <c r="N2495" t="s">
        <v>6877</v>
      </c>
      <c r="O2495" t="s">
        <v>6878</v>
      </c>
      <c r="P2495" t="s">
        <v>6879</v>
      </c>
    </row>
    <row r="2496" spans="1:16" x14ac:dyDescent="0.35">
      <c r="A2496" t="s">
        <v>99</v>
      </c>
      <c r="B2496">
        <v>1322845174</v>
      </c>
      <c r="C2496" t="s">
        <v>18</v>
      </c>
      <c r="D2496" t="s">
        <v>21</v>
      </c>
      <c r="E2496" s="29">
        <v>46208</v>
      </c>
      <c r="F2496" t="s">
        <v>6</v>
      </c>
      <c r="G2496" s="28">
        <v>0.46041666666666664</v>
      </c>
      <c r="H2496" s="28">
        <v>0.46041666666666664</v>
      </c>
      <c r="I2496">
        <v>0</v>
      </c>
      <c r="J2496" t="s">
        <v>174</v>
      </c>
      <c r="K2496">
        <v>0</v>
      </c>
      <c r="L2496" t="s">
        <v>4277</v>
      </c>
      <c r="M2496" t="s">
        <v>6880</v>
      </c>
      <c r="N2496" t="s">
        <v>6881</v>
      </c>
      <c r="O2496" t="s">
        <v>6882</v>
      </c>
      <c r="P2496" t="s">
        <v>6883</v>
      </c>
    </row>
    <row r="2497" spans="1:16" x14ac:dyDescent="0.35">
      <c r="A2497" t="s">
        <v>99</v>
      </c>
      <c r="B2497">
        <v>1322845174</v>
      </c>
      <c r="C2497" t="s">
        <v>18</v>
      </c>
      <c r="D2497" t="s">
        <v>21</v>
      </c>
      <c r="E2497" s="29">
        <v>46208</v>
      </c>
      <c r="F2497" t="s">
        <v>6</v>
      </c>
      <c r="G2497" s="28">
        <v>0.46736111111111112</v>
      </c>
      <c r="H2497" s="28">
        <v>0.46736111111111112</v>
      </c>
      <c r="I2497">
        <v>0</v>
      </c>
      <c r="J2497" t="s">
        <v>174</v>
      </c>
      <c r="K2497">
        <v>0</v>
      </c>
      <c r="L2497" t="s">
        <v>6884</v>
      </c>
      <c r="M2497" t="s">
        <v>6885</v>
      </c>
      <c r="N2497" t="s">
        <v>6886</v>
      </c>
      <c r="O2497" t="s">
        <v>6887</v>
      </c>
      <c r="P2497" t="s">
        <v>6888</v>
      </c>
    </row>
    <row r="2498" spans="1:16" x14ac:dyDescent="0.35">
      <c r="A2498" t="s">
        <v>99</v>
      </c>
      <c r="B2498">
        <v>1322845174</v>
      </c>
      <c r="C2498" t="s">
        <v>18</v>
      </c>
      <c r="D2498" t="s">
        <v>21</v>
      </c>
      <c r="E2498" s="29">
        <v>46208</v>
      </c>
      <c r="F2498" t="s">
        <v>6</v>
      </c>
      <c r="G2498" s="28">
        <v>0.47430555555555554</v>
      </c>
      <c r="H2498" s="28">
        <v>0.47430555555555554</v>
      </c>
      <c r="I2498">
        <v>0</v>
      </c>
      <c r="J2498" t="s">
        <v>174</v>
      </c>
      <c r="K2498">
        <v>0</v>
      </c>
      <c r="L2498" t="s">
        <v>1692</v>
      </c>
      <c r="M2498" t="s">
        <v>1360</v>
      </c>
      <c r="N2498" t="s">
        <v>1693</v>
      </c>
      <c r="O2498" t="s">
        <v>1694</v>
      </c>
      <c r="P2498" t="s">
        <v>1695</v>
      </c>
    </row>
    <row r="2499" spans="1:16" x14ac:dyDescent="0.35">
      <c r="A2499" t="s">
        <v>99</v>
      </c>
      <c r="B2499">
        <v>1322845174</v>
      </c>
      <c r="C2499" t="s">
        <v>18</v>
      </c>
      <c r="D2499" t="s">
        <v>21</v>
      </c>
      <c r="E2499" s="29">
        <v>46208</v>
      </c>
      <c r="F2499" t="s">
        <v>6</v>
      </c>
      <c r="G2499" s="28">
        <v>0.48125000000000001</v>
      </c>
      <c r="H2499" s="28">
        <v>0.48125000000000001</v>
      </c>
      <c r="I2499">
        <v>0</v>
      </c>
      <c r="J2499" t="s">
        <v>174</v>
      </c>
      <c r="K2499">
        <v>0</v>
      </c>
      <c r="L2499" t="s">
        <v>6889</v>
      </c>
      <c r="M2499" t="s">
        <v>1371</v>
      </c>
      <c r="N2499" t="s">
        <v>1372</v>
      </c>
      <c r="O2499" t="s">
        <v>1373</v>
      </c>
      <c r="P2499" t="s">
        <v>1374</v>
      </c>
    </row>
    <row r="2500" spans="1:16" x14ac:dyDescent="0.35">
      <c r="A2500" t="s">
        <v>99</v>
      </c>
      <c r="B2500">
        <v>1322845174</v>
      </c>
      <c r="C2500" t="s">
        <v>18</v>
      </c>
      <c r="D2500" t="s">
        <v>21</v>
      </c>
      <c r="E2500" s="29">
        <v>46208</v>
      </c>
      <c r="F2500" t="s">
        <v>6</v>
      </c>
      <c r="G2500" s="28">
        <v>0.48819444444444443</v>
      </c>
      <c r="H2500" s="28">
        <v>0.48819444444444443</v>
      </c>
      <c r="I2500">
        <v>0</v>
      </c>
      <c r="J2500" t="s">
        <v>174</v>
      </c>
      <c r="K2500">
        <v>0</v>
      </c>
      <c r="L2500" t="s">
        <v>1351</v>
      </c>
      <c r="M2500" t="s">
        <v>6890</v>
      </c>
      <c r="N2500" t="s">
        <v>6891</v>
      </c>
      <c r="O2500" t="s">
        <v>6892</v>
      </c>
      <c r="P2500" t="s">
        <v>6893</v>
      </c>
    </row>
    <row r="2501" spans="1:16" x14ac:dyDescent="0.35">
      <c r="A2501" t="s">
        <v>99</v>
      </c>
      <c r="B2501">
        <v>1322845174</v>
      </c>
      <c r="C2501" t="s">
        <v>18</v>
      </c>
      <c r="D2501" t="s">
        <v>21</v>
      </c>
      <c r="E2501" s="29">
        <v>46208</v>
      </c>
      <c r="F2501" t="s">
        <v>6</v>
      </c>
      <c r="G2501" s="28">
        <v>0.49513888888888891</v>
      </c>
      <c r="H2501" s="28">
        <v>0.49513888888888891</v>
      </c>
      <c r="I2501">
        <v>0</v>
      </c>
      <c r="J2501" t="s">
        <v>174</v>
      </c>
      <c r="K2501">
        <v>0</v>
      </c>
      <c r="L2501" t="s">
        <v>257</v>
      </c>
      <c r="M2501" t="s">
        <v>1376</v>
      </c>
      <c r="N2501" t="s">
        <v>1377</v>
      </c>
      <c r="O2501" t="s">
        <v>1378</v>
      </c>
      <c r="P2501" t="s">
        <v>1379</v>
      </c>
    </row>
    <row r="2502" spans="1:16" x14ac:dyDescent="0.35">
      <c r="A2502" t="s">
        <v>99</v>
      </c>
      <c r="B2502">
        <v>1322845174</v>
      </c>
      <c r="C2502" t="s">
        <v>18</v>
      </c>
      <c r="D2502" t="s">
        <v>21</v>
      </c>
      <c r="E2502" s="29">
        <v>46208</v>
      </c>
      <c r="F2502" t="s">
        <v>6</v>
      </c>
      <c r="G2502" s="28">
        <v>0.50208333333333333</v>
      </c>
      <c r="H2502" s="28">
        <v>0.50902777777777775</v>
      </c>
      <c r="I2502">
        <v>0</v>
      </c>
      <c r="J2502" t="s">
        <v>146</v>
      </c>
      <c r="K2502">
        <v>0</v>
      </c>
      <c r="L2502" t="s">
        <v>147</v>
      </c>
      <c r="M2502" t="s">
        <v>6894</v>
      </c>
      <c r="N2502" t="s">
        <v>6895</v>
      </c>
      <c r="O2502" t="s">
        <v>6896</v>
      </c>
      <c r="P2502" t="s">
        <v>6897</v>
      </c>
    </row>
    <row r="2503" spans="1:16" x14ac:dyDescent="0.35">
      <c r="A2503" t="s">
        <v>99</v>
      </c>
      <c r="B2503">
        <v>1322845174</v>
      </c>
      <c r="C2503" t="s">
        <v>18</v>
      </c>
      <c r="D2503" t="s">
        <v>21</v>
      </c>
      <c r="E2503" s="29">
        <v>46208</v>
      </c>
      <c r="F2503" t="s">
        <v>6</v>
      </c>
      <c r="G2503" s="28">
        <v>0.51597222222222228</v>
      </c>
      <c r="H2503" s="28">
        <v>0.51597222222222228</v>
      </c>
      <c r="I2503">
        <v>0</v>
      </c>
      <c r="J2503" t="s">
        <v>174</v>
      </c>
      <c r="K2503">
        <v>0</v>
      </c>
      <c r="L2503" t="s">
        <v>674</v>
      </c>
      <c r="M2503" t="s">
        <v>1376</v>
      </c>
      <c r="N2503" t="s">
        <v>1377</v>
      </c>
      <c r="O2503" t="s">
        <v>1378</v>
      </c>
      <c r="P2503" t="s">
        <v>1379</v>
      </c>
    </row>
    <row r="2504" spans="1:16" x14ac:dyDescent="0.35">
      <c r="A2504" t="s">
        <v>99</v>
      </c>
      <c r="B2504">
        <v>1322845174</v>
      </c>
      <c r="C2504" t="s">
        <v>18</v>
      </c>
      <c r="D2504" t="s">
        <v>21</v>
      </c>
      <c r="E2504" s="29">
        <v>46208</v>
      </c>
      <c r="F2504" t="s">
        <v>6</v>
      </c>
      <c r="G2504" s="28">
        <v>0.5229166666666667</v>
      </c>
      <c r="H2504" s="28">
        <v>0.5229166666666667</v>
      </c>
      <c r="I2504">
        <v>0</v>
      </c>
      <c r="J2504" t="s">
        <v>174</v>
      </c>
      <c r="K2504">
        <v>0</v>
      </c>
      <c r="L2504" t="s">
        <v>4824</v>
      </c>
      <c r="M2504" t="s">
        <v>1332</v>
      </c>
      <c r="N2504" t="s">
        <v>1333</v>
      </c>
      <c r="O2504" t="s">
        <v>1334</v>
      </c>
      <c r="P2504" t="s">
        <v>1335</v>
      </c>
    </row>
    <row r="2505" spans="1:16" x14ac:dyDescent="0.35">
      <c r="A2505" t="s">
        <v>99</v>
      </c>
      <c r="B2505">
        <v>1322845174</v>
      </c>
      <c r="C2505" t="s">
        <v>18</v>
      </c>
      <c r="D2505" t="s">
        <v>21</v>
      </c>
      <c r="E2505" s="29">
        <v>46208</v>
      </c>
      <c r="F2505" t="s">
        <v>6</v>
      </c>
      <c r="G2505" s="28">
        <v>0.52986111111111112</v>
      </c>
      <c r="H2505" s="28">
        <v>0.53680555555555554</v>
      </c>
      <c r="I2505">
        <v>0</v>
      </c>
      <c r="J2505" t="s">
        <v>146</v>
      </c>
      <c r="K2505">
        <v>0</v>
      </c>
      <c r="L2505" t="s">
        <v>147</v>
      </c>
      <c r="M2505" t="s">
        <v>1516</v>
      </c>
      <c r="N2505" t="s">
        <v>1517</v>
      </c>
      <c r="O2505" t="s">
        <v>1518</v>
      </c>
      <c r="P2505" t="s">
        <v>1519</v>
      </c>
    </row>
    <row r="2506" spans="1:16" x14ac:dyDescent="0.35">
      <c r="A2506" t="s">
        <v>99</v>
      </c>
      <c r="B2506">
        <v>1322845174</v>
      </c>
      <c r="C2506" t="s">
        <v>18</v>
      </c>
      <c r="D2506" t="s">
        <v>21</v>
      </c>
      <c r="E2506" s="29">
        <v>46208</v>
      </c>
      <c r="F2506" t="s">
        <v>6</v>
      </c>
      <c r="G2506" s="28">
        <v>0.54374999999999996</v>
      </c>
      <c r="H2506" s="28">
        <v>0.56458333333333333</v>
      </c>
      <c r="I2506">
        <v>1</v>
      </c>
      <c r="J2506" t="s">
        <v>146</v>
      </c>
      <c r="K2506">
        <v>2</v>
      </c>
      <c r="L2506" t="s">
        <v>147</v>
      </c>
      <c r="M2506" t="s">
        <v>4883</v>
      </c>
      <c r="N2506" t="s">
        <v>4884</v>
      </c>
      <c r="O2506" t="s">
        <v>4885</v>
      </c>
      <c r="P2506" t="s">
        <v>6898</v>
      </c>
    </row>
    <row r="2507" spans="1:16" x14ac:dyDescent="0.35">
      <c r="A2507" t="s">
        <v>99</v>
      </c>
      <c r="B2507">
        <v>1322845174</v>
      </c>
      <c r="C2507" t="s">
        <v>18</v>
      </c>
      <c r="D2507" t="s">
        <v>21</v>
      </c>
      <c r="E2507" s="29">
        <v>46208</v>
      </c>
      <c r="F2507" t="s">
        <v>6</v>
      </c>
      <c r="G2507" s="28">
        <v>0.57152777777777775</v>
      </c>
      <c r="H2507" s="28">
        <v>0.57152777777777775</v>
      </c>
      <c r="I2507">
        <v>0</v>
      </c>
      <c r="J2507" t="s">
        <v>174</v>
      </c>
      <c r="K2507">
        <v>0</v>
      </c>
      <c r="L2507" t="s">
        <v>1183</v>
      </c>
      <c r="M2507" t="s">
        <v>6899</v>
      </c>
      <c r="N2507" t="s">
        <v>6900</v>
      </c>
      <c r="O2507" t="s">
        <v>6901</v>
      </c>
      <c r="P2507" t="s">
        <v>6902</v>
      </c>
    </row>
    <row r="2508" spans="1:16" x14ac:dyDescent="0.35">
      <c r="A2508" t="s">
        <v>99</v>
      </c>
      <c r="B2508">
        <v>1322845174</v>
      </c>
      <c r="C2508" t="s">
        <v>18</v>
      </c>
      <c r="D2508" t="s">
        <v>21</v>
      </c>
      <c r="E2508" s="29">
        <v>46208</v>
      </c>
      <c r="F2508" t="s">
        <v>6</v>
      </c>
      <c r="G2508" s="28">
        <v>0.57847222222222228</v>
      </c>
      <c r="H2508" s="28">
        <v>0.57847222222222228</v>
      </c>
      <c r="I2508">
        <v>0</v>
      </c>
      <c r="J2508" t="s">
        <v>174</v>
      </c>
      <c r="K2508">
        <v>0</v>
      </c>
      <c r="L2508" t="s">
        <v>4547</v>
      </c>
      <c r="M2508" t="s">
        <v>5957</v>
      </c>
      <c r="N2508" t="s">
        <v>5958</v>
      </c>
      <c r="O2508" t="s">
        <v>5959</v>
      </c>
      <c r="P2508" t="s">
        <v>6903</v>
      </c>
    </row>
    <row r="2509" spans="1:16" x14ac:dyDescent="0.35">
      <c r="A2509" t="s">
        <v>99</v>
      </c>
      <c r="B2509">
        <v>1322845174</v>
      </c>
      <c r="C2509" t="s">
        <v>18</v>
      </c>
      <c r="D2509" t="s">
        <v>21</v>
      </c>
      <c r="E2509" s="29">
        <v>46208</v>
      </c>
      <c r="F2509" t="s">
        <v>6</v>
      </c>
      <c r="G2509" s="28">
        <v>0.5854166666666667</v>
      </c>
      <c r="H2509" s="28">
        <v>0.5854166666666667</v>
      </c>
      <c r="I2509">
        <v>0</v>
      </c>
      <c r="J2509" t="s">
        <v>174</v>
      </c>
      <c r="K2509">
        <v>0</v>
      </c>
      <c r="L2509" t="s">
        <v>6884</v>
      </c>
      <c r="M2509" t="s">
        <v>6904</v>
      </c>
      <c r="N2509" t="s">
        <v>6905</v>
      </c>
      <c r="O2509" t="s">
        <v>6906</v>
      </c>
      <c r="P2509" t="s">
        <v>6907</v>
      </c>
    </row>
    <row r="2510" spans="1:16" x14ac:dyDescent="0.35">
      <c r="A2510" t="s">
        <v>99</v>
      </c>
      <c r="B2510">
        <v>1322845174</v>
      </c>
      <c r="C2510" t="s">
        <v>18</v>
      </c>
      <c r="D2510" t="s">
        <v>21</v>
      </c>
      <c r="E2510" s="29">
        <v>46208</v>
      </c>
      <c r="F2510" t="s">
        <v>6</v>
      </c>
      <c r="G2510" s="28">
        <v>0.59236111111111112</v>
      </c>
      <c r="H2510" s="28">
        <v>0.59236111111111112</v>
      </c>
      <c r="I2510">
        <v>0</v>
      </c>
      <c r="J2510" t="s">
        <v>174</v>
      </c>
      <c r="K2510">
        <v>0</v>
      </c>
      <c r="L2510" t="s">
        <v>3188</v>
      </c>
      <c r="M2510" t="s">
        <v>6908</v>
      </c>
      <c r="N2510" t="s">
        <v>6909</v>
      </c>
      <c r="O2510" t="s">
        <v>6910</v>
      </c>
      <c r="P2510" t="s">
        <v>6911</v>
      </c>
    </row>
    <row r="2511" spans="1:16" x14ac:dyDescent="0.35">
      <c r="A2511" t="s">
        <v>99</v>
      </c>
      <c r="B2511">
        <v>1322845174</v>
      </c>
      <c r="C2511" t="s">
        <v>18</v>
      </c>
      <c r="D2511" t="s">
        <v>21</v>
      </c>
      <c r="E2511" s="29">
        <v>46208</v>
      </c>
      <c r="F2511" t="s">
        <v>6</v>
      </c>
      <c r="G2511" s="28">
        <v>0.59930555555555554</v>
      </c>
      <c r="H2511" s="28">
        <v>0.59930555555555554</v>
      </c>
      <c r="I2511">
        <v>0</v>
      </c>
      <c r="J2511" t="s">
        <v>174</v>
      </c>
      <c r="K2511">
        <v>0</v>
      </c>
      <c r="L2511" t="s">
        <v>6912</v>
      </c>
      <c r="M2511" t="s">
        <v>6913</v>
      </c>
      <c r="N2511" t="s">
        <v>6914</v>
      </c>
      <c r="O2511" t="s">
        <v>6915</v>
      </c>
      <c r="P2511" t="s">
        <v>6916</v>
      </c>
    </row>
    <row r="2512" spans="1:16" x14ac:dyDescent="0.35">
      <c r="A2512" t="s">
        <v>99</v>
      </c>
      <c r="B2512">
        <v>1322845174</v>
      </c>
      <c r="C2512" t="s">
        <v>18</v>
      </c>
      <c r="D2512" t="s">
        <v>21</v>
      </c>
      <c r="E2512" s="29">
        <v>46208</v>
      </c>
      <c r="F2512" t="s">
        <v>6</v>
      </c>
      <c r="G2512" s="28">
        <v>0.61319444444444449</v>
      </c>
      <c r="H2512" s="28">
        <v>0.61319444444444449</v>
      </c>
      <c r="I2512">
        <v>0</v>
      </c>
      <c r="J2512" t="s">
        <v>174</v>
      </c>
      <c r="K2512">
        <v>0</v>
      </c>
      <c r="L2512" t="s">
        <v>6917</v>
      </c>
      <c r="M2512" t="s">
        <v>6918</v>
      </c>
      <c r="N2512" t="s">
        <v>6919</v>
      </c>
      <c r="O2512" t="s">
        <v>6920</v>
      </c>
      <c r="P2512" t="s">
        <v>6921</v>
      </c>
    </row>
    <row r="2513" spans="1:16" x14ac:dyDescent="0.35">
      <c r="A2513" t="s">
        <v>99</v>
      </c>
      <c r="B2513">
        <v>1322845174</v>
      </c>
      <c r="C2513" t="s">
        <v>18</v>
      </c>
      <c r="D2513" t="s">
        <v>21</v>
      </c>
      <c r="E2513" s="29">
        <v>46208</v>
      </c>
      <c r="F2513" t="s">
        <v>6</v>
      </c>
      <c r="G2513" s="28">
        <v>0.62013888888888891</v>
      </c>
      <c r="H2513" s="28">
        <v>0.62013888888888891</v>
      </c>
      <c r="I2513">
        <v>0</v>
      </c>
      <c r="J2513" t="s">
        <v>174</v>
      </c>
      <c r="K2513">
        <v>0</v>
      </c>
      <c r="L2513" t="s">
        <v>4973</v>
      </c>
      <c r="M2513" t="s">
        <v>6922</v>
      </c>
      <c r="N2513" t="s">
        <v>6923</v>
      </c>
      <c r="O2513" t="s">
        <v>6924</v>
      </c>
      <c r="P2513" t="s">
        <v>6925</v>
      </c>
    </row>
    <row r="2514" spans="1:16" x14ac:dyDescent="0.35">
      <c r="A2514" t="s">
        <v>99</v>
      </c>
      <c r="B2514">
        <v>1322845174</v>
      </c>
      <c r="C2514" t="s">
        <v>18</v>
      </c>
      <c r="D2514" t="s">
        <v>21</v>
      </c>
      <c r="E2514" s="29">
        <v>46208</v>
      </c>
      <c r="F2514" t="s">
        <v>6</v>
      </c>
      <c r="G2514" s="28">
        <v>0.62708333333333333</v>
      </c>
      <c r="H2514" s="28">
        <v>0.62708333333333333</v>
      </c>
      <c r="I2514">
        <v>0</v>
      </c>
      <c r="J2514" t="s">
        <v>174</v>
      </c>
      <c r="K2514">
        <v>0</v>
      </c>
      <c r="L2514" t="s">
        <v>1842</v>
      </c>
      <c r="M2514" t="s">
        <v>6926</v>
      </c>
      <c r="N2514" t="s">
        <v>6927</v>
      </c>
      <c r="O2514" t="s">
        <v>6928</v>
      </c>
      <c r="P2514" t="s">
        <v>6929</v>
      </c>
    </row>
    <row r="2515" spans="1:16" x14ac:dyDescent="0.35">
      <c r="A2515" t="s">
        <v>99</v>
      </c>
      <c r="B2515">
        <v>1322845174</v>
      </c>
      <c r="C2515" t="s">
        <v>18</v>
      </c>
      <c r="D2515" t="s">
        <v>21</v>
      </c>
      <c r="E2515" s="29">
        <v>46208</v>
      </c>
      <c r="F2515" t="s">
        <v>6</v>
      </c>
      <c r="G2515" s="28">
        <v>0.63402777777777775</v>
      </c>
      <c r="H2515" s="28">
        <v>0.63402777777777775</v>
      </c>
      <c r="I2515">
        <v>0</v>
      </c>
      <c r="J2515" t="s">
        <v>174</v>
      </c>
      <c r="K2515">
        <v>0</v>
      </c>
      <c r="L2515" t="s">
        <v>6917</v>
      </c>
      <c r="M2515" t="s">
        <v>6930</v>
      </c>
      <c r="N2515" t="s">
        <v>6931</v>
      </c>
      <c r="O2515" t="s">
        <v>6932</v>
      </c>
      <c r="P2515" t="s">
        <v>6933</v>
      </c>
    </row>
    <row r="2516" spans="1:16" x14ac:dyDescent="0.35">
      <c r="A2516" t="s">
        <v>99</v>
      </c>
      <c r="B2516">
        <v>1322845174</v>
      </c>
      <c r="C2516" t="s">
        <v>18</v>
      </c>
      <c r="D2516" t="s">
        <v>21</v>
      </c>
      <c r="E2516" s="29">
        <v>46208</v>
      </c>
      <c r="F2516" t="s">
        <v>6</v>
      </c>
      <c r="G2516" s="28">
        <v>0.64166666666666672</v>
      </c>
      <c r="H2516" s="28">
        <v>0.64166666666666672</v>
      </c>
      <c r="I2516">
        <v>0</v>
      </c>
      <c r="J2516" t="s">
        <v>174</v>
      </c>
      <c r="K2516">
        <v>0</v>
      </c>
      <c r="L2516" t="s">
        <v>6934</v>
      </c>
      <c r="M2516" t="s">
        <v>6935</v>
      </c>
      <c r="N2516" t="s">
        <v>6936</v>
      </c>
      <c r="O2516" t="s">
        <v>6937</v>
      </c>
      <c r="P2516" t="s">
        <v>6938</v>
      </c>
    </row>
    <row r="2517" spans="1:16" x14ac:dyDescent="0.35">
      <c r="A2517" t="s">
        <v>99</v>
      </c>
      <c r="B2517">
        <v>1322845174</v>
      </c>
      <c r="C2517" t="s">
        <v>18</v>
      </c>
      <c r="D2517" t="s">
        <v>21</v>
      </c>
      <c r="E2517" s="29">
        <v>46208</v>
      </c>
      <c r="F2517" t="s">
        <v>6</v>
      </c>
      <c r="G2517" s="28">
        <v>0.64861111111111114</v>
      </c>
      <c r="H2517" s="28">
        <v>0.64861111111111114</v>
      </c>
      <c r="I2517">
        <v>0</v>
      </c>
      <c r="J2517" t="s">
        <v>174</v>
      </c>
      <c r="K2517">
        <v>0</v>
      </c>
      <c r="L2517" t="s">
        <v>1965</v>
      </c>
      <c r="M2517" t="s">
        <v>6939</v>
      </c>
      <c r="N2517" t="s">
        <v>6940</v>
      </c>
      <c r="O2517" t="s">
        <v>6941</v>
      </c>
      <c r="P2517" t="s">
        <v>6942</v>
      </c>
    </row>
    <row r="2518" spans="1:16" x14ac:dyDescent="0.35">
      <c r="A2518" t="s">
        <v>99</v>
      </c>
      <c r="B2518">
        <v>1322845174</v>
      </c>
      <c r="C2518" t="s">
        <v>18</v>
      </c>
      <c r="D2518" t="s">
        <v>21</v>
      </c>
      <c r="E2518" s="29">
        <v>46208</v>
      </c>
      <c r="F2518" t="s">
        <v>6</v>
      </c>
      <c r="G2518" s="28">
        <v>0.65555555555555556</v>
      </c>
      <c r="H2518" s="28">
        <v>0.65555555555555556</v>
      </c>
      <c r="I2518">
        <v>0</v>
      </c>
      <c r="J2518" t="s">
        <v>174</v>
      </c>
      <c r="K2518">
        <v>0</v>
      </c>
      <c r="L2518" t="s">
        <v>705</v>
      </c>
      <c r="M2518" t="s">
        <v>6943</v>
      </c>
      <c r="N2518" t="s">
        <v>6944</v>
      </c>
      <c r="O2518" t="s">
        <v>6945</v>
      </c>
      <c r="P2518" t="s">
        <v>6946</v>
      </c>
    </row>
    <row r="2519" spans="1:16" x14ac:dyDescent="0.35">
      <c r="A2519" t="s">
        <v>99</v>
      </c>
      <c r="B2519">
        <v>1322845174</v>
      </c>
      <c r="C2519" t="s">
        <v>18</v>
      </c>
      <c r="D2519" t="s">
        <v>21</v>
      </c>
      <c r="E2519" s="29">
        <v>46208</v>
      </c>
      <c r="F2519" t="s">
        <v>6</v>
      </c>
      <c r="G2519" s="28">
        <v>0.66249999999999998</v>
      </c>
      <c r="H2519" s="28">
        <v>0.66249999999999998</v>
      </c>
      <c r="I2519">
        <v>0</v>
      </c>
      <c r="J2519" t="s">
        <v>174</v>
      </c>
      <c r="K2519">
        <v>0</v>
      </c>
      <c r="L2519" t="s">
        <v>245</v>
      </c>
      <c r="M2519" t="s">
        <v>6947</v>
      </c>
      <c r="N2519" t="s">
        <v>6948</v>
      </c>
      <c r="O2519" t="s">
        <v>6949</v>
      </c>
      <c r="P2519" t="s">
        <v>6950</v>
      </c>
    </row>
    <row r="2520" spans="1:16" x14ac:dyDescent="0.35">
      <c r="A2520" t="s">
        <v>99</v>
      </c>
      <c r="B2520">
        <v>1322845174</v>
      </c>
      <c r="C2520" t="s">
        <v>18</v>
      </c>
      <c r="D2520" t="s">
        <v>21</v>
      </c>
      <c r="E2520" s="29">
        <v>46208</v>
      </c>
      <c r="F2520" t="s">
        <v>6</v>
      </c>
      <c r="G2520" s="28">
        <v>0.6694444444444444</v>
      </c>
      <c r="H2520" s="28">
        <v>0.6694444444444444</v>
      </c>
      <c r="I2520">
        <v>0</v>
      </c>
      <c r="J2520" t="s">
        <v>174</v>
      </c>
      <c r="K2520">
        <v>0</v>
      </c>
      <c r="L2520" t="s">
        <v>6951</v>
      </c>
      <c r="M2520" t="s">
        <v>6952</v>
      </c>
      <c r="N2520" t="s">
        <v>6953</v>
      </c>
      <c r="O2520" t="s">
        <v>6954</v>
      </c>
      <c r="P2520" t="s">
        <v>6955</v>
      </c>
    </row>
    <row r="2521" spans="1:16" x14ac:dyDescent="0.35">
      <c r="A2521" t="s">
        <v>99</v>
      </c>
      <c r="B2521">
        <v>1322845174</v>
      </c>
      <c r="C2521" t="s">
        <v>18</v>
      </c>
      <c r="D2521" t="s">
        <v>21</v>
      </c>
      <c r="E2521" s="29">
        <v>46208</v>
      </c>
      <c r="F2521" t="s">
        <v>6</v>
      </c>
      <c r="G2521" s="28">
        <v>0.67569444444444449</v>
      </c>
      <c r="H2521" s="28">
        <v>0.67569444444444449</v>
      </c>
      <c r="I2521">
        <v>0</v>
      </c>
      <c r="J2521" t="s">
        <v>174</v>
      </c>
      <c r="K2521">
        <v>0</v>
      </c>
      <c r="L2521" t="s">
        <v>6956</v>
      </c>
      <c r="M2521" t="s">
        <v>6957</v>
      </c>
      <c r="N2521" t="s">
        <v>6958</v>
      </c>
      <c r="O2521" t="s">
        <v>6959</v>
      </c>
      <c r="P2521" t="s">
        <v>6960</v>
      </c>
    </row>
    <row r="2522" spans="1:16" x14ac:dyDescent="0.35">
      <c r="A2522" t="s">
        <v>99</v>
      </c>
      <c r="B2522">
        <v>1322845174</v>
      </c>
      <c r="C2522" t="s">
        <v>18</v>
      </c>
      <c r="D2522" t="s">
        <v>21</v>
      </c>
      <c r="E2522" s="29">
        <v>46208</v>
      </c>
      <c r="F2522" t="s">
        <v>6</v>
      </c>
      <c r="G2522" s="28">
        <v>0.68333333333333335</v>
      </c>
      <c r="H2522" s="28">
        <v>0.68333333333333335</v>
      </c>
      <c r="I2522">
        <v>0</v>
      </c>
      <c r="J2522" t="s">
        <v>174</v>
      </c>
      <c r="K2522">
        <v>0</v>
      </c>
      <c r="L2522" t="s">
        <v>638</v>
      </c>
      <c r="M2522" t="s">
        <v>6961</v>
      </c>
      <c r="N2522" t="s">
        <v>6962</v>
      </c>
      <c r="O2522" t="s">
        <v>6963</v>
      </c>
      <c r="P2522" t="s">
        <v>6964</v>
      </c>
    </row>
    <row r="2523" spans="1:16" x14ac:dyDescent="0.35">
      <c r="A2523" t="s">
        <v>99</v>
      </c>
      <c r="B2523">
        <v>1322845174</v>
      </c>
      <c r="C2523" t="s">
        <v>18</v>
      </c>
      <c r="D2523" t="s">
        <v>21</v>
      </c>
      <c r="E2523" s="29">
        <v>46208</v>
      </c>
      <c r="F2523" t="s">
        <v>6</v>
      </c>
      <c r="G2523" s="28">
        <v>0.69027777777777777</v>
      </c>
      <c r="H2523" s="28">
        <v>0.69027777777777777</v>
      </c>
      <c r="I2523">
        <v>0</v>
      </c>
      <c r="J2523" t="s">
        <v>174</v>
      </c>
      <c r="K2523">
        <v>0</v>
      </c>
      <c r="L2523" t="s">
        <v>6965</v>
      </c>
      <c r="M2523" t="s">
        <v>6966</v>
      </c>
      <c r="N2523" t="s">
        <v>6967</v>
      </c>
      <c r="O2523" t="s">
        <v>6968</v>
      </c>
      <c r="P2523" t="s">
        <v>6969</v>
      </c>
    </row>
    <row r="2524" spans="1:16" x14ac:dyDescent="0.35">
      <c r="A2524" t="s">
        <v>99</v>
      </c>
      <c r="B2524">
        <v>1322845174</v>
      </c>
      <c r="C2524" t="s">
        <v>18</v>
      </c>
      <c r="D2524" t="s">
        <v>21</v>
      </c>
      <c r="E2524" s="29">
        <v>46208</v>
      </c>
      <c r="F2524" t="s">
        <v>6</v>
      </c>
      <c r="G2524" s="28">
        <v>0.69722222222222219</v>
      </c>
      <c r="H2524" s="28">
        <v>0.69722222222222219</v>
      </c>
      <c r="I2524">
        <v>0</v>
      </c>
      <c r="J2524" t="s">
        <v>174</v>
      </c>
      <c r="K2524">
        <v>0</v>
      </c>
      <c r="L2524" t="s">
        <v>1236</v>
      </c>
      <c r="M2524" t="s">
        <v>6966</v>
      </c>
      <c r="N2524" t="s">
        <v>6970</v>
      </c>
      <c r="O2524" t="s">
        <v>6971</v>
      </c>
      <c r="P2524" t="s">
        <v>6972</v>
      </c>
    </row>
    <row r="2525" spans="1:16" x14ac:dyDescent="0.35">
      <c r="A2525" t="s">
        <v>99</v>
      </c>
      <c r="B2525">
        <v>1322845174</v>
      </c>
      <c r="C2525" t="s">
        <v>18</v>
      </c>
      <c r="D2525" t="s">
        <v>21</v>
      </c>
      <c r="E2525" s="29">
        <v>46208</v>
      </c>
      <c r="F2525" t="s">
        <v>6</v>
      </c>
      <c r="G2525" s="28">
        <v>0.70416666666666672</v>
      </c>
      <c r="H2525" s="28">
        <v>0.70416666666666672</v>
      </c>
      <c r="I2525">
        <v>0</v>
      </c>
      <c r="J2525" t="s">
        <v>174</v>
      </c>
      <c r="K2525">
        <v>0</v>
      </c>
      <c r="L2525" t="s">
        <v>1183</v>
      </c>
      <c r="M2525" t="s">
        <v>6973</v>
      </c>
      <c r="N2525" t="s">
        <v>6974</v>
      </c>
      <c r="O2525" t="s">
        <v>6975</v>
      </c>
      <c r="P2525" t="s">
        <v>6976</v>
      </c>
    </row>
    <row r="2526" spans="1:16" x14ac:dyDescent="0.35">
      <c r="A2526" t="s">
        <v>99</v>
      </c>
      <c r="B2526">
        <v>1322845174</v>
      </c>
      <c r="C2526" t="s">
        <v>18</v>
      </c>
      <c r="D2526" t="s">
        <v>21</v>
      </c>
      <c r="E2526" s="29">
        <v>46208</v>
      </c>
      <c r="F2526" t="s">
        <v>6</v>
      </c>
      <c r="G2526" s="28">
        <v>0.71111111111111114</v>
      </c>
      <c r="H2526" s="28">
        <v>0.71111111111111114</v>
      </c>
      <c r="I2526">
        <v>0</v>
      </c>
      <c r="J2526" t="s">
        <v>174</v>
      </c>
      <c r="K2526">
        <v>0</v>
      </c>
      <c r="L2526" t="s">
        <v>6977</v>
      </c>
      <c r="M2526" t="s">
        <v>6978</v>
      </c>
      <c r="N2526" t="s">
        <v>6979</v>
      </c>
      <c r="O2526" t="s">
        <v>6980</v>
      </c>
      <c r="P2526" t="s">
        <v>6981</v>
      </c>
    </row>
    <row r="2527" spans="1:16" x14ac:dyDescent="0.35">
      <c r="A2527" t="s">
        <v>99</v>
      </c>
      <c r="B2527">
        <v>1322845174</v>
      </c>
      <c r="C2527" t="s">
        <v>18</v>
      </c>
      <c r="D2527" t="s">
        <v>21</v>
      </c>
      <c r="E2527" s="29">
        <v>46208</v>
      </c>
      <c r="F2527" t="s">
        <v>6</v>
      </c>
      <c r="G2527" s="28">
        <v>0.71805555555555556</v>
      </c>
      <c r="H2527" s="28">
        <v>0.74583333333333335</v>
      </c>
      <c r="I2527">
        <v>1</v>
      </c>
      <c r="J2527" t="s">
        <v>146</v>
      </c>
      <c r="K2527">
        <v>2</v>
      </c>
      <c r="L2527" t="s">
        <v>147</v>
      </c>
      <c r="M2527" t="s">
        <v>6982</v>
      </c>
      <c r="N2527" t="s">
        <v>6983</v>
      </c>
      <c r="O2527" t="s">
        <v>6984</v>
      </c>
      <c r="P2527" t="s">
        <v>6985</v>
      </c>
    </row>
    <row r="2528" spans="1:16" x14ac:dyDescent="0.35">
      <c r="A2528" t="s">
        <v>99</v>
      </c>
      <c r="B2528">
        <v>1322845174</v>
      </c>
      <c r="C2528" t="s">
        <v>18</v>
      </c>
      <c r="D2528" t="s">
        <v>21</v>
      </c>
      <c r="E2528" s="29">
        <v>46208</v>
      </c>
      <c r="F2528" t="s">
        <v>6</v>
      </c>
      <c r="G2528" s="28">
        <v>0.75277777777777777</v>
      </c>
      <c r="H2528" s="28">
        <v>0.75277777777777777</v>
      </c>
      <c r="I2528">
        <v>0</v>
      </c>
      <c r="J2528" t="s">
        <v>174</v>
      </c>
      <c r="K2528">
        <v>0</v>
      </c>
      <c r="L2528" t="s">
        <v>657</v>
      </c>
      <c r="M2528" t="s">
        <v>6986</v>
      </c>
      <c r="N2528" t="s">
        <v>6987</v>
      </c>
      <c r="O2528" t="s">
        <v>6988</v>
      </c>
      <c r="P2528" t="s">
        <v>6989</v>
      </c>
    </row>
    <row r="2529" spans="1:16" x14ac:dyDescent="0.35">
      <c r="A2529" t="s">
        <v>99</v>
      </c>
      <c r="B2529">
        <v>1322845174</v>
      </c>
      <c r="C2529" t="s">
        <v>18</v>
      </c>
      <c r="D2529" t="s">
        <v>21</v>
      </c>
      <c r="E2529" s="29">
        <v>46208</v>
      </c>
      <c r="F2529" t="s">
        <v>6</v>
      </c>
      <c r="G2529" s="28">
        <v>0.75902777777777775</v>
      </c>
      <c r="H2529" s="28">
        <v>0.75902777777777775</v>
      </c>
      <c r="I2529">
        <v>0</v>
      </c>
      <c r="J2529" t="s">
        <v>174</v>
      </c>
      <c r="K2529">
        <v>0</v>
      </c>
      <c r="L2529" t="s">
        <v>1515</v>
      </c>
      <c r="M2529" t="s">
        <v>6986</v>
      </c>
      <c r="N2529" t="s">
        <v>6990</v>
      </c>
      <c r="O2529" t="s">
        <v>6991</v>
      </c>
      <c r="P2529" t="s">
        <v>6992</v>
      </c>
    </row>
    <row r="2530" spans="1:16" x14ac:dyDescent="0.35">
      <c r="A2530" t="s">
        <v>99</v>
      </c>
      <c r="B2530">
        <v>1322845174</v>
      </c>
      <c r="C2530" t="s">
        <v>18</v>
      </c>
      <c r="D2530" t="s">
        <v>21</v>
      </c>
      <c r="E2530" s="29">
        <v>46208</v>
      </c>
      <c r="F2530" t="s">
        <v>6</v>
      </c>
      <c r="G2530" s="28">
        <v>0.76597222222222228</v>
      </c>
      <c r="H2530" s="28">
        <v>0.76597222222222228</v>
      </c>
      <c r="I2530">
        <v>0</v>
      </c>
      <c r="J2530" t="s">
        <v>174</v>
      </c>
      <c r="K2530">
        <v>0</v>
      </c>
      <c r="L2530" t="s">
        <v>3815</v>
      </c>
      <c r="M2530" t="s">
        <v>6993</v>
      </c>
      <c r="N2530" t="s">
        <v>6994</v>
      </c>
      <c r="O2530" t="s">
        <v>6995</v>
      </c>
      <c r="P2530" t="s">
        <v>6996</v>
      </c>
    </row>
    <row r="2531" spans="1:16" x14ac:dyDescent="0.35">
      <c r="A2531" t="s">
        <v>99</v>
      </c>
      <c r="B2531">
        <v>1322845174</v>
      </c>
      <c r="C2531" t="s">
        <v>18</v>
      </c>
      <c r="D2531" t="s">
        <v>21</v>
      </c>
      <c r="E2531" s="29">
        <v>46208</v>
      </c>
      <c r="F2531" t="s">
        <v>6</v>
      </c>
      <c r="G2531" s="28">
        <v>0.7729166666666667</v>
      </c>
      <c r="H2531" s="28">
        <v>0.7729166666666667</v>
      </c>
      <c r="I2531">
        <v>0</v>
      </c>
      <c r="J2531" t="s">
        <v>174</v>
      </c>
      <c r="K2531">
        <v>0</v>
      </c>
      <c r="L2531" t="s">
        <v>4949</v>
      </c>
      <c r="M2531" t="s">
        <v>6997</v>
      </c>
      <c r="N2531" t="s">
        <v>6998</v>
      </c>
      <c r="O2531" t="s">
        <v>6999</v>
      </c>
      <c r="P2531" t="s">
        <v>7000</v>
      </c>
    </row>
    <row r="2532" spans="1:16" x14ac:dyDescent="0.35">
      <c r="A2532" t="s">
        <v>99</v>
      </c>
      <c r="B2532">
        <v>1322845174</v>
      </c>
      <c r="C2532" t="s">
        <v>18</v>
      </c>
      <c r="D2532" t="s">
        <v>21</v>
      </c>
      <c r="E2532" s="29">
        <v>46208</v>
      </c>
      <c r="F2532" t="s">
        <v>6</v>
      </c>
      <c r="G2532" s="28">
        <v>0.78055555555555556</v>
      </c>
      <c r="H2532" s="28">
        <v>0.78749999999999998</v>
      </c>
      <c r="I2532">
        <v>0</v>
      </c>
      <c r="J2532" t="s">
        <v>146</v>
      </c>
      <c r="K2532">
        <v>0</v>
      </c>
      <c r="L2532" t="s">
        <v>147</v>
      </c>
      <c r="M2532" t="s">
        <v>6966</v>
      </c>
      <c r="N2532" t="s">
        <v>6970</v>
      </c>
      <c r="O2532" t="s">
        <v>6971</v>
      </c>
      <c r="P2532" t="s">
        <v>6972</v>
      </c>
    </row>
    <row r="2533" spans="1:16" x14ac:dyDescent="0.35">
      <c r="A2533" t="s">
        <v>105</v>
      </c>
      <c r="B2533">
        <v>1324725625</v>
      </c>
      <c r="C2533" t="s">
        <v>18</v>
      </c>
      <c r="D2533" t="s">
        <v>20</v>
      </c>
      <c r="E2533" s="29">
        <v>46204</v>
      </c>
      <c r="F2533" t="s">
        <v>3</v>
      </c>
      <c r="G2533" s="28">
        <v>0.38750000000000001</v>
      </c>
      <c r="H2533" s="28">
        <v>0.39444444444444443</v>
      </c>
      <c r="I2533">
        <v>0</v>
      </c>
      <c r="J2533" t="s">
        <v>146</v>
      </c>
      <c r="K2533">
        <v>0</v>
      </c>
      <c r="L2533" t="s">
        <v>147</v>
      </c>
      <c r="M2533" t="s">
        <v>7001</v>
      </c>
      <c r="N2533" t="s">
        <v>7002</v>
      </c>
      <c r="O2533" t="s">
        <v>7003</v>
      </c>
      <c r="P2533" t="s">
        <v>7004</v>
      </c>
    </row>
    <row r="2534" spans="1:16" x14ac:dyDescent="0.35">
      <c r="A2534" t="s">
        <v>105</v>
      </c>
      <c r="B2534">
        <v>1324725625</v>
      </c>
      <c r="C2534" t="s">
        <v>18</v>
      </c>
      <c r="D2534" t="s">
        <v>20</v>
      </c>
      <c r="E2534" s="29">
        <v>46204</v>
      </c>
      <c r="F2534" t="s">
        <v>3</v>
      </c>
      <c r="G2534" s="28">
        <v>0.40138888888888891</v>
      </c>
      <c r="H2534" s="28">
        <v>0.40833333333333333</v>
      </c>
      <c r="I2534">
        <v>0</v>
      </c>
      <c r="J2534" t="s">
        <v>146</v>
      </c>
      <c r="K2534">
        <v>0</v>
      </c>
      <c r="L2534" t="s">
        <v>147</v>
      </c>
      <c r="M2534" t="s">
        <v>7005</v>
      </c>
      <c r="N2534" t="s">
        <v>7006</v>
      </c>
      <c r="O2534" t="s">
        <v>7007</v>
      </c>
      <c r="P2534" t="s">
        <v>7008</v>
      </c>
    </row>
    <row r="2535" spans="1:16" x14ac:dyDescent="0.35">
      <c r="A2535" t="s">
        <v>105</v>
      </c>
      <c r="B2535">
        <v>1324725625</v>
      </c>
      <c r="C2535" t="s">
        <v>18</v>
      </c>
      <c r="D2535" t="s">
        <v>20</v>
      </c>
      <c r="E2535" s="29">
        <v>46204</v>
      </c>
      <c r="F2535" t="s">
        <v>3</v>
      </c>
      <c r="G2535" s="28">
        <v>0.4152777777777778</v>
      </c>
      <c r="H2535" s="28">
        <v>0.4152777777777778</v>
      </c>
      <c r="I2535">
        <v>0</v>
      </c>
      <c r="J2535" t="s">
        <v>174</v>
      </c>
      <c r="K2535">
        <v>0</v>
      </c>
      <c r="L2535" t="s">
        <v>7009</v>
      </c>
      <c r="M2535" t="s">
        <v>7001</v>
      </c>
      <c r="N2535" t="s">
        <v>7002</v>
      </c>
      <c r="O2535" t="s">
        <v>7003</v>
      </c>
      <c r="P2535" t="s">
        <v>7004</v>
      </c>
    </row>
    <row r="2536" spans="1:16" x14ac:dyDescent="0.35">
      <c r="A2536" t="s">
        <v>105</v>
      </c>
      <c r="B2536">
        <v>1324725625</v>
      </c>
      <c r="C2536" t="s">
        <v>18</v>
      </c>
      <c r="D2536" t="s">
        <v>20</v>
      </c>
      <c r="E2536" s="29">
        <v>46204</v>
      </c>
      <c r="F2536" t="s">
        <v>3</v>
      </c>
      <c r="G2536" s="28">
        <v>0.42152777777777778</v>
      </c>
      <c r="H2536" s="28">
        <v>0.42152777777777778</v>
      </c>
      <c r="I2536">
        <v>0</v>
      </c>
      <c r="J2536" t="s">
        <v>174</v>
      </c>
      <c r="K2536">
        <v>0</v>
      </c>
      <c r="L2536" t="s">
        <v>7010</v>
      </c>
      <c r="M2536" t="s">
        <v>7011</v>
      </c>
      <c r="N2536" t="s">
        <v>7012</v>
      </c>
      <c r="O2536" t="s">
        <v>7007</v>
      </c>
      <c r="P2536" t="s">
        <v>7013</v>
      </c>
    </row>
    <row r="2537" spans="1:16" x14ac:dyDescent="0.35">
      <c r="A2537" t="s">
        <v>105</v>
      </c>
      <c r="B2537">
        <v>1324725625</v>
      </c>
      <c r="C2537" t="s">
        <v>18</v>
      </c>
      <c r="D2537" t="s">
        <v>20</v>
      </c>
      <c r="E2537" s="29">
        <v>46204</v>
      </c>
      <c r="F2537" t="s">
        <v>3</v>
      </c>
      <c r="G2537" s="28">
        <v>0.42916666666666664</v>
      </c>
      <c r="H2537" s="28">
        <v>0.45</v>
      </c>
      <c r="I2537">
        <v>1</v>
      </c>
      <c r="J2537" t="s">
        <v>146</v>
      </c>
      <c r="K2537">
        <v>2</v>
      </c>
      <c r="L2537" t="s">
        <v>147</v>
      </c>
      <c r="M2537" t="s">
        <v>7005</v>
      </c>
      <c r="N2537" t="s">
        <v>7006</v>
      </c>
      <c r="O2537" t="s">
        <v>7007</v>
      </c>
      <c r="P2537" t="s">
        <v>7008</v>
      </c>
    </row>
    <row r="2538" spans="1:16" x14ac:dyDescent="0.35">
      <c r="A2538" t="s">
        <v>105</v>
      </c>
      <c r="B2538">
        <v>1324725625</v>
      </c>
      <c r="C2538" t="s">
        <v>18</v>
      </c>
      <c r="D2538" t="s">
        <v>20</v>
      </c>
      <c r="E2538" s="29">
        <v>46204</v>
      </c>
      <c r="F2538" t="s">
        <v>3</v>
      </c>
      <c r="G2538" s="28">
        <v>0.45694444444444443</v>
      </c>
      <c r="H2538" s="28">
        <v>0.45694444444444443</v>
      </c>
      <c r="I2538">
        <v>0</v>
      </c>
      <c r="J2538" t="s">
        <v>174</v>
      </c>
      <c r="K2538">
        <v>0</v>
      </c>
      <c r="L2538" t="s">
        <v>7009</v>
      </c>
      <c r="M2538" t="s">
        <v>7001</v>
      </c>
      <c r="N2538" t="s">
        <v>7002</v>
      </c>
      <c r="O2538" t="s">
        <v>7003</v>
      </c>
      <c r="P2538" t="s">
        <v>7004</v>
      </c>
    </row>
    <row r="2539" spans="1:16" x14ac:dyDescent="0.35">
      <c r="A2539" t="s">
        <v>105</v>
      </c>
      <c r="B2539">
        <v>1324725625</v>
      </c>
      <c r="C2539" t="s">
        <v>18</v>
      </c>
      <c r="D2539" t="s">
        <v>20</v>
      </c>
      <c r="E2539" s="29">
        <v>46204</v>
      </c>
      <c r="F2539" t="s">
        <v>3</v>
      </c>
      <c r="G2539" s="28">
        <v>0.46458333333333335</v>
      </c>
      <c r="H2539" s="28">
        <v>0.46597222222222223</v>
      </c>
      <c r="I2539">
        <v>0</v>
      </c>
      <c r="J2539" t="s">
        <v>146</v>
      </c>
      <c r="K2539">
        <v>0</v>
      </c>
      <c r="L2539" t="s">
        <v>147</v>
      </c>
      <c r="M2539" t="s">
        <v>7011</v>
      </c>
      <c r="N2539" t="s">
        <v>7012</v>
      </c>
      <c r="O2539" t="s">
        <v>7007</v>
      </c>
      <c r="P2539" t="s">
        <v>7013</v>
      </c>
    </row>
    <row r="2540" spans="1:16" x14ac:dyDescent="0.35">
      <c r="A2540" t="s">
        <v>105</v>
      </c>
      <c r="B2540">
        <v>1324725625</v>
      </c>
      <c r="C2540" t="s">
        <v>18</v>
      </c>
      <c r="D2540" t="s">
        <v>20</v>
      </c>
      <c r="E2540" s="29">
        <v>46204</v>
      </c>
      <c r="F2540" t="s">
        <v>3</v>
      </c>
      <c r="G2540" s="28">
        <v>0.4777777777777778</v>
      </c>
      <c r="H2540" s="28">
        <v>0.48472222222222222</v>
      </c>
      <c r="I2540">
        <v>0</v>
      </c>
      <c r="J2540" t="s">
        <v>146</v>
      </c>
      <c r="K2540">
        <v>0</v>
      </c>
      <c r="L2540" t="s">
        <v>147</v>
      </c>
      <c r="M2540" t="s">
        <v>7001</v>
      </c>
      <c r="N2540" t="s">
        <v>7002</v>
      </c>
      <c r="O2540" t="s">
        <v>7003</v>
      </c>
      <c r="P2540" t="s">
        <v>7004</v>
      </c>
    </row>
    <row r="2541" spans="1:16" x14ac:dyDescent="0.35">
      <c r="A2541" t="s">
        <v>105</v>
      </c>
      <c r="B2541">
        <v>1324725625</v>
      </c>
      <c r="C2541" t="s">
        <v>18</v>
      </c>
      <c r="D2541" t="s">
        <v>20</v>
      </c>
      <c r="E2541" s="29">
        <v>46204</v>
      </c>
      <c r="F2541" t="s">
        <v>3</v>
      </c>
      <c r="G2541" s="28">
        <v>0.49166666666666664</v>
      </c>
      <c r="H2541" s="28">
        <v>0.49861111111111112</v>
      </c>
      <c r="I2541">
        <v>0</v>
      </c>
      <c r="J2541" t="s">
        <v>146</v>
      </c>
      <c r="K2541">
        <v>1</v>
      </c>
      <c r="L2541" t="s">
        <v>147</v>
      </c>
      <c r="M2541" t="s">
        <v>7014</v>
      </c>
      <c r="N2541" t="s">
        <v>7006</v>
      </c>
      <c r="O2541" t="s">
        <v>7007</v>
      </c>
      <c r="P2541" t="s">
        <v>7008</v>
      </c>
    </row>
    <row r="2542" spans="1:16" x14ac:dyDescent="0.35">
      <c r="A2542" t="s">
        <v>105</v>
      </c>
      <c r="B2542">
        <v>1324725625</v>
      </c>
      <c r="C2542" t="s">
        <v>18</v>
      </c>
      <c r="D2542" t="s">
        <v>20</v>
      </c>
      <c r="E2542" s="29">
        <v>46204</v>
      </c>
      <c r="F2542" t="s">
        <v>3</v>
      </c>
      <c r="G2542" s="28">
        <v>0.50555555555555554</v>
      </c>
      <c r="H2542" s="28">
        <v>0.50555555555555554</v>
      </c>
      <c r="I2542">
        <v>0</v>
      </c>
      <c r="J2542" t="s">
        <v>174</v>
      </c>
      <c r="K2542">
        <v>0</v>
      </c>
      <c r="L2542" t="s">
        <v>7015</v>
      </c>
      <c r="M2542" t="s">
        <v>7016</v>
      </c>
      <c r="N2542" t="s">
        <v>7017</v>
      </c>
      <c r="O2542" t="s">
        <v>7018</v>
      </c>
      <c r="P2542" t="s">
        <v>7019</v>
      </c>
    </row>
    <row r="2543" spans="1:16" x14ac:dyDescent="0.35">
      <c r="A2543" t="s">
        <v>105</v>
      </c>
      <c r="B2543">
        <v>1324725625</v>
      </c>
      <c r="C2543" t="s">
        <v>18</v>
      </c>
      <c r="D2543" t="s">
        <v>20</v>
      </c>
      <c r="E2543" s="29">
        <v>46204</v>
      </c>
      <c r="F2543" t="s">
        <v>3</v>
      </c>
      <c r="G2543" s="28">
        <v>0.51249999999999996</v>
      </c>
      <c r="H2543" s="28">
        <v>0.51944444444444449</v>
      </c>
      <c r="I2543">
        <v>0</v>
      </c>
      <c r="J2543" t="s">
        <v>146</v>
      </c>
      <c r="K2543">
        <v>1</v>
      </c>
      <c r="L2543" t="s">
        <v>147</v>
      </c>
      <c r="M2543" t="s">
        <v>7005</v>
      </c>
      <c r="N2543" t="s">
        <v>7006</v>
      </c>
      <c r="O2543" t="s">
        <v>7007</v>
      </c>
      <c r="P2543" t="s">
        <v>7008</v>
      </c>
    </row>
    <row r="2544" spans="1:16" x14ac:dyDescent="0.35">
      <c r="A2544" t="s">
        <v>105</v>
      </c>
      <c r="B2544">
        <v>1324725625</v>
      </c>
      <c r="C2544" t="s">
        <v>18</v>
      </c>
      <c r="D2544" t="s">
        <v>20</v>
      </c>
      <c r="E2544" s="29">
        <v>46204</v>
      </c>
      <c r="F2544" t="s">
        <v>3</v>
      </c>
      <c r="G2544" s="28">
        <v>0.52638888888888891</v>
      </c>
      <c r="H2544" s="28">
        <v>0.52638888888888891</v>
      </c>
      <c r="I2544">
        <v>0</v>
      </c>
      <c r="J2544" t="s">
        <v>174</v>
      </c>
      <c r="K2544">
        <v>0</v>
      </c>
      <c r="L2544" t="s">
        <v>2593</v>
      </c>
      <c r="M2544" t="s">
        <v>7020</v>
      </c>
      <c r="N2544" t="s">
        <v>7021</v>
      </c>
      <c r="O2544" t="s">
        <v>7022</v>
      </c>
      <c r="P2544" t="s">
        <v>7023</v>
      </c>
    </row>
    <row r="2545" spans="1:16" x14ac:dyDescent="0.35">
      <c r="A2545" t="s">
        <v>105</v>
      </c>
      <c r="B2545">
        <v>1324725625</v>
      </c>
      <c r="C2545" t="s">
        <v>18</v>
      </c>
      <c r="D2545" t="s">
        <v>20</v>
      </c>
      <c r="E2545" s="29">
        <v>46204</v>
      </c>
      <c r="F2545" t="s">
        <v>3</v>
      </c>
      <c r="G2545" s="28">
        <v>0.53333333333333333</v>
      </c>
      <c r="H2545" s="28">
        <v>0.53333333333333333</v>
      </c>
      <c r="I2545">
        <v>0</v>
      </c>
      <c r="J2545" t="s">
        <v>174</v>
      </c>
      <c r="K2545">
        <v>0</v>
      </c>
      <c r="L2545" t="s">
        <v>359</v>
      </c>
      <c r="M2545" t="s">
        <v>7014</v>
      </c>
      <c r="N2545" t="s">
        <v>7006</v>
      </c>
      <c r="O2545" t="s">
        <v>7007</v>
      </c>
      <c r="P2545" t="s">
        <v>7008</v>
      </c>
    </row>
    <row r="2546" spans="1:16" x14ac:dyDescent="0.35">
      <c r="A2546" t="s">
        <v>105</v>
      </c>
      <c r="B2546">
        <v>1324725625</v>
      </c>
      <c r="C2546" t="s">
        <v>18</v>
      </c>
      <c r="D2546" t="s">
        <v>20</v>
      </c>
      <c r="E2546" s="29">
        <v>46204</v>
      </c>
      <c r="F2546" t="s">
        <v>3</v>
      </c>
      <c r="G2546" s="28">
        <v>0.54027777777777775</v>
      </c>
      <c r="H2546" s="28">
        <v>0.5541666666666667</v>
      </c>
      <c r="I2546">
        <v>0</v>
      </c>
      <c r="J2546" t="s">
        <v>146</v>
      </c>
      <c r="K2546">
        <v>1</v>
      </c>
      <c r="L2546" t="s">
        <v>147</v>
      </c>
      <c r="M2546" t="s">
        <v>7001</v>
      </c>
      <c r="N2546" t="s">
        <v>7002</v>
      </c>
      <c r="O2546" t="s">
        <v>7003</v>
      </c>
      <c r="P2546" t="s">
        <v>7004</v>
      </c>
    </row>
    <row r="2547" spans="1:16" x14ac:dyDescent="0.35">
      <c r="A2547" t="s">
        <v>105</v>
      </c>
      <c r="B2547">
        <v>1324725625</v>
      </c>
      <c r="C2547" t="s">
        <v>18</v>
      </c>
      <c r="D2547" t="s">
        <v>20</v>
      </c>
      <c r="E2547" s="29">
        <v>46204</v>
      </c>
      <c r="F2547" t="s">
        <v>3</v>
      </c>
      <c r="G2547" s="28">
        <v>0.56111111111111112</v>
      </c>
      <c r="H2547" s="28">
        <v>0.56805555555555554</v>
      </c>
      <c r="I2547">
        <v>0</v>
      </c>
      <c r="J2547" t="s">
        <v>146</v>
      </c>
      <c r="K2547">
        <v>0</v>
      </c>
      <c r="L2547" t="s">
        <v>147</v>
      </c>
      <c r="M2547" t="s">
        <v>7020</v>
      </c>
      <c r="N2547" t="s">
        <v>7021</v>
      </c>
      <c r="O2547" t="s">
        <v>7022</v>
      </c>
      <c r="P2547" t="s">
        <v>7023</v>
      </c>
    </row>
    <row r="2548" spans="1:16" x14ac:dyDescent="0.35">
      <c r="A2548" t="s">
        <v>105</v>
      </c>
      <c r="B2548">
        <v>1324725625</v>
      </c>
      <c r="C2548" t="s">
        <v>18</v>
      </c>
      <c r="D2548" t="s">
        <v>20</v>
      </c>
      <c r="E2548" s="29">
        <v>46204</v>
      </c>
      <c r="F2548" t="s">
        <v>3</v>
      </c>
      <c r="G2548" s="28">
        <v>0.57499999999999996</v>
      </c>
      <c r="H2548" s="28">
        <v>0.58194444444444449</v>
      </c>
      <c r="I2548">
        <v>0</v>
      </c>
      <c r="J2548" t="s">
        <v>146</v>
      </c>
      <c r="K2548">
        <v>1</v>
      </c>
      <c r="L2548" t="s">
        <v>147</v>
      </c>
      <c r="M2548" t="s">
        <v>7014</v>
      </c>
      <c r="N2548" t="s">
        <v>7006</v>
      </c>
      <c r="O2548" t="s">
        <v>7007</v>
      </c>
      <c r="P2548" t="s">
        <v>7008</v>
      </c>
    </row>
    <row r="2549" spans="1:16" x14ac:dyDescent="0.35">
      <c r="A2549" t="s">
        <v>105</v>
      </c>
      <c r="B2549">
        <v>1324725625</v>
      </c>
      <c r="C2549" t="s">
        <v>18</v>
      </c>
      <c r="D2549" t="s">
        <v>20</v>
      </c>
      <c r="E2549" s="29">
        <v>46204</v>
      </c>
      <c r="F2549" t="s">
        <v>3</v>
      </c>
      <c r="G2549" s="28">
        <v>0.58958333333333335</v>
      </c>
      <c r="H2549" s="28">
        <v>0.58958333333333335</v>
      </c>
      <c r="I2549">
        <v>0</v>
      </c>
      <c r="J2549" t="s">
        <v>174</v>
      </c>
      <c r="K2549">
        <v>0</v>
      </c>
      <c r="L2549" t="s">
        <v>7024</v>
      </c>
      <c r="M2549" t="s">
        <v>7025</v>
      </c>
      <c r="N2549" t="s">
        <v>7026</v>
      </c>
      <c r="O2549" t="s">
        <v>7027</v>
      </c>
      <c r="P2549" t="s">
        <v>7028</v>
      </c>
    </row>
    <row r="2550" spans="1:16" x14ac:dyDescent="0.35">
      <c r="A2550" t="s">
        <v>105</v>
      </c>
      <c r="B2550">
        <v>1324725625</v>
      </c>
      <c r="C2550" t="s">
        <v>18</v>
      </c>
      <c r="D2550" t="s">
        <v>20</v>
      </c>
      <c r="E2550" s="29">
        <v>46204</v>
      </c>
      <c r="F2550" t="s">
        <v>3</v>
      </c>
      <c r="G2550" s="28">
        <v>0.59583333333333333</v>
      </c>
      <c r="H2550" s="28">
        <v>0.62361111111111112</v>
      </c>
      <c r="I2550">
        <v>1</v>
      </c>
      <c r="J2550" t="s">
        <v>146</v>
      </c>
      <c r="K2550">
        <v>2</v>
      </c>
      <c r="L2550" t="s">
        <v>147</v>
      </c>
      <c r="M2550" t="s">
        <v>7029</v>
      </c>
      <c r="N2550" t="s">
        <v>7030</v>
      </c>
      <c r="O2550" t="s">
        <v>7031</v>
      </c>
      <c r="P2550" t="s">
        <v>7032</v>
      </c>
    </row>
    <row r="2551" spans="1:16" x14ac:dyDescent="0.35">
      <c r="A2551" t="s">
        <v>105</v>
      </c>
      <c r="B2551">
        <v>1324725625</v>
      </c>
      <c r="C2551" t="s">
        <v>18</v>
      </c>
      <c r="D2551" t="s">
        <v>20</v>
      </c>
      <c r="E2551" s="29">
        <v>46204</v>
      </c>
      <c r="F2551" t="s">
        <v>3</v>
      </c>
      <c r="G2551" s="28">
        <v>0.63055555555555554</v>
      </c>
      <c r="H2551" s="28">
        <v>0.63749999999999996</v>
      </c>
      <c r="I2551">
        <v>0</v>
      </c>
      <c r="J2551" t="s">
        <v>146</v>
      </c>
      <c r="K2551">
        <v>0</v>
      </c>
      <c r="L2551" t="s">
        <v>147</v>
      </c>
      <c r="M2551" t="s">
        <v>7005</v>
      </c>
      <c r="N2551" t="s">
        <v>7006</v>
      </c>
      <c r="O2551" t="s">
        <v>7007</v>
      </c>
      <c r="P2551" t="s">
        <v>7008</v>
      </c>
    </row>
    <row r="2552" spans="1:16" x14ac:dyDescent="0.35">
      <c r="A2552" t="s">
        <v>105</v>
      </c>
      <c r="B2552">
        <v>1324725625</v>
      </c>
      <c r="C2552" t="s">
        <v>18</v>
      </c>
      <c r="D2552" t="s">
        <v>20</v>
      </c>
      <c r="E2552" s="29">
        <v>46204</v>
      </c>
      <c r="F2552" t="s">
        <v>3</v>
      </c>
      <c r="G2552" s="28">
        <v>0.64513888888888893</v>
      </c>
      <c r="H2552" s="28">
        <v>0.64513888888888893</v>
      </c>
      <c r="I2552">
        <v>0</v>
      </c>
      <c r="J2552" t="s">
        <v>174</v>
      </c>
      <c r="K2552">
        <v>0</v>
      </c>
      <c r="L2552" t="s">
        <v>7033</v>
      </c>
      <c r="M2552" t="s">
        <v>7016</v>
      </c>
      <c r="N2552" t="s">
        <v>7017</v>
      </c>
      <c r="O2552" t="s">
        <v>7018</v>
      </c>
      <c r="P2552" t="s">
        <v>7019</v>
      </c>
    </row>
    <row r="2553" spans="1:16" x14ac:dyDescent="0.35">
      <c r="A2553" t="s">
        <v>105</v>
      </c>
      <c r="B2553">
        <v>1324725625</v>
      </c>
      <c r="C2553" t="s">
        <v>18</v>
      </c>
      <c r="D2553" t="s">
        <v>20</v>
      </c>
      <c r="E2553" s="29">
        <v>46204</v>
      </c>
      <c r="F2553" t="s">
        <v>3</v>
      </c>
      <c r="G2553" s="28">
        <v>0.65138888888888891</v>
      </c>
      <c r="H2553" s="28">
        <v>0.6791666666666667</v>
      </c>
      <c r="I2553">
        <v>1</v>
      </c>
      <c r="J2553" t="s">
        <v>146</v>
      </c>
      <c r="K2553">
        <v>2</v>
      </c>
      <c r="L2553" t="s">
        <v>147</v>
      </c>
      <c r="M2553" t="s">
        <v>7001</v>
      </c>
      <c r="N2553" t="s">
        <v>7002</v>
      </c>
      <c r="O2553" t="s">
        <v>7003</v>
      </c>
      <c r="P2553" t="s">
        <v>7004</v>
      </c>
    </row>
    <row r="2554" spans="1:16" x14ac:dyDescent="0.35">
      <c r="A2554" t="s">
        <v>105</v>
      </c>
      <c r="B2554">
        <v>1324725625</v>
      </c>
      <c r="C2554" t="s">
        <v>18</v>
      </c>
      <c r="D2554" t="s">
        <v>20</v>
      </c>
      <c r="E2554" s="29">
        <v>46204</v>
      </c>
      <c r="F2554" t="s">
        <v>3</v>
      </c>
      <c r="G2554" s="28">
        <v>0.68680555555555556</v>
      </c>
      <c r="H2554" s="28">
        <v>0.68680555555555556</v>
      </c>
      <c r="I2554">
        <v>0</v>
      </c>
      <c r="J2554" t="s">
        <v>174</v>
      </c>
      <c r="K2554">
        <v>0</v>
      </c>
      <c r="L2554" t="s">
        <v>7015</v>
      </c>
      <c r="M2554" t="s">
        <v>7016</v>
      </c>
      <c r="N2554" t="s">
        <v>7017</v>
      </c>
      <c r="O2554" t="s">
        <v>7018</v>
      </c>
      <c r="P2554" t="s">
        <v>7019</v>
      </c>
    </row>
    <row r="2555" spans="1:16" x14ac:dyDescent="0.35">
      <c r="A2555" t="s">
        <v>105</v>
      </c>
      <c r="B2555">
        <v>1324725625</v>
      </c>
      <c r="C2555" t="s">
        <v>18</v>
      </c>
      <c r="D2555" t="s">
        <v>20</v>
      </c>
      <c r="E2555" s="29">
        <v>46204</v>
      </c>
      <c r="F2555" t="s">
        <v>3</v>
      </c>
      <c r="G2555" s="28">
        <v>0.69305555555555554</v>
      </c>
      <c r="H2555" s="28">
        <v>0.69305555555555554</v>
      </c>
      <c r="I2555">
        <v>0</v>
      </c>
      <c r="J2555" t="s">
        <v>174</v>
      </c>
      <c r="K2555">
        <v>0</v>
      </c>
      <c r="L2555" t="s">
        <v>7010</v>
      </c>
      <c r="M2555" t="s">
        <v>7014</v>
      </c>
      <c r="N2555" t="s">
        <v>7006</v>
      </c>
      <c r="O2555" t="s">
        <v>7007</v>
      </c>
      <c r="P2555" t="s">
        <v>7008</v>
      </c>
    </row>
    <row r="2556" spans="1:16" x14ac:dyDescent="0.35">
      <c r="A2556" t="s">
        <v>105</v>
      </c>
      <c r="B2556">
        <v>1324725625</v>
      </c>
      <c r="C2556" t="s">
        <v>18</v>
      </c>
      <c r="D2556" t="s">
        <v>20</v>
      </c>
      <c r="E2556" s="29">
        <v>46204</v>
      </c>
      <c r="F2556" t="s">
        <v>3</v>
      </c>
      <c r="G2556" s="28">
        <v>0.69930555555555551</v>
      </c>
      <c r="H2556" s="28">
        <v>0.69930555555555551</v>
      </c>
      <c r="I2556">
        <v>0</v>
      </c>
      <c r="J2556" t="s">
        <v>174</v>
      </c>
      <c r="K2556">
        <v>0</v>
      </c>
      <c r="L2556" t="s">
        <v>7009</v>
      </c>
      <c r="M2556" t="s">
        <v>7011</v>
      </c>
      <c r="N2556" t="s">
        <v>7012</v>
      </c>
      <c r="O2556" t="s">
        <v>7007</v>
      </c>
      <c r="P2556" t="s">
        <v>7013</v>
      </c>
    </row>
    <row r="2557" spans="1:16" x14ac:dyDescent="0.35">
      <c r="A2557" t="s">
        <v>105</v>
      </c>
      <c r="B2557">
        <v>1324725625</v>
      </c>
      <c r="C2557" t="s">
        <v>18</v>
      </c>
      <c r="D2557" t="s">
        <v>20</v>
      </c>
      <c r="E2557" s="29">
        <v>46204</v>
      </c>
      <c r="F2557" t="s">
        <v>3</v>
      </c>
      <c r="G2557" s="28">
        <v>0.70694444444444449</v>
      </c>
      <c r="H2557" s="28">
        <v>0.74861111111111112</v>
      </c>
      <c r="I2557">
        <v>1</v>
      </c>
      <c r="J2557" t="s">
        <v>146</v>
      </c>
      <c r="K2557">
        <v>3</v>
      </c>
      <c r="L2557" t="s">
        <v>147</v>
      </c>
      <c r="M2557" t="s">
        <v>7001</v>
      </c>
      <c r="N2557" t="s">
        <v>7002</v>
      </c>
      <c r="O2557" t="s">
        <v>7003</v>
      </c>
      <c r="P2557" t="s">
        <v>7004</v>
      </c>
    </row>
    <row r="2558" spans="1:16" x14ac:dyDescent="0.35">
      <c r="A2558" t="s">
        <v>105</v>
      </c>
      <c r="B2558">
        <v>1324725625</v>
      </c>
      <c r="C2558" t="s">
        <v>18</v>
      </c>
      <c r="D2558" t="s">
        <v>20</v>
      </c>
      <c r="E2558" s="29">
        <v>46204</v>
      </c>
      <c r="F2558" t="s">
        <v>3</v>
      </c>
      <c r="G2558" s="28">
        <v>0.75555555555555554</v>
      </c>
      <c r="H2558" s="28">
        <v>0.77638888888888891</v>
      </c>
      <c r="I2558">
        <v>1</v>
      </c>
      <c r="J2558" t="s">
        <v>146</v>
      </c>
      <c r="K2558">
        <v>2</v>
      </c>
      <c r="L2558" t="s">
        <v>147</v>
      </c>
      <c r="M2558" t="s">
        <v>7005</v>
      </c>
      <c r="N2558" t="s">
        <v>7006</v>
      </c>
      <c r="O2558" t="s">
        <v>7007</v>
      </c>
      <c r="P2558" t="s">
        <v>7008</v>
      </c>
    </row>
    <row r="2559" spans="1:16" x14ac:dyDescent="0.35">
      <c r="A2559" t="s">
        <v>105</v>
      </c>
      <c r="B2559">
        <v>1324725625</v>
      </c>
      <c r="C2559" t="s">
        <v>18</v>
      </c>
      <c r="D2559" t="s">
        <v>20</v>
      </c>
      <c r="E2559" s="29">
        <v>46204</v>
      </c>
      <c r="F2559" t="s">
        <v>3</v>
      </c>
      <c r="G2559" s="28">
        <v>0.78333333333333333</v>
      </c>
      <c r="H2559" s="28">
        <v>0.79027777777777775</v>
      </c>
      <c r="I2559">
        <v>0</v>
      </c>
      <c r="J2559" t="s">
        <v>146</v>
      </c>
      <c r="K2559">
        <v>0</v>
      </c>
      <c r="L2559" t="s">
        <v>147</v>
      </c>
      <c r="M2559" t="s">
        <v>7001</v>
      </c>
      <c r="N2559" t="s">
        <v>7002</v>
      </c>
      <c r="O2559" t="s">
        <v>7003</v>
      </c>
      <c r="P2559" t="s">
        <v>7004</v>
      </c>
    </row>
    <row r="2560" spans="1:16" x14ac:dyDescent="0.35">
      <c r="A2560" t="s">
        <v>105</v>
      </c>
      <c r="B2560">
        <v>1324725625</v>
      </c>
      <c r="C2560" t="s">
        <v>18</v>
      </c>
      <c r="D2560" t="s">
        <v>20</v>
      </c>
      <c r="E2560" s="29">
        <v>46205</v>
      </c>
      <c r="F2560" t="s">
        <v>4</v>
      </c>
      <c r="G2560" s="28">
        <v>0.38055555555555554</v>
      </c>
      <c r="H2560" s="28">
        <v>0.38055555555555554</v>
      </c>
      <c r="I2560">
        <v>0</v>
      </c>
      <c r="J2560" t="s">
        <v>174</v>
      </c>
      <c r="K2560">
        <v>0</v>
      </c>
      <c r="L2560" t="s">
        <v>2416</v>
      </c>
      <c r="M2560" t="s">
        <v>7034</v>
      </c>
      <c r="N2560" t="s">
        <v>7035</v>
      </c>
      <c r="O2560" t="s">
        <v>7036</v>
      </c>
      <c r="P2560" t="s">
        <v>7037</v>
      </c>
    </row>
    <row r="2561" spans="1:16" x14ac:dyDescent="0.35">
      <c r="A2561" t="s">
        <v>105</v>
      </c>
      <c r="B2561">
        <v>1324725625</v>
      </c>
      <c r="C2561" t="s">
        <v>18</v>
      </c>
      <c r="D2561" t="s">
        <v>20</v>
      </c>
      <c r="E2561" s="29">
        <v>46205</v>
      </c>
      <c r="F2561" t="s">
        <v>4</v>
      </c>
      <c r="G2561" s="28">
        <v>0.38750000000000001</v>
      </c>
      <c r="H2561" s="28">
        <v>0.38750000000000001</v>
      </c>
      <c r="I2561">
        <v>0</v>
      </c>
      <c r="J2561" t="s">
        <v>174</v>
      </c>
      <c r="K2561">
        <v>0</v>
      </c>
      <c r="L2561" t="s">
        <v>213</v>
      </c>
      <c r="M2561" t="s">
        <v>7038</v>
      </c>
      <c r="N2561" t="s">
        <v>7030</v>
      </c>
      <c r="O2561" t="s">
        <v>7031</v>
      </c>
      <c r="P2561" t="s">
        <v>7032</v>
      </c>
    </row>
    <row r="2562" spans="1:16" x14ac:dyDescent="0.35">
      <c r="A2562" t="s">
        <v>105</v>
      </c>
      <c r="B2562">
        <v>1324725625</v>
      </c>
      <c r="C2562" t="s">
        <v>18</v>
      </c>
      <c r="D2562" t="s">
        <v>20</v>
      </c>
      <c r="E2562" s="29">
        <v>46205</v>
      </c>
      <c r="F2562" t="s">
        <v>4</v>
      </c>
      <c r="G2562" s="28">
        <v>0.39444444444444443</v>
      </c>
      <c r="H2562" s="28">
        <v>0.39444444444444443</v>
      </c>
      <c r="I2562">
        <v>0</v>
      </c>
      <c r="J2562" t="s">
        <v>174</v>
      </c>
      <c r="K2562">
        <v>0</v>
      </c>
      <c r="L2562" t="s">
        <v>267</v>
      </c>
      <c r="M2562" t="s">
        <v>7039</v>
      </c>
      <c r="N2562" t="s">
        <v>7040</v>
      </c>
      <c r="O2562" t="s">
        <v>7041</v>
      </c>
      <c r="P2562" t="s">
        <v>7042</v>
      </c>
    </row>
    <row r="2563" spans="1:16" x14ac:dyDescent="0.35">
      <c r="A2563" t="s">
        <v>105</v>
      </c>
      <c r="B2563">
        <v>1324725625</v>
      </c>
      <c r="C2563" t="s">
        <v>18</v>
      </c>
      <c r="D2563" t="s">
        <v>20</v>
      </c>
      <c r="E2563" s="29">
        <v>46205</v>
      </c>
      <c r="F2563" t="s">
        <v>4</v>
      </c>
      <c r="G2563" s="28">
        <v>0.40138888888888891</v>
      </c>
      <c r="H2563" s="28">
        <v>0.4152777777777778</v>
      </c>
      <c r="I2563">
        <v>0</v>
      </c>
      <c r="J2563" t="s">
        <v>146</v>
      </c>
      <c r="K2563">
        <v>1</v>
      </c>
      <c r="L2563" t="s">
        <v>147</v>
      </c>
      <c r="M2563" t="s">
        <v>7043</v>
      </c>
      <c r="N2563" t="s">
        <v>7044</v>
      </c>
      <c r="O2563" t="s">
        <v>7045</v>
      </c>
      <c r="P2563" t="s">
        <v>7046</v>
      </c>
    </row>
    <row r="2564" spans="1:16" x14ac:dyDescent="0.35">
      <c r="A2564" t="s">
        <v>105</v>
      </c>
      <c r="B2564">
        <v>1324725625</v>
      </c>
      <c r="C2564" t="s">
        <v>18</v>
      </c>
      <c r="D2564" t="s">
        <v>20</v>
      </c>
      <c r="E2564" s="29">
        <v>46205</v>
      </c>
      <c r="F2564" t="s">
        <v>4</v>
      </c>
      <c r="G2564" s="28">
        <v>0.42291666666666666</v>
      </c>
      <c r="H2564" s="28">
        <v>0.42291666666666666</v>
      </c>
      <c r="I2564">
        <v>0</v>
      </c>
      <c r="J2564" t="s">
        <v>174</v>
      </c>
      <c r="K2564">
        <v>0</v>
      </c>
      <c r="L2564" t="s">
        <v>2884</v>
      </c>
      <c r="M2564" t="s">
        <v>7047</v>
      </c>
      <c r="N2564" t="s">
        <v>7048</v>
      </c>
      <c r="O2564" t="s">
        <v>7049</v>
      </c>
      <c r="P2564" t="s">
        <v>7050</v>
      </c>
    </row>
    <row r="2565" spans="1:16" x14ac:dyDescent="0.35">
      <c r="A2565" t="s">
        <v>105</v>
      </c>
      <c r="B2565">
        <v>1324725625</v>
      </c>
      <c r="C2565" t="s">
        <v>18</v>
      </c>
      <c r="D2565" t="s">
        <v>20</v>
      </c>
      <c r="E2565" s="29">
        <v>46205</v>
      </c>
      <c r="F2565" t="s">
        <v>4</v>
      </c>
      <c r="G2565" s="28">
        <v>0.42916666666666664</v>
      </c>
      <c r="H2565" s="28">
        <v>0.51944444444444449</v>
      </c>
      <c r="I2565">
        <v>2</v>
      </c>
      <c r="J2565" t="s">
        <v>146</v>
      </c>
      <c r="K2565">
        <v>6</v>
      </c>
      <c r="L2565" t="s">
        <v>147</v>
      </c>
      <c r="M2565" t="s">
        <v>7043</v>
      </c>
      <c r="N2565" t="s">
        <v>7044</v>
      </c>
      <c r="O2565" t="s">
        <v>7045</v>
      </c>
      <c r="P2565" t="s">
        <v>7046</v>
      </c>
    </row>
    <row r="2566" spans="1:16" x14ac:dyDescent="0.35">
      <c r="A2566" t="s">
        <v>105</v>
      </c>
      <c r="B2566">
        <v>1324725625</v>
      </c>
      <c r="C2566" t="s">
        <v>18</v>
      </c>
      <c r="D2566" t="s">
        <v>20</v>
      </c>
      <c r="E2566" s="29">
        <v>46205</v>
      </c>
      <c r="F2566" t="s">
        <v>4</v>
      </c>
      <c r="G2566" s="28">
        <v>0.52638888888888891</v>
      </c>
      <c r="H2566" s="28">
        <v>0.52638888888888891</v>
      </c>
      <c r="I2566">
        <v>0</v>
      </c>
      <c r="J2566" t="s">
        <v>174</v>
      </c>
      <c r="K2566">
        <v>0</v>
      </c>
      <c r="L2566" t="s">
        <v>4892</v>
      </c>
      <c r="M2566" t="s">
        <v>7051</v>
      </c>
      <c r="N2566" t="s">
        <v>7052</v>
      </c>
      <c r="O2566" t="s">
        <v>7053</v>
      </c>
      <c r="P2566" t="s">
        <v>7054</v>
      </c>
    </row>
    <row r="2567" spans="1:16" x14ac:dyDescent="0.35">
      <c r="A2567" t="s">
        <v>105</v>
      </c>
      <c r="B2567">
        <v>1324725625</v>
      </c>
      <c r="C2567" t="s">
        <v>18</v>
      </c>
      <c r="D2567" t="s">
        <v>20</v>
      </c>
      <c r="E2567" s="29">
        <v>46205</v>
      </c>
      <c r="F2567" t="s">
        <v>4</v>
      </c>
      <c r="G2567" s="28">
        <v>0.53333333333333333</v>
      </c>
      <c r="H2567" s="28">
        <v>0.54027777777777775</v>
      </c>
      <c r="I2567">
        <v>0</v>
      </c>
      <c r="J2567" t="s">
        <v>146</v>
      </c>
      <c r="K2567">
        <v>0</v>
      </c>
      <c r="L2567" t="s">
        <v>147</v>
      </c>
      <c r="M2567" t="s">
        <v>7055</v>
      </c>
      <c r="N2567" t="s">
        <v>7056</v>
      </c>
      <c r="O2567" t="s">
        <v>7057</v>
      </c>
      <c r="P2567" t="s">
        <v>7058</v>
      </c>
    </row>
    <row r="2568" spans="1:16" x14ac:dyDescent="0.35">
      <c r="A2568" t="s">
        <v>105</v>
      </c>
      <c r="B2568">
        <v>1324725625</v>
      </c>
      <c r="C2568" t="s">
        <v>18</v>
      </c>
      <c r="D2568" t="s">
        <v>20</v>
      </c>
      <c r="E2568" s="29">
        <v>46205</v>
      </c>
      <c r="F2568" t="s">
        <v>4</v>
      </c>
      <c r="G2568" s="28">
        <v>0.54722222222222228</v>
      </c>
      <c r="H2568" s="28">
        <v>0.54722222222222228</v>
      </c>
      <c r="I2568">
        <v>0</v>
      </c>
      <c r="J2568" t="s">
        <v>174</v>
      </c>
      <c r="K2568">
        <v>0</v>
      </c>
      <c r="L2568" t="s">
        <v>7059</v>
      </c>
      <c r="M2568" t="s">
        <v>7060</v>
      </c>
      <c r="N2568" t="s">
        <v>7061</v>
      </c>
      <c r="O2568" t="s">
        <v>7062</v>
      </c>
      <c r="P2568" t="s">
        <v>7063</v>
      </c>
    </row>
    <row r="2569" spans="1:16" x14ac:dyDescent="0.35">
      <c r="A2569" t="s">
        <v>105</v>
      </c>
      <c r="B2569">
        <v>1324725625</v>
      </c>
      <c r="C2569" t="s">
        <v>18</v>
      </c>
      <c r="D2569" t="s">
        <v>20</v>
      </c>
      <c r="E2569" s="29">
        <v>46205</v>
      </c>
      <c r="F2569" t="s">
        <v>4</v>
      </c>
      <c r="G2569" s="28">
        <v>0.5541666666666667</v>
      </c>
      <c r="H2569" s="28">
        <v>0.58194444444444449</v>
      </c>
      <c r="I2569">
        <v>1</v>
      </c>
      <c r="J2569" t="s">
        <v>146</v>
      </c>
      <c r="K2569">
        <v>2</v>
      </c>
      <c r="L2569" t="s">
        <v>147</v>
      </c>
      <c r="M2569" t="s">
        <v>7064</v>
      </c>
      <c r="N2569" t="s">
        <v>7065</v>
      </c>
      <c r="O2569" t="s">
        <v>7066</v>
      </c>
      <c r="P2569" t="s">
        <v>7067</v>
      </c>
    </row>
    <row r="2570" spans="1:16" x14ac:dyDescent="0.35">
      <c r="A2570" t="s">
        <v>105</v>
      </c>
      <c r="B2570">
        <v>1324725625</v>
      </c>
      <c r="C2570" t="s">
        <v>18</v>
      </c>
      <c r="D2570" t="s">
        <v>20</v>
      </c>
      <c r="E2570" s="29">
        <v>46205</v>
      </c>
      <c r="F2570" t="s">
        <v>4</v>
      </c>
      <c r="G2570" s="28">
        <v>0.58888888888888891</v>
      </c>
      <c r="H2570" s="28">
        <v>0.59583333333333333</v>
      </c>
      <c r="I2570">
        <v>0</v>
      </c>
      <c r="J2570" t="s">
        <v>146</v>
      </c>
      <c r="K2570">
        <v>0</v>
      </c>
      <c r="L2570" t="s">
        <v>147</v>
      </c>
      <c r="M2570" t="s">
        <v>7068</v>
      </c>
      <c r="N2570" t="s">
        <v>7069</v>
      </c>
      <c r="O2570" t="s">
        <v>7070</v>
      </c>
      <c r="P2570" t="s">
        <v>7071</v>
      </c>
    </row>
    <row r="2571" spans="1:16" x14ac:dyDescent="0.35">
      <c r="A2571" t="s">
        <v>105</v>
      </c>
      <c r="B2571">
        <v>1324725625</v>
      </c>
      <c r="C2571" t="s">
        <v>18</v>
      </c>
      <c r="D2571" t="s">
        <v>20</v>
      </c>
      <c r="E2571" s="29">
        <v>46205</v>
      </c>
      <c r="F2571" t="s">
        <v>4</v>
      </c>
      <c r="G2571" s="28">
        <v>0.60347222222222219</v>
      </c>
      <c r="H2571" s="28">
        <v>0.60347222222222219</v>
      </c>
      <c r="I2571">
        <v>0</v>
      </c>
      <c r="J2571" t="s">
        <v>174</v>
      </c>
      <c r="K2571">
        <v>0</v>
      </c>
      <c r="L2571" t="s">
        <v>7072</v>
      </c>
      <c r="M2571" t="s">
        <v>7073</v>
      </c>
      <c r="N2571" t="s">
        <v>7074</v>
      </c>
      <c r="O2571" t="s">
        <v>7075</v>
      </c>
      <c r="P2571" t="s">
        <v>7076</v>
      </c>
    </row>
    <row r="2572" spans="1:16" x14ac:dyDescent="0.35">
      <c r="A2572" t="s">
        <v>105</v>
      </c>
      <c r="B2572">
        <v>1324725625</v>
      </c>
      <c r="C2572" t="s">
        <v>18</v>
      </c>
      <c r="D2572" t="s">
        <v>20</v>
      </c>
      <c r="E2572" s="29">
        <v>46205</v>
      </c>
      <c r="F2572" t="s">
        <v>4</v>
      </c>
      <c r="G2572" s="28">
        <v>0.60972222222222228</v>
      </c>
      <c r="H2572" s="28">
        <v>0.62361111111111112</v>
      </c>
      <c r="I2572">
        <v>0</v>
      </c>
      <c r="J2572" t="s">
        <v>146</v>
      </c>
      <c r="K2572">
        <v>1</v>
      </c>
      <c r="L2572" t="s">
        <v>147</v>
      </c>
      <c r="M2572" t="s">
        <v>7064</v>
      </c>
      <c r="N2572" t="s">
        <v>7065</v>
      </c>
      <c r="O2572" t="s">
        <v>7066</v>
      </c>
      <c r="P2572" t="s">
        <v>7067</v>
      </c>
    </row>
    <row r="2573" spans="1:16" x14ac:dyDescent="0.35">
      <c r="A2573" t="s">
        <v>105</v>
      </c>
      <c r="B2573">
        <v>1324725625</v>
      </c>
      <c r="C2573" t="s">
        <v>18</v>
      </c>
      <c r="D2573" t="s">
        <v>20</v>
      </c>
      <c r="E2573" s="29">
        <v>46205</v>
      </c>
      <c r="F2573" t="s">
        <v>4</v>
      </c>
      <c r="G2573" s="28">
        <v>0.63124999999999998</v>
      </c>
      <c r="H2573" s="28">
        <v>0.63124999999999998</v>
      </c>
      <c r="I2573">
        <v>0</v>
      </c>
      <c r="J2573" t="s">
        <v>174</v>
      </c>
      <c r="K2573">
        <v>0</v>
      </c>
      <c r="L2573" t="s">
        <v>7072</v>
      </c>
      <c r="M2573" t="s">
        <v>7073</v>
      </c>
      <c r="N2573" t="s">
        <v>7074</v>
      </c>
      <c r="O2573" t="s">
        <v>7075</v>
      </c>
      <c r="P2573" t="s">
        <v>7076</v>
      </c>
    </row>
    <row r="2574" spans="1:16" x14ac:dyDescent="0.35">
      <c r="A2574" t="s">
        <v>105</v>
      </c>
      <c r="B2574">
        <v>1324725625</v>
      </c>
      <c r="C2574" t="s">
        <v>18</v>
      </c>
      <c r="D2574" t="s">
        <v>20</v>
      </c>
      <c r="E2574" s="29">
        <v>46205</v>
      </c>
      <c r="F2574" t="s">
        <v>4</v>
      </c>
      <c r="G2574" s="28">
        <v>0.63749999999999996</v>
      </c>
      <c r="H2574" s="28">
        <v>0.67222222222222228</v>
      </c>
      <c r="I2574">
        <v>1</v>
      </c>
      <c r="J2574" t="s">
        <v>146</v>
      </c>
      <c r="K2574">
        <v>3</v>
      </c>
      <c r="L2574" t="s">
        <v>147</v>
      </c>
      <c r="M2574" t="s">
        <v>7064</v>
      </c>
      <c r="N2574" t="s">
        <v>7065</v>
      </c>
      <c r="O2574" t="s">
        <v>7066</v>
      </c>
      <c r="P2574" t="s">
        <v>7067</v>
      </c>
    </row>
    <row r="2575" spans="1:16" x14ac:dyDescent="0.35">
      <c r="A2575" t="s">
        <v>105</v>
      </c>
      <c r="B2575">
        <v>1324725625</v>
      </c>
      <c r="C2575" t="s">
        <v>18</v>
      </c>
      <c r="D2575" t="s">
        <v>20</v>
      </c>
      <c r="E2575" s="29">
        <v>46205</v>
      </c>
      <c r="F2575" t="s">
        <v>4</v>
      </c>
      <c r="G2575" s="28">
        <v>0.6791666666666667</v>
      </c>
      <c r="H2575" s="28">
        <v>0.6791666666666667</v>
      </c>
      <c r="I2575">
        <v>0</v>
      </c>
      <c r="J2575" t="s">
        <v>174</v>
      </c>
      <c r="K2575">
        <v>0</v>
      </c>
      <c r="L2575" t="s">
        <v>2248</v>
      </c>
      <c r="M2575" t="s">
        <v>7077</v>
      </c>
      <c r="N2575" t="s">
        <v>7078</v>
      </c>
      <c r="O2575" t="s">
        <v>7079</v>
      </c>
      <c r="P2575" t="s">
        <v>7080</v>
      </c>
    </row>
    <row r="2576" spans="1:16" x14ac:dyDescent="0.35">
      <c r="A2576" t="s">
        <v>105</v>
      </c>
      <c r="B2576">
        <v>1324725625</v>
      </c>
      <c r="C2576" t="s">
        <v>18</v>
      </c>
      <c r="D2576" t="s">
        <v>20</v>
      </c>
      <c r="E2576" s="29">
        <v>46205</v>
      </c>
      <c r="F2576" t="s">
        <v>4</v>
      </c>
      <c r="G2576" s="28">
        <v>0.68611111111111112</v>
      </c>
      <c r="H2576" s="28">
        <v>0.70694444444444449</v>
      </c>
      <c r="I2576">
        <v>1</v>
      </c>
      <c r="J2576" t="s">
        <v>146</v>
      </c>
      <c r="K2576">
        <v>2</v>
      </c>
      <c r="L2576" t="s">
        <v>147</v>
      </c>
      <c r="M2576" t="s">
        <v>7081</v>
      </c>
      <c r="N2576" t="s">
        <v>7082</v>
      </c>
      <c r="O2576" t="s">
        <v>7083</v>
      </c>
      <c r="P2576" t="s">
        <v>7084</v>
      </c>
    </row>
    <row r="2577" spans="1:16" x14ac:dyDescent="0.35">
      <c r="A2577" t="s">
        <v>105</v>
      </c>
      <c r="B2577">
        <v>1324725625</v>
      </c>
      <c r="C2577" t="s">
        <v>18</v>
      </c>
      <c r="D2577" t="s">
        <v>20</v>
      </c>
      <c r="E2577" s="29">
        <v>46205</v>
      </c>
      <c r="F2577" t="s">
        <v>4</v>
      </c>
      <c r="G2577" s="28">
        <v>0.71180555555555558</v>
      </c>
      <c r="H2577" s="28">
        <v>0.71180555555555558</v>
      </c>
      <c r="I2577">
        <v>0</v>
      </c>
      <c r="J2577" t="s">
        <v>174</v>
      </c>
      <c r="K2577">
        <v>0</v>
      </c>
      <c r="L2577" t="s">
        <v>7085</v>
      </c>
      <c r="M2577" t="s">
        <v>7086</v>
      </c>
      <c r="N2577" t="s">
        <v>7087</v>
      </c>
      <c r="O2577" t="s">
        <v>7088</v>
      </c>
      <c r="P2577" t="s">
        <v>7089</v>
      </c>
    </row>
    <row r="2578" spans="1:16" x14ac:dyDescent="0.35">
      <c r="A2578" t="s">
        <v>105</v>
      </c>
      <c r="B2578">
        <v>1324725625</v>
      </c>
      <c r="C2578" t="s">
        <v>18</v>
      </c>
      <c r="D2578" t="s">
        <v>20</v>
      </c>
      <c r="E2578" s="29">
        <v>46205</v>
      </c>
      <c r="F2578" t="s">
        <v>4</v>
      </c>
      <c r="G2578" s="28">
        <v>0.72083333333333333</v>
      </c>
      <c r="H2578" s="28">
        <v>0.72777777777777775</v>
      </c>
      <c r="I2578">
        <v>0</v>
      </c>
      <c r="J2578" t="s">
        <v>146</v>
      </c>
      <c r="K2578">
        <v>0</v>
      </c>
      <c r="L2578" t="s">
        <v>147</v>
      </c>
      <c r="M2578" t="s">
        <v>7081</v>
      </c>
      <c r="N2578" t="s">
        <v>7082</v>
      </c>
      <c r="O2578" t="s">
        <v>7083</v>
      </c>
      <c r="P2578" t="s">
        <v>7084</v>
      </c>
    </row>
    <row r="2579" spans="1:16" x14ac:dyDescent="0.35">
      <c r="A2579" t="s">
        <v>105</v>
      </c>
      <c r="B2579">
        <v>1324725625</v>
      </c>
      <c r="C2579" t="s">
        <v>18</v>
      </c>
      <c r="D2579" t="s">
        <v>20</v>
      </c>
      <c r="E2579" s="29">
        <v>46205</v>
      </c>
      <c r="F2579" t="s">
        <v>4</v>
      </c>
      <c r="G2579" s="28">
        <v>0.73472222222222228</v>
      </c>
      <c r="H2579" s="28">
        <v>0.73472222222222228</v>
      </c>
      <c r="I2579">
        <v>0</v>
      </c>
      <c r="J2579" t="s">
        <v>174</v>
      </c>
      <c r="K2579">
        <v>0</v>
      </c>
      <c r="L2579" t="s">
        <v>287</v>
      </c>
      <c r="M2579" t="s">
        <v>7090</v>
      </c>
      <c r="N2579" t="s">
        <v>7091</v>
      </c>
      <c r="O2579" t="s">
        <v>7092</v>
      </c>
      <c r="P2579" t="s">
        <v>7093</v>
      </c>
    </row>
    <row r="2580" spans="1:16" x14ac:dyDescent="0.35">
      <c r="A2580" t="s">
        <v>105</v>
      </c>
      <c r="B2580">
        <v>1324725625</v>
      </c>
      <c r="C2580" t="s">
        <v>18</v>
      </c>
      <c r="D2580" t="s">
        <v>20</v>
      </c>
      <c r="E2580" s="29">
        <v>46205</v>
      </c>
      <c r="F2580" t="s">
        <v>4</v>
      </c>
      <c r="G2580" s="28">
        <v>0.7416666666666667</v>
      </c>
      <c r="H2580" s="28">
        <v>0.74861111111111112</v>
      </c>
      <c r="I2580">
        <v>0</v>
      </c>
      <c r="J2580" t="s">
        <v>146</v>
      </c>
      <c r="K2580">
        <v>0</v>
      </c>
      <c r="L2580" t="s">
        <v>147</v>
      </c>
      <c r="M2580" t="s">
        <v>7094</v>
      </c>
      <c r="N2580" t="s">
        <v>7095</v>
      </c>
      <c r="O2580" t="s">
        <v>7096</v>
      </c>
      <c r="P2580" t="s">
        <v>7097</v>
      </c>
    </row>
    <row r="2581" spans="1:16" x14ac:dyDescent="0.35">
      <c r="A2581" t="s">
        <v>105</v>
      </c>
      <c r="B2581">
        <v>1324725625</v>
      </c>
      <c r="C2581" t="s">
        <v>18</v>
      </c>
      <c r="D2581" t="s">
        <v>20</v>
      </c>
      <c r="E2581" s="29">
        <v>46205</v>
      </c>
      <c r="F2581" t="s">
        <v>4</v>
      </c>
      <c r="G2581" s="28">
        <v>0.75277777777777777</v>
      </c>
      <c r="H2581" s="28">
        <v>0.75277777777777777</v>
      </c>
      <c r="I2581">
        <v>0</v>
      </c>
      <c r="J2581" t="s">
        <v>174</v>
      </c>
      <c r="K2581">
        <v>0</v>
      </c>
      <c r="L2581" t="s">
        <v>7098</v>
      </c>
      <c r="M2581" t="s">
        <v>7099</v>
      </c>
      <c r="N2581" t="s">
        <v>7100</v>
      </c>
      <c r="O2581" t="s">
        <v>7101</v>
      </c>
      <c r="P2581" t="s">
        <v>7102</v>
      </c>
    </row>
    <row r="2582" spans="1:16" x14ac:dyDescent="0.35">
      <c r="A2582" t="s">
        <v>105</v>
      </c>
      <c r="B2582">
        <v>1324725625</v>
      </c>
      <c r="C2582" t="s">
        <v>18</v>
      </c>
      <c r="D2582" t="s">
        <v>20</v>
      </c>
      <c r="E2582" s="29">
        <v>46205</v>
      </c>
      <c r="F2582" t="s">
        <v>4</v>
      </c>
      <c r="G2582" s="28">
        <v>0.76249999999999996</v>
      </c>
      <c r="H2582" s="28">
        <v>0.77638888888888891</v>
      </c>
      <c r="I2582">
        <v>0</v>
      </c>
      <c r="J2582" t="s">
        <v>146</v>
      </c>
      <c r="K2582">
        <v>1</v>
      </c>
      <c r="L2582" t="s">
        <v>147</v>
      </c>
      <c r="M2582" t="s">
        <v>7103</v>
      </c>
      <c r="N2582" t="s">
        <v>7104</v>
      </c>
      <c r="O2582" t="s">
        <v>7007</v>
      </c>
      <c r="P2582" t="s">
        <v>7105</v>
      </c>
    </row>
    <row r="2583" spans="1:16" x14ac:dyDescent="0.35">
      <c r="A2583" t="s">
        <v>105</v>
      </c>
      <c r="B2583">
        <v>1324725625</v>
      </c>
      <c r="C2583" t="s">
        <v>18</v>
      </c>
      <c r="D2583" t="s">
        <v>20</v>
      </c>
      <c r="E2583" s="29">
        <v>46205</v>
      </c>
      <c r="F2583" t="s">
        <v>4</v>
      </c>
      <c r="G2583" s="28">
        <v>0.78333333333333333</v>
      </c>
      <c r="H2583" s="28">
        <v>0.78333333333333333</v>
      </c>
      <c r="I2583">
        <v>0</v>
      </c>
      <c r="J2583" t="s">
        <v>174</v>
      </c>
      <c r="K2583">
        <v>0</v>
      </c>
      <c r="L2583" t="s">
        <v>7106</v>
      </c>
      <c r="M2583" t="s">
        <v>7107</v>
      </c>
      <c r="N2583" t="s">
        <v>7108</v>
      </c>
      <c r="O2583" t="s">
        <v>7109</v>
      </c>
      <c r="P2583" t="s">
        <v>7110</v>
      </c>
    </row>
    <row r="2584" spans="1:16" x14ac:dyDescent="0.35">
      <c r="A2584" t="s">
        <v>105</v>
      </c>
      <c r="B2584">
        <v>1324725625</v>
      </c>
      <c r="C2584" t="s">
        <v>18</v>
      </c>
      <c r="D2584" t="s">
        <v>20</v>
      </c>
      <c r="E2584" s="29">
        <v>46205</v>
      </c>
      <c r="F2584" t="s">
        <v>4</v>
      </c>
      <c r="G2584" s="28">
        <v>0.79027777777777775</v>
      </c>
      <c r="H2584" s="28">
        <v>0.79027777777777775</v>
      </c>
      <c r="I2584">
        <v>0</v>
      </c>
      <c r="J2584" t="s">
        <v>174</v>
      </c>
      <c r="K2584">
        <v>0</v>
      </c>
      <c r="L2584" t="s">
        <v>7111</v>
      </c>
      <c r="M2584" t="s">
        <v>7112</v>
      </c>
      <c r="N2584" t="s">
        <v>7113</v>
      </c>
      <c r="O2584" t="s">
        <v>7114</v>
      </c>
      <c r="P2584" t="s">
        <v>7115</v>
      </c>
    </row>
    <row r="2585" spans="1:16" x14ac:dyDescent="0.35">
      <c r="A2585" t="s">
        <v>105</v>
      </c>
      <c r="B2585">
        <v>1324725625</v>
      </c>
      <c r="C2585" t="s">
        <v>18</v>
      </c>
      <c r="D2585" t="s">
        <v>20</v>
      </c>
      <c r="E2585" s="29">
        <v>46207</v>
      </c>
      <c r="F2585" t="s">
        <v>5</v>
      </c>
      <c r="G2585" s="28">
        <v>0.38055555555555554</v>
      </c>
      <c r="H2585" s="28">
        <v>0.38055555555555554</v>
      </c>
      <c r="I2585">
        <v>0</v>
      </c>
      <c r="J2585" t="s">
        <v>174</v>
      </c>
      <c r="K2585">
        <v>0</v>
      </c>
      <c r="L2585" t="s">
        <v>394</v>
      </c>
      <c r="M2585" t="s">
        <v>7116</v>
      </c>
      <c r="N2585" t="s">
        <v>7117</v>
      </c>
      <c r="O2585" t="s">
        <v>7118</v>
      </c>
      <c r="P2585" t="s">
        <v>7119</v>
      </c>
    </row>
    <row r="2586" spans="1:16" x14ac:dyDescent="0.35">
      <c r="A2586" t="s">
        <v>105</v>
      </c>
      <c r="B2586">
        <v>1324725625</v>
      </c>
      <c r="C2586" t="s">
        <v>18</v>
      </c>
      <c r="D2586" t="s">
        <v>20</v>
      </c>
      <c r="E2586" s="29">
        <v>46207</v>
      </c>
      <c r="F2586" t="s">
        <v>5</v>
      </c>
      <c r="G2586" s="28">
        <v>0.38750000000000001</v>
      </c>
      <c r="H2586" s="28">
        <v>0.42916666666666664</v>
      </c>
      <c r="I2586">
        <v>1</v>
      </c>
      <c r="J2586" t="s">
        <v>146</v>
      </c>
      <c r="K2586">
        <v>3</v>
      </c>
      <c r="L2586" t="s">
        <v>147</v>
      </c>
      <c r="M2586" t="s">
        <v>7120</v>
      </c>
      <c r="N2586" t="s">
        <v>7121</v>
      </c>
      <c r="O2586" t="s">
        <v>7122</v>
      </c>
      <c r="P2586" t="s">
        <v>7123</v>
      </c>
    </row>
    <row r="2587" spans="1:16" x14ac:dyDescent="0.35">
      <c r="A2587" t="s">
        <v>105</v>
      </c>
      <c r="B2587">
        <v>1324725625</v>
      </c>
      <c r="C2587" t="s">
        <v>18</v>
      </c>
      <c r="D2587" t="s">
        <v>20</v>
      </c>
      <c r="E2587" s="29">
        <v>46207</v>
      </c>
      <c r="F2587" t="s">
        <v>5</v>
      </c>
      <c r="G2587" s="28">
        <v>0.43611111111111112</v>
      </c>
      <c r="H2587" s="28">
        <v>0.43611111111111112</v>
      </c>
      <c r="I2587">
        <v>0</v>
      </c>
      <c r="J2587" t="s">
        <v>174</v>
      </c>
      <c r="K2587">
        <v>0</v>
      </c>
      <c r="L2587" t="s">
        <v>1783</v>
      </c>
      <c r="M2587" t="s">
        <v>7124</v>
      </c>
      <c r="N2587" t="s">
        <v>7125</v>
      </c>
      <c r="O2587" t="s">
        <v>7126</v>
      </c>
      <c r="P2587" t="s">
        <v>7127</v>
      </c>
    </row>
    <row r="2588" spans="1:16" x14ac:dyDescent="0.35">
      <c r="A2588" t="s">
        <v>105</v>
      </c>
      <c r="B2588">
        <v>1324725625</v>
      </c>
      <c r="C2588" t="s">
        <v>18</v>
      </c>
      <c r="D2588" t="s">
        <v>20</v>
      </c>
      <c r="E2588" s="29">
        <v>46207</v>
      </c>
      <c r="F2588" t="s">
        <v>5</v>
      </c>
      <c r="G2588" s="28">
        <v>0.45</v>
      </c>
      <c r="H2588" s="28">
        <v>0.59583333333333333</v>
      </c>
      <c r="I2588">
        <v>4</v>
      </c>
      <c r="J2588" t="s">
        <v>146</v>
      </c>
      <c r="K2588">
        <v>10</v>
      </c>
      <c r="L2588" t="s">
        <v>147</v>
      </c>
      <c r="M2588" t="s">
        <v>7128</v>
      </c>
      <c r="N2588" t="s">
        <v>7129</v>
      </c>
      <c r="O2588" t="s">
        <v>7130</v>
      </c>
      <c r="P2588" t="s">
        <v>7131</v>
      </c>
    </row>
    <row r="2589" spans="1:16" x14ac:dyDescent="0.35">
      <c r="A2589" t="s">
        <v>105</v>
      </c>
      <c r="B2589">
        <v>1324725625</v>
      </c>
      <c r="C2589" t="s">
        <v>18</v>
      </c>
      <c r="D2589" t="s">
        <v>20</v>
      </c>
      <c r="E2589" s="29">
        <v>46207</v>
      </c>
      <c r="F2589" t="s">
        <v>5</v>
      </c>
      <c r="G2589" s="28">
        <v>0.60277777777777775</v>
      </c>
      <c r="H2589" s="28">
        <v>0.60277777777777775</v>
      </c>
      <c r="I2589">
        <v>0</v>
      </c>
      <c r="J2589" t="s">
        <v>174</v>
      </c>
      <c r="K2589">
        <v>0</v>
      </c>
      <c r="L2589" t="s">
        <v>5335</v>
      </c>
      <c r="M2589" t="s">
        <v>7132</v>
      </c>
      <c r="N2589" t="s">
        <v>7133</v>
      </c>
      <c r="O2589" t="s">
        <v>7134</v>
      </c>
      <c r="P2589" t="s">
        <v>7135</v>
      </c>
    </row>
    <row r="2590" spans="1:16" x14ac:dyDescent="0.35">
      <c r="A2590" t="s">
        <v>105</v>
      </c>
      <c r="B2590">
        <v>1324725625</v>
      </c>
      <c r="C2590" t="s">
        <v>18</v>
      </c>
      <c r="D2590" t="s">
        <v>20</v>
      </c>
      <c r="E2590" s="29">
        <v>46207</v>
      </c>
      <c r="F2590" t="s">
        <v>5</v>
      </c>
      <c r="G2590" s="28">
        <v>0.60972222222222228</v>
      </c>
      <c r="H2590" s="28">
        <v>0.60972222222222228</v>
      </c>
      <c r="I2590">
        <v>0</v>
      </c>
      <c r="J2590" t="s">
        <v>174</v>
      </c>
      <c r="K2590">
        <v>0</v>
      </c>
      <c r="L2590" t="s">
        <v>3882</v>
      </c>
      <c r="M2590" t="s">
        <v>7136</v>
      </c>
      <c r="N2590" t="s">
        <v>7137</v>
      </c>
      <c r="O2590" t="s">
        <v>7138</v>
      </c>
      <c r="P2590" t="s">
        <v>7139</v>
      </c>
    </row>
    <row r="2591" spans="1:16" x14ac:dyDescent="0.35">
      <c r="A2591" t="s">
        <v>105</v>
      </c>
      <c r="B2591">
        <v>1324725625</v>
      </c>
      <c r="C2591" t="s">
        <v>18</v>
      </c>
      <c r="D2591" t="s">
        <v>20</v>
      </c>
      <c r="E2591" s="29">
        <v>46207</v>
      </c>
      <c r="F2591" t="s">
        <v>5</v>
      </c>
      <c r="G2591" s="28">
        <v>0.6166666666666667</v>
      </c>
      <c r="H2591" s="28">
        <v>0.64444444444444449</v>
      </c>
      <c r="I2591">
        <v>1</v>
      </c>
      <c r="J2591" t="s">
        <v>146</v>
      </c>
      <c r="K2591">
        <v>2</v>
      </c>
      <c r="L2591" t="s">
        <v>147</v>
      </c>
      <c r="M2591" t="s">
        <v>7120</v>
      </c>
      <c r="N2591" t="s">
        <v>7121</v>
      </c>
      <c r="O2591" t="s">
        <v>7122</v>
      </c>
      <c r="P2591" t="s">
        <v>7123</v>
      </c>
    </row>
    <row r="2592" spans="1:16" x14ac:dyDescent="0.35">
      <c r="A2592" t="s">
        <v>105</v>
      </c>
      <c r="B2592">
        <v>1324725625</v>
      </c>
      <c r="C2592" t="s">
        <v>18</v>
      </c>
      <c r="D2592" t="s">
        <v>20</v>
      </c>
      <c r="E2592" s="29">
        <v>46207</v>
      </c>
      <c r="F2592" t="s">
        <v>5</v>
      </c>
      <c r="G2592" s="28">
        <v>0.65138888888888891</v>
      </c>
      <c r="H2592" s="28">
        <v>0.73472222222222228</v>
      </c>
      <c r="I2592">
        <v>2</v>
      </c>
      <c r="J2592" t="s">
        <v>146</v>
      </c>
      <c r="K2592">
        <v>6</v>
      </c>
      <c r="L2592" t="s">
        <v>147</v>
      </c>
      <c r="M2592" t="s">
        <v>7103</v>
      </c>
      <c r="N2592" t="s">
        <v>7104</v>
      </c>
      <c r="O2592" t="s">
        <v>7007</v>
      </c>
      <c r="P2592" t="s">
        <v>7105</v>
      </c>
    </row>
    <row r="2593" spans="1:16" x14ac:dyDescent="0.35">
      <c r="A2593" t="s">
        <v>105</v>
      </c>
      <c r="B2593">
        <v>1324725625</v>
      </c>
      <c r="C2593" t="s">
        <v>18</v>
      </c>
      <c r="D2593" t="s">
        <v>20</v>
      </c>
      <c r="E2593" s="29">
        <v>46207</v>
      </c>
      <c r="F2593" t="s">
        <v>5</v>
      </c>
      <c r="G2593" s="28">
        <v>0.7416666666666667</v>
      </c>
      <c r="H2593" s="28">
        <v>0.7416666666666667</v>
      </c>
      <c r="I2593">
        <v>0</v>
      </c>
      <c r="J2593" t="s">
        <v>174</v>
      </c>
      <c r="K2593">
        <v>0</v>
      </c>
      <c r="L2593" t="s">
        <v>7140</v>
      </c>
      <c r="M2593" t="s">
        <v>7094</v>
      </c>
      <c r="N2593" t="s">
        <v>7095</v>
      </c>
      <c r="O2593" t="s">
        <v>7096</v>
      </c>
      <c r="P2593" t="s">
        <v>7097</v>
      </c>
    </row>
    <row r="2594" spans="1:16" x14ac:dyDescent="0.35">
      <c r="A2594" t="s">
        <v>105</v>
      </c>
      <c r="B2594">
        <v>1324725625</v>
      </c>
      <c r="C2594" t="s">
        <v>18</v>
      </c>
      <c r="D2594" t="s">
        <v>20</v>
      </c>
      <c r="E2594" s="29">
        <v>46207</v>
      </c>
      <c r="F2594" t="s">
        <v>5</v>
      </c>
      <c r="G2594" s="28">
        <v>0.74861111111111112</v>
      </c>
      <c r="H2594" s="28">
        <v>0.74861111111111112</v>
      </c>
      <c r="I2594">
        <v>0</v>
      </c>
      <c r="J2594" t="s">
        <v>174</v>
      </c>
      <c r="K2594">
        <v>0</v>
      </c>
      <c r="L2594" t="s">
        <v>7140</v>
      </c>
      <c r="M2594" t="s">
        <v>7141</v>
      </c>
      <c r="N2594" t="s">
        <v>7142</v>
      </c>
      <c r="O2594" t="s">
        <v>7143</v>
      </c>
      <c r="P2594" t="s">
        <v>7144</v>
      </c>
    </row>
    <row r="2595" spans="1:16" x14ac:dyDescent="0.35">
      <c r="A2595" t="s">
        <v>105</v>
      </c>
      <c r="B2595">
        <v>1324725625</v>
      </c>
      <c r="C2595" t="s">
        <v>18</v>
      </c>
      <c r="D2595" t="s">
        <v>20</v>
      </c>
      <c r="E2595" s="29">
        <v>46207</v>
      </c>
      <c r="F2595" t="s">
        <v>5</v>
      </c>
      <c r="G2595" s="28">
        <v>0.76249999999999996</v>
      </c>
      <c r="H2595" s="28">
        <v>0.77638888888888891</v>
      </c>
      <c r="I2595">
        <v>0</v>
      </c>
      <c r="J2595" t="s">
        <v>146</v>
      </c>
      <c r="K2595">
        <v>1</v>
      </c>
      <c r="L2595" t="s">
        <v>147</v>
      </c>
      <c r="M2595" t="s">
        <v>7094</v>
      </c>
      <c r="N2595" t="s">
        <v>7095</v>
      </c>
      <c r="O2595" t="s">
        <v>7096</v>
      </c>
      <c r="P2595" t="s">
        <v>7097</v>
      </c>
    </row>
    <row r="2596" spans="1:16" x14ac:dyDescent="0.35">
      <c r="A2596" t="s">
        <v>105</v>
      </c>
      <c r="B2596">
        <v>1324725625</v>
      </c>
      <c r="C2596" t="s">
        <v>18</v>
      </c>
      <c r="D2596" t="s">
        <v>20</v>
      </c>
      <c r="E2596" s="29">
        <v>46207</v>
      </c>
      <c r="F2596" t="s">
        <v>5</v>
      </c>
      <c r="G2596" s="28">
        <v>0.78263888888888888</v>
      </c>
      <c r="H2596" s="28">
        <v>0.78263888888888888</v>
      </c>
      <c r="I2596">
        <v>0</v>
      </c>
      <c r="J2596" t="s">
        <v>174</v>
      </c>
      <c r="K2596">
        <v>0</v>
      </c>
      <c r="L2596" t="s">
        <v>7145</v>
      </c>
      <c r="M2596" t="s">
        <v>7146</v>
      </c>
      <c r="N2596" t="s">
        <v>7147</v>
      </c>
      <c r="O2596" t="s">
        <v>7148</v>
      </c>
      <c r="P2596" t="s">
        <v>7149</v>
      </c>
    </row>
    <row r="2597" spans="1:16" x14ac:dyDescent="0.35">
      <c r="A2597" t="s">
        <v>105</v>
      </c>
      <c r="B2597">
        <v>1324725625</v>
      </c>
      <c r="C2597" t="s">
        <v>18</v>
      </c>
      <c r="D2597" t="s">
        <v>20</v>
      </c>
      <c r="E2597" s="29">
        <v>46207</v>
      </c>
      <c r="F2597" t="s">
        <v>5</v>
      </c>
      <c r="G2597" s="28">
        <v>0.79027777777777775</v>
      </c>
      <c r="H2597" s="28">
        <v>0.79027777777777775</v>
      </c>
      <c r="I2597">
        <v>0</v>
      </c>
      <c r="J2597" t="s">
        <v>174</v>
      </c>
      <c r="K2597">
        <v>0</v>
      </c>
      <c r="L2597" t="s">
        <v>7150</v>
      </c>
      <c r="M2597" t="s">
        <v>7103</v>
      </c>
      <c r="N2597" t="s">
        <v>7104</v>
      </c>
      <c r="O2597" t="s">
        <v>7007</v>
      </c>
      <c r="P2597" t="s">
        <v>7105</v>
      </c>
    </row>
    <row r="2598" spans="1:16" x14ac:dyDescent="0.35">
      <c r="A2598" t="s">
        <v>105</v>
      </c>
      <c r="B2598">
        <v>1324725625</v>
      </c>
      <c r="C2598" t="s">
        <v>18</v>
      </c>
      <c r="D2598" t="s">
        <v>20</v>
      </c>
      <c r="E2598" s="29">
        <v>46208</v>
      </c>
      <c r="F2598" t="s">
        <v>6</v>
      </c>
      <c r="G2598" s="28">
        <v>0.39444444444444443</v>
      </c>
      <c r="H2598" s="28">
        <v>0.39444444444444443</v>
      </c>
      <c r="I2598">
        <v>0</v>
      </c>
      <c r="J2598" t="s">
        <v>174</v>
      </c>
      <c r="K2598">
        <v>0</v>
      </c>
      <c r="L2598" t="s">
        <v>7151</v>
      </c>
      <c r="M2598" t="s">
        <v>7152</v>
      </c>
      <c r="N2598" t="s">
        <v>7153</v>
      </c>
      <c r="O2598" t="s">
        <v>7154</v>
      </c>
      <c r="P2598" t="s">
        <v>7155</v>
      </c>
    </row>
    <row r="2599" spans="1:16" x14ac:dyDescent="0.35">
      <c r="A2599" t="s">
        <v>105</v>
      </c>
      <c r="B2599">
        <v>1324725625</v>
      </c>
      <c r="C2599" t="s">
        <v>18</v>
      </c>
      <c r="D2599" t="s">
        <v>20</v>
      </c>
      <c r="E2599" s="29">
        <v>46208</v>
      </c>
      <c r="F2599" t="s">
        <v>6</v>
      </c>
      <c r="G2599" s="28">
        <v>0.40138888888888891</v>
      </c>
      <c r="H2599" s="28">
        <v>0.40138888888888891</v>
      </c>
      <c r="I2599">
        <v>0</v>
      </c>
      <c r="J2599" t="s">
        <v>174</v>
      </c>
      <c r="K2599">
        <v>0</v>
      </c>
      <c r="L2599" t="s">
        <v>1170</v>
      </c>
      <c r="M2599" t="s">
        <v>7156</v>
      </c>
      <c r="N2599" t="s">
        <v>7157</v>
      </c>
      <c r="O2599" t="s">
        <v>7158</v>
      </c>
      <c r="P2599" t="s">
        <v>7159</v>
      </c>
    </row>
    <row r="2600" spans="1:16" x14ac:dyDescent="0.35">
      <c r="A2600" t="s">
        <v>105</v>
      </c>
      <c r="B2600">
        <v>1324725625</v>
      </c>
      <c r="C2600" t="s">
        <v>18</v>
      </c>
      <c r="D2600" t="s">
        <v>20</v>
      </c>
      <c r="E2600" s="29">
        <v>46208</v>
      </c>
      <c r="F2600" t="s">
        <v>6</v>
      </c>
      <c r="G2600" s="28">
        <v>0.40833333333333333</v>
      </c>
      <c r="H2600" s="28">
        <v>0.40833333333333333</v>
      </c>
      <c r="I2600">
        <v>0</v>
      </c>
      <c r="J2600" t="s">
        <v>174</v>
      </c>
      <c r="K2600">
        <v>0</v>
      </c>
      <c r="L2600" t="s">
        <v>1183</v>
      </c>
      <c r="M2600" t="s">
        <v>7160</v>
      </c>
      <c r="N2600" t="s">
        <v>7161</v>
      </c>
      <c r="O2600" t="s">
        <v>7162</v>
      </c>
      <c r="P2600" t="s">
        <v>7163</v>
      </c>
    </row>
    <row r="2601" spans="1:16" x14ac:dyDescent="0.35">
      <c r="A2601" t="s">
        <v>105</v>
      </c>
      <c r="B2601">
        <v>1324725625</v>
      </c>
      <c r="C2601" t="s">
        <v>18</v>
      </c>
      <c r="D2601" t="s">
        <v>20</v>
      </c>
      <c r="E2601" s="29">
        <v>46208</v>
      </c>
      <c r="F2601" t="s">
        <v>6</v>
      </c>
      <c r="G2601" s="28">
        <v>0.4152777777777778</v>
      </c>
      <c r="H2601" s="28">
        <v>0.46388888888888891</v>
      </c>
      <c r="I2601">
        <v>1</v>
      </c>
      <c r="J2601" t="s">
        <v>146</v>
      </c>
      <c r="K2601">
        <v>4</v>
      </c>
      <c r="L2601" t="s">
        <v>147</v>
      </c>
      <c r="M2601" t="s">
        <v>7136</v>
      </c>
      <c r="N2601" t="s">
        <v>7137</v>
      </c>
      <c r="O2601" t="s">
        <v>7138</v>
      </c>
      <c r="P2601" t="s">
        <v>7139</v>
      </c>
    </row>
    <row r="2602" spans="1:16" x14ac:dyDescent="0.35">
      <c r="A2602" t="s">
        <v>105</v>
      </c>
      <c r="B2602">
        <v>1324725625</v>
      </c>
      <c r="C2602" t="s">
        <v>18</v>
      </c>
      <c r="D2602" t="s">
        <v>20</v>
      </c>
      <c r="E2602" s="29">
        <v>46208</v>
      </c>
      <c r="F2602" t="s">
        <v>6</v>
      </c>
      <c r="G2602" s="28">
        <v>0.47083333333333333</v>
      </c>
      <c r="H2602" s="28">
        <v>0.47083333333333333</v>
      </c>
      <c r="I2602">
        <v>0</v>
      </c>
      <c r="J2602" t="s">
        <v>174</v>
      </c>
      <c r="K2602">
        <v>0</v>
      </c>
      <c r="L2602" t="s">
        <v>1351</v>
      </c>
      <c r="M2602" t="s">
        <v>7164</v>
      </c>
      <c r="N2602" t="s">
        <v>7165</v>
      </c>
      <c r="O2602" t="s">
        <v>7166</v>
      </c>
      <c r="P2602" t="s">
        <v>7167</v>
      </c>
    </row>
    <row r="2603" spans="1:16" x14ac:dyDescent="0.35">
      <c r="A2603" t="s">
        <v>105</v>
      </c>
      <c r="B2603">
        <v>1324725625</v>
      </c>
      <c r="C2603" t="s">
        <v>18</v>
      </c>
      <c r="D2603" t="s">
        <v>20</v>
      </c>
      <c r="E2603" s="29">
        <v>46208</v>
      </c>
      <c r="F2603" t="s">
        <v>6</v>
      </c>
      <c r="G2603" s="28">
        <v>0.4777777777777778</v>
      </c>
      <c r="H2603" s="28">
        <v>0.4777777777777778</v>
      </c>
      <c r="I2603">
        <v>0</v>
      </c>
      <c r="J2603" t="s">
        <v>174</v>
      </c>
      <c r="K2603">
        <v>0</v>
      </c>
      <c r="L2603" t="s">
        <v>7168</v>
      </c>
      <c r="M2603" t="s">
        <v>7169</v>
      </c>
      <c r="N2603" t="s">
        <v>7170</v>
      </c>
      <c r="O2603" t="s">
        <v>7171</v>
      </c>
      <c r="P2603" t="s">
        <v>7172</v>
      </c>
    </row>
    <row r="2604" spans="1:16" x14ac:dyDescent="0.35">
      <c r="A2604" t="s">
        <v>105</v>
      </c>
      <c r="B2604">
        <v>1324725625</v>
      </c>
      <c r="C2604" t="s">
        <v>18</v>
      </c>
      <c r="D2604" t="s">
        <v>20</v>
      </c>
      <c r="E2604" s="29">
        <v>46208</v>
      </c>
      <c r="F2604" t="s">
        <v>6</v>
      </c>
      <c r="G2604" s="28">
        <v>0.48472222222222222</v>
      </c>
      <c r="H2604" s="28">
        <v>0.56805555555555554</v>
      </c>
      <c r="I2604">
        <v>2</v>
      </c>
      <c r="J2604" t="s">
        <v>146</v>
      </c>
      <c r="K2604">
        <v>6</v>
      </c>
      <c r="L2604" t="s">
        <v>147</v>
      </c>
      <c r="M2604" t="s">
        <v>7173</v>
      </c>
      <c r="N2604" t="s">
        <v>7174</v>
      </c>
      <c r="O2604" t="s">
        <v>7175</v>
      </c>
      <c r="P2604" t="s">
        <v>7176</v>
      </c>
    </row>
    <row r="2605" spans="1:16" x14ac:dyDescent="0.35">
      <c r="A2605" t="s">
        <v>105</v>
      </c>
      <c r="B2605">
        <v>1324725625</v>
      </c>
      <c r="C2605" t="s">
        <v>18</v>
      </c>
      <c r="D2605" t="s">
        <v>20</v>
      </c>
      <c r="E2605" s="29">
        <v>46208</v>
      </c>
      <c r="F2605" t="s">
        <v>6</v>
      </c>
      <c r="G2605" s="28">
        <v>0.57499999999999996</v>
      </c>
      <c r="H2605" s="28">
        <v>0.57499999999999996</v>
      </c>
      <c r="I2605">
        <v>0</v>
      </c>
      <c r="J2605" t="s">
        <v>174</v>
      </c>
      <c r="K2605">
        <v>0</v>
      </c>
      <c r="L2605" t="s">
        <v>1737</v>
      </c>
      <c r="M2605" t="s">
        <v>7177</v>
      </c>
      <c r="N2605" t="s">
        <v>7178</v>
      </c>
      <c r="O2605" t="s">
        <v>7179</v>
      </c>
      <c r="P2605" t="s">
        <v>7180</v>
      </c>
    </row>
    <row r="2606" spans="1:16" x14ac:dyDescent="0.35">
      <c r="A2606" t="s">
        <v>105</v>
      </c>
      <c r="B2606">
        <v>1324725625</v>
      </c>
      <c r="C2606" t="s">
        <v>18</v>
      </c>
      <c r="D2606" t="s">
        <v>20</v>
      </c>
      <c r="E2606" s="29">
        <v>46208</v>
      </c>
      <c r="F2606" t="s">
        <v>6</v>
      </c>
      <c r="G2606" s="28">
        <v>0.58194444444444449</v>
      </c>
      <c r="H2606" s="28">
        <v>0.58194444444444449</v>
      </c>
      <c r="I2606">
        <v>0</v>
      </c>
      <c r="J2606" t="s">
        <v>174</v>
      </c>
      <c r="K2606">
        <v>0</v>
      </c>
      <c r="L2606" t="s">
        <v>7181</v>
      </c>
      <c r="M2606" t="s">
        <v>7182</v>
      </c>
      <c r="N2606" t="s">
        <v>7183</v>
      </c>
      <c r="O2606" t="s">
        <v>7184</v>
      </c>
      <c r="P2606" t="s">
        <v>7185</v>
      </c>
    </row>
    <row r="2607" spans="1:16" x14ac:dyDescent="0.35">
      <c r="A2607" t="s">
        <v>105</v>
      </c>
      <c r="B2607">
        <v>1324725625</v>
      </c>
      <c r="C2607" t="s">
        <v>18</v>
      </c>
      <c r="D2607" t="s">
        <v>20</v>
      </c>
      <c r="E2607" s="29">
        <v>46208</v>
      </c>
      <c r="F2607" t="s">
        <v>6</v>
      </c>
      <c r="G2607" s="28">
        <v>0.58888888888888891</v>
      </c>
      <c r="H2607" s="28">
        <v>0.58888888888888891</v>
      </c>
      <c r="I2607">
        <v>0</v>
      </c>
      <c r="J2607" t="s">
        <v>174</v>
      </c>
      <c r="K2607">
        <v>0</v>
      </c>
      <c r="L2607" t="s">
        <v>1811</v>
      </c>
      <c r="M2607" t="s">
        <v>7186</v>
      </c>
      <c r="N2607" t="s">
        <v>7187</v>
      </c>
      <c r="O2607" t="s">
        <v>7188</v>
      </c>
      <c r="P2607" t="s">
        <v>7189</v>
      </c>
    </row>
    <row r="2608" spans="1:16" x14ac:dyDescent="0.35">
      <c r="A2608" t="s">
        <v>105</v>
      </c>
      <c r="B2608">
        <v>1324725625</v>
      </c>
      <c r="C2608" t="s">
        <v>18</v>
      </c>
      <c r="D2608" t="s">
        <v>20</v>
      </c>
      <c r="E2608" s="29">
        <v>46208</v>
      </c>
      <c r="F2608" t="s">
        <v>6</v>
      </c>
      <c r="G2608" s="28">
        <v>0.59583333333333333</v>
      </c>
      <c r="H2608" s="28">
        <v>0.59583333333333333</v>
      </c>
      <c r="I2608">
        <v>0</v>
      </c>
      <c r="J2608" t="s">
        <v>174</v>
      </c>
      <c r="K2608">
        <v>0</v>
      </c>
      <c r="L2608" t="s">
        <v>1811</v>
      </c>
      <c r="M2608" t="s">
        <v>7190</v>
      </c>
      <c r="N2608" t="s">
        <v>7191</v>
      </c>
      <c r="O2608" t="s">
        <v>7192</v>
      </c>
      <c r="P2608" t="s">
        <v>7193</v>
      </c>
    </row>
    <row r="2609" spans="1:16" x14ac:dyDescent="0.35">
      <c r="A2609" t="s">
        <v>105</v>
      </c>
      <c r="B2609">
        <v>1324725625</v>
      </c>
      <c r="C2609" t="s">
        <v>18</v>
      </c>
      <c r="D2609" t="s">
        <v>20</v>
      </c>
      <c r="E2609" s="29">
        <v>46208</v>
      </c>
      <c r="F2609" t="s">
        <v>6</v>
      </c>
      <c r="G2609" s="28">
        <v>0.60277777777777775</v>
      </c>
      <c r="H2609" s="28">
        <v>0.62361111111111112</v>
      </c>
      <c r="I2609">
        <v>1</v>
      </c>
      <c r="J2609" t="s">
        <v>146</v>
      </c>
      <c r="K2609">
        <v>2</v>
      </c>
      <c r="L2609" t="s">
        <v>147</v>
      </c>
      <c r="M2609" t="s">
        <v>7186</v>
      </c>
      <c r="N2609" t="s">
        <v>7187</v>
      </c>
      <c r="O2609" t="s">
        <v>7188</v>
      </c>
      <c r="P2609" t="s">
        <v>7189</v>
      </c>
    </row>
    <row r="2610" spans="1:16" x14ac:dyDescent="0.35">
      <c r="A2610" t="s">
        <v>105</v>
      </c>
      <c r="B2610">
        <v>1324725625</v>
      </c>
      <c r="C2610" t="s">
        <v>18</v>
      </c>
      <c r="D2610" t="s">
        <v>20</v>
      </c>
      <c r="E2610" s="29">
        <v>46208</v>
      </c>
      <c r="F2610" t="s">
        <v>6</v>
      </c>
      <c r="G2610" s="28">
        <v>0.63055555555555554</v>
      </c>
      <c r="H2610" s="28">
        <v>0.66527777777777775</v>
      </c>
      <c r="I2610">
        <v>1</v>
      </c>
      <c r="J2610" t="s">
        <v>146</v>
      </c>
      <c r="K2610">
        <v>2</v>
      </c>
      <c r="L2610" t="s">
        <v>147</v>
      </c>
      <c r="M2610" t="s">
        <v>7190</v>
      </c>
      <c r="N2610" t="s">
        <v>7191</v>
      </c>
      <c r="O2610" t="s">
        <v>7192</v>
      </c>
      <c r="P2610" t="s">
        <v>7193</v>
      </c>
    </row>
    <row r="2611" spans="1:16" x14ac:dyDescent="0.35">
      <c r="A2611" t="s">
        <v>105</v>
      </c>
      <c r="B2611">
        <v>1324725625</v>
      </c>
      <c r="C2611" t="s">
        <v>18</v>
      </c>
      <c r="D2611" t="s">
        <v>20</v>
      </c>
      <c r="E2611" s="29">
        <v>46208</v>
      </c>
      <c r="F2611" t="s">
        <v>6</v>
      </c>
      <c r="G2611" s="28">
        <v>0.67222222222222228</v>
      </c>
      <c r="H2611" s="28">
        <v>0.69861111111111107</v>
      </c>
      <c r="I2611">
        <v>1</v>
      </c>
      <c r="J2611" t="s">
        <v>146</v>
      </c>
      <c r="K2611">
        <v>2</v>
      </c>
      <c r="L2611" t="s">
        <v>147</v>
      </c>
      <c r="M2611" t="s">
        <v>7194</v>
      </c>
      <c r="N2611" t="s">
        <v>7195</v>
      </c>
      <c r="O2611" t="s">
        <v>7196</v>
      </c>
      <c r="P2611" t="s">
        <v>7197</v>
      </c>
    </row>
    <row r="2612" spans="1:16" x14ac:dyDescent="0.35">
      <c r="A2612" t="s">
        <v>105</v>
      </c>
      <c r="B2612">
        <v>1324725625</v>
      </c>
      <c r="C2612" t="s">
        <v>18</v>
      </c>
      <c r="D2612" t="s">
        <v>20</v>
      </c>
      <c r="E2612" s="29">
        <v>46208</v>
      </c>
      <c r="F2612" t="s">
        <v>6</v>
      </c>
      <c r="G2612" s="28">
        <v>0.70694444444444449</v>
      </c>
      <c r="H2612" s="28">
        <v>0.70694444444444449</v>
      </c>
      <c r="I2612">
        <v>0</v>
      </c>
      <c r="J2612" t="s">
        <v>174</v>
      </c>
      <c r="K2612">
        <v>0</v>
      </c>
      <c r="L2612" t="s">
        <v>7198</v>
      </c>
      <c r="M2612" t="s">
        <v>7199</v>
      </c>
      <c r="N2612" t="s">
        <v>7200</v>
      </c>
      <c r="O2612" t="s">
        <v>7201</v>
      </c>
      <c r="P2612" t="s">
        <v>7202</v>
      </c>
    </row>
    <row r="2613" spans="1:16" x14ac:dyDescent="0.35">
      <c r="A2613" t="s">
        <v>105</v>
      </c>
      <c r="B2613">
        <v>1324725625</v>
      </c>
      <c r="C2613" t="s">
        <v>18</v>
      </c>
      <c r="D2613" t="s">
        <v>20</v>
      </c>
      <c r="E2613" s="29">
        <v>46208</v>
      </c>
      <c r="F2613" t="s">
        <v>6</v>
      </c>
      <c r="G2613" s="28">
        <v>0.71388888888888891</v>
      </c>
      <c r="H2613" s="28">
        <v>0.71388888888888891</v>
      </c>
      <c r="I2613">
        <v>0</v>
      </c>
      <c r="J2613" t="s">
        <v>174</v>
      </c>
      <c r="K2613">
        <v>0</v>
      </c>
      <c r="L2613" t="s">
        <v>903</v>
      </c>
      <c r="M2613" t="s">
        <v>7203</v>
      </c>
      <c r="N2613" t="s">
        <v>7204</v>
      </c>
      <c r="O2613" t="s">
        <v>7205</v>
      </c>
      <c r="P2613" t="s">
        <v>7206</v>
      </c>
    </row>
    <row r="2614" spans="1:16" x14ac:dyDescent="0.35">
      <c r="A2614" t="s">
        <v>105</v>
      </c>
      <c r="B2614">
        <v>1324725625</v>
      </c>
      <c r="C2614" t="s">
        <v>18</v>
      </c>
      <c r="D2614" t="s">
        <v>20</v>
      </c>
      <c r="E2614" s="29">
        <v>46208</v>
      </c>
      <c r="F2614" t="s">
        <v>6</v>
      </c>
      <c r="G2614" s="28">
        <v>0.72083333333333333</v>
      </c>
      <c r="H2614" s="28">
        <v>0.72083333333333333</v>
      </c>
      <c r="I2614">
        <v>0</v>
      </c>
      <c r="J2614" t="s">
        <v>174</v>
      </c>
      <c r="K2614">
        <v>0</v>
      </c>
      <c r="L2614" t="s">
        <v>5459</v>
      </c>
      <c r="M2614" t="s">
        <v>7207</v>
      </c>
      <c r="N2614" t="s">
        <v>7208</v>
      </c>
      <c r="O2614" t="s">
        <v>7209</v>
      </c>
      <c r="P2614" t="s">
        <v>7210</v>
      </c>
    </row>
    <row r="2615" spans="1:16" x14ac:dyDescent="0.35">
      <c r="A2615" t="s">
        <v>105</v>
      </c>
      <c r="B2615">
        <v>1324725625</v>
      </c>
      <c r="C2615" t="s">
        <v>18</v>
      </c>
      <c r="D2615" t="s">
        <v>20</v>
      </c>
      <c r="E2615" s="29">
        <v>46208</v>
      </c>
      <c r="F2615" t="s">
        <v>6</v>
      </c>
      <c r="G2615" s="28">
        <v>0.72777777777777775</v>
      </c>
      <c r="H2615" s="28">
        <v>0.72777777777777775</v>
      </c>
      <c r="I2615">
        <v>0</v>
      </c>
      <c r="J2615" t="s">
        <v>174</v>
      </c>
      <c r="K2615">
        <v>0</v>
      </c>
      <c r="L2615" t="s">
        <v>7168</v>
      </c>
      <c r="M2615" t="s">
        <v>7211</v>
      </c>
      <c r="N2615" t="s">
        <v>7212</v>
      </c>
      <c r="O2615" t="s">
        <v>7213</v>
      </c>
      <c r="P2615" t="s">
        <v>7214</v>
      </c>
    </row>
    <row r="2616" spans="1:16" x14ac:dyDescent="0.35">
      <c r="A2616" t="s">
        <v>105</v>
      </c>
      <c r="B2616">
        <v>1324725625</v>
      </c>
      <c r="C2616" t="s">
        <v>18</v>
      </c>
      <c r="D2616" t="s">
        <v>20</v>
      </c>
      <c r="E2616" s="29">
        <v>46208</v>
      </c>
      <c r="F2616" t="s">
        <v>6</v>
      </c>
      <c r="G2616" s="28">
        <v>0.73472222222222228</v>
      </c>
      <c r="H2616" s="28">
        <v>0.73472222222222228</v>
      </c>
      <c r="I2616">
        <v>0</v>
      </c>
      <c r="J2616" t="s">
        <v>174</v>
      </c>
      <c r="K2616">
        <v>0</v>
      </c>
      <c r="L2616" t="s">
        <v>7215</v>
      </c>
      <c r="M2616" t="s">
        <v>7216</v>
      </c>
      <c r="N2616" t="s">
        <v>7217</v>
      </c>
      <c r="O2616" t="s">
        <v>7218</v>
      </c>
      <c r="P2616" t="s">
        <v>7219</v>
      </c>
    </row>
    <row r="2617" spans="1:16" x14ac:dyDescent="0.35">
      <c r="A2617" t="s">
        <v>105</v>
      </c>
      <c r="B2617">
        <v>1324725625</v>
      </c>
      <c r="C2617" t="s">
        <v>18</v>
      </c>
      <c r="D2617" t="s">
        <v>20</v>
      </c>
      <c r="E2617" s="29">
        <v>46208</v>
      </c>
      <c r="F2617" t="s">
        <v>6</v>
      </c>
      <c r="G2617" s="28">
        <v>0.7416666666666667</v>
      </c>
      <c r="H2617" s="28">
        <v>0.7416666666666667</v>
      </c>
      <c r="I2617">
        <v>0</v>
      </c>
      <c r="J2617" t="s">
        <v>174</v>
      </c>
      <c r="K2617">
        <v>0</v>
      </c>
      <c r="L2617" t="s">
        <v>3297</v>
      </c>
      <c r="M2617" t="s">
        <v>7220</v>
      </c>
      <c r="N2617" t="s">
        <v>7221</v>
      </c>
      <c r="O2617" t="s">
        <v>7222</v>
      </c>
      <c r="P2617" t="s">
        <v>7223</v>
      </c>
    </row>
    <row r="2618" spans="1:16" x14ac:dyDescent="0.35">
      <c r="A2618" t="s">
        <v>105</v>
      </c>
      <c r="B2618">
        <v>1324725625</v>
      </c>
      <c r="C2618" t="s">
        <v>18</v>
      </c>
      <c r="D2618" t="s">
        <v>20</v>
      </c>
      <c r="E2618" s="29">
        <v>46208</v>
      </c>
      <c r="F2618" t="s">
        <v>6</v>
      </c>
      <c r="G2618" s="28">
        <v>0.74861111111111112</v>
      </c>
      <c r="H2618" s="28">
        <v>0.77638888888888891</v>
      </c>
      <c r="I2618">
        <v>1</v>
      </c>
      <c r="J2618" t="s">
        <v>146</v>
      </c>
      <c r="K2618">
        <v>2</v>
      </c>
      <c r="L2618" t="s">
        <v>147</v>
      </c>
      <c r="M2618" t="s">
        <v>7064</v>
      </c>
      <c r="N2618" t="s">
        <v>7065</v>
      </c>
      <c r="O2618" t="s">
        <v>7066</v>
      </c>
      <c r="P2618" t="s">
        <v>7067</v>
      </c>
    </row>
    <row r="2619" spans="1:16" x14ac:dyDescent="0.35">
      <c r="A2619" t="s">
        <v>105</v>
      </c>
      <c r="B2619">
        <v>1324725625</v>
      </c>
      <c r="C2619" t="s">
        <v>18</v>
      </c>
      <c r="D2619" t="s">
        <v>20</v>
      </c>
      <c r="E2619" s="29">
        <v>46208</v>
      </c>
      <c r="F2619" t="s">
        <v>6</v>
      </c>
      <c r="G2619" s="28">
        <v>0.78333333333333333</v>
      </c>
      <c r="H2619" s="28">
        <v>0.79722222222222228</v>
      </c>
      <c r="I2619">
        <v>0</v>
      </c>
      <c r="J2619" t="s">
        <v>146</v>
      </c>
      <c r="K2619">
        <v>1</v>
      </c>
      <c r="L2619" t="s">
        <v>147</v>
      </c>
      <c r="M2619" t="s">
        <v>7224</v>
      </c>
      <c r="N2619" t="s">
        <v>7225</v>
      </c>
      <c r="O2619" t="s">
        <v>7226</v>
      </c>
      <c r="P2619" t="s">
        <v>7227</v>
      </c>
    </row>
    <row r="2620" spans="1:16" x14ac:dyDescent="0.35">
      <c r="A2620" t="s">
        <v>113</v>
      </c>
      <c r="B2620">
        <v>1329668962</v>
      </c>
      <c r="C2620" t="s">
        <v>18</v>
      </c>
      <c r="D2620" t="s">
        <v>20</v>
      </c>
      <c r="E2620" s="29">
        <v>46204</v>
      </c>
      <c r="F2620" t="s">
        <v>3</v>
      </c>
      <c r="G2620" s="28">
        <v>0.38611111111111113</v>
      </c>
      <c r="H2620" s="28">
        <v>0.38611111111111113</v>
      </c>
      <c r="I2620">
        <v>0</v>
      </c>
      <c r="J2620" t="s">
        <v>174</v>
      </c>
      <c r="K2620">
        <v>0</v>
      </c>
      <c r="L2620" t="s">
        <v>2772</v>
      </c>
      <c r="M2620" t="s">
        <v>7228</v>
      </c>
      <c r="N2620" t="s">
        <v>7229</v>
      </c>
      <c r="O2620" t="s">
        <v>7230</v>
      </c>
      <c r="P2620" t="s">
        <v>7231</v>
      </c>
    </row>
    <row r="2621" spans="1:16" x14ac:dyDescent="0.35">
      <c r="A2621" t="s">
        <v>113</v>
      </c>
      <c r="B2621">
        <v>1329668962</v>
      </c>
      <c r="C2621" t="s">
        <v>18</v>
      </c>
      <c r="D2621" t="s">
        <v>20</v>
      </c>
      <c r="E2621" s="29">
        <v>46204</v>
      </c>
      <c r="F2621" t="s">
        <v>3</v>
      </c>
      <c r="G2621" s="28">
        <v>0.39374999999999999</v>
      </c>
      <c r="H2621" s="28">
        <v>0.39374999999999999</v>
      </c>
      <c r="I2621">
        <v>0</v>
      </c>
      <c r="J2621" t="s">
        <v>174</v>
      </c>
      <c r="K2621">
        <v>0</v>
      </c>
      <c r="L2621" t="s">
        <v>7232</v>
      </c>
      <c r="M2621" t="s">
        <v>7233</v>
      </c>
      <c r="N2621" t="s">
        <v>7234</v>
      </c>
      <c r="O2621" t="s">
        <v>7235</v>
      </c>
      <c r="P2621" t="s">
        <v>7236</v>
      </c>
    </row>
    <row r="2622" spans="1:16" x14ac:dyDescent="0.35">
      <c r="A2622" t="s">
        <v>113</v>
      </c>
      <c r="B2622">
        <v>1329668962</v>
      </c>
      <c r="C2622" t="s">
        <v>18</v>
      </c>
      <c r="D2622" t="s">
        <v>20</v>
      </c>
      <c r="E2622" s="29">
        <v>46204</v>
      </c>
      <c r="F2622" t="s">
        <v>3</v>
      </c>
      <c r="G2622" s="28">
        <v>0.4</v>
      </c>
      <c r="H2622" s="28">
        <v>0.4</v>
      </c>
      <c r="I2622">
        <v>0</v>
      </c>
      <c r="J2622" t="s">
        <v>174</v>
      </c>
      <c r="K2622">
        <v>0</v>
      </c>
      <c r="L2622" t="s">
        <v>7237</v>
      </c>
      <c r="M2622" t="s">
        <v>7238</v>
      </c>
      <c r="N2622" t="s">
        <v>7239</v>
      </c>
      <c r="O2622" t="s">
        <v>7240</v>
      </c>
      <c r="P2622" t="s">
        <v>7241</v>
      </c>
    </row>
    <row r="2623" spans="1:16" x14ac:dyDescent="0.35">
      <c r="A2623" t="s">
        <v>113</v>
      </c>
      <c r="B2623">
        <v>1329668962</v>
      </c>
      <c r="C2623" t="s">
        <v>18</v>
      </c>
      <c r="D2623" t="s">
        <v>20</v>
      </c>
      <c r="E2623" s="29">
        <v>46204</v>
      </c>
      <c r="F2623" t="s">
        <v>3</v>
      </c>
      <c r="G2623" s="28">
        <v>0.40763888888888888</v>
      </c>
      <c r="H2623" s="28">
        <v>0.40763888888888888</v>
      </c>
      <c r="I2623">
        <v>0</v>
      </c>
      <c r="J2623" t="s">
        <v>174</v>
      </c>
      <c r="K2623">
        <v>0</v>
      </c>
      <c r="L2623" t="s">
        <v>7242</v>
      </c>
      <c r="M2623" t="s">
        <v>7243</v>
      </c>
      <c r="N2623" t="s">
        <v>7244</v>
      </c>
      <c r="O2623" t="s">
        <v>7245</v>
      </c>
      <c r="P2623" t="s">
        <v>7246</v>
      </c>
    </row>
    <row r="2624" spans="1:16" x14ac:dyDescent="0.35">
      <c r="A2624" t="s">
        <v>113</v>
      </c>
      <c r="B2624">
        <v>1329668962</v>
      </c>
      <c r="C2624" t="s">
        <v>18</v>
      </c>
      <c r="D2624" t="s">
        <v>20</v>
      </c>
      <c r="E2624" s="29">
        <v>46204</v>
      </c>
      <c r="F2624" t="s">
        <v>3</v>
      </c>
      <c r="G2624" s="28">
        <v>0.41458333333333336</v>
      </c>
      <c r="H2624" s="28">
        <v>0.42083333333333334</v>
      </c>
      <c r="I2624">
        <v>0</v>
      </c>
      <c r="J2624" t="s">
        <v>146</v>
      </c>
      <c r="K2624">
        <v>0</v>
      </c>
      <c r="L2624" t="s">
        <v>147</v>
      </c>
      <c r="M2624" t="s">
        <v>7247</v>
      </c>
      <c r="N2624" t="s">
        <v>7248</v>
      </c>
      <c r="O2624" t="s">
        <v>7249</v>
      </c>
      <c r="P2624" t="s">
        <v>7250</v>
      </c>
    </row>
    <row r="2625" spans="1:16" x14ac:dyDescent="0.35">
      <c r="A2625" t="s">
        <v>113</v>
      </c>
      <c r="B2625">
        <v>1329668962</v>
      </c>
      <c r="C2625" t="s">
        <v>18</v>
      </c>
      <c r="D2625" t="s">
        <v>20</v>
      </c>
      <c r="E2625" s="29">
        <v>46204</v>
      </c>
      <c r="F2625" t="s">
        <v>3</v>
      </c>
      <c r="G2625" s="28">
        <v>0.42777777777777776</v>
      </c>
      <c r="H2625" s="28">
        <v>0.43472222222222223</v>
      </c>
      <c r="I2625">
        <v>0</v>
      </c>
      <c r="J2625" t="s">
        <v>146</v>
      </c>
      <c r="K2625">
        <v>1</v>
      </c>
      <c r="L2625" t="s">
        <v>147</v>
      </c>
      <c r="M2625" t="s">
        <v>7228</v>
      </c>
      <c r="N2625" t="s">
        <v>7229</v>
      </c>
      <c r="O2625" t="s">
        <v>7230</v>
      </c>
      <c r="P2625" t="s">
        <v>7231</v>
      </c>
    </row>
    <row r="2626" spans="1:16" x14ac:dyDescent="0.35">
      <c r="A2626" t="s">
        <v>113</v>
      </c>
      <c r="B2626">
        <v>1329668962</v>
      </c>
      <c r="C2626" t="s">
        <v>18</v>
      </c>
      <c r="D2626" t="s">
        <v>20</v>
      </c>
      <c r="E2626" s="29">
        <v>46204</v>
      </c>
      <c r="F2626" t="s">
        <v>3</v>
      </c>
      <c r="G2626" s="28">
        <v>0.44166666666666665</v>
      </c>
      <c r="H2626" s="28">
        <v>0.44166666666666665</v>
      </c>
      <c r="I2626">
        <v>0</v>
      </c>
      <c r="J2626" t="s">
        <v>174</v>
      </c>
      <c r="K2626">
        <v>0</v>
      </c>
      <c r="L2626" t="s">
        <v>1811</v>
      </c>
      <c r="M2626" t="s">
        <v>7251</v>
      </c>
      <c r="N2626" t="s">
        <v>7252</v>
      </c>
      <c r="O2626" t="s">
        <v>7253</v>
      </c>
      <c r="P2626" t="s">
        <v>7254</v>
      </c>
    </row>
    <row r="2627" spans="1:16" x14ac:dyDescent="0.35">
      <c r="A2627" t="s">
        <v>113</v>
      </c>
      <c r="B2627">
        <v>1329668962</v>
      </c>
      <c r="C2627" t="s">
        <v>18</v>
      </c>
      <c r="D2627" t="s">
        <v>20</v>
      </c>
      <c r="E2627" s="29">
        <v>46204</v>
      </c>
      <c r="F2627" t="s">
        <v>3</v>
      </c>
      <c r="G2627" s="28">
        <v>0.44861111111111113</v>
      </c>
      <c r="H2627" s="28">
        <v>0.54583333333333328</v>
      </c>
      <c r="I2627">
        <v>2</v>
      </c>
      <c r="J2627" t="s">
        <v>146</v>
      </c>
      <c r="K2627">
        <v>7</v>
      </c>
      <c r="L2627" t="s">
        <v>147</v>
      </c>
      <c r="M2627" t="s">
        <v>7228</v>
      </c>
      <c r="N2627" t="s">
        <v>7229</v>
      </c>
      <c r="O2627" t="s">
        <v>7230</v>
      </c>
      <c r="P2627" t="s">
        <v>7231</v>
      </c>
    </row>
    <row r="2628" spans="1:16" x14ac:dyDescent="0.35">
      <c r="A2628" t="s">
        <v>113</v>
      </c>
      <c r="B2628">
        <v>1329668962</v>
      </c>
      <c r="C2628" t="s">
        <v>18</v>
      </c>
      <c r="D2628" t="s">
        <v>20</v>
      </c>
      <c r="E2628" s="29">
        <v>46204</v>
      </c>
      <c r="F2628" t="s">
        <v>3</v>
      </c>
      <c r="G2628" s="28">
        <v>0.55277777777777781</v>
      </c>
      <c r="H2628" s="28">
        <v>0.56666666666666665</v>
      </c>
      <c r="I2628">
        <v>0</v>
      </c>
      <c r="J2628" t="s">
        <v>146</v>
      </c>
      <c r="K2628">
        <v>1</v>
      </c>
      <c r="L2628" t="s">
        <v>147</v>
      </c>
      <c r="M2628" t="s">
        <v>7255</v>
      </c>
      <c r="N2628" t="s">
        <v>7256</v>
      </c>
      <c r="O2628" t="s">
        <v>7257</v>
      </c>
      <c r="P2628" t="s">
        <v>7258</v>
      </c>
    </row>
    <row r="2629" spans="1:16" x14ac:dyDescent="0.35">
      <c r="A2629" t="s">
        <v>113</v>
      </c>
      <c r="B2629">
        <v>1329668962</v>
      </c>
      <c r="C2629" t="s">
        <v>18</v>
      </c>
      <c r="D2629" t="s">
        <v>20</v>
      </c>
      <c r="E2629" s="29">
        <v>46204</v>
      </c>
      <c r="F2629" t="s">
        <v>3</v>
      </c>
      <c r="G2629" s="28">
        <v>0.57361111111111107</v>
      </c>
      <c r="H2629" s="28">
        <v>0.6430555555555556</v>
      </c>
      <c r="I2629">
        <v>2</v>
      </c>
      <c r="J2629" t="s">
        <v>146</v>
      </c>
      <c r="K2629">
        <v>5</v>
      </c>
      <c r="L2629" t="s">
        <v>147</v>
      </c>
      <c r="M2629" t="s">
        <v>7228</v>
      </c>
      <c r="N2629" t="s">
        <v>7229</v>
      </c>
      <c r="O2629" t="s">
        <v>7230</v>
      </c>
      <c r="P2629" t="s">
        <v>7231</v>
      </c>
    </row>
    <row r="2630" spans="1:16" x14ac:dyDescent="0.35">
      <c r="A2630" t="s">
        <v>113</v>
      </c>
      <c r="B2630">
        <v>1329668962</v>
      </c>
      <c r="C2630" t="s">
        <v>18</v>
      </c>
      <c r="D2630" t="s">
        <v>20</v>
      </c>
      <c r="E2630" s="29">
        <v>46204</v>
      </c>
      <c r="F2630" t="s">
        <v>3</v>
      </c>
      <c r="G2630" s="28">
        <v>0.65</v>
      </c>
      <c r="H2630" s="28">
        <v>0.65</v>
      </c>
      <c r="I2630">
        <v>0</v>
      </c>
      <c r="J2630" t="s">
        <v>174</v>
      </c>
      <c r="K2630">
        <v>0</v>
      </c>
      <c r="L2630" t="s">
        <v>7259</v>
      </c>
      <c r="M2630" t="s">
        <v>7247</v>
      </c>
      <c r="N2630" t="s">
        <v>7248</v>
      </c>
      <c r="O2630" t="s">
        <v>7249</v>
      </c>
      <c r="P2630" t="s">
        <v>7250</v>
      </c>
    </row>
    <row r="2631" spans="1:16" x14ac:dyDescent="0.35">
      <c r="A2631" t="s">
        <v>113</v>
      </c>
      <c r="B2631">
        <v>1329668962</v>
      </c>
      <c r="C2631" t="s">
        <v>18</v>
      </c>
      <c r="D2631" t="s">
        <v>20</v>
      </c>
      <c r="E2631" s="29">
        <v>46204</v>
      </c>
      <c r="F2631" t="s">
        <v>3</v>
      </c>
      <c r="G2631" s="28">
        <v>0.65694444444444444</v>
      </c>
      <c r="H2631" s="28">
        <v>0.67777777777777781</v>
      </c>
      <c r="I2631">
        <v>1</v>
      </c>
      <c r="J2631" t="s">
        <v>146</v>
      </c>
      <c r="K2631">
        <v>2</v>
      </c>
      <c r="L2631" t="s">
        <v>147</v>
      </c>
      <c r="M2631" t="s">
        <v>7228</v>
      </c>
      <c r="N2631" t="s">
        <v>7229</v>
      </c>
      <c r="O2631" t="s">
        <v>7230</v>
      </c>
      <c r="P2631" t="s">
        <v>7231</v>
      </c>
    </row>
    <row r="2632" spans="1:16" x14ac:dyDescent="0.35">
      <c r="A2632" t="s">
        <v>113</v>
      </c>
      <c r="B2632">
        <v>1329668962</v>
      </c>
      <c r="C2632" t="s">
        <v>18</v>
      </c>
      <c r="D2632" t="s">
        <v>20</v>
      </c>
      <c r="E2632" s="29">
        <v>46204</v>
      </c>
      <c r="F2632" t="s">
        <v>3</v>
      </c>
      <c r="G2632" s="28">
        <v>0.68472222222222223</v>
      </c>
      <c r="H2632" s="28">
        <v>0.68472222222222223</v>
      </c>
      <c r="I2632">
        <v>0</v>
      </c>
      <c r="J2632" t="s">
        <v>174</v>
      </c>
      <c r="K2632">
        <v>0</v>
      </c>
      <c r="L2632" t="s">
        <v>7260</v>
      </c>
      <c r="M2632" t="s">
        <v>7247</v>
      </c>
      <c r="N2632" t="s">
        <v>7248</v>
      </c>
      <c r="O2632" t="s">
        <v>7249</v>
      </c>
      <c r="P2632" t="s">
        <v>7250</v>
      </c>
    </row>
    <row r="2633" spans="1:16" x14ac:dyDescent="0.35">
      <c r="A2633" t="s">
        <v>113</v>
      </c>
      <c r="B2633">
        <v>1329668962</v>
      </c>
      <c r="C2633" t="s">
        <v>18</v>
      </c>
      <c r="D2633" t="s">
        <v>20</v>
      </c>
      <c r="E2633" s="29">
        <v>46204</v>
      </c>
      <c r="F2633" t="s">
        <v>3</v>
      </c>
      <c r="G2633" s="28">
        <v>0.69861111111111107</v>
      </c>
      <c r="H2633" s="28">
        <v>0.69861111111111107</v>
      </c>
      <c r="I2633">
        <v>0</v>
      </c>
      <c r="J2633" t="s">
        <v>174</v>
      </c>
      <c r="K2633">
        <v>0</v>
      </c>
      <c r="L2633" t="s">
        <v>1811</v>
      </c>
      <c r="M2633" t="s">
        <v>7251</v>
      </c>
      <c r="N2633" t="s">
        <v>7252</v>
      </c>
      <c r="O2633" t="s">
        <v>7253</v>
      </c>
      <c r="P2633" t="s">
        <v>7254</v>
      </c>
    </row>
    <row r="2634" spans="1:16" x14ac:dyDescent="0.35">
      <c r="A2634" t="s">
        <v>113</v>
      </c>
      <c r="B2634">
        <v>1329668962</v>
      </c>
      <c r="C2634" t="s">
        <v>18</v>
      </c>
      <c r="D2634" t="s">
        <v>20</v>
      </c>
      <c r="E2634" s="29">
        <v>46204</v>
      </c>
      <c r="F2634" t="s">
        <v>3</v>
      </c>
      <c r="G2634" s="28">
        <v>0.7055555555555556</v>
      </c>
      <c r="H2634" s="28">
        <v>0.71250000000000002</v>
      </c>
      <c r="I2634">
        <v>0</v>
      </c>
      <c r="J2634" t="s">
        <v>146</v>
      </c>
      <c r="K2634">
        <v>0</v>
      </c>
      <c r="L2634" t="s">
        <v>147</v>
      </c>
      <c r="M2634" t="s">
        <v>7228</v>
      </c>
      <c r="N2634" t="s">
        <v>7229</v>
      </c>
      <c r="O2634" t="s">
        <v>7230</v>
      </c>
      <c r="P2634" t="s">
        <v>7231</v>
      </c>
    </row>
    <row r="2635" spans="1:16" x14ac:dyDescent="0.35">
      <c r="A2635" t="s">
        <v>113</v>
      </c>
      <c r="B2635">
        <v>1329668962</v>
      </c>
      <c r="C2635" t="s">
        <v>18</v>
      </c>
      <c r="D2635" t="s">
        <v>20</v>
      </c>
      <c r="E2635" s="29">
        <v>46204</v>
      </c>
      <c r="F2635" t="s">
        <v>3</v>
      </c>
      <c r="G2635" s="28">
        <v>0.71944444444444444</v>
      </c>
      <c r="H2635" s="28">
        <v>0.71944444444444444</v>
      </c>
      <c r="I2635">
        <v>0</v>
      </c>
      <c r="J2635" t="s">
        <v>174</v>
      </c>
      <c r="K2635">
        <v>0</v>
      </c>
      <c r="L2635" t="s">
        <v>1188</v>
      </c>
      <c r="M2635" t="s">
        <v>7261</v>
      </c>
      <c r="N2635" t="s">
        <v>7262</v>
      </c>
      <c r="O2635" t="s">
        <v>7263</v>
      </c>
      <c r="P2635" t="s">
        <v>7264</v>
      </c>
    </row>
    <row r="2636" spans="1:16" x14ac:dyDescent="0.35">
      <c r="A2636" t="s">
        <v>113</v>
      </c>
      <c r="B2636">
        <v>1329668962</v>
      </c>
      <c r="C2636" t="s">
        <v>18</v>
      </c>
      <c r="D2636" t="s">
        <v>20</v>
      </c>
      <c r="E2636" s="29">
        <v>46204</v>
      </c>
      <c r="F2636" t="s">
        <v>3</v>
      </c>
      <c r="G2636" s="28">
        <v>0.72638888888888886</v>
      </c>
      <c r="H2636" s="28">
        <v>0.74722222222222223</v>
      </c>
      <c r="I2636">
        <v>1</v>
      </c>
      <c r="J2636" t="s">
        <v>146</v>
      </c>
      <c r="K2636">
        <v>2</v>
      </c>
      <c r="L2636" t="s">
        <v>147</v>
      </c>
      <c r="M2636" t="s">
        <v>7228</v>
      </c>
      <c r="N2636" t="s">
        <v>7229</v>
      </c>
      <c r="O2636" t="s">
        <v>7230</v>
      </c>
      <c r="P2636" t="s">
        <v>7231</v>
      </c>
    </row>
    <row r="2637" spans="1:16" x14ac:dyDescent="0.35">
      <c r="A2637" t="s">
        <v>113</v>
      </c>
      <c r="B2637">
        <v>1329668962</v>
      </c>
      <c r="C2637" t="s">
        <v>18</v>
      </c>
      <c r="D2637" t="s">
        <v>20</v>
      </c>
      <c r="E2637" s="29">
        <v>46204</v>
      </c>
      <c r="F2637" t="s">
        <v>3</v>
      </c>
      <c r="G2637" s="28">
        <v>0.75416666666666665</v>
      </c>
      <c r="H2637" s="28">
        <v>0.75416666666666665</v>
      </c>
      <c r="I2637">
        <v>0</v>
      </c>
      <c r="J2637" t="s">
        <v>174</v>
      </c>
      <c r="K2637">
        <v>0</v>
      </c>
      <c r="L2637" t="s">
        <v>1188</v>
      </c>
      <c r="M2637" t="s">
        <v>7261</v>
      </c>
      <c r="N2637" t="s">
        <v>7262</v>
      </c>
      <c r="O2637" t="s">
        <v>7263</v>
      </c>
      <c r="P2637" t="s">
        <v>7264</v>
      </c>
    </row>
    <row r="2638" spans="1:16" x14ac:dyDescent="0.35">
      <c r="A2638" t="s">
        <v>113</v>
      </c>
      <c r="B2638">
        <v>1329668962</v>
      </c>
      <c r="C2638" t="s">
        <v>18</v>
      </c>
      <c r="D2638" t="s">
        <v>20</v>
      </c>
      <c r="E2638" s="29">
        <v>46204</v>
      </c>
      <c r="F2638" t="s">
        <v>3</v>
      </c>
      <c r="G2638" s="28">
        <v>0.76111111111111107</v>
      </c>
      <c r="H2638" s="28">
        <v>0.76111111111111107</v>
      </c>
      <c r="I2638">
        <v>0</v>
      </c>
      <c r="J2638" t="s">
        <v>174</v>
      </c>
      <c r="K2638">
        <v>0</v>
      </c>
      <c r="L2638" t="s">
        <v>1811</v>
      </c>
      <c r="M2638" t="s">
        <v>7228</v>
      </c>
      <c r="N2638" t="s">
        <v>7229</v>
      </c>
      <c r="O2638" t="s">
        <v>7230</v>
      </c>
      <c r="P2638" t="s">
        <v>7231</v>
      </c>
    </row>
    <row r="2639" spans="1:16" x14ac:dyDescent="0.35">
      <c r="A2639" t="s">
        <v>113</v>
      </c>
      <c r="B2639">
        <v>1329668962</v>
      </c>
      <c r="C2639" t="s">
        <v>18</v>
      </c>
      <c r="D2639" t="s">
        <v>20</v>
      </c>
      <c r="E2639" s="29">
        <v>46204</v>
      </c>
      <c r="F2639" t="s">
        <v>3</v>
      </c>
      <c r="G2639" s="28">
        <v>0.7680555555555556</v>
      </c>
      <c r="H2639" s="28">
        <v>0.7680555555555556</v>
      </c>
      <c r="I2639">
        <v>0</v>
      </c>
      <c r="J2639" t="s">
        <v>174</v>
      </c>
      <c r="K2639">
        <v>0</v>
      </c>
      <c r="L2639" t="s">
        <v>1027</v>
      </c>
      <c r="M2639" t="s">
        <v>7251</v>
      </c>
      <c r="N2639" t="s">
        <v>7252</v>
      </c>
      <c r="O2639" t="s">
        <v>7253</v>
      </c>
      <c r="P2639" t="s">
        <v>7254</v>
      </c>
    </row>
    <row r="2640" spans="1:16" x14ac:dyDescent="0.35">
      <c r="A2640" t="s">
        <v>113</v>
      </c>
      <c r="B2640">
        <v>1329668962</v>
      </c>
      <c r="C2640" t="s">
        <v>18</v>
      </c>
      <c r="D2640" t="s">
        <v>20</v>
      </c>
      <c r="E2640" s="29">
        <v>46204</v>
      </c>
      <c r="F2640" t="s">
        <v>3</v>
      </c>
      <c r="G2640" s="28">
        <v>0.77500000000000002</v>
      </c>
      <c r="H2640" s="28">
        <v>0.77500000000000002</v>
      </c>
      <c r="I2640">
        <v>0</v>
      </c>
      <c r="J2640" t="s">
        <v>174</v>
      </c>
      <c r="K2640">
        <v>0</v>
      </c>
      <c r="L2640" t="s">
        <v>7265</v>
      </c>
      <c r="M2640" t="s">
        <v>7266</v>
      </c>
      <c r="N2640" t="s">
        <v>7267</v>
      </c>
      <c r="O2640" t="s">
        <v>7268</v>
      </c>
      <c r="P2640" t="s">
        <v>7269</v>
      </c>
    </row>
    <row r="2641" spans="1:16" x14ac:dyDescent="0.35">
      <c r="A2641" t="s">
        <v>113</v>
      </c>
      <c r="B2641">
        <v>1329668962</v>
      </c>
      <c r="C2641" t="s">
        <v>18</v>
      </c>
      <c r="D2641" t="s">
        <v>20</v>
      </c>
      <c r="E2641" s="29">
        <v>46204</v>
      </c>
      <c r="F2641" t="s">
        <v>3</v>
      </c>
      <c r="G2641" s="28">
        <v>0.78194444444444444</v>
      </c>
      <c r="H2641" s="28">
        <v>0.78888888888888886</v>
      </c>
      <c r="I2641">
        <v>0</v>
      </c>
      <c r="J2641" t="s">
        <v>146</v>
      </c>
      <c r="K2641">
        <v>0</v>
      </c>
      <c r="L2641" t="s">
        <v>147</v>
      </c>
      <c r="M2641" t="s">
        <v>7270</v>
      </c>
      <c r="N2641" t="s">
        <v>7271</v>
      </c>
      <c r="O2641" t="s">
        <v>7272</v>
      </c>
      <c r="P2641" t="s">
        <v>7273</v>
      </c>
    </row>
    <row r="2642" spans="1:16" x14ac:dyDescent="0.35">
      <c r="A2642" t="s">
        <v>113</v>
      </c>
      <c r="B2642">
        <v>1329668962</v>
      </c>
      <c r="C2642" t="s">
        <v>18</v>
      </c>
      <c r="D2642" t="s">
        <v>20</v>
      </c>
      <c r="E2642" s="29">
        <v>46205</v>
      </c>
      <c r="F2642" t="s">
        <v>4</v>
      </c>
      <c r="G2642" s="28">
        <v>0.42083333333333334</v>
      </c>
      <c r="H2642" s="28">
        <v>0.42083333333333334</v>
      </c>
      <c r="I2642">
        <v>0</v>
      </c>
      <c r="J2642" t="s">
        <v>174</v>
      </c>
      <c r="K2642">
        <v>0</v>
      </c>
      <c r="L2642" t="s">
        <v>7259</v>
      </c>
      <c r="M2642" t="s">
        <v>7247</v>
      </c>
      <c r="N2642" t="s">
        <v>7248</v>
      </c>
      <c r="O2642" t="s">
        <v>7249</v>
      </c>
      <c r="P2642" t="s">
        <v>7250</v>
      </c>
    </row>
    <row r="2643" spans="1:16" x14ac:dyDescent="0.35">
      <c r="A2643" t="s">
        <v>113</v>
      </c>
      <c r="B2643">
        <v>1329668962</v>
      </c>
      <c r="C2643" t="s">
        <v>18</v>
      </c>
      <c r="D2643" t="s">
        <v>20</v>
      </c>
      <c r="E2643" s="29">
        <v>46205</v>
      </c>
      <c r="F2643" t="s">
        <v>4</v>
      </c>
      <c r="G2643" s="28">
        <v>0.42777777777777776</v>
      </c>
      <c r="H2643" s="28">
        <v>0.47638888888888886</v>
      </c>
      <c r="I2643">
        <v>1</v>
      </c>
      <c r="J2643" t="s">
        <v>146</v>
      </c>
      <c r="K2643">
        <v>4</v>
      </c>
      <c r="L2643" t="s">
        <v>147</v>
      </c>
      <c r="M2643" t="s">
        <v>7228</v>
      </c>
      <c r="N2643" t="s">
        <v>7229</v>
      </c>
      <c r="O2643" t="s">
        <v>7230</v>
      </c>
      <c r="P2643" t="s">
        <v>7231</v>
      </c>
    </row>
    <row r="2644" spans="1:16" x14ac:dyDescent="0.35">
      <c r="A2644" t="s">
        <v>113</v>
      </c>
      <c r="B2644">
        <v>1329668962</v>
      </c>
      <c r="C2644" t="s">
        <v>18</v>
      </c>
      <c r="D2644" t="s">
        <v>20</v>
      </c>
      <c r="E2644" s="29">
        <v>46205</v>
      </c>
      <c r="F2644" t="s">
        <v>4</v>
      </c>
      <c r="G2644" s="28">
        <v>0.48333333333333334</v>
      </c>
      <c r="H2644" s="28">
        <v>0.48333333333333334</v>
      </c>
      <c r="I2644">
        <v>0</v>
      </c>
      <c r="J2644" t="s">
        <v>174</v>
      </c>
      <c r="K2644">
        <v>0</v>
      </c>
      <c r="L2644" t="s">
        <v>7274</v>
      </c>
      <c r="M2644" t="s">
        <v>7275</v>
      </c>
      <c r="N2644" t="s">
        <v>7276</v>
      </c>
      <c r="O2644" t="s">
        <v>7277</v>
      </c>
      <c r="P2644" t="s">
        <v>6145</v>
      </c>
    </row>
    <row r="2645" spans="1:16" x14ac:dyDescent="0.35">
      <c r="A2645" t="s">
        <v>113</v>
      </c>
      <c r="B2645">
        <v>1329668962</v>
      </c>
      <c r="C2645" t="s">
        <v>18</v>
      </c>
      <c r="D2645" t="s">
        <v>20</v>
      </c>
      <c r="E2645" s="29">
        <v>46205</v>
      </c>
      <c r="F2645" t="s">
        <v>4</v>
      </c>
      <c r="G2645" s="28">
        <v>0.49027777777777776</v>
      </c>
      <c r="H2645" s="28">
        <v>0.49027777777777776</v>
      </c>
      <c r="I2645">
        <v>0</v>
      </c>
      <c r="J2645" t="s">
        <v>174</v>
      </c>
      <c r="K2645">
        <v>0</v>
      </c>
      <c r="L2645" t="s">
        <v>394</v>
      </c>
      <c r="M2645" t="s">
        <v>7278</v>
      </c>
      <c r="N2645" t="s">
        <v>7279</v>
      </c>
      <c r="O2645" t="s">
        <v>7280</v>
      </c>
      <c r="P2645" t="s">
        <v>7281</v>
      </c>
    </row>
    <row r="2646" spans="1:16" x14ac:dyDescent="0.35">
      <c r="A2646" t="s">
        <v>113</v>
      </c>
      <c r="B2646">
        <v>1329668962</v>
      </c>
      <c r="C2646" t="s">
        <v>18</v>
      </c>
      <c r="D2646" t="s">
        <v>20</v>
      </c>
      <c r="E2646" s="29">
        <v>46205</v>
      </c>
      <c r="F2646" t="s">
        <v>4</v>
      </c>
      <c r="G2646" s="28">
        <v>0.49722222222222223</v>
      </c>
      <c r="H2646" s="28">
        <v>0.49722222222222223</v>
      </c>
      <c r="I2646">
        <v>0</v>
      </c>
      <c r="J2646" t="s">
        <v>174</v>
      </c>
      <c r="K2646">
        <v>0</v>
      </c>
      <c r="L2646" t="s">
        <v>1351</v>
      </c>
      <c r="M2646" t="s">
        <v>7282</v>
      </c>
      <c r="N2646" t="s">
        <v>7283</v>
      </c>
      <c r="O2646" t="s">
        <v>7284</v>
      </c>
      <c r="P2646" t="s">
        <v>7285</v>
      </c>
    </row>
    <row r="2647" spans="1:16" x14ac:dyDescent="0.35">
      <c r="A2647" t="s">
        <v>113</v>
      </c>
      <c r="B2647">
        <v>1329668962</v>
      </c>
      <c r="C2647" t="s">
        <v>18</v>
      </c>
      <c r="D2647" t="s">
        <v>20</v>
      </c>
      <c r="E2647" s="29">
        <v>46205</v>
      </c>
      <c r="F2647" t="s">
        <v>4</v>
      </c>
      <c r="G2647" s="28">
        <v>0.50416666666666665</v>
      </c>
      <c r="H2647" s="28">
        <v>0.5180555555555556</v>
      </c>
      <c r="I2647">
        <v>0</v>
      </c>
      <c r="J2647" t="s">
        <v>146</v>
      </c>
      <c r="K2647">
        <v>1</v>
      </c>
      <c r="L2647" t="s">
        <v>147</v>
      </c>
      <c r="M2647" t="s">
        <v>7228</v>
      </c>
      <c r="N2647" t="s">
        <v>7229</v>
      </c>
      <c r="O2647" t="s">
        <v>7230</v>
      </c>
      <c r="P2647" t="s">
        <v>7231</v>
      </c>
    </row>
    <row r="2648" spans="1:16" x14ac:dyDescent="0.35">
      <c r="A2648" t="s">
        <v>113</v>
      </c>
      <c r="B2648">
        <v>1329668962</v>
      </c>
      <c r="C2648" t="s">
        <v>18</v>
      </c>
      <c r="D2648" t="s">
        <v>20</v>
      </c>
      <c r="E2648" s="29">
        <v>46205</v>
      </c>
      <c r="F2648" t="s">
        <v>4</v>
      </c>
      <c r="G2648" s="28">
        <v>0.52500000000000002</v>
      </c>
      <c r="H2648" s="28">
        <v>0.53194444444444444</v>
      </c>
      <c r="I2648">
        <v>0</v>
      </c>
      <c r="J2648" t="s">
        <v>146</v>
      </c>
      <c r="K2648">
        <v>0</v>
      </c>
      <c r="L2648" t="s">
        <v>147</v>
      </c>
      <c r="M2648" t="s">
        <v>7251</v>
      </c>
      <c r="N2648" t="s">
        <v>7252</v>
      </c>
      <c r="O2648" t="s">
        <v>7253</v>
      </c>
      <c r="P2648" t="s">
        <v>7254</v>
      </c>
    </row>
    <row r="2649" spans="1:16" x14ac:dyDescent="0.35">
      <c r="A2649" t="s">
        <v>113</v>
      </c>
      <c r="B2649">
        <v>1329668962</v>
      </c>
      <c r="C2649" t="s">
        <v>18</v>
      </c>
      <c r="D2649" t="s">
        <v>20</v>
      </c>
      <c r="E2649" s="29">
        <v>46205</v>
      </c>
      <c r="F2649" t="s">
        <v>4</v>
      </c>
      <c r="G2649" s="28">
        <v>0.53888888888888886</v>
      </c>
      <c r="H2649" s="28">
        <v>0.53888888888888886</v>
      </c>
      <c r="I2649">
        <v>0</v>
      </c>
      <c r="J2649" t="s">
        <v>174</v>
      </c>
      <c r="K2649">
        <v>0</v>
      </c>
      <c r="L2649" t="s">
        <v>7286</v>
      </c>
      <c r="M2649" t="s">
        <v>7261</v>
      </c>
      <c r="N2649" t="s">
        <v>7262</v>
      </c>
      <c r="O2649" t="s">
        <v>7263</v>
      </c>
      <c r="P2649" t="s">
        <v>7264</v>
      </c>
    </row>
    <row r="2650" spans="1:16" x14ac:dyDescent="0.35">
      <c r="A2650" t="s">
        <v>113</v>
      </c>
      <c r="B2650">
        <v>1329668962</v>
      </c>
      <c r="C2650" t="s">
        <v>18</v>
      </c>
      <c r="D2650" t="s">
        <v>20</v>
      </c>
      <c r="E2650" s="29">
        <v>46205</v>
      </c>
      <c r="F2650" t="s">
        <v>4</v>
      </c>
      <c r="G2650" s="28">
        <v>0.54583333333333328</v>
      </c>
      <c r="H2650" s="28">
        <v>0.54583333333333328</v>
      </c>
      <c r="I2650">
        <v>0</v>
      </c>
      <c r="J2650" t="s">
        <v>174</v>
      </c>
      <c r="K2650">
        <v>0</v>
      </c>
      <c r="L2650" t="s">
        <v>7286</v>
      </c>
      <c r="M2650" t="s">
        <v>7251</v>
      </c>
      <c r="N2650" t="s">
        <v>7252</v>
      </c>
      <c r="O2650" t="s">
        <v>7253</v>
      </c>
      <c r="P2650" t="s">
        <v>7254</v>
      </c>
    </row>
    <row r="2651" spans="1:16" x14ac:dyDescent="0.35">
      <c r="A2651" t="s">
        <v>113</v>
      </c>
      <c r="B2651">
        <v>1329668962</v>
      </c>
      <c r="C2651" t="s">
        <v>18</v>
      </c>
      <c r="D2651" t="s">
        <v>20</v>
      </c>
      <c r="E2651" s="29">
        <v>46205</v>
      </c>
      <c r="F2651" t="s">
        <v>4</v>
      </c>
      <c r="G2651" s="28">
        <v>0.55277777777777781</v>
      </c>
      <c r="H2651" s="28">
        <v>0.55277777777777781</v>
      </c>
      <c r="I2651">
        <v>0</v>
      </c>
      <c r="J2651" t="s">
        <v>174</v>
      </c>
      <c r="K2651">
        <v>0</v>
      </c>
      <c r="L2651" t="s">
        <v>7286</v>
      </c>
      <c r="M2651" t="s">
        <v>7261</v>
      </c>
      <c r="N2651" t="s">
        <v>7262</v>
      </c>
      <c r="O2651" t="s">
        <v>7263</v>
      </c>
      <c r="P2651" t="s">
        <v>7264</v>
      </c>
    </row>
    <row r="2652" spans="1:16" x14ac:dyDescent="0.35">
      <c r="A2652" t="s">
        <v>113</v>
      </c>
      <c r="B2652">
        <v>1329668962</v>
      </c>
      <c r="C2652" t="s">
        <v>18</v>
      </c>
      <c r="D2652" t="s">
        <v>20</v>
      </c>
      <c r="E2652" s="29">
        <v>46205</v>
      </c>
      <c r="F2652" t="s">
        <v>4</v>
      </c>
      <c r="G2652" s="28">
        <v>0.55972222222222223</v>
      </c>
      <c r="H2652" s="28">
        <v>0.55972222222222223</v>
      </c>
      <c r="I2652">
        <v>0</v>
      </c>
      <c r="J2652" t="s">
        <v>174</v>
      </c>
      <c r="K2652">
        <v>0</v>
      </c>
      <c r="L2652" t="s">
        <v>7286</v>
      </c>
      <c r="M2652" t="s">
        <v>7251</v>
      </c>
      <c r="N2652" t="s">
        <v>7252</v>
      </c>
      <c r="O2652" t="s">
        <v>7253</v>
      </c>
      <c r="P2652" t="s">
        <v>7254</v>
      </c>
    </row>
    <row r="2653" spans="1:16" x14ac:dyDescent="0.35">
      <c r="A2653" t="s">
        <v>113</v>
      </c>
      <c r="B2653">
        <v>1329668962</v>
      </c>
      <c r="C2653" t="s">
        <v>18</v>
      </c>
      <c r="D2653" t="s">
        <v>20</v>
      </c>
      <c r="E2653" s="29">
        <v>46205</v>
      </c>
      <c r="F2653" t="s">
        <v>4</v>
      </c>
      <c r="G2653" s="28">
        <v>0.56666666666666665</v>
      </c>
      <c r="H2653" s="28">
        <v>0.57361111111111107</v>
      </c>
      <c r="I2653">
        <v>0</v>
      </c>
      <c r="J2653" t="s">
        <v>146</v>
      </c>
      <c r="K2653">
        <v>0</v>
      </c>
      <c r="L2653" t="s">
        <v>147</v>
      </c>
      <c r="M2653" t="s">
        <v>7261</v>
      </c>
      <c r="N2653" t="s">
        <v>7262</v>
      </c>
      <c r="O2653" t="s">
        <v>7263</v>
      </c>
      <c r="P2653" t="s">
        <v>7264</v>
      </c>
    </row>
    <row r="2654" spans="1:16" x14ac:dyDescent="0.35">
      <c r="A2654" t="s">
        <v>113</v>
      </c>
      <c r="B2654">
        <v>1329668962</v>
      </c>
      <c r="C2654" t="s">
        <v>18</v>
      </c>
      <c r="D2654" t="s">
        <v>20</v>
      </c>
      <c r="E2654" s="29">
        <v>46205</v>
      </c>
      <c r="F2654" t="s">
        <v>4</v>
      </c>
      <c r="G2654" s="28">
        <v>0.5805555555555556</v>
      </c>
      <c r="H2654" s="28">
        <v>0.5805555555555556</v>
      </c>
      <c r="I2654">
        <v>0</v>
      </c>
      <c r="J2654" t="s">
        <v>174</v>
      </c>
      <c r="K2654">
        <v>0</v>
      </c>
      <c r="L2654" t="s">
        <v>1188</v>
      </c>
      <c r="M2654" t="s">
        <v>7228</v>
      </c>
      <c r="N2654" t="s">
        <v>7229</v>
      </c>
      <c r="O2654" t="s">
        <v>7230</v>
      </c>
      <c r="P2654" t="s">
        <v>7231</v>
      </c>
    </row>
    <row r="2655" spans="1:16" x14ac:dyDescent="0.35">
      <c r="A2655" t="s">
        <v>113</v>
      </c>
      <c r="B2655">
        <v>1329668962</v>
      </c>
      <c r="C2655" t="s">
        <v>18</v>
      </c>
      <c r="D2655" t="s">
        <v>20</v>
      </c>
      <c r="E2655" s="29">
        <v>46205</v>
      </c>
      <c r="F2655" t="s">
        <v>4</v>
      </c>
      <c r="G2655" s="28">
        <v>0.58750000000000002</v>
      </c>
      <c r="H2655" s="28">
        <v>0.59444444444444444</v>
      </c>
      <c r="I2655">
        <v>0</v>
      </c>
      <c r="J2655" t="s">
        <v>146</v>
      </c>
      <c r="K2655">
        <v>0</v>
      </c>
      <c r="L2655" t="s">
        <v>147</v>
      </c>
      <c r="M2655" t="s">
        <v>7287</v>
      </c>
      <c r="N2655" t="s">
        <v>7262</v>
      </c>
      <c r="O2655" t="s">
        <v>7263</v>
      </c>
      <c r="P2655" t="s">
        <v>7264</v>
      </c>
    </row>
    <row r="2656" spans="1:16" x14ac:dyDescent="0.35">
      <c r="A2656" t="s">
        <v>113</v>
      </c>
      <c r="B2656">
        <v>1329668962</v>
      </c>
      <c r="C2656" t="s">
        <v>18</v>
      </c>
      <c r="D2656" t="s">
        <v>20</v>
      </c>
      <c r="E2656" s="29">
        <v>46205</v>
      </c>
      <c r="F2656" t="s">
        <v>4</v>
      </c>
      <c r="G2656" s="28">
        <v>0.60138888888888886</v>
      </c>
      <c r="H2656" s="28">
        <v>0.62222222222222223</v>
      </c>
      <c r="I2656">
        <v>1</v>
      </c>
      <c r="J2656" t="s">
        <v>146</v>
      </c>
      <c r="K2656">
        <v>2</v>
      </c>
      <c r="L2656" t="s">
        <v>147</v>
      </c>
      <c r="M2656" t="s">
        <v>7251</v>
      </c>
      <c r="N2656" t="s">
        <v>7252</v>
      </c>
      <c r="O2656" t="s">
        <v>7253</v>
      </c>
      <c r="P2656" t="s">
        <v>7254</v>
      </c>
    </row>
    <row r="2657" spans="1:16" x14ac:dyDescent="0.35">
      <c r="A2657" t="s">
        <v>113</v>
      </c>
      <c r="B2657">
        <v>1329668962</v>
      </c>
      <c r="C2657" t="s">
        <v>18</v>
      </c>
      <c r="D2657" t="s">
        <v>20</v>
      </c>
      <c r="E2657" s="29">
        <v>46205</v>
      </c>
      <c r="F2657" t="s">
        <v>4</v>
      </c>
      <c r="G2657" s="28">
        <v>0.62916666666666665</v>
      </c>
      <c r="H2657" s="28">
        <v>0.63611111111111107</v>
      </c>
      <c r="I2657">
        <v>0</v>
      </c>
      <c r="J2657" t="s">
        <v>146</v>
      </c>
      <c r="K2657">
        <v>0</v>
      </c>
      <c r="L2657" t="s">
        <v>147</v>
      </c>
      <c r="M2657" t="s">
        <v>7261</v>
      </c>
      <c r="N2657" t="s">
        <v>7262</v>
      </c>
      <c r="O2657" t="s">
        <v>7263</v>
      </c>
      <c r="P2657" t="s">
        <v>7264</v>
      </c>
    </row>
    <row r="2658" spans="1:16" x14ac:dyDescent="0.35">
      <c r="A2658" t="s">
        <v>113</v>
      </c>
      <c r="B2658">
        <v>1329668962</v>
      </c>
      <c r="C2658" t="s">
        <v>18</v>
      </c>
      <c r="D2658" t="s">
        <v>20</v>
      </c>
      <c r="E2658" s="29">
        <v>46205</v>
      </c>
      <c r="F2658" t="s">
        <v>4</v>
      </c>
      <c r="G2658" s="28">
        <v>0.6430555555555556</v>
      </c>
      <c r="H2658" s="28">
        <v>0.6430555555555556</v>
      </c>
      <c r="I2658">
        <v>0</v>
      </c>
      <c r="J2658" t="s">
        <v>174</v>
      </c>
      <c r="K2658">
        <v>0</v>
      </c>
      <c r="L2658" t="s">
        <v>1811</v>
      </c>
      <c r="M2658" t="s">
        <v>7251</v>
      </c>
      <c r="N2658" t="s">
        <v>7252</v>
      </c>
      <c r="O2658" t="s">
        <v>7253</v>
      </c>
      <c r="P2658" t="s">
        <v>7254</v>
      </c>
    </row>
    <row r="2659" spans="1:16" x14ac:dyDescent="0.35">
      <c r="A2659" t="s">
        <v>113</v>
      </c>
      <c r="B2659">
        <v>1329668962</v>
      </c>
      <c r="C2659" t="s">
        <v>18</v>
      </c>
      <c r="D2659" t="s">
        <v>20</v>
      </c>
      <c r="E2659" s="29">
        <v>46205</v>
      </c>
      <c r="F2659" t="s">
        <v>4</v>
      </c>
      <c r="G2659" s="28">
        <v>0.65</v>
      </c>
      <c r="H2659" s="28">
        <v>0.66388888888888886</v>
      </c>
      <c r="I2659">
        <v>0</v>
      </c>
      <c r="J2659" t="s">
        <v>146</v>
      </c>
      <c r="K2659">
        <v>1</v>
      </c>
      <c r="L2659" t="s">
        <v>147</v>
      </c>
      <c r="M2659" t="s">
        <v>7228</v>
      </c>
      <c r="N2659" t="s">
        <v>7229</v>
      </c>
      <c r="O2659" t="s">
        <v>7230</v>
      </c>
      <c r="P2659" t="s">
        <v>7231</v>
      </c>
    </row>
    <row r="2660" spans="1:16" x14ac:dyDescent="0.35">
      <c r="A2660" t="s">
        <v>113</v>
      </c>
      <c r="B2660">
        <v>1329668962</v>
      </c>
      <c r="C2660" t="s">
        <v>18</v>
      </c>
      <c r="D2660" t="s">
        <v>20</v>
      </c>
      <c r="E2660" s="29">
        <v>46205</v>
      </c>
      <c r="F2660" t="s">
        <v>4</v>
      </c>
      <c r="G2660" s="28">
        <v>0.67083333333333328</v>
      </c>
      <c r="H2660" s="28">
        <v>0.67777777777777781</v>
      </c>
      <c r="I2660">
        <v>0</v>
      </c>
      <c r="J2660" t="s">
        <v>146</v>
      </c>
      <c r="K2660">
        <v>1</v>
      </c>
      <c r="L2660" t="s">
        <v>147</v>
      </c>
      <c r="M2660" t="s">
        <v>7288</v>
      </c>
      <c r="N2660" t="s">
        <v>7289</v>
      </c>
      <c r="O2660" t="s">
        <v>7290</v>
      </c>
      <c r="P2660" t="s">
        <v>7291</v>
      </c>
    </row>
    <row r="2661" spans="1:16" x14ac:dyDescent="0.35">
      <c r="A2661" t="s">
        <v>113</v>
      </c>
      <c r="B2661">
        <v>1329668962</v>
      </c>
      <c r="C2661" t="s">
        <v>18</v>
      </c>
      <c r="D2661" t="s">
        <v>20</v>
      </c>
      <c r="E2661" s="29">
        <v>46205</v>
      </c>
      <c r="F2661" t="s">
        <v>4</v>
      </c>
      <c r="G2661" s="28">
        <v>0.68472222222222223</v>
      </c>
      <c r="H2661" s="28">
        <v>0.68472222222222223</v>
      </c>
      <c r="I2661">
        <v>0</v>
      </c>
      <c r="J2661" t="s">
        <v>174</v>
      </c>
      <c r="K2661">
        <v>0</v>
      </c>
      <c r="L2661" t="s">
        <v>4547</v>
      </c>
      <c r="M2661" t="s">
        <v>7292</v>
      </c>
      <c r="N2661" t="s">
        <v>7293</v>
      </c>
      <c r="O2661" t="s">
        <v>7294</v>
      </c>
      <c r="P2661" t="s">
        <v>7295</v>
      </c>
    </row>
    <row r="2662" spans="1:16" x14ac:dyDescent="0.35">
      <c r="A2662" t="s">
        <v>113</v>
      </c>
      <c r="B2662">
        <v>1329668962</v>
      </c>
      <c r="C2662" t="s">
        <v>18</v>
      </c>
      <c r="D2662" t="s">
        <v>20</v>
      </c>
      <c r="E2662" s="29">
        <v>46205</v>
      </c>
      <c r="F2662" t="s">
        <v>4</v>
      </c>
      <c r="G2662" s="28">
        <v>0.69166666666666665</v>
      </c>
      <c r="H2662" s="28">
        <v>0.7055555555555556</v>
      </c>
      <c r="I2662">
        <v>0</v>
      </c>
      <c r="J2662" t="s">
        <v>146</v>
      </c>
      <c r="K2662">
        <v>1</v>
      </c>
      <c r="L2662" t="s">
        <v>147</v>
      </c>
      <c r="M2662" t="s">
        <v>7228</v>
      </c>
      <c r="N2662" t="s">
        <v>7229</v>
      </c>
      <c r="O2662" t="s">
        <v>7230</v>
      </c>
      <c r="P2662" t="s">
        <v>7231</v>
      </c>
    </row>
    <row r="2663" spans="1:16" x14ac:dyDescent="0.35">
      <c r="A2663" t="s">
        <v>113</v>
      </c>
      <c r="B2663">
        <v>1329668962</v>
      </c>
      <c r="C2663" t="s">
        <v>18</v>
      </c>
      <c r="D2663" t="s">
        <v>20</v>
      </c>
      <c r="E2663" s="29">
        <v>46205</v>
      </c>
      <c r="F2663" t="s">
        <v>4</v>
      </c>
      <c r="G2663" s="28">
        <v>0.71250000000000002</v>
      </c>
      <c r="H2663" s="28">
        <v>0.71250000000000002</v>
      </c>
      <c r="I2663">
        <v>0</v>
      </c>
      <c r="J2663" t="s">
        <v>174</v>
      </c>
      <c r="K2663">
        <v>0</v>
      </c>
      <c r="L2663" t="s">
        <v>1188</v>
      </c>
      <c r="M2663" t="s">
        <v>7261</v>
      </c>
      <c r="N2663" t="s">
        <v>7262</v>
      </c>
      <c r="O2663" t="s">
        <v>7263</v>
      </c>
      <c r="P2663" t="s">
        <v>7264</v>
      </c>
    </row>
    <row r="2664" spans="1:16" x14ac:dyDescent="0.35">
      <c r="A2664" t="s">
        <v>113</v>
      </c>
      <c r="B2664">
        <v>1329668962</v>
      </c>
      <c r="C2664" t="s">
        <v>18</v>
      </c>
      <c r="D2664" t="s">
        <v>20</v>
      </c>
      <c r="E2664" s="29">
        <v>46205</v>
      </c>
      <c r="F2664" t="s">
        <v>4</v>
      </c>
      <c r="G2664" s="28">
        <v>0.71944444444444444</v>
      </c>
      <c r="H2664" s="28">
        <v>0.81666666666666665</v>
      </c>
      <c r="I2664">
        <v>2</v>
      </c>
      <c r="J2664" t="s">
        <v>146</v>
      </c>
      <c r="K2664">
        <v>7</v>
      </c>
      <c r="L2664" t="s">
        <v>147</v>
      </c>
      <c r="M2664" t="s">
        <v>7228</v>
      </c>
      <c r="N2664" t="s">
        <v>7229</v>
      </c>
      <c r="O2664" t="s">
        <v>7230</v>
      </c>
      <c r="P2664" t="s">
        <v>7231</v>
      </c>
    </row>
    <row r="2665" spans="1:16" x14ac:dyDescent="0.35">
      <c r="A2665" t="s">
        <v>113</v>
      </c>
      <c r="B2665">
        <v>1329668962</v>
      </c>
      <c r="C2665" t="s">
        <v>18</v>
      </c>
      <c r="D2665" t="s">
        <v>20</v>
      </c>
      <c r="E2665" s="29">
        <v>46207</v>
      </c>
      <c r="F2665" t="s">
        <v>5</v>
      </c>
      <c r="G2665" s="28">
        <v>0.38611111111111113</v>
      </c>
      <c r="H2665" s="28">
        <v>0.38611111111111113</v>
      </c>
      <c r="I2665">
        <v>0</v>
      </c>
      <c r="J2665" t="s">
        <v>174</v>
      </c>
      <c r="K2665">
        <v>0</v>
      </c>
      <c r="L2665" t="s">
        <v>1195</v>
      </c>
      <c r="M2665" t="s">
        <v>7255</v>
      </c>
      <c r="N2665" t="s">
        <v>7256</v>
      </c>
      <c r="O2665" t="s">
        <v>7257</v>
      </c>
      <c r="P2665" t="s">
        <v>7258</v>
      </c>
    </row>
    <row r="2666" spans="1:16" x14ac:dyDescent="0.35">
      <c r="A2666" t="s">
        <v>113</v>
      </c>
      <c r="B2666">
        <v>1329668962</v>
      </c>
      <c r="C2666" t="s">
        <v>18</v>
      </c>
      <c r="D2666" t="s">
        <v>20</v>
      </c>
      <c r="E2666" s="29">
        <v>46207</v>
      </c>
      <c r="F2666" t="s">
        <v>5</v>
      </c>
      <c r="G2666" s="28">
        <v>0.39305555555555555</v>
      </c>
      <c r="H2666" s="28">
        <v>0.39305555555555555</v>
      </c>
      <c r="I2666">
        <v>0</v>
      </c>
      <c r="J2666" t="s">
        <v>174</v>
      </c>
      <c r="K2666">
        <v>0</v>
      </c>
      <c r="L2666" t="s">
        <v>7259</v>
      </c>
      <c r="M2666" t="s">
        <v>7228</v>
      </c>
      <c r="N2666" t="s">
        <v>7229</v>
      </c>
      <c r="O2666" t="s">
        <v>7230</v>
      </c>
      <c r="P2666" t="s">
        <v>7231</v>
      </c>
    </row>
    <row r="2667" spans="1:16" x14ac:dyDescent="0.35">
      <c r="A2667" t="s">
        <v>113</v>
      </c>
      <c r="B2667">
        <v>1329668962</v>
      </c>
      <c r="C2667" t="s">
        <v>18</v>
      </c>
      <c r="D2667" t="s">
        <v>20</v>
      </c>
      <c r="E2667" s="29">
        <v>46207</v>
      </c>
      <c r="F2667" t="s">
        <v>5</v>
      </c>
      <c r="G2667" s="28">
        <v>0.4</v>
      </c>
      <c r="H2667" s="28">
        <v>0.4</v>
      </c>
      <c r="I2667">
        <v>0</v>
      </c>
      <c r="J2667" t="s">
        <v>174</v>
      </c>
      <c r="K2667">
        <v>0</v>
      </c>
      <c r="L2667" t="s">
        <v>7259</v>
      </c>
      <c r="M2667" t="s">
        <v>7247</v>
      </c>
      <c r="N2667" t="s">
        <v>7248</v>
      </c>
      <c r="O2667" t="s">
        <v>7249</v>
      </c>
      <c r="P2667" t="s">
        <v>7250</v>
      </c>
    </row>
    <row r="2668" spans="1:16" x14ac:dyDescent="0.35">
      <c r="A2668" t="s">
        <v>113</v>
      </c>
      <c r="B2668">
        <v>1329668962</v>
      </c>
      <c r="C2668" t="s">
        <v>18</v>
      </c>
      <c r="D2668" t="s">
        <v>20</v>
      </c>
      <c r="E2668" s="29">
        <v>46207</v>
      </c>
      <c r="F2668" t="s">
        <v>5</v>
      </c>
      <c r="G2668" s="28">
        <v>0.40694444444444444</v>
      </c>
      <c r="H2668" s="28">
        <v>0.42083333333333334</v>
      </c>
      <c r="I2668">
        <v>0</v>
      </c>
      <c r="J2668" t="s">
        <v>146</v>
      </c>
      <c r="K2668">
        <v>1</v>
      </c>
      <c r="L2668" t="s">
        <v>147</v>
      </c>
      <c r="M2668" t="s">
        <v>7228</v>
      </c>
      <c r="N2668" t="s">
        <v>7229</v>
      </c>
      <c r="O2668" t="s">
        <v>7230</v>
      </c>
      <c r="P2668" t="s">
        <v>7231</v>
      </c>
    </row>
    <row r="2669" spans="1:16" x14ac:dyDescent="0.35">
      <c r="A2669" t="s">
        <v>113</v>
      </c>
      <c r="B2669">
        <v>1329668962</v>
      </c>
      <c r="C2669" t="s">
        <v>18</v>
      </c>
      <c r="D2669" t="s">
        <v>20</v>
      </c>
      <c r="E2669" s="29">
        <v>46207</v>
      </c>
      <c r="F2669" t="s">
        <v>5</v>
      </c>
      <c r="G2669" s="28">
        <v>0.42777777777777776</v>
      </c>
      <c r="H2669" s="28">
        <v>0.42777777777777776</v>
      </c>
      <c r="I2669">
        <v>0</v>
      </c>
      <c r="J2669" t="s">
        <v>174</v>
      </c>
      <c r="K2669">
        <v>0</v>
      </c>
      <c r="L2669" t="s">
        <v>332</v>
      </c>
      <c r="M2669" t="s">
        <v>7296</v>
      </c>
      <c r="N2669" t="s">
        <v>7297</v>
      </c>
      <c r="O2669" t="s">
        <v>7298</v>
      </c>
      <c r="P2669" t="s">
        <v>4499</v>
      </c>
    </row>
    <row r="2670" spans="1:16" x14ac:dyDescent="0.35">
      <c r="A2670" t="s">
        <v>113</v>
      </c>
      <c r="B2670">
        <v>1329668962</v>
      </c>
      <c r="C2670" t="s">
        <v>18</v>
      </c>
      <c r="D2670" t="s">
        <v>20</v>
      </c>
      <c r="E2670" s="29">
        <v>46207</v>
      </c>
      <c r="F2670" t="s">
        <v>5</v>
      </c>
      <c r="G2670" s="28">
        <v>0.43472222222222223</v>
      </c>
      <c r="H2670" s="28">
        <v>0.44166666666666665</v>
      </c>
      <c r="I2670">
        <v>0</v>
      </c>
      <c r="J2670" t="s">
        <v>146</v>
      </c>
      <c r="K2670">
        <v>0</v>
      </c>
      <c r="L2670" t="s">
        <v>147</v>
      </c>
      <c r="M2670" t="s">
        <v>7299</v>
      </c>
      <c r="N2670" t="s">
        <v>7300</v>
      </c>
      <c r="O2670" t="s">
        <v>7301</v>
      </c>
      <c r="P2670" t="s">
        <v>7302</v>
      </c>
    </row>
    <row r="2671" spans="1:16" x14ac:dyDescent="0.35">
      <c r="A2671" t="s">
        <v>113</v>
      </c>
      <c r="B2671">
        <v>1329668962</v>
      </c>
      <c r="C2671" t="s">
        <v>18</v>
      </c>
      <c r="D2671" t="s">
        <v>20</v>
      </c>
      <c r="E2671" s="29">
        <v>46207</v>
      </c>
      <c r="F2671" t="s">
        <v>5</v>
      </c>
      <c r="G2671" s="28">
        <v>0.44861111111111113</v>
      </c>
      <c r="H2671" s="28">
        <v>0.44861111111111113</v>
      </c>
      <c r="I2671">
        <v>0</v>
      </c>
      <c r="J2671" t="s">
        <v>174</v>
      </c>
      <c r="K2671">
        <v>0</v>
      </c>
      <c r="L2671" t="s">
        <v>3872</v>
      </c>
      <c r="M2671" t="s">
        <v>7303</v>
      </c>
      <c r="N2671" t="s">
        <v>7276</v>
      </c>
      <c r="O2671" t="s">
        <v>7277</v>
      </c>
      <c r="P2671" t="s">
        <v>6145</v>
      </c>
    </row>
    <row r="2672" spans="1:16" x14ac:dyDescent="0.35">
      <c r="A2672" t="s">
        <v>113</v>
      </c>
      <c r="B2672">
        <v>1329668962</v>
      </c>
      <c r="C2672" t="s">
        <v>18</v>
      </c>
      <c r="D2672" t="s">
        <v>20</v>
      </c>
      <c r="E2672" s="29">
        <v>46207</v>
      </c>
      <c r="F2672" t="s">
        <v>5</v>
      </c>
      <c r="G2672" s="28">
        <v>0.45555555555555555</v>
      </c>
      <c r="H2672" s="28">
        <v>0.47638888888888886</v>
      </c>
      <c r="I2672">
        <v>0</v>
      </c>
      <c r="J2672" t="s">
        <v>146</v>
      </c>
      <c r="K2672">
        <v>2</v>
      </c>
      <c r="L2672" t="s">
        <v>147</v>
      </c>
      <c r="M2672" t="s">
        <v>7304</v>
      </c>
      <c r="N2672" t="s">
        <v>7305</v>
      </c>
      <c r="O2672" t="s">
        <v>7306</v>
      </c>
      <c r="P2672" t="s">
        <v>7307</v>
      </c>
    </row>
    <row r="2673" spans="1:16" x14ac:dyDescent="0.35">
      <c r="A2673" t="s">
        <v>113</v>
      </c>
      <c r="B2673">
        <v>1329668962</v>
      </c>
      <c r="C2673" t="s">
        <v>18</v>
      </c>
      <c r="D2673" t="s">
        <v>20</v>
      </c>
      <c r="E2673" s="29">
        <v>46207</v>
      </c>
      <c r="F2673" t="s">
        <v>5</v>
      </c>
      <c r="G2673" s="28">
        <v>0.48333333333333334</v>
      </c>
      <c r="H2673" s="28">
        <v>0.49027777777777776</v>
      </c>
      <c r="I2673">
        <v>0</v>
      </c>
      <c r="J2673" t="s">
        <v>146</v>
      </c>
      <c r="K2673">
        <v>0</v>
      </c>
      <c r="L2673" t="s">
        <v>147</v>
      </c>
      <c r="M2673" t="s">
        <v>7308</v>
      </c>
      <c r="N2673" t="s">
        <v>7309</v>
      </c>
      <c r="O2673" t="s">
        <v>7310</v>
      </c>
      <c r="P2673" t="s">
        <v>7311</v>
      </c>
    </row>
    <row r="2674" spans="1:16" x14ac:dyDescent="0.35">
      <c r="A2674" t="s">
        <v>113</v>
      </c>
      <c r="B2674">
        <v>1329668962</v>
      </c>
      <c r="C2674" t="s">
        <v>18</v>
      </c>
      <c r="D2674" t="s">
        <v>20</v>
      </c>
      <c r="E2674" s="29">
        <v>46207</v>
      </c>
      <c r="F2674" t="s">
        <v>5</v>
      </c>
      <c r="G2674" s="28">
        <v>0.49722222222222223</v>
      </c>
      <c r="H2674" s="28">
        <v>0.49722222222222223</v>
      </c>
      <c r="I2674">
        <v>0</v>
      </c>
      <c r="J2674" t="s">
        <v>174</v>
      </c>
      <c r="K2674">
        <v>0</v>
      </c>
      <c r="L2674" t="s">
        <v>7312</v>
      </c>
      <c r="M2674" t="s">
        <v>7313</v>
      </c>
      <c r="N2674" t="s">
        <v>7314</v>
      </c>
      <c r="O2674" t="s">
        <v>7315</v>
      </c>
      <c r="P2674" t="s">
        <v>7316</v>
      </c>
    </row>
    <row r="2675" spans="1:16" x14ac:dyDescent="0.35">
      <c r="A2675" t="s">
        <v>113</v>
      </c>
      <c r="B2675">
        <v>1329668962</v>
      </c>
      <c r="C2675" t="s">
        <v>18</v>
      </c>
      <c r="D2675" t="s">
        <v>20</v>
      </c>
      <c r="E2675" s="29">
        <v>46207</v>
      </c>
      <c r="F2675" t="s">
        <v>5</v>
      </c>
      <c r="G2675" s="28">
        <v>0.50416666666666665</v>
      </c>
      <c r="H2675" s="28">
        <v>0.50416666666666665</v>
      </c>
      <c r="I2675">
        <v>0</v>
      </c>
      <c r="J2675" t="s">
        <v>174</v>
      </c>
      <c r="K2675">
        <v>0</v>
      </c>
      <c r="L2675" t="s">
        <v>1188</v>
      </c>
      <c r="M2675" t="s">
        <v>7228</v>
      </c>
      <c r="N2675" t="s">
        <v>7229</v>
      </c>
      <c r="O2675" t="s">
        <v>7230</v>
      </c>
      <c r="P2675" t="s">
        <v>7231</v>
      </c>
    </row>
    <row r="2676" spans="1:16" x14ac:dyDescent="0.35">
      <c r="A2676" t="s">
        <v>113</v>
      </c>
      <c r="B2676">
        <v>1329668962</v>
      </c>
      <c r="C2676" t="s">
        <v>18</v>
      </c>
      <c r="D2676" t="s">
        <v>20</v>
      </c>
      <c r="E2676" s="29">
        <v>46207</v>
      </c>
      <c r="F2676" t="s">
        <v>5</v>
      </c>
      <c r="G2676" s="28">
        <v>0.51111111111111107</v>
      </c>
      <c r="H2676" s="28">
        <v>0.51111111111111107</v>
      </c>
      <c r="I2676">
        <v>0</v>
      </c>
      <c r="J2676" t="s">
        <v>174</v>
      </c>
      <c r="K2676">
        <v>0</v>
      </c>
      <c r="L2676" t="s">
        <v>7317</v>
      </c>
      <c r="M2676" t="s">
        <v>7261</v>
      </c>
      <c r="N2676" t="s">
        <v>7262</v>
      </c>
      <c r="O2676" t="s">
        <v>7263</v>
      </c>
      <c r="P2676" t="s">
        <v>7264</v>
      </c>
    </row>
    <row r="2677" spans="1:16" x14ac:dyDescent="0.35">
      <c r="A2677" t="s">
        <v>113</v>
      </c>
      <c r="B2677">
        <v>1329668962</v>
      </c>
      <c r="C2677" t="s">
        <v>18</v>
      </c>
      <c r="D2677" t="s">
        <v>20</v>
      </c>
      <c r="E2677" s="29">
        <v>46207</v>
      </c>
      <c r="F2677" t="s">
        <v>5</v>
      </c>
      <c r="G2677" s="28">
        <v>0.5180555555555556</v>
      </c>
      <c r="H2677" s="28">
        <v>0.5180555555555556</v>
      </c>
      <c r="I2677">
        <v>0</v>
      </c>
      <c r="J2677" t="s">
        <v>174</v>
      </c>
      <c r="K2677">
        <v>0</v>
      </c>
      <c r="L2677" t="s">
        <v>1589</v>
      </c>
      <c r="M2677" t="s">
        <v>7318</v>
      </c>
      <c r="N2677" t="s">
        <v>7319</v>
      </c>
      <c r="O2677" t="s">
        <v>7320</v>
      </c>
      <c r="P2677" t="s">
        <v>7321</v>
      </c>
    </row>
    <row r="2678" spans="1:16" x14ac:dyDescent="0.35">
      <c r="A2678" t="s">
        <v>113</v>
      </c>
      <c r="B2678">
        <v>1329668962</v>
      </c>
      <c r="C2678" t="s">
        <v>18</v>
      </c>
      <c r="D2678" t="s">
        <v>20</v>
      </c>
      <c r="E2678" s="29">
        <v>46207</v>
      </c>
      <c r="F2678" t="s">
        <v>5</v>
      </c>
      <c r="G2678" s="28">
        <v>0.52500000000000002</v>
      </c>
      <c r="H2678" s="28">
        <v>0.52500000000000002</v>
      </c>
      <c r="I2678">
        <v>0</v>
      </c>
      <c r="J2678" t="s">
        <v>174</v>
      </c>
      <c r="K2678">
        <v>0</v>
      </c>
      <c r="L2678" t="s">
        <v>2398</v>
      </c>
      <c r="M2678" t="s">
        <v>7228</v>
      </c>
      <c r="N2678" t="s">
        <v>7229</v>
      </c>
      <c r="O2678" t="s">
        <v>7230</v>
      </c>
      <c r="P2678" t="s">
        <v>7231</v>
      </c>
    </row>
    <row r="2679" spans="1:16" x14ac:dyDescent="0.35">
      <c r="A2679" t="s">
        <v>113</v>
      </c>
      <c r="B2679">
        <v>1329668962</v>
      </c>
      <c r="C2679" t="s">
        <v>18</v>
      </c>
      <c r="D2679" t="s">
        <v>20</v>
      </c>
      <c r="E2679" s="29">
        <v>46207</v>
      </c>
      <c r="F2679" t="s">
        <v>5</v>
      </c>
      <c r="G2679" s="28">
        <v>0.53194444444444444</v>
      </c>
      <c r="H2679" s="28">
        <v>0.53194444444444444</v>
      </c>
      <c r="I2679">
        <v>0</v>
      </c>
      <c r="J2679" t="s">
        <v>174</v>
      </c>
      <c r="K2679">
        <v>0</v>
      </c>
      <c r="L2679" t="s">
        <v>7322</v>
      </c>
      <c r="M2679" t="s">
        <v>7270</v>
      </c>
      <c r="N2679" t="s">
        <v>7271</v>
      </c>
      <c r="O2679" t="s">
        <v>7272</v>
      </c>
      <c r="P2679" t="s">
        <v>7273</v>
      </c>
    </row>
    <row r="2680" spans="1:16" x14ac:dyDescent="0.35">
      <c r="A2680" t="s">
        <v>113</v>
      </c>
      <c r="B2680">
        <v>1329668962</v>
      </c>
      <c r="C2680" t="s">
        <v>18</v>
      </c>
      <c r="D2680" t="s">
        <v>20</v>
      </c>
      <c r="E2680" s="29">
        <v>46207</v>
      </c>
      <c r="F2680" t="s">
        <v>5</v>
      </c>
      <c r="G2680" s="28">
        <v>0.53888888888888886</v>
      </c>
      <c r="H2680" s="28">
        <v>0.53888888888888886</v>
      </c>
      <c r="I2680">
        <v>0</v>
      </c>
      <c r="J2680" t="s">
        <v>174</v>
      </c>
      <c r="K2680">
        <v>0</v>
      </c>
      <c r="L2680" t="s">
        <v>7323</v>
      </c>
      <c r="M2680" t="s">
        <v>7324</v>
      </c>
      <c r="N2680" t="s">
        <v>7325</v>
      </c>
      <c r="O2680" t="s">
        <v>7326</v>
      </c>
      <c r="P2680" t="s">
        <v>7327</v>
      </c>
    </row>
    <row r="2681" spans="1:16" x14ac:dyDescent="0.35">
      <c r="A2681" t="s">
        <v>113</v>
      </c>
      <c r="B2681">
        <v>1329668962</v>
      </c>
      <c r="C2681" t="s">
        <v>18</v>
      </c>
      <c r="D2681" t="s">
        <v>20</v>
      </c>
      <c r="E2681" s="29">
        <v>46207</v>
      </c>
      <c r="F2681" t="s">
        <v>5</v>
      </c>
      <c r="G2681" s="28">
        <v>0.54583333333333328</v>
      </c>
      <c r="H2681" s="28">
        <v>0.54583333333333328</v>
      </c>
      <c r="I2681">
        <v>0</v>
      </c>
      <c r="J2681" t="s">
        <v>174</v>
      </c>
      <c r="K2681">
        <v>0</v>
      </c>
      <c r="L2681" t="s">
        <v>629</v>
      </c>
      <c r="M2681" t="s">
        <v>7328</v>
      </c>
      <c r="N2681" t="s">
        <v>7329</v>
      </c>
      <c r="O2681" t="s">
        <v>7330</v>
      </c>
      <c r="P2681" t="s">
        <v>7331</v>
      </c>
    </row>
    <row r="2682" spans="1:16" x14ac:dyDescent="0.35">
      <c r="A2682" t="s">
        <v>113</v>
      </c>
      <c r="B2682">
        <v>1329668962</v>
      </c>
      <c r="C2682" t="s">
        <v>18</v>
      </c>
      <c r="D2682" t="s">
        <v>20</v>
      </c>
      <c r="E2682" s="29">
        <v>46207</v>
      </c>
      <c r="F2682" t="s">
        <v>5</v>
      </c>
      <c r="G2682" s="28">
        <v>0.55277777777777781</v>
      </c>
      <c r="H2682" s="28">
        <v>0.57361111111111107</v>
      </c>
      <c r="I2682">
        <v>0</v>
      </c>
      <c r="J2682" t="s">
        <v>146</v>
      </c>
      <c r="K2682">
        <v>1</v>
      </c>
      <c r="L2682" t="s">
        <v>147</v>
      </c>
      <c r="M2682" t="s">
        <v>7332</v>
      </c>
      <c r="N2682" t="s">
        <v>7333</v>
      </c>
      <c r="O2682" t="s">
        <v>7334</v>
      </c>
      <c r="P2682" t="s">
        <v>7335</v>
      </c>
    </row>
    <row r="2683" spans="1:16" x14ac:dyDescent="0.35">
      <c r="A2683" t="s">
        <v>113</v>
      </c>
      <c r="B2683">
        <v>1329668962</v>
      </c>
      <c r="C2683" t="s">
        <v>18</v>
      </c>
      <c r="D2683" t="s">
        <v>20</v>
      </c>
      <c r="E2683" s="29">
        <v>46207</v>
      </c>
      <c r="F2683" t="s">
        <v>5</v>
      </c>
      <c r="G2683" s="28">
        <v>0.5805555555555556</v>
      </c>
      <c r="H2683" s="28">
        <v>0.5805555555555556</v>
      </c>
      <c r="I2683">
        <v>0</v>
      </c>
      <c r="J2683" t="s">
        <v>174</v>
      </c>
      <c r="K2683">
        <v>0</v>
      </c>
      <c r="L2683" t="s">
        <v>7336</v>
      </c>
      <c r="M2683" t="s">
        <v>7337</v>
      </c>
      <c r="N2683" t="s">
        <v>7338</v>
      </c>
      <c r="O2683" t="s">
        <v>7339</v>
      </c>
      <c r="P2683" t="s">
        <v>7340</v>
      </c>
    </row>
    <row r="2684" spans="1:16" x14ac:dyDescent="0.35">
      <c r="A2684" t="s">
        <v>113</v>
      </c>
      <c r="B2684">
        <v>1329668962</v>
      </c>
      <c r="C2684" t="s">
        <v>18</v>
      </c>
      <c r="D2684" t="s">
        <v>20</v>
      </c>
      <c r="E2684" s="29">
        <v>46207</v>
      </c>
      <c r="F2684" t="s">
        <v>5</v>
      </c>
      <c r="G2684" s="28">
        <v>0.58750000000000002</v>
      </c>
      <c r="H2684" s="28">
        <v>0.6430555555555556</v>
      </c>
      <c r="I2684">
        <v>1</v>
      </c>
      <c r="J2684" t="s">
        <v>146</v>
      </c>
      <c r="K2684">
        <v>4</v>
      </c>
      <c r="L2684" t="s">
        <v>147</v>
      </c>
      <c r="M2684" t="s">
        <v>7228</v>
      </c>
      <c r="N2684" t="s">
        <v>7229</v>
      </c>
      <c r="O2684" t="s">
        <v>7230</v>
      </c>
      <c r="P2684" t="s">
        <v>7231</v>
      </c>
    </row>
    <row r="2685" spans="1:16" x14ac:dyDescent="0.35">
      <c r="A2685" t="s">
        <v>113</v>
      </c>
      <c r="B2685">
        <v>1329668962</v>
      </c>
      <c r="C2685" t="s">
        <v>18</v>
      </c>
      <c r="D2685" t="s">
        <v>20</v>
      </c>
      <c r="E2685" s="29">
        <v>46207</v>
      </c>
      <c r="F2685" t="s">
        <v>5</v>
      </c>
      <c r="G2685" s="28">
        <v>0.65</v>
      </c>
      <c r="H2685" s="28">
        <v>0.66388888888888886</v>
      </c>
      <c r="I2685">
        <v>0</v>
      </c>
      <c r="J2685" t="s">
        <v>146</v>
      </c>
      <c r="K2685">
        <v>1</v>
      </c>
      <c r="L2685" t="s">
        <v>147</v>
      </c>
      <c r="M2685" t="s">
        <v>7288</v>
      </c>
      <c r="N2685" t="s">
        <v>7289</v>
      </c>
      <c r="O2685" t="s">
        <v>7290</v>
      </c>
      <c r="P2685" t="s">
        <v>7291</v>
      </c>
    </row>
    <row r="2686" spans="1:16" x14ac:dyDescent="0.35">
      <c r="A2686" t="s">
        <v>113</v>
      </c>
      <c r="B2686">
        <v>1329668962</v>
      </c>
      <c r="C2686" t="s">
        <v>18</v>
      </c>
      <c r="D2686" t="s">
        <v>20</v>
      </c>
      <c r="E2686" s="29">
        <v>46207</v>
      </c>
      <c r="F2686" t="s">
        <v>5</v>
      </c>
      <c r="G2686" s="28">
        <v>0.67083333333333328</v>
      </c>
      <c r="H2686" s="28">
        <v>0.67083333333333328</v>
      </c>
      <c r="I2686">
        <v>0</v>
      </c>
      <c r="J2686" t="s">
        <v>174</v>
      </c>
      <c r="K2686">
        <v>0</v>
      </c>
      <c r="L2686" t="s">
        <v>7341</v>
      </c>
      <c r="M2686" t="s">
        <v>7342</v>
      </c>
      <c r="N2686" t="s">
        <v>7343</v>
      </c>
      <c r="O2686" t="s">
        <v>7344</v>
      </c>
      <c r="P2686" t="s">
        <v>7345</v>
      </c>
    </row>
    <row r="2687" spans="1:16" x14ac:dyDescent="0.35">
      <c r="A2687" t="s">
        <v>113</v>
      </c>
      <c r="B2687">
        <v>1329668962</v>
      </c>
      <c r="C2687" t="s">
        <v>18</v>
      </c>
      <c r="D2687" t="s">
        <v>20</v>
      </c>
      <c r="E2687" s="29">
        <v>46207</v>
      </c>
      <c r="F2687" t="s">
        <v>5</v>
      </c>
      <c r="G2687" s="28">
        <v>0.67777777777777781</v>
      </c>
      <c r="H2687" s="28">
        <v>0.67777777777777781</v>
      </c>
      <c r="I2687">
        <v>0</v>
      </c>
      <c r="J2687" t="s">
        <v>174</v>
      </c>
      <c r="K2687">
        <v>0</v>
      </c>
      <c r="L2687" t="s">
        <v>7346</v>
      </c>
      <c r="M2687" t="s">
        <v>7347</v>
      </c>
      <c r="N2687" t="s">
        <v>7348</v>
      </c>
      <c r="O2687" t="s">
        <v>7349</v>
      </c>
      <c r="P2687" t="s">
        <v>7350</v>
      </c>
    </row>
    <row r="2688" spans="1:16" x14ac:dyDescent="0.35">
      <c r="A2688" t="s">
        <v>113</v>
      </c>
      <c r="B2688">
        <v>1329668962</v>
      </c>
      <c r="C2688" t="s">
        <v>18</v>
      </c>
      <c r="D2688" t="s">
        <v>20</v>
      </c>
      <c r="E2688" s="29">
        <v>46207</v>
      </c>
      <c r="F2688" t="s">
        <v>5</v>
      </c>
      <c r="G2688" s="28">
        <v>0.68472222222222223</v>
      </c>
      <c r="H2688" s="28">
        <v>0.68472222222222223</v>
      </c>
      <c r="I2688">
        <v>0</v>
      </c>
      <c r="J2688" t="s">
        <v>174</v>
      </c>
      <c r="K2688">
        <v>0</v>
      </c>
      <c r="L2688" t="s">
        <v>1195</v>
      </c>
      <c r="M2688" t="s">
        <v>7351</v>
      </c>
      <c r="N2688" t="s">
        <v>7256</v>
      </c>
      <c r="O2688" t="s">
        <v>7257</v>
      </c>
      <c r="P2688" t="s">
        <v>7258</v>
      </c>
    </row>
    <row r="2689" spans="1:16" x14ac:dyDescent="0.35">
      <c r="A2689" t="s">
        <v>113</v>
      </c>
      <c r="B2689">
        <v>1329668962</v>
      </c>
      <c r="C2689" t="s">
        <v>18</v>
      </c>
      <c r="D2689" t="s">
        <v>20</v>
      </c>
      <c r="E2689" s="29">
        <v>46207</v>
      </c>
      <c r="F2689" t="s">
        <v>5</v>
      </c>
      <c r="G2689" s="28">
        <v>0.69166666666666665</v>
      </c>
      <c r="H2689" s="28">
        <v>0.69166666666666665</v>
      </c>
      <c r="I2689">
        <v>0</v>
      </c>
      <c r="J2689" t="s">
        <v>174</v>
      </c>
      <c r="K2689">
        <v>0</v>
      </c>
      <c r="L2689" t="s">
        <v>1195</v>
      </c>
      <c r="M2689" t="s">
        <v>7228</v>
      </c>
      <c r="N2689" t="s">
        <v>7229</v>
      </c>
      <c r="O2689" t="s">
        <v>7230</v>
      </c>
      <c r="P2689" t="s">
        <v>7231</v>
      </c>
    </row>
    <row r="2690" spans="1:16" x14ac:dyDescent="0.35">
      <c r="A2690" t="s">
        <v>113</v>
      </c>
      <c r="B2690">
        <v>1329668962</v>
      </c>
      <c r="C2690" t="s">
        <v>18</v>
      </c>
      <c r="D2690" t="s">
        <v>20</v>
      </c>
      <c r="E2690" s="29">
        <v>46207</v>
      </c>
      <c r="F2690" t="s">
        <v>5</v>
      </c>
      <c r="G2690" s="28">
        <v>0.69861111111111107</v>
      </c>
      <c r="H2690" s="28">
        <v>0.69861111111111107</v>
      </c>
      <c r="I2690">
        <v>0</v>
      </c>
      <c r="J2690" t="s">
        <v>174</v>
      </c>
      <c r="K2690">
        <v>0</v>
      </c>
      <c r="L2690" t="s">
        <v>1195</v>
      </c>
      <c r="M2690" t="s">
        <v>7255</v>
      </c>
      <c r="N2690" t="s">
        <v>7256</v>
      </c>
      <c r="O2690" t="s">
        <v>7257</v>
      </c>
      <c r="P2690" t="s">
        <v>7258</v>
      </c>
    </row>
    <row r="2691" spans="1:16" x14ac:dyDescent="0.35">
      <c r="A2691" t="s">
        <v>113</v>
      </c>
      <c r="B2691">
        <v>1329668962</v>
      </c>
      <c r="C2691" t="s">
        <v>18</v>
      </c>
      <c r="D2691" t="s">
        <v>20</v>
      </c>
      <c r="E2691" s="29">
        <v>46207</v>
      </c>
      <c r="F2691" t="s">
        <v>5</v>
      </c>
      <c r="G2691" s="28">
        <v>0.7055555555555556</v>
      </c>
      <c r="H2691" s="28">
        <v>0.82361111111111107</v>
      </c>
      <c r="I2691">
        <v>3</v>
      </c>
      <c r="J2691" t="s">
        <v>146</v>
      </c>
      <c r="K2691">
        <v>8</v>
      </c>
      <c r="L2691" t="s">
        <v>147</v>
      </c>
      <c r="M2691" t="s">
        <v>7228</v>
      </c>
      <c r="N2691" t="s">
        <v>7229</v>
      </c>
      <c r="O2691" t="s">
        <v>7230</v>
      </c>
      <c r="P2691" t="s">
        <v>7231</v>
      </c>
    </row>
    <row r="2692" spans="1:16" x14ac:dyDescent="0.35">
      <c r="A2692" t="s">
        <v>113</v>
      </c>
      <c r="B2692">
        <v>1329668962</v>
      </c>
      <c r="C2692" t="s">
        <v>18</v>
      </c>
      <c r="D2692" t="s">
        <v>20</v>
      </c>
      <c r="E2692" s="29">
        <v>46208</v>
      </c>
      <c r="F2692" t="s">
        <v>6</v>
      </c>
      <c r="G2692" s="28">
        <v>0.4</v>
      </c>
      <c r="H2692" s="28">
        <v>0.4</v>
      </c>
      <c r="I2692">
        <v>0</v>
      </c>
      <c r="J2692" t="s">
        <v>174</v>
      </c>
      <c r="K2692">
        <v>0</v>
      </c>
      <c r="L2692" t="s">
        <v>4316</v>
      </c>
      <c r="M2692" t="s">
        <v>7352</v>
      </c>
      <c r="N2692" t="s">
        <v>7353</v>
      </c>
      <c r="O2692" t="s">
        <v>7354</v>
      </c>
      <c r="P2692" t="s">
        <v>7355</v>
      </c>
    </row>
    <row r="2693" spans="1:16" x14ac:dyDescent="0.35">
      <c r="A2693" t="s">
        <v>113</v>
      </c>
      <c r="B2693">
        <v>1329668962</v>
      </c>
      <c r="C2693" t="s">
        <v>18</v>
      </c>
      <c r="D2693" t="s">
        <v>20</v>
      </c>
      <c r="E2693" s="29">
        <v>46208</v>
      </c>
      <c r="F2693" t="s">
        <v>6</v>
      </c>
      <c r="G2693" s="28">
        <v>0.40694444444444444</v>
      </c>
      <c r="H2693" s="28">
        <v>0.40694444444444444</v>
      </c>
      <c r="I2693">
        <v>0</v>
      </c>
      <c r="J2693" t="s">
        <v>174</v>
      </c>
      <c r="K2693">
        <v>0</v>
      </c>
      <c r="L2693" t="s">
        <v>5371</v>
      </c>
      <c r="M2693" t="s">
        <v>7356</v>
      </c>
      <c r="N2693" t="s">
        <v>7357</v>
      </c>
      <c r="O2693" t="s">
        <v>7326</v>
      </c>
      <c r="P2693" t="s">
        <v>7358</v>
      </c>
    </row>
    <row r="2694" spans="1:16" x14ac:dyDescent="0.35">
      <c r="A2694" t="s">
        <v>113</v>
      </c>
      <c r="B2694">
        <v>1329668962</v>
      </c>
      <c r="C2694" t="s">
        <v>18</v>
      </c>
      <c r="D2694" t="s">
        <v>20</v>
      </c>
      <c r="E2694" s="29">
        <v>46208</v>
      </c>
      <c r="F2694" t="s">
        <v>6</v>
      </c>
      <c r="G2694" s="28">
        <v>0.41388888888888886</v>
      </c>
      <c r="H2694" s="28">
        <v>0.41388888888888886</v>
      </c>
      <c r="I2694">
        <v>0</v>
      </c>
      <c r="J2694" t="s">
        <v>174</v>
      </c>
      <c r="K2694">
        <v>0</v>
      </c>
      <c r="L2694" t="s">
        <v>7359</v>
      </c>
      <c r="M2694" t="s">
        <v>7360</v>
      </c>
      <c r="N2694" t="s">
        <v>7361</v>
      </c>
      <c r="O2694" t="s">
        <v>7362</v>
      </c>
      <c r="P2694" t="s">
        <v>7363</v>
      </c>
    </row>
    <row r="2695" spans="1:16" x14ac:dyDescent="0.35">
      <c r="A2695" t="s">
        <v>113</v>
      </c>
      <c r="B2695">
        <v>1329668962</v>
      </c>
      <c r="C2695" t="s">
        <v>18</v>
      </c>
      <c r="D2695" t="s">
        <v>20</v>
      </c>
      <c r="E2695" s="29">
        <v>46208</v>
      </c>
      <c r="F2695" t="s">
        <v>6</v>
      </c>
      <c r="G2695" s="28">
        <v>0.42083333333333334</v>
      </c>
      <c r="H2695" s="28">
        <v>0.42083333333333334</v>
      </c>
      <c r="I2695">
        <v>0</v>
      </c>
      <c r="J2695" t="s">
        <v>174</v>
      </c>
      <c r="K2695">
        <v>0</v>
      </c>
      <c r="L2695" t="s">
        <v>1211</v>
      </c>
      <c r="M2695" t="s">
        <v>7364</v>
      </c>
      <c r="N2695" t="s">
        <v>7365</v>
      </c>
      <c r="O2695" t="s">
        <v>7366</v>
      </c>
      <c r="P2695" t="s">
        <v>7367</v>
      </c>
    </row>
    <row r="2696" spans="1:16" x14ac:dyDescent="0.35">
      <c r="A2696" t="s">
        <v>113</v>
      </c>
      <c r="B2696">
        <v>1329668962</v>
      </c>
      <c r="C2696" t="s">
        <v>18</v>
      </c>
      <c r="D2696" t="s">
        <v>20</v>
      </c>
      <c r="E2696" s="29">
        <v>46208</v>
      </c>
      <c r="F2696" t="s">
        <v>6</v>
      </c>
      <c r="G2696" s="28">
        <v>0.42777777777777776</v>
      </c>
      <c r="H2696" s="28">
        <v>0.42777777777777776</v>
      </c>
      <c r="I2696">
        <v>0</v>
      </c>
      <c r="J2696" t="s">
        <v>174</v>
      </c>
      <c r="K2696">
        <v>0</v>
      </c>
      <c r="L2696" t="s">
        <v>629</v>
      </c>
      <c r="M2696" t="s">
        <v>7368</v>
      </c>
      <c r="N2696" t="s">
        <v>7369</v>
      </c>
      <c r="O2696" t="s">
        <v>7370</v>
      </c>
      <c r="P2696" t="s">
        <v>7371</v>
      </c>
    </row>
    <row r="2697" spans="1:16" x14ac:dyDescent="0.35">
      <c r="A2697" t="s">
        <v>113</v>
      </c>
      <c r="B2697">
        <v>1329668962</v>
      </c>
      <c r="C2697" t="s">
        <v>18</v>
      </c>
      <c r="D2697" t="s">
        <v>20</v>
      </c>
      <c r="E2697" s="29">
        <v>46208</v>
      </c>
      <c r="F2697" t="s">
        <v>6</v>
      </c>
      <c r="G2697" s="28">
        <v>0.43472222222222223</v>
      </c>
      <c r="H2697" s="28">
        <v>0.43472222222222223</v>
      </c>
      <c r="I2697">
        <v>0</v>
      </c>
      <c r="J2697" t="s">
        <v>174</v>
      </c>
      <c r="K2697">
        <v>0</v>
      </c>
      <c r="L2697" t="s">
        <v>5103</v>
      </c>
      <c r="M2697" t="s">
        <v>7372</v>
      </c>
      <c r="N2697" t="s">
        <v>7373</v>
      </c>
      <c r="O2697" t="s">
        <v>7374</v>
      </c>
      <c r="P2697" t="s">
        <v>7375</v>
      </c>
    </row>
    <row r="2698" spans="1:16" x14ac:dyDescent="0.35">
      <c r="A2698" t="s">
        <v>113</v>
      </c>
      <c r="B2698">
        <v>1329668962</v>
      </c>
      <c r="C2698" t="s">
        <v>18</v>
      </c>
      <c r="D2698" t="s">
        <v>20</v>
      </c>
      <c r="E2698" s="29">
        <v>46208</v>
      </c>
      <c r="F2698" t="s">
        <v>6</v>
      </c>
      <c r="G2698" s="28">
        <v>0.44166666666666665</v>
      </c>
      <c r="H2698" s="28">
        <v>0.44166666666666665</v>
      </c>
      <c r="I2698">
        <v>0</v>
      </c>
      <c r="J2698" t="s">
        <v>174</v>
      </c>
      <c r="K2698">
        <v>0</v>
      </c>
      <c r="L2698" t="s">
        <v>2185</v>
      </c>
      <c r="M2698" t="s">
        <v>7376</v>
      </c>
      <c r="N2698" t="s">
        <v>7377</v>
      </c>
      <c r="O2698" t="s">
        <v>7378</v>
      </c>
      <c r="P2698" t="s">
        <v>1792</v>
      </c>
    </row>
    <row r="2699" spans="1:16" x14ac:dyDescent="0.35">
      <c r="A2699" t="s">
        <v>113</v>
      </c>
      <c r="B2699">
        <v>1329668962</v>
      </c>
      <c r="C2699" t="s">
        <v>18</v>
      </c>
      <c r="D2699" t="s">
        <v>20</v>
      </c>
      <c r="E2699" s="29">
        <v>46208</v>
      </c>
      <c r="F2699" t="s">
        <v>6</v>
      </c>
      <c r="G2699" s="28">
        <v>0.44861111111111113</v>
      </c>
      <c r="H2699" s="28">
        <v>0.44861111111111113</v>
      </c>
      <c r="I2699">
        <v>0</v>
      </c>
      <c r="J2699" t="s">
        <v>174</v>
      </c>
      <c r="K2699">
        <v>0</v>
      </c>
      <c r="L2699" t="s">
        <v>7379</v>
      </c>
      <c r="M2699" t="s">
        <v>7380</v>
      </c>
      <c r="N2699" t="s">
        <v>7381</v>
      </c>
      <c r="O2699" t="s">
        <v>7382</v>
      </c>
      <c r="P2699" t="s">
        <v>7383</v>
      </c>
    </row>
    <row r="2700" spans="1:16" x14ac:dyDescent="0.35">
      <c r="A2700" t="s">
        <v>113</v>
      </c>
      <c r="B2700">
        <v>1329668962</v>
      </c>
      <c r="C2700" t="s">
        <v>18</v>
      </c>
      <c r="D2700" t="s">
        <v>20</v>
      </c>
      <c r="E2700" s="29">
        <v>46208</v>
      </c>
      <c r="F2700" t="s">
        <v>6</v>
      </c>
      <c r="G2700" s="28">
        <v>0.45555555555555555</v>
      </c>
      <c r="H2700" s="28">
        <v>0.45555555555555555</v>
      </c>
      <c r="I2700">
        <v>0</v>
      </c>
      <c r="J2700" t="s">
        <v>174</v>
      </c>
      <c r="K2700">
        <v>0</v>
      </c>
      <c r="L2700" t="s">
        <v>1810</v>
      </c>
      <c r="M2700" t="s">
        <v>7384</v>
      </c>
      <c r="N2700" t="s">
        <v>7385</v>
      </c>
      <c r="O2700" t="s">
        <v>7386</v>
      </c>
      <c r="P2700" t="s">
        <v>7387</v>
      </c>
    </row>
    <row r="2701" spans="1:16" x14ac:dyDescent="0.35">
      <c r="A2701" t="s">
        <v>113</v>
      </c>
      <c r="B2701">
        <v>1329668962</v>
      </c>
      <c r="C2701" t="s">
        <v>18</v>
      </c>
      <c r="D2701" t="s">
        <v>20</v>
      </c>
      <c r="E2701" s="29">
        <v>46208</v>
      </c>
      <c r="F2701" t="s">
        <v>6</v>
      </c>
      <c r="G2701" s="28">
        <v>0.46250000000000002</v>
      </c>
      <c r="H2701" s="28">
        <v>0.46250000000000002</v>
      </c>
      <c r="I2701">
        <v>0</v>
      </c>
      <c r="J2701" t="s">
        <v>174</v>
      </c>
      <c r="K2701">
        <v>0</v>
      </c>
      <c r="L2701" t="s">
        <v>1027</v>
      </c>
      <c r="M2701" t="s">
        <v>7388</v>
      </c>
      <c r="N2701" t="s">
        <v>7389</v>
      </c>
      <c r="O2701" t="s">
        <v>7390</v>
      </c>
      <c r="P2701" t="s">
        <v>1778</v>
      </c>
    </row>
    <row r="2702" spans="1:16" x14ac:dyDescent="0.35">
      <c r="A2702" t="s">
        <v>113</v>
      </c>
      <c r="B2702">
        <v>1329668962</v>
      </c>
      <c r="C2702" t="s">
        <v>18</v>
      </c>
      <c r="D2702" t="s">
        <v>20</v>
      </c>
      <c r="E2702" s="29">
        <v>46208</v>
      </c>
      <c r="F2702" t="s">
        <v>6</v>
      </c>
      <c r="G2702" s="28">
        <v>0.46944444444444444</v>
      </c>
      <c r="H2702" s="28">
        <v>0.46944444444444444</v>
      </c>
      <c r="I2702">
        <v>0</v>
      </c>
      <c r="J2702" t="s">
        <v>174</v>
      </c>
      <c r="K2702">
        <v>0</v>
      </c>
      <c r="L2702" t="s">
        <v>3810</v>
      </c>
      <c r="M2702" t="s">
        <v>7391</v>
      </c>
      <c r="N2702" t="s">
        <v>7392</v>
      </c>
      <c r="O2702" t="s">
        <v>7393</v>
      </c>
      <c r="P2702" t="s">
        <v>7394</v>
      </c>
    </row>
    <row r="2703" spans="1:16" x14ac:dyDescent="0.35">
      <c r="A2703" t="s">
        <v>113</v>
      </c>
      <c r="B2703">
        <v>1329668962</v>
      </c>
      <c r="C2703" t="s">
        <v>18</v>
      </c>
      <c r="D2703" t="s">
        <v>20</v>
      </c>
      <c r="E2703" s="29">
        <v>46208</v>
      </c>
      <c r="F2703" t="s">
        <v>6</v>
      </c>
      <c r="G2703" s="28">
        <v>0.47638888888888886</v>
      </c>
      <c r="H2703" s="28">
        <v>0.51111111111111107</v>
      </c>
      <c r="I2703">
        <v>1</v>
      </c>
      <c r="J2703" t="s">
        <v>146</v>
      </c>
      <c r="K2703">
        <v>2</v>
      </c>
      <c r="L2703" t="s">
        <v>147</v>
      </c>
      <c r="M2703" t="s">
        <v>7395</v>
      </c>
      <c r="N2703" t="s">
        <v>7396</v>
      </c>
      <c r="O2703" t="s">
        <v>7397</v>
      </c>
      <c r="P2703" t="s">
        <v>7398</v>
      </c>
    </row>
    <row r="2704" spans="1:16" x14ac:dyDescent="0.35">
      <c r="A2704" t="s">
        <v>113</v>
      </c>
      <c r="B2704">
        <v>1329668962</v>
      </c>
      <c r="C2704" t="s">
        <v>18</v>
      </c>
      <c r="D2704" t="s">
        <v>20</v>
      </c>
      <c r="E2704" s="29">
        <v>46208</v>
      </c>
      <c r="F2704" t="s">
        <v>6</v>
      </c>
      <c r="G2704" s="28">
        <v>0.5180555555555556</v>
      </c>
      <c r="H2704" s="28">
        <v>0.5180555555555556</v>
      </c>
      <c r="I2704">
        <v>0</v>
      </c>
      <c r="J2704" t="s">
        <v>174</v>
      </c>
      <c r="K2704">
        <v>0</v>
      </c>
      <c r="L2704" t="s">
        <v>7399</v>
      </c>
      <c r="M2704" t="s">
        <v>7400</v>
      </c>
      <c r="N2704" t="s">
        <v>7401</v>
      </c>
      <c r="O2704" t="s">
        <v>7402</v>
      </c>
      <c r="P2704" t="s">
        <v>7403</v>
      </c>
    </row>
    <row r="2705" spans="1:16" x14ac:dyDescent="0.35">
      <c r="A2705" t="s">
        <v>113</v>
      </c>
      <c r="B2705">
        <v>1329668962</v>
      </c>
      <c r="C2705" t="s">
        <v>18</v>
      </c>
      <c r="D2705" t="s">
        <v>20</v>
      </c>
      <c r="E2705" s="29">
        <v>46208</v>
      </c>
      <c r="F2705" t="s">
        <v>6</v>
      </c>
      <c r="G2705" s="28">
        <v>0.52500000000000002</v>
      </c>
      <c r="H2705" s="28">
        <v>0.52500000000000002</v>
      </c>
      <c r="I2705">
        <v>0</v>
      </c>
      <c r="J2705" t="s">
        <v>174</v>
      </c>
      <c r="K2705">
        <v>0</v>
      </c>
      <c r="L2705" t="s">
        <v>7404</v>
      </c>
      <c r="M2705" t="s">
        <v>7405</v>
      </c>
      <c r="N2705" t="s">
        <v>7406</v>
      </c>
      <c r="O2705" t="s">
        <v>7407</v>
      </c>
      <c r="P2705" t="s">
        <v>7408</v>
      </c>
    </row>
    <row r="2706" spans="1:16" x14ac:dyDescent="0.35">
      <c r="A2706" t="s">
        <v>113</v>
      </c>
      <c r="B2706">
        <v>1329668962</v>
      </c>
      <c r="C2706" t="s">
        <v>18</v>
      </c>
      <c r="D2706" t="s">
        <v>20</v>
      </c>
      <c r="E2706" s="29">
        <v>46208</v>
      </c>
      <c r="F2706" t="s">
        <v>6</v>
      </c>
      <c r="G2706" s="28">
        <v>0.53194444444444444</v>
      </c>
      <c r="H2706" s="28">
        <v>0.53194444444444444</v>
      </c>
      <c r="I2706">
        <v>0</v>
      </c>
      <c r="J2706" t="s">
        <v>174</v>
      </c>
      <c r="K2706">
        <v>0</v>
      </c>
      <c r="L2706" t="s">
        <v>6083</v>
      </c>
      <c r="M2706" t="s">
        <v>7409</v>
      </c>
      <c r="N2706" t="s">
        <v>7410</v>
      </c>
      <c r="O2706" t="s">
        <v>7411</v>
      </c>
      <c r="P2706" t="s">
        <v>7412</v>
      </c>
    </row>
    <row r="2707" spans="1:16" x14ac:dyDescent="0.35">
      <c r="A2707" t="s">
        <v>113</v>
      </c>
      <c r="B2707">
        <v>1329668962</v>
      </c>
      <c r="C2707" t="s">
        <v>18</v>
      </c>
      <c r="D2707" t="s">
        <v>20</v>
      </c>
      <c r="E2707" s="29">
        <v>46208</v>
      </c>
      <c r="F2707" t="s">
        <v>6</v>
      </c>
      <c r="G2707" s="28">
        <v>0.54583333333333328</v>
      </c>
      <c r="H2707" s="28">
        <v>0.54583333333333328</v>
      </c>
      <c r="I2707">
        <v>0</v>
      </c>
      <c r="J2707" t="s">
        <v>174</v>
      </c>
      <c r="K2707">
        <v>0</v>
      </c>
      <c r="L2707" t="s">
        <v>3608</v>
      </c>
      <c r="M2707" t="s">
        <v>7413</v>
      </c>
      <c r="N2707" t="s">
        <v>7414</v>
      </c>
      <c r="O2707" t="s">
        <v>7415</v>
      </c>
      <c r="P2707" t="s">
        <v>7416</v>
      </c>
    </row>
    <row r="2708" spans="1:16" x14ac:dyDescent="0.35">
      <c r="A2708" t="s">
        <v>113</v>
      </c>
      <c r="B2708">
        <v>1329668962</v>
      </c>
      <c r="C2708" t="s">
        <v>18</v>
      </c>
      <c r="D2708" t="s">
        <v>20</v>
      </c>
      <c r="E2708" s="29">
        <v>46208</v>
      </c>
      <c r="F2708" t="s">
        <v>6</v>
      </c>
      <c r="G2708" s="28">
        <v>0.55972222222222223</v>
      </c>
      <c r="H2708" s="28">
        <v>0.55972222222222223</v>
      </c>
      <c r="I2708">
        <v>0</v>
      </c>
      <c r="J2708" t="s">
        <v>174</v>
      </c>
      <c r="K2708">
        <v>0</v>
      </c>
      <c r="L2708" t="s">
        <v>7417</v>
      </c>
      <c r="M2708" t="s">
        <v>7418</v>
      </c>
      <c r="N2708" t="s">
        <v>7419</v>
      </c>
      <c r="O2708" t="s">
        <v>7420</v>
      </c>
      <c r="P2708" t="s">
        <v>7421</v>
      </c>
    </row>
    <row r="2709" spans="1:16" x14ac:dyDescent="0.35">
      <c r="A2709" t="s">
        <v>113</v>
      </c>
      <c r="B2709">
        <v>1329668962</v>
      </c>
      <c r="C2709" t="s">
        <v>18</v>
      </c>
      <c r="D2709" t="s">
        <v>20</v>
      </c>
      <c r="E2709" s="29">
        <v>46208</v>
      </c>
      <c r="F2709" t="s">
        <v>6</v>
      </c>
      <c r="G2709" s="28">
        <v>0.56666666666666665</v>
      </c>
      <c r="H2709" s="28">
        <v>0.56666666666666665</v>
      </c>
      <c r="I2709">
        <v>0</v>
      </c>
      <c r="J2709" t="s">
        <v>174</v>
      </c>
      <c r="K2709">
        <v>0</v>
      </c>
      <c r="L2709" t="s">
        <v>5295</v>
      </c>
      <c r="M2709" t="s">
        <v>7422</v>
      </c>
      <c r="N2709" t="s">
        <v>7423</v>
      </c>
      <c r="O2709" t="s">
        <v>7424</v>
      </c>
      <c r="P2709" t="s">
        <v>7425</v>
      </c>
    </row>
    <row r="2710" spans="1:16" x14ac:dyDescent="0.35">
      <c r="A2710" t="s">
        <v>113</v>
      </c>
      <c r="B2710">
        <v>1329668962</v>
      </c>
      <c r="C2710" t="s">
        <v>18</v>
      </c>
      <c r="D2710" t="s">
        <v>20</v>
      </c>
      <c r="E2710" s="29">
        <v>46208</v>
      </c>
      <c r="F2710" t="s">
        <v>6</v>
      </c>
      <c r="G2710" s="28">
        <v>0.57361111111111107</v>
      </c>
      <c r="H2710" s="28">
        <v>0.5805555555555556</v>
      </c>
      <c r="I2710">
        <v>0</v>
      </c>
      <c r="J2710" t="s">
        <v>146</v>
      </c>
      <c r="K2710">
        <v>1</v>
      </c>
      <c r="L2710" t="s">
        <v>147</v>
      </c>
      <c r="M2710" t="s">
        <v>7426</v>
      </c>
      <c r="N2710" t="s">
        <v>7427</v>
      </c>
      <c r="O2710" t="s">
        <v>7428</v>
      </c>
      <c r="P2710" t="s">
        <v>7429</v>
      </c>
    </row>
    <row r="2711" spans="1:16" x14ac:dyDescent="0.35">
      <c r="A2711" t="s">
        <v>113</v>
      </c>
      <c r="B2711">
        <v>1329668962</v>
      </c>
      <c r="C2711" t="s">
        <v>18</v>
      </c>
      <c r="D2711" t="s">
        <v>20</v>
      </c>
      <c r="E2711" s="29">
        <v>46208</v>
      </c>
      <c r="F2711" t="s">
        <v>6</v>
      </c>
      <c r="G2711" s="28">
        <v>0.58750000000000002</v>
      </c>
      <c r="H2711" s="28">
        <v>0.58750000000000002</v>
      </c>
      <c r="I2711">
        <v>0</v>
      </c>
      <c r="J2711" t="s">
        <v>174</v>
      </c>
      <c r="K2711">
        <v>0</v>
      </c>
      <c r="L2711" t="s">
        <v>7430</v>
      </c>
      <c r="M2711" t="s">
        <v>7431</v>
      </c>
      <c r="N2711" t="s">
        <v>7432</v>
      </c>
      <c r="O2711" t="s">
        <v>7433</v>
      </c>
      <c r="P2711" t="s">
        <v>7434</v>
      </c>
    </row>
    <row r="2712" spans="1:16" x14ac:dyDescent="0.35">
      <c r="A2712" t="s">
        <v>113</v>
      </c>
      <c r="B2712">
        <v>1329668962</v>
      </c>
      <c r="C2712" t="s">
        <v>18</v>
      </c>
      <c r="D2712" t="s">
        <v>20</v>
      </c>
      <c r="E2712" s="29">
        <v>46208</v>
      </c>
      <c r="F2712" t="s">
        <v>6</v>
      </c>
      <c r="G2712" s="28">
        <v>0.59444444444444444</v>
      </c>
      <c r="H2712" s="28">
        <v>0.59444444444444444</v>
      </c>
      <c r="I2712">
        <v>0</v>
      </c>
      <c r="J2712" t="s">
        <v>174</v>
      </c>
      <c r="K2712">
        <v>0</v>
      </c>
      <c r="L2712" t="s">
        <v>3810</v>
      </c>
      <c r="M2712" t="s">
        <v>7435</v>
      </c>
      <c r="N2712" t="s">
        <v>7436</v>
      </c>
      <c r="O2712" t="s">
        <v>7437</v>
      </c>
      <c r="P2712" t="s">
        <v>7438</v>
      </c>
    </row>
    <row r="2713" spans="1:16" x14ac:dyDescent="0.35">
      <c r="A2713" t="s">
        <v>113</v>
      </c>
      <c r="B2713">
        <v>1329668962</v>
      </c>
      <c r="C2713" t="s">
        <v>18</v>
      </c>
      <c r="D2713" t="s">
        <v>20</v>
      </c>
      <c r="E2713" s="29">
        <v>46208</v>
      </c>
      <c r="F2713" t="s">
        <v>6</v>
      </c>
      <c r="G2713" s="28">
        <v>0.60138888888888886</v>
      </c>
      <c r="H2713" s="28">
        <v>0.60138888888888886</v>
      </c>
      <c r="I2713">
        <v>0</v>
      </c>
      <c r="J2713" t="s">
        <v>174</v>
      </c>
      <c r="K2713">
        <v>0</v>
      </c>
      <c r="L2713" t="s">
        <v>6841</v>
      </c>
      <c r="M2713" t="s">
        <v>7439</v>
      </c>
      <c r="N2713" t="s">
        <v>7440</v>
      </c>
      <c r="O2713" t="s">
        <v>7441</v>
      </c>
      <c r="P2713" t="s">
        <v>7442</v>
      </c>
    </row>
    <row r="2714" spans="1:16" x14ac:dyDescent="0.35">
      <c r="A2714" t="s">
        <v>113</v>
      </c>
      <c r="B2714">
        <v>1329668962</v>
      </c>
      <c r="C2714" t="s">
        <v>18</v>
      </c>
      <c r="D2714" t="s">
        <v>20</v>
      </c>
      <c r="E2714" s="29">
        <v>46208</v>
      </c>
      <c r="F2714" t="s">
        <v>6</v>
      </c>
      <c r="G2714" s="28">
        <v>0.60833333333333328</v>
      </c>
      <c r="H2714" s="28">
        <v>0.60833333333333328</v>
      </c>
      <c r="I2714">
        <v>0</v>
      </c>
      <c r="J2714" t="s">
        <v>174</v>
      </c>
      <c r="K2714">
        <v>0</v>
      </c>
      <c r="L2714" t="s">
        <v>6150</v>
      </c>
      <c r="M2714" t="s">
        <v>7360</v>
      </c>
      <c r="N2714" t="s">
        <v>7361</v>
      </c>
      <c r="O2714" t="s">
        <v>7362</v>
      </c>
      <c r="P2714" t="s">
        <v>7363</v>
      </c>
    </row>
    <row r="2715" spans="1:16" x14ac:dyDescent="0.35">
      <c r="A2715" t="s">
        <v>113</v>
      </c>
      <c r="B2715">
        <v>1329668962</v>
      </c>
      <c r="C2715" t="s">
        <v>18</v>
      </c>
      <c r="D2715" t="s">
        <v>20</v>
      </c>
      <c r="E2715" s="29">
        <v>46208</v>
      </c>
      <c r="F2715" t="s">
        <v>6</v>
      </c>
      <c r="G2715" s="28">
        <v>0.61527777777777781</v>
      </c>
      <c r="H2715" s="28">
        <v>0.61527777777777781</v>
      </c>
      <c r="I2715">
        <v>0</v>
      </c>
      <c r="J2715" t="s">
        <v>174</v>
      </c>
      <c r="K2715">
        <v>0</v>
      </c>
      <c r="L2715" t="s">
        <v>7443</v>
      </c>
      <c r="M2715" t="s">
        <v>7444</v>
      </c>
      <c r="N2715" t="s">
        <v>7445</v>
      </c>
      <c r="O2715" t="s">
        <v>7446</v>
      </c>
      <c r="P2715" t="s">
        <v>7447</v>
      </c>
    </row>
    <row r="2716" spans="1:16" x14ac:dyDescent="0.35">
      <c r="A2716" t="s">
        <v>113</v>
      </c>
      <c r="B2716">
        <v>1329668962</v>
      </c>
      <c r="C2716" t="s">
        <v>18</v>
      </c>
      <c r="D2716" t="s">
        <v>20</v>
      </c>
      <c r="E2716" s="29">
        <v>46208</v>
      </c>
      <c r="F2716" t="s">
        <v>6</v>
      </c>
      <c r="G2716" s="28">
        <v>0.62222222222222223</v>
      </c>
      <c r="H2716" s="28">
        <v>0.62222222222222223</v>
      </c>
      <c r="I2716">
        <v>0</v>
      </c>
      <c r="J2716" t="s">
        <v>174</v>
      </c>
      <c r="K2716">
        <v>0</v>
      </c>
      <c r="L2716" t="s">
        <v>1017</v>
      </c>
      <c r="M2716" t="s">
        <v>7448</v>
      </c>
      <c r="N2716" t="s">
        <v>7449</v>
      </c>
      <c r="O2716" t="s">
        <v>7450</v>
      </c>
      <c r="P2716" t="s">
        <v>7451</v>
      </c>
    </row>
    <row r="2717" spans="1:16" x14ac:dyDescent="0.35">
      <c r="A2717" t="s">
        <v>113</v>
      </c>
      <c r="B2717">
        <v>1329668962</v>
      </c>
      <c r="C2717" t="s">
        <v>18</v>
      </c>
      <c r="D2717" t="s">
        <v>20</v>
      </c>
      <c r="E2717" s="29">
        <v>46208</v>
      </c>
      <c r="F2717" t="s">
        <v>6</v>
      </c>
      <c r="G2717" s="28">
        <v>0.62916666666666665</v>
      </c>
      <c r="H2717" s="28">
        <v>0.62916666666666665</v>
      </c>
      <c r="I2717">
        <v>0</v>
      </c>
      <c r="J2717" t="s">
        <v>174</v>
      </c>
      <c r="K2717">
        <v>0</v>
      </c>
      <c r="L2717" t="s">
        <v>7452</v>
      </c>
      <c r="M2717" t="s">
        <v>7337</v>
      </c>
      <c r="N2717" t="s">
        <v>7338</v>
      </c>
      <c r="O2717" t="s">
        <v>7339</v>
      </c>
      <c r="P2717" t="s">
        <v>7340</v>
      </c>
    </row>
    <row r="2718" spans="1:16" x14ac:dyDescent="0.35">
      <c r="A2718" t="s">
        <v>113</v>
      </c>
      <c r="B2718">
        <v>1329668962</v>
      </c>
      <c r="C2718" t="s">
        <v>18</v>
      </c>
      <c r="D2718" t="s">
        <v>20</v>
      </c>
      <c r="E2718" s="29">
        <v>46208</v>
      </c>
      <c r="F2718" t="s">
        <v>6</v>
      </c>
      <c r="G2718" s="28">
        <v>0.63611111111111107</v>
      </c>
      <c r="H2718" s="28">
        <v>0.63611111111111107</v>
      </c>
      <c r="I2718">
        <v>0</v>
      </c>
      <c r="J2718" t="s">
        <v>174</v>
      </c>
      <c r="K2718">
        <v>0</v>
      </c>
      <c r="L2718" t="s">
        <v>7453</v>
      </c>
      <c r="M2718" t="s">
        <v>7454</v>
      </c>
      <c r="N2718" t="s">
        <v>7455</v>
      </c>
      <c r="O2718" t="s">
        <v>7456</v>
      </c>
      <c r="P2718" t="s">
        <v>7457</v>
      </c>
    </row>
    <row r="2719" spans="1:16" x14ac:dyDescent="0.35">
      <c r="A2719" t="s">
        <v>113</v>
      </c>
      <c r="B2719">
        <v>1329668962</v>
      </c>
      <c r="C2719" t="s">
        <v>18</v>
      </c>
      <c r="D2719" t="s">
        <v>20</v>
      </c>
      <c r="E2719" s="29">
        <v>46208</v>
      </c>
      <c r="F2719" t="s">
        <v>6</v>
      </c>
      <c r="G2719" s="28">
        <v>0.6430555555555556</v>
      </c>
      <c r="H2719" s="28">
        <v>0.68472222222222223</v>
      </c>
      <c r="I2719">
        <v>1</v>
      </c>
      <c r="J2719" t="s">
        <v>146</v>
      </c>
      <c r="K2719">
        <v>3</v>
      </c>
      <c r="L2719" t="s">
        <v>147</v>
      </c>
      <c r="M2719" t="s">
        <v>7228</v>
      </c>
      <c r="N2719" t="s">
        <v>7229</v>
      </c>
      <c r="O2719" t="s">
        <v>7230</v>
      </c>
      <c r="P2719" t="s">
        <v>7231</v>
      </c>
    </row>
    <row r="2720" spans="1:16" x14ac:dyDescent="0.35">
      <c r="A2720" t="s">
        <v>113</v>
      </c>
      <c r="B2720">
        <v>1329668962</v>
      </c>
      <c r="C2720" t="s">
        <v>18</v>
      </c>
      <c r="D2720" t="s">
        <v>20</v>
      </c>
      <c r="E2720" s="29">
        <v>46208</v>
      </c>
      <c r="F2720" t="s">
        <v>6</v>
      </c>
      <c r="G2720" s="28">
        <v>0.69166666666666665</v>
      </c>
      <c r="H2720" s="28">
        <v>0.69166666666666665</v>
      </c>
      <c r="I2720">
        <v>0</v>
      </c>
      <c r="J2720" t="s">
        <v>174</v>
      </c>
      <c r="K2720">
        <v>0</v>
      </c>
      <c r="L2720" t="s">
        <v>1188</v>
      </c>
      <c r="M2720" t="s">
        <v>7261</v>
      </c>
      <c r="N2720" t="s">
        <v>7262</v>
      </c>
      <c r="O2720" t="s">
        <v>7263</v>
      </c>
      <c r="P2720" t="s">
        <v>7264</v>
      </c>
    </row>
    <row r="2721" spans="1:16" x14ac:dyDescent="0.35">
      <c r="A2721" t="s">
        <v>113</v>
      </c>
      <c r="B2721">
        <v>1329668962</v>
      </c>
      <c r="C2721" t="s">
        <v>18</v>
      </c>
      <c r="D2721" t="s">
        <v>20</v>
      </c>
      <c r="E2721" s="29">
        <v>46208</v>
      </c>
      <c r="F2721" t="s">
        <v>6</v>
      </c>
      <c r="G2721" s="28">
        <v>0.7055555555555556</v>
      </c>
      <c r="H2721" s="28">
        <v>0.7055555555555556</v>
      </c>
      <c r="I2721">
        <v>0</v>
      </c>
      <c r="J2721" t="s">
        <v>174</v>
      </c>
      <c r="K2721">
        <v>0</v>
      </c>
      <c r="L2721" t="s">
        <v>7453</v>
      </c>
      <c r="M2721" t="s">
        <v>7228</v>
      </c>
      <c r="N2721" t="s">
        <v>7229</v>
      </c>
      <c r="O2721" t="s">
        <v>7230</v>
      </c>
      <c r="P2721" t="s">
        <v>7231</v>
      </c>
    </row>
    <row r="2722" spans="1:16" x14ac:dyDescent="0.35">
      <c r="A2722" t="s">
        <v>113</v>
      </c>
      <c r="B2722">
        <v>1329668962</v>
      </c>
      <c r="C2722" t="s">
        <v>18</v>
      </c>
      <c r="D2722" t="s">
        <v>20</v>
      </c>
      <c r="E2722" s="29">
        <v>46208</v>
      </c>
      <c r="F2722" t="s">
        <v>6</v>
      </c>
      <c r="G2722" s="28">
        <v>0.71250000000000002</v>
      </c>
      <c r="H2722" s="28">
        <v>0.71250000000000002</v>
      </c>
      <c r="I2722">
        <v>0</v>
      </c>
      <c r="J2722" t="s">
        <v>174</v>
      </c>
      <c r="K2722">
        <v>0</v>
      </c>
      <c r="L2722" t="s">
        <v>257</v>
      </c>
      <c r="M2722" t="s">
        <v>7454</v>
      </c>
      <c r="N2722" t="s">
        <v>7455</v>
      </c>
      <c r="O2722" t="s">
        <v>7456</v>
      </c>
      <c r="P2722" t="s">
        <v>7457</v>
      </c>
    </row>
    <row r="2723" spans="1:16" x14ac:dyDescent="0.35">
      <c r="A2723" t="s">
        <v>113</v>
      </c>
      <c r="B2723">
        <v>1329668962</v>
      </c>
      <c r="C2723" t="s">
        <v>18</v>
      </c>
      <c r="D2723" t="s">
        <v>20</v>
      </c>
      <c r="E2723" s="29">
        <v>46208</v>
      </c>
      <c r="F2723" t="s">
        <v>6</v>
      </c>
      <c r="G2723" s="28">
        <v>0.71944444444444444</v>
      </c>
      <c r="H2723" s="28">
        <v>0.72638888888888886</v>
      </c>
      <c r="I2723">
        <v>0</v>
      </c>
      <c r="J2723" t="s">
        <v>146</v>
      </c>
      <c r="K2723">
        <v>0</v>
      </c>
      <c r="L2723" t="s">
        <v>147</v>
      </c>
      <c r="M2723" t="s">
        <v>7282</v>
      </c>
      <c r="N2723" t="s">
        <v>7283</v>
      </c>
      <c r="O2723" t="s">
        <v>7284</v>
      </c>
      <c r="P2723" t="s">
        <v>7285</v>
      </c>
    </row>
    <row r="2724" spans="1:16" x14ac:dyDescent="0.35">
      <c r="A2724" t="s">
        <v>113</v>
      </c>
      <c r="B2724">
        <v>1329668962</v>
      </c>
      <c r="C2724" t="s">
        <v>18</v>
      </c>
      <c r="D2724" t="s">
        <v>20</v>
      </c>
      <c r="E2724" s="29">
        <v>46208</v>
      </c>
      <c r="F2724" t="s">
        <v>6</v>
      </c>
      <c r="G2724" s="28">
        <v>0.73333333333333328</v>
      </c>
      <c r="H2724" s="28">
        <v>0.73333333333333328</v>
      </c>
      <c r="I2724">
        <v>0</v>
      </c>
      <c r="J2724" t="s">
        <v>174</v>
      </c>
      <c r="K2724">
        <v>0</v>
      </c>
      <c r="L2724" t="s">
        <v>437</v>
      </c>
      <c r="M2724" t="s">
        <v>7458</v>
      </c>
      <c r="N2724" t="s">
        <v>7459</v>
      </c>
      <c r="O2724" t="s">
        <v>7460</v>
      </c>
      <c r="P2724" t="s">
        <v>7461</v>
      </c>
    </row>
    <row r="2725" spans="1:16" x14ac:dyDescent="0.35">
      <c r="A2725" t="s">
        <v>113</v>
      </c>
      <c r="B2725">
        <v>1329668962</v>
      </c>
      <c r="C2725" t="s">
        <v>18</v>
      </c>
      <c r="D2725" t="s">
        <v>20</v>
      </c>
      <c r="E2725" s="29">
        <v>46208</v>
      </c>
      <c r="F2725" t="s">
        <v>6</v>
      </c>
      <c r="G2725" s="28">
        <v>0.74027777777777781</v>
      </c>
      <c r="H2725" s="28">
        <v>0.78888888888888886</v>
      </c>
      <c r="I2725">
        <v>1</v>
      </c>
      <c r="J2725" t="s">
        <v>146</v>
      </c>
      <c r="K2725">
        <v>4</v>
      </c>
      <c r="L2725" t="s">
        <v>147</v>
      </c>
      <c r="M2725" t="s">
        <v>7228</v>
      </c>
      <c r="N2725" t="s">
        <v>7229</v>
      </c>
      <c r="O2725" t="s">
        <v>7230</v>
      </c>
      <c r="P2725" t="s">
        <v>7231</v>
      </c>
    </row>
    <row r="2726" spans="1:16" x14ac:dyDescent="0.35">
      <c r="A2726" t="s">
        <v>119</v>
      </c>
      <c r="B2726">
        <v>1701216039</v>
      </c>
      <c r="C2726" t="s">
        <v>18</v>
      </c>
      <c r="D2726" t="s">
        <v>20</v>
      </c>
      <c r="E2726" s="29">
        <v>46204</v>
      </c>
      <c r="F2726" t="s">
        <v>3</v>
      </c>
      <c r="G2726" s="28">
        <v>0.42777777777777776</v>
      </c>
      <c r="H2726" s="28">
        <v>0.42777777777777776</v>
      </c>
      <c r="I2726">
        <v>0</v>
      </c>
      <c r="J2726" t="s">
        <v>174</v>
      </c>
      <c r="K2726">
        <v>0</v>
      </c>
      <c r="L2726" t="s">
        <v>7462</v>
      </c>
      <c r="M2726" t="s">
        <v>7463</v>
      </c>
      <c r="N2726" t="s">
        <v>7464</v>
      </c>
      <c r="O2726" t="s">
        <v>7465</v>
      </c>
      <c r="P2726" t="s">
        <v>7466</v>
      </c>
    </row>
    <row r="2727" spans="1:16" x14ac:dyDescent="0.35">
      <c r="A2727" t="s">
        <v>119</v>
      </c>
      <c r="B2727">
        <v>1701216039</v>
      </c>
      <c r="C2727" t="s">
        <v>18</v>
      </c>
      <c r="D2727" t="s">
        <v>20</v>
      </c>
      <c r="E2727" s="29">
        <v>46204</v>
      </c>
      <c r="F2727" t="s">
        <v>3</v>
      </c>
      <c r="G2727" s="28">
        <v>0.43541666666666667</v>
      </c>
      <c r="H2727" s="28">
        <v>0.43541666666666667</v>
      </c>
      <c r="I2727">
        <v>0</v>
      </c>
      <c r="J2727" t="s">
        <v>174</v>
      </c>
      <c r="K2727">
        <v>0</v>
      </c>
      <c r="L2727" t="s">
        <v>7467</v>
      </c>
      <c r="M2727" t="s">
        <v>7468</v>
      </c>
      <c r="N2727" t="s">
        <v>7469</v>
      </c>
      <c r="O2727" t="s">
        <v>7470</v>
      </c>
      <c r="P2727" t="s">
        <v>7471</v>
      </c>
    </row>
    <row r="2728" spans="1:16" x14ac:dyDescent="0.35">
      <c r="A2728" t="s">
        <v>119</v>
      </c>
      <c r="B2728">
        <v>1701216039</v>
      </c>
      <c r="C2728" t="s">
        <v>18</v>
      </c>
      <c r="D2728" t="s">
        <v>20</v>
      </c>
      <c r="E2728" s="29">
        <v>46204</v>
      </c>
      <c r="F2728" t="s">
        <v>3</v>
      </c>
      <c r="G2728" s="28">
        <v>0.44236111111111109</v>
      </c>
      <c r="H2728" s="28">
        <v>0.44236111111111109</v>
      </c>
      <c r="I2728">
        <v>0</v>
      </c>
      <c r="J2728" t="s">
        <v>174</v>
      </c>
      <c r="K2728">
        <v>0</v>
      </c>
      <c r="L2728" t="s">
        <v>7472</v>
      </c>
      <c r="M2728" t="s">
        <v>7473</v>
      </c>
      <c r="N2728" t="s">
        <v>7474</v>
      </c>
      <c r="O2728" t="s">
        <v>7475</v>
      </c>
      <c r="P2728" t="s">
        <v>7476</v>
      </c>
    </row>
    <row r="2729" spans="1:16" x14ac:dyDescent="0.35">
      <c r="A2729" t="s">
        <v>119</v>
      </c>
      <c r="B2729">
        <v>1701216039</v>
      </c>
      <c r="C2729" t="s">
        <v>18</v>
      </c>
      <c r="D2729" t="s">
        <v>20</v>
      </c>
      <c r="E2729" s="29">
        <v>46204</v>
      </c>
      <c r="F2729" t="s">
        <v>3</v>
      </c>
      <c r="G2729" s="28">
        <v>0.44861111111111113</v>
      </c>
      <c r="H2729" s="28">
        <v>0.44861111111111113</v>
      </c>
      <c r="I2729">
        <v>0</v>
      </c>
      <c r="J2729" t="s">
        <v>174</v>
      </c>
      <c r="K2729">
        <v>0</v>
      </c>
      <c r="L2729" t="s">
        <v>7477</v>
      </c>
      <c r="M2729" t="s">
        <v>7478</v>
      </c>
      <c r="N2729" t="s">
        <v>7464</v>
      </c>
      <c r="O2729" t="s">
        <v>7465</v>
      </c>
      <c r="P2729" t="s">
        <v>7466</v>
      </c>
    </row>
    <row r="2730" spans="1:16" x14ac:dyDescent="0.35">
      <c r="A2730" t="s">
        <v>119</v>
      </c>
      <c r="B2730">
        <v>1701216039</v>
      </c>
      <c r="C2730" t="s">
        <v>18</v>
      </c>
      <c r="D2730" t="s">
        <v>20</v>
      </c>
      <c r="E2730" s="29">
        <v>46204</v>
      </c>
      <c r="F2730" t="s">
        <v>3</v>
      </c>
      <c r="G2730" s="28">
        <v>0.45555555555555555</v>
      </c>
      <c r="H2730" s="28">
        <v>0.45555555555555555</v>
      </c>
      <c r="I2730">
        <v>0</v>
      </c>
      <c r="J2730" t="s">
        <v>174</v>
      </c>
      <c r="K2730">
        <v>0</v>
      </c>
      <c r="L2730" t="s">
        <v>7479</v>
      </c>
      <c r="M2730" t="s">
        <v>7480</v>
      </c>
      <c r="N2730" t="s">
        <v>7481</v>
      </c>
      <c r="O2730" t="s">
        <v>7482</v>
      </c>
      <c r="P2730" t="s">
        <v>4302</v>
      </c>
    </row>
    <row r="2731" spans="1:16" x14ac:dyDescent="0.35">
      <c r="A2731" t="s">
        <v>119</v>
      </c>
      <c r="B2731">
        <v>1701216039</v>
      </c>
      <c r="C2731" t="s">
        <v>18</v>
      </c>
      <c r="D2731" t="s">
        <v>20</v>
      </c>
      <c r="E2731" s="29">
        <v>46204</v>
      </c>
      <c r="F2731" t="s">
        <v>3</v>
      </c>
      <c r="G2731" s="28">
        <v>0.46250000000000002</v>
      </c>
      <c r="H2731" s="28">
        <v>0.46944444444444444</v>
      </c>
      <c r="I2731">
        <v>0</v>
      </c>
      <c r="J2731" t="s">
        <v>146</v>
      </c>
      <c r="K2731">
        <v>0</v>
      </c>
      <c r="L2731" t="s">
        <v>147</v>
      </c>
      <c r="M2731" t="s">
        <v>7483</v>
      </c>
      <c r="N2731" t="s">
        <v>7469</v>
      </c>
      <c r="O2731" t="s">
        <v>7470</v>
      </c>
      <c r="P2731" t="s">
        <v>7471</v>
      </c>
    </row>
    <row r="2732" spans="1:16" x14ac:dyDescent="0.35">
      <c r="A2732" t="s">
        <v>119</v>
      </c>
      <c r="B2732">
        <v>1701216039</v>
      </c>
      <c r="C2732" t="s">
        <v>18</v>
      </c>
      <c r="D2732" t="s">
        <v>20</v>
      </c>
      <c r="E2732" s="29">
        <v>46204</v>
      </c>
      <c r="F2732" t="s">
        <v>3</v>
      </c>
      <c r="G2732" s="28">
        <v>0.47708333333333336</v>
      </c>
      <c r="H2732" s="28">
        <v>0.47708333333333336</v>
      </c>
      <c r="I2732">
        <v>0</v>
      </c>
      <c r="J2732" t="s">
        <v>174</v>
      </c>
      <c r="K2732">
        <v>0</v>
      </c>
      <c r="L2732" t="s">
        <v>7484</v>
      </c>
      <c r="M2732" t="s">
        <v>7473</v>
      </c>
      <c r="N2732" t="s">
        <v>7474</v>
      </c>
      <c r="O2732" t="s">
        <v>7475</v>
      </c>
      <c r="P2732" t="s">
        <v>7476</v>
      </c>
    </row>
    <row r="2733" spans="1:16" x14ac:dyDescent="0.35">
      <c r="A2733" t="s">
        <v>119</v>
      </c>
      <c r="B2733">
        <v>1701216039</v>
      </c>
      <c r="C2733" t="s">
        <v>18</v>
      </c>
      <c r="D2733" t="s">
        <v>20</v>
      </c>
      <c r="E2733" s="29">
        <v>46204</v>
      </c>
      <c r="F2733" t="s">
        <v>3</v>
      </c>
      <c r="G2733" s="28">
        <v>0.48333333333333334</v>
      </c>
      <c r="H2733" s="28">
        <v>0.48333333333333334</v>
      </c>
      <c r="I2733">
        <v>0</v>
      </c>
      <c r="J2733" t="s">
        <v>174</v>
      </c>
      <c r="K2733">
        <v>0</v>
      </c>
      <c r="L2733" t="s">
        <v>7479</v>
      </c>
      <c r="M2733" t="s">
        <v>7480</v>
      </c>
      <c r="N2733" t="s">
        <v>7481</v>
      </c>
      <c r="O2733" t="s">
        <v>7482</v>
      </c>
      <c r="P2733" t="s">
        <v>4302</v>
      </c>
    </row>
    <row r="2734" spans="1:16" x14ac:dyDescent="0.35">
      <c r="A2734" t="s">
        <v>119</v>
      </c>
      <c r="B2734">
        <v>1701216039</v>
      </c>
      <c r="C2734" t="s">
        <v>18</v>
      </c>
      <c r="D2734" t="s">
        <v>20</v>
      </c>
      <c r="E2734" s="29">
        <v>46204</v>
      </c>
      <c r="F2734" t="s">
        <v>3</v>
      </c>
      <c r="G2734" s="28">
        <v>0.49027777777777776</v>
      </c>
      <c r="H2734" s="28">
        <v>0.50416666666666665</v>
      </c>
      <c r="I2734">
        <v>0</v>
      </c>
      <c r="J2734" t="s">
        <v>146</v>
      </c>
      <c r="K2734">
        <v>1</v>
      </c>
      <c r="L2734" t="s">
        <v>147</v>
      </c>
      <c r="M2734" t="s">
        <v>7468</v>
      </c>
      <c r="N2734" t="s">
        <v>7469</v>
      </c>
      <c r="O2734" t="s">
        <v>7470</v>
      </c>
      <c r="P2734" t="s">
        <v>7471</v>
      </c>
    </row>
    <row r="2735" spans="1:16" x14ac:dyDescent="0.35">
      <c r="A2735" t="s">
        <v>119</v>
      </c>
      <c r="B2735">
        <v>1701216039</v>
      </c>
      <c r="C2735" t="s">
        <v>18</v>
      </c>
      <c r="D2735" t="s">
        <v>20</v>
      </c>
      <c r="E2735" s="29">
        <v>46204</v>
      </c>
      <c r="F2735" t="s">
        <v>3</v>
      </c>
      <c r="G2735" s="28">
        <v>0.51180555555555551</v>
      </c>
      <c r="H2735" s="28">
        <v>0.51180555555555551</v>
      </c>
      <c r="I2735">
        <v>0</v>
      </c>
      <c r="J2735" t="s">
        <v>174</v>
      </c>
      <c r="K2735">
        <v>0</v>
      </c>
      <c r="L2735" t="s">
        <v>7467</v>
      </c>
      <c r="M2735" t="s">
        <v>7473</v>
      </c>
      <c r="N2735" t="s">
        <v>7474</v>
      </c>
      <c r="O2735" t="s">
        <v>7475</v>
      </c>
      <c r="P2735" t="s">
        <v>7476</v>
      </c>
    </row>
    <row r="2736" spans="1:16" x14ac:dyDescent="0.35">
      <c r="A2736" t="s">
        <v>119</v>
      </c>
      <c r="B2736">
        <v>1701216039</v>
      </c>
      <c r="C2736" t="s">
        <v>18</v>
      </c>
      <c r="D2736" t="s">
        <v>20</v>
      </c>
      <c r="E2736" s="29">
        <v>46204</v>
      </c>
      <c r="F2736" t="s">
        <v>3</v>
      </c>
      <c r="G2736" s="28">
        <v>0.5180555555555556</v>
      </c>
      <c r="H2736" s="28">
        <v>0.55277777777777781</v>
      </c>
      <c r="I2736">
        <v>1</v>
      </c>
      <c r="J2736" t="s">
        <v>146</v>
      </c>
      <c r="K2736">
        <v>2</v>
      </c>
      <c r="L2736" t="s">
        <v>147</v>
      </c>
      <c r="M2736" t="s">
        <v>7468</v>
      </c>
      <c r="N2736" t="s">
        <v>7469</v>
      </c>
      <c r="O2736" t="s">
        <v>7470</v>
      </c>
      <c r="P2736" t="s">
        <v>7471</v>
      </c>
    </row>
    <row r="2737" spans="1:16" x14ac:dyDescent="0.35">
      <c r="A2737" t="s">
        <v>119</v>
      </c>
      <c r="B2737">
        <v>1701216039</v>
      </c>
      <c r="C2737" t="s">
        <v>18</v>
      </c>
      <c r="D2737" t="s">
        <v>20</v>
      </c>
      <c r="E2737" s="29">
        <v>46204</v>
      </c>
      <c r="F2737" t="s">
        <v>3</v>
      </c>
      <c r="G2737" s="28">
        <v>0.55972222222222223</v>
      </c>
      <c r="H2737" s="28">
        <v>0.55972222222222223</v>
      </c>
      <c r="I2737">
        <v>0</v>
      </c>
      <c r="J2737" t="s">
        <v>174</v>
      </c>
      <c r="K2737">
        <v>0</v>
      </c>
      <c r="L2737" t="s">
        <v>7484</v>
      </c>
      <c r="M2737" t="s">
        <v>7480</v>
      </c>
      <c r="N2737" t="s">
        <v>7481</v>
      </c>
      <c r="O2737" t="s">
        <v>7482</v>
      </c>
      <c r="P2737" t="s">
        <v>4302</v>
      </c>
    </row>
    <row r="2738" spans="1:16" x14ac:dyDescent="0.35">
      <c r="A2738" t="s">
        <v>119</v>
      </c>
      <c r="B2738">
        <v>1701216039</v>
      </c>
      <c r="C2738" t="s">
        <v>18</v>
      </c>
      <c r="D2738" t="s">
        <v>20</v>
      </c>
      <c r="E2738" s="29">
        <v>46204</v>
      </c>
      <c r="F2738" t="s">
        <v>3</v>
      </c>
      <c r="G2738" s="28">
        <v>0.57361111111111107</v>
      </c>
      <c r="H2738" s="28">
        <v>0.57361111111111107</v>
      </c>
      <c r="I2738">
        <v>0</v>
      </c>
      <c r="J2738" t="s">
        <v>174</v>
      </c>
      <c r="K2738">
        <v>0</v>
      </c>
      <c r="L2738" t="s">
        <v>7467</v>
      </c>
      <c r="M2738" t="s">
        <v>7473</v>
      </c>
      <c r="N2738" t="s">
        <v>7474</v>
      </c>
      <c r="O2738" t="s">
        <v>7475</v>
      </c>
      <c r="P2738" t="s">
        <v>7476</v>
      </c>
    </row>
    <row r="2739" spans="1:16" x14ac:dyDescent="0.35">
      <c r="A2739" t="s">
        <v>119</v>
      </c>
      <c r="B2739">
        <v>1701216039</v>
      </c>
      <c r="C2739" t="s">
        <v>18</v>
      </c>
      <c r="D2739" t="s">
        <v>20</v>
      </c>
      <c r="E2739" s="29">
        <v>46204</v>
      </c>
      <c r="F2739" t="s">
        <v>3</v>
      </c>
      <c r="G2739" s="28">
        <v>0.5805555555555556</v>
      </c>
      <c r="H2739" s="28">
        <v>0.5805555555555556</v>
      </c>
      <c r="I2739">
        <v>0</v>
      </c>
      <c r="J2739" t="s">
        <v>174</v>
      </c>
      <c r="K2739">
        <v>0</v>
      </c>
      <c r="L2739" t="s">
        <v>7467</v>
      </c>
      <c r="M2739" t="s">
        <v>7483</v>
      </c>
      <c r="N2739" t="s">
        <v>7469</v>
      </c>
      <c r="O2739" t="s">
        <v>7470</v>
      </c>
      <c r="P2739" t="s">
        <v>7471</v>
      </c>
    </row>
    <row r="2740" spans="1:16" x14ac:dyDescent="0.35">
      <c r="A2740" t="s">
        <v>119</v>
      </c>
      <c r="B2740">
        <v>1701216039</v>
      </c>
      <c r="C2740" t="s">
        <v>18</v>
      </c>
      <c r="D2740" t="s">
        <v>20</v>
      </c>
      <c r="E2740" s="29">
        <v>46204</v>
      </c>
      <c r="F2740" t="s">
        <v>3</v>
      </c>
      <c r="G2740" s="28">
        <v>0.59444444444444444</v>
      </c>
      <c r="H2740" s="28">
        <v>0.59444444444444444</v>
      </c>
      <c r="I2740">
        <v>0</v>
      </c>
      <c r="J2740" t="s">
        <v>174</v>
      </c>
      <c r="K2740">
        <v>0</v>
      </c>
      <c r="L2740" t="s">
        <v>7472</v>
      </c>
      <c r="M2740" t="s">
        <v>7473</v>
      </c>
      <c r="N2740" t="s">
        <v>7474</v>
      </c>
      <c r="O2740" t="s">
        <v>7475</v>
      </c>
      <c r="P2740" t="s">
        <v>7476</v>
      </c>
    </row>
    <row r="2741" spans="1:16" x14ac:dyDescent="0.35">
      <c r="A2741" t="s">
        <v>119</v>
      </c>
      <c r="B2741">
        <v>1701216039</v>
      </c>
      <c r="C2741" t="s">
        <v>18</v>
      </c>
      <c r="D2741" t="s">
        <v>20</v>
      </c>
      <c r="E2741" s="29">
        <v>46204</v>
      </c>
      <c r="F2741" t="s">
        <v>3</v>
      </c>
      <c r="G2741" s="28">
        <v>0.60138888888888886</v>
      </c>
      <c r="H2741" s="28">
        <v>0.60833333333333328</v>
      </c>
      <c r="I2741">
        <v>0</v>
      </c>
      <c r="J2741" t="s">
        <v>146</v>
      </c>
      <c r="K2741">
        <v>0</v>
      </c>
      <c r="L2741" t="s">
        <v>147</v>
      </c>
      <c r="M2741" t="s">
        <v>7463</v>
      </c>
      <c r="N2741" t="s">
        <v>7464</v>
      </c>
      <c r="O2741" t="s">
        <v>7465</v>
      </c>
      <c r="P2741" t="s">
        <v>7466</v>
      </c>
    </row>
    <row r="2742" spans="1:16" x14ac:dyDescent="0.35">
      <c r="A2742" t="s">
        <v>119</v>
      </c>
      <c r="B2742">
        <v>1701216039</v>
      </c>
      <c r="C2742" t="s">
        <v>18</v>
      </c>
      <c r="D2742" t="s">
        <v>20</v>
      </c>
      <c r="E2742" s="29">
        <v>46204</v>
      </c>
      <c r="F2742" t="s">
        <v>3</v>
      </c>
      <c r="G2742" s="28">
        <v>0.61527777777777781</v>
      </c>
      <c r="H2742" s="28">
        <v>0.62222222222222223</v>
      </c>
      <c r="I2742">
        <v>0</v>
      </c>
      <c r="J2742" t="s">
        <v>146</v>
      </c>
      <c r="K2742">
        <v>0</v>
      </c>
      <c r="L2742" t="s">
        <v>147</v>
      </c>
      <c r="M2742" t="s">
        <v>7483</v>
      </c>
      <c r="N2742" t="s">
        <v>7469</v>
      </c>
      <c r="O2742" t="s">
        <v>7470</v>
      </c>
      <c r="P2742" t="s">
        <v>7471</v>
      </c>
    </row>
    <row r="2743" spans="1:16" x14ac:dyDescent="0.35">
      <c r="A2743" t="s">
        <v>119</v>
      </c>
      <c r="B2743">
        <v>1701216039</v>
      </c>
      <c r="C2743" t="s">
        <v>18</v>
      </c>
      <c r="D2743" t="s">
        <v>20</v>
      </c>
      <c r="E2743" s="29">
        <v>46204</v>
      </c>
      <c r="F2743" t="s">
        <v>3</v>
      </c>
      <c r="G2743" s="28">
        <v>0.62916666666666665</v>
      </c>
      <c r="H2743" s="28">
        <v>0.62916666666666665</v>
      </c>
      <c r="I2743">
        <v>0</v>
      </c>
      <c r="J2743" t="s">
        <v>174</v>
      </c>
      <c r="K2743">
        <v>0</v>
      </c>
      <c r="L2743" t="s">
        <v>1236</v>
      </c>
      <c r="M2743" t="s">
        <v>7485</v>
      </c>
      <c r="N2743" t="s">
        <v>7486</v>
      </c>
      <c r="O2743" t="s">
        <v>7487</v>
      </c>
      <c r="P2743" t="s">
        <v>7488</v>
      </c>
    </row>
    <row r="2744" spans="1:16" x14ac:dyDescent="0.35">
      <c r="A2744" t="s">
        <v>119</v>
      </c>
      <c r="B2744">
        <v>1701216039</v>
      </c>
      <c r="C2744" t="s">
        <v>18</v>
      </c>
      <c r="D2744" t="s">
        <v>20</v>
      </c>
      <c r="E2744" s="29">
        <v>46204</v>
      </c>
      <c r="F2744" t="s">
        <v>3</v>
      </c>
      <c r="G2744" s="28">
        <v>0.63611111111111107</v>
      </c>
      <c r="H2744" s="28">
        <v>0.63611111111111107</v>
      </c>
      <c r="I2744">
        <v>0</v>
      </c>
      <c r="J2744" t="s">
        <v>174</v>
      </c>
      <c r="K2744">
        <v>0</v>
      </c>
      <c r="L2744" t="s">
        <v>1307</v>
      </c>
      <c r="M2744" t="s">
        <v>7489</v>
      </c>
      <c r="N2744" t="s">
        <v>7490</v>
      </c>
      <c r="O2744" t="s">
        <v>7491</v>
      </c>
      <c r="P2744" t="s">
        <v>7492</v>
      </c>
    </row>
    <row r="2745" spans="1:16" x14ac:dyDescent="0.35">
      <c r="A2745" t="s">
        <v>119</v>
      </c>
      <c r="B2745">
        <v>1701216039</v>
      </c>
      <c r="C2745" t="s">
        <v>18</v>
      </c>
      <c r="D2745" t="s">
        <v>20</v>
      </c>
      <c r="E2745" s="29">
        <v>46204</v>
      </c>
      <c r="F2745" t="s">
        <v>3</v>
      </c>
      <c r="G2745" s="28">
        <v>0.6430555555555556</v>
      </c>
      <c r="H2745" s="28">
        <v>0.6430555555555556</v>
      </c>
      <c r="I2745">
        <v>0</v>
      </c>
      <c r="J2745" t="s">
        <v>174</v>
      </c>
      <c r="K2745">
        <v>0</v>
      </c>
      <c r="L2745" t="s">
        <v>7493</v>
      </c>
      <c r="M2745" t="s">
        <v>7494</v>
      </c>
      <c r="N2745" t="s">
        <v>7495</v>
      </c>
      <c r="O2745" t="s">
        <v>7496</v>
      </c>
      <c r="P2745" t="s">
        <v>7497</v>
      </c>
    </row>
    <row r="2746" spans="1:16" x14ac:dyDescent="0.35">
      <c r="A2746" t="s">
        <v>119</v>
      </c>
      <c r="B2746">
        <v>1701216039</v>
      </c>
      <c r="C2746" t="s">
        <v>18</v>
      </c>
      <c r="D2746" t="s">
        <v>20</v>
      </c>
      <c r="E2746" s="29">
        <v>46204</v>
      </c>
      <c r="F2746" t="s">
        <v>3</v>
      </c>
      <c r="G2746" s="28">
        <v>0.65</v>
      </c>
      <c r="H2746" s="28">
        <v>0.65694444444444444</v>
      </c>
      <c r="I2746">
        <v>0</v>
      </c>
      <c r="J2746" t="s">
        <v>146</v>
      </c>
      <c r="K2746">
        <v>0</v>
      </c>
      <c r="L2746" t="s">
        <v>147</v>
      </c>
      <c r="M2746" t="s">
        <v>7498</v>
      </c>
      <c r="N2746" t="s">
        <v>7499</v>
      </c>
      <c r="O2746" t="s">
        <v>7500</v>
      </c>
      <c r="P2746" t="s">
        <v>7501</v>
      </c>
    </row>
    <row r="2747" spans="1:16" x14ac:dyDescent="0.35">
      <c r="A2747" t="s">
        <v>119</v>
      </c>
      <c r="B2747">
        <v>1701216039</v>
      </c>
      <c r="C2747" t="s">
        <v>18</v>
      </c>
      <c r="D2747" t="s">
        <v>20</v>
      </c>
      <c r="E2747" s="29">
        <v>46204</v>
      </c>
      <c r="F2747" t="s">
        <v>3</v>
      </c>
      <c r="G2747" s="28">
        <v>0.66388888888888886</v>
      </c>
      <c r="H2747" s="28">
        <v>0.66388888888888886</v>
      </c>
      <c r="I2747">
        <v>0</v>
      </c>
      <c r="J2747" t="s">
        <v>174</v>
      </c>
      <c r="K2747">
        <v>0</v>
      </c>
      <c r="L2747" t="s">
        <v>7502</v>
      </c>
      <c r="M2747" t="s">
        <v>7503</v>
      </c>
      <c r="N2747" t="s">
        <v>7504</v>
      </c>
      <c r="O2747" t="s">
        <v>7505</v>
      </c>
      <c r="P2747" t="s">
        <v>7506</v>
      </c>
    </row>
    <row r="2748" spans="1:16" x14ac:dyDescent="0.35">
      <c r="A2748" t="s">
        <v>119</v>
      </c>
      <c r="B2748">
        <v>1701216039</v>
      </c>
      <c r="C2748" t="s">
        <v>18</v>
      </c>
      <c r="D2748" t="s">
        <v>20</v>
      </c>
      <c r="E2748" s="29">
        <v>46204</v>
      </c>
      <c r="F2748" t="s">
        <v>3</v>
      </c>
      <c r="G2748" s="28">
        <v>0.67083333333333328</v>
      </c>
      <c r="H2748" s="28">
        <v>0.67083333333333328</v>
      </c>
      <c r="I2748">
        <v>0</v>
      </c>
      <c r="J2748" t="s">
        <v>174</v>
      </c>
      <c r="K2748">
        <v>0</v>
      </c>
      <c r="L2748" t="s">
        <v>1307</v>
      </c>
      <c r="M2748" t="s">
        <v>7507</v>
      </c>
      <c r="N2748" t="s">
        <v>7508</v>
      </c>
      <c r="O2748" t="s">
        <v>7509</v>
      </c>
      <c r="P2748" t="s">
        <v>7510</v>
      </c>
    </row>
    <row r="2749" spans="1:16" x14ac:dyDescent="0.35">
      <c r="A2749" t="s">
        <v>119</v>
      </c>
      <c r="B2749">
        <v>1701216039</v>
      </c>
      <c r="C2749" t="s">
        <v>18</v>
      </c>
      <c r="D2749" t="s">
        <v>20</v>
      </c>
      <c r="E2749" s="29">
        <v>46204</v>
      </c>
      <c r="F2749" t="s">
        <v>3</v>
      </c>
      <c r="G2749" s="28">
        <v>0.67777777777777781</v>
      </c>
      <c r="H2749" s="28">
        <v>0.68472222222222223</v>
      </c>
      <c r="I2749">
        <v>0</v>
      </c>
      <c r="J2749" t="s">
        <v>146</v>
      </c>
      <c r="K2749">
        <v>0</v>
      </c>
      <c r="L2749" t="s">
        <v>147</v>
      </c>
      <c r="M2749" t="s">
        <v>7511</v>
      </c>
      <c r="N2749" t="s">
        <v>7512</v>
      </c>
      <c r="O2749" t="s">
        <v>7513</v>
      </c>
      <c r="P2749" t="s">
        <v>7514</v>
      </c>
    </row>
    <row r="2750" spans="1:16" x14ac:dyDescent="0.35">
      <c r="A2750" t="s">
        <v>119</v>
      </c>
      <c r="B2750">
        <v>1701216039</v>
      </c>
      <c r="C2750" t="s">
        <v>18</v>
      </c>
      <c r="D2750" t="s">
        <v>20</v>
      </c>
      <c r="E2750" s="29">
        <v>46204</v>
      </c>
      <c r="F2750" t="s">
        <v>3</v>
      </c>
      <c r="G2750" s="28">
        <v>0.69166666666666665</v>
      </c>
      <c r="H2750" s="28">
        <v>0.69166666666666665</v>
      </c>
      <c r="I2750">
        <v>0</v>
      </c>
      <c r="J2750" t="s">
        <v>174</v>
      </c>
      <c r="K2750">
        <v>0</v>
      </c>
      <c r="L2750" t="s">
        <v>7515</v>
      </c>
      <c r="M2750" t="s">
        <v>7516</v>
      </c>
      <c r="N2750" t="s">
        <v>7517</v>
      </c>
      <c r="O2750" t="s">
        <v>7518</v>
      </c>
      <c r="P2750" t="s">
        <v>7519</v>
      </c>
    </row>
    <row r="2751" spans="1:16" x14ac:dyDescent="0.35">
      <c r="A2751" t="s">
        <v>119</v>
      </c>
      <c r="B2751">
        <v>1701216039</v>
      </c>
      <c r="C2751" t="s">
        <v>18</v>
      </c>
      <c r="D2751" t="s">
        <v>20</v>
      </c>
      <c r="E2751" s="29">
        <v>46204</v>
      </c>
      <c r="F2751" t="s">
        <v>3</v>
      </c>
      <c r="G2751" s="28">
        <v>0.69861111111111107</v>
      </c>
      <c r="H2751" s="28">
        <v>0.69861111111111107</v>
      </c>
      <c r="I2751">
        <v>0</v>
      </c>
      <c r="J2751" t="s">
        <v>174</v>
      </c>
      <c r="K2751">
        <v>0</v>
      </c>
      <c r="L2751" t="s">
        <v>1201</v>
      </c>
      <c r="M2751" t="s">
        <v>7503</v>
      </c>
      <c r="N2751" t="s">
        <v>7504</v>
      </c>
      <c r="O2751" t="s">
        <v>7505</v>
      </c>
      <c r="P2751" t="s">
        <v>7506</v>
      </c>
    </row>
    <row r="2752" spans="1:16" x14ac:dyDescent="0.35">
      <c r="A2752" t="s">
        <v>119</v>
      </c>
      <c r="B2752">
        <v>1701216039</v>
      </c>
      <c r="C2752" t="s">
        <v>18</v>
      </c>
      <c r="D2752" t="s">
        <v>20</v>
      </c>
      <c r="E2752" s="29">
        <v>46204</v>
      </c>
      <c r="F2752" t="s">
        <v>3</v>
      </c>
      <c r="G2752" s="28">
        <v>0.7055555555555556</v>
      </c>
      <c r="H2752" s="28">
        <v>0.71944444444444444</v>
      </c>
      <c r="I2752">
        <v>0</v>
      </c>
      <c r="J2752" t="s">
        <v>146</v>
      </c>
      <c r="K2752">
        <v>1</v>
      </c>
      <c r="L2752" t="s">
        <v>147</v>
      </c>
      <c r="M2752" t="s">
        <v>7520</v>
      </c>
      <c r="N2752" t="s">
        <v>7521</v>
      </c>
      <c r="O2752" t="s">
        <v>7522</v>
      </c>
      <c r="P2752" t="s">
        <v>7523</v>
      </c>
    </row>
    <row r="2753" spans="1:16" x14ac:dyDescent="0.35">
      <c r="A2753" t="s">
        <v>119</v>
      </c>
      <c r="B2753">
        <v>1701216039</v>
      </c>
      <c r="C2753" t="s">
        <v>18</v>
      </c>
      <c r="D2753" t="s">
        <v>20</v>
      </c>
      <c r="E2753" s="29">
        <v>46204</v>
      </c>
      <c r="F2753" t="s">
        <v>3</v>
      </c>
      <c r="G2753" s="28">
        <v>0.72638888888888886</v>
      </c>
      <c r="H2753" s="28">
        <v>0.72638888888888886</v>
      </c>
      <c r="I2753">
        <v>0</v>
      </c>
      <c r="J2753" t="s">
        <v>174</v>
      </c>
      <c r="K2753">
        <v>0</v>
      </c>
      <c r="L2753" t="s">
        <v>7524</v>
      </c>
      <c r="M2753" t="s">
        <v>7516</v>
      </c>
      <c r="N2753" t="s">
        <v>7517</v>
      </c>
      <c r="O2753" t="s">
        <v>7518</v>
      </c>
      <c r="P2753" t="s">
        <v>7519</v>
      </c>
    </row>
    <row r="2754" spans="1:16" x14ac:dyDescent="0.35">
      <c r="A2754" t="s">
        <v>119</v>
      </c>
      <c r="B2754">
        <v>1701216039</v>
      </c>
      <c r="C2754" t="s">
        <v>18</v>
      </c>
      <c r="D2754" t="s">
        <v>20</v>
      </c>
      <c r="E2754" s="29">
        <v>46204</v>
      </c>
      <c r="F2754" t="s">
        <v>3</v>
      </c>
      <c r="G2754" s="28">
        <v>0.73333333333333328</v>
      </c>
      <c r="H2754" s="28">
        <v>0.73333333333333328</v>
      </c>
      <c r="I2754">
        <v>0</v>
      </c>
      <c r="J2754" t="s">
        <v>174</v>
      </c>
      <c r="K2754">
        <v>0</v>
      </c>
      <c r="L2754" t="s">
        <v>1349</v>
      </c>
      <c r="M2754" t="s">
        <v>7511</v>
      </c>
      <c r="N2754" t="s">
        <v>7512</v>
      </c>
      <c r="O2754" t="s">
        <v>7513</v>
      </c>
      <c r="P2754" t="s">
        <v>7514</v>
      </c>
    </row>
    <row r="2755" spans="1:16" x14ac:dyDescent="0.35">
      <c r="A2755" t="s">
        <v>119</v>
      </c>
      <c r="B2755">
        <v>1701216039</v>
      </c>
      <c r="C2755" t="s">
        <v>18</v>
      </c>
      <c r="D2755" t="s">
        <v>20</v>
      </c>
      <c r="E2755" s="29">
        <v>46204</v>
      </c>
      <c r="F2755" t="s">
        <v>3</v>
      </c>
      <c r="G2755" s="28">
        <v>0.74027777777777781</v>
      </c>
      <c r="H2755" s="28">
        <v>0.74027777777777781</v>
      </c>
      <c r="I2755">
        <v>0</v>
      </c>
      <c r="J2755" t="s">
        <v>174</v>
      </c>
      <c r="K2755">
        <v>0</v>
      </c>
      <c r="L2755" t="s">
        <v>7525</v>
      </c>
      <c r="M2755" t="s">
        <v>6457</v>
      </c>
      <c r="N2755" t="s">
        <v>6458</v>
      </c>
      <c r="O2755" t="s">
        <v>6459</v>
      </c>
      <c r="P2755" t="s">
        <v>6460</v>
      </c>
    </row>
    <row r="2756" spans="1:16" x14ac:dyDescent="0.35">
      <c r="A2756" t="s">
        <v>119</v>
      </c>
      <c r="B2756">
        <v>1701216039</v>
      </c>
      <c r="C2756" t="s">
        <v>18</v>
      </c>
      <c r="D2756" t="s">
        <v>20</v>
      </c>
      <c r="E2756" s="29">
        <v>46204</v>
      </c>
      <c r="F2756" t="s">
        <v>3</v>
      </c>
      <c r="G2756" s="28">
        <v>0.74722222222222223</v>
      </c>
      <c r="H2756" s="28">
        <v>0.74722222222222223</v>
      </c>
      <c r="I2756">
        <v>0</v>
      </c>
      <c r="J2756" t="s">
        <v>174</v>
      </c>
      <c r="K2756">
        <v>0</v>
      </c>
      <c r="L2756" t="s">
        <v>7525</v>
      </c>
      <c r="M2756" t="s">
        <v>7503</v>
      </c>
      <c r="N2756" t="s">
        <v>7504</v>
      </c>
      <c r="O2756" t="s">
        <v>7505</v>
      </c>
      <c r="P2756" t="s">
        <v>7506</v>
      </c>
    </row>
    <row r="2757" spans="1:16" x14ac:dyDescent="0.35">
      <c r="A2757" t="s">
        <v>119</v>
      </c>
      <c r="B2757">
        <v>1701216039</v>
      </c>
      <c r="C2757" t="s">
        <v>18</v>
      </c>
      <c r="D2757" t="s">
        <v>20</v>
      </c>
      <c r="E2757" s="29">
        <v>46204</v>
      </c>
      <c r="F2757" t="s">
        <v>3</v>
      </c>
      <c r="G2757" s="28">
        <v>0.75416666666666665</v>
      </c>
      <c r="H2757" s="28">
        <v>0.77500000000000002</v>
      </c>
      <c r="I2757">
        <v>1</v>
      </c>
      <c r="J2757" t="s">
        <v>146</v>
      </c>
      <c r="K2757">
        <v>2</v>
      </c>
      <c r="L2757" t="s">
        <v>147</v>
      </c>
      <c r="M2757" t="s">
        <v>6457</v>
      </c>
      <c r="N2757" t="s">
        <v>6458</v>
      </c>
      <c r="O2757" t="s">
        <v>6459</v>
      </c>
      <c r="P2757" t="s">
        <v>6460</v>
      </c>
    </row>
    <row r="2758" spans="1:16" x14ac:dyDescent="0.35">
      <c r="A2758" t="s">
        <v>119</v>
      </c>
      <c r="B2758">
        <v>1701216039</v>
      </c>
      <c r="C2758" t="s">
        <v>18</v>
      </c>
      <c r="D2758" t="s">
        <v>20</v>
      </c>
      <c r="E2758" s="29">
        <v>46204</v>
      </c>
      <c r="F2758" t="s">
        <v>3</v>
      </c>
      <c r="G2758" s="28">
        <v>0.78194444444444444</v>
      </c>
      <c r="H2758" s="28">
        <v>0.78194444444444444</v>
      </c>
      <c r="I2758">
        <v>0</v>
      </c>
      <c r="J2758" t="s">
        <v>174</v>
      </c>
      <c r="K2758">
        <v>0</v>
      </c>
      <c r="L2758" t="s">
        <v>7526</v>
      </c>
      <c r="M2758" t="s">
        <v>7527</v>
      </c>
      <c r="N2758" t="s">
        <v>7528</v>
      </c>
      <c r="O2758" t="s">
        <v>7529</v>
      </c>
      <c r="P2758" t="s">
        <v>7530</v>
      </c>
    </row>
    <row r="2759" spans="1:16" x14ac:dyDescent="0.35">
      <c r="A2759" t="s">
        <v>119</v>
      </c>
      <c r="B2759">
        <v>1701216039</v>
      </c>
      <c r="C2759" t="s">
        <v>18</v>
      </c>
      <c r="D2759" t="s">
        <v>20</v>
      </c>
      <c r="E2759" s="29">
        <v>46204</v>
      </c>
      <c r="F2759" t="s">
        <v>3</v>
      </c>
      <c r="G2759" s="28">
        <v>0.78888888888888886</v>
      </c>
      <c r="H2759" s="28">
        <v>0.78888888888888886</v>
      </c>
      <c r="I2759">
        <v>0</v>
      </c>
      <c r="J2759" t="s">
        <v>174</v>
      </c>
      <c r="K2759">
        <v>0</v>
      </c>
      <c r="L2759" t="s">
        <v>7531</v>
      </c>
      <c r="M2759" t="s">
        <v>6457</v>
      </c>
      <c r="N2759" t="s">
        <v>6458</v>
      </c>
      <c r="O2759" t="s">
        <v>6459</v>
      </c>
      <c r="P2759" t="s">
        <v>6460</v>
      </c>
    </row>
    <row r="2760" spans="1:16" x14ac:dyDescent="0.35">
      <c r="A2760" t="s">
        <v>119</v>
      </c>
      <c r="B2760">
        <v>1701216039</v>
      </c>
      <c r="C2760" t="s">
        <v>18</v>
      </c>
      <c r="D2760" t="s">
        <v>20</v>
      </c>
      <c r="E2760" s="29">
        <v>46205</v>
      </c>
      <c r="F2760" t="s">
        <v>4</v>
      </c>
      <c r="G2760" s="28">
        <v>0.37916666666666665</v>
      </c>
      <c r="H2760" s="28">
        <v>0.37916666666666665</v>
      </c>
      <c r="I2760">
        <v>0</v>
      </c>
      <c r="J2760" t="s">
        <v>174</v>
      </c>
      <c r="K2760">
        <v>0</v>
      </c>
      <c r="L2760" t="s">
        <v>7462</v>
      </c>
      <c r="M2760" t="s">
        <v>7483</v>
      </c>
      <c r="N2760" t="s">
        <v>7469</v>
      </c>
      <c r="O2760" t="s">
        <v>7470</v>
      </c>
      <c r="P2760" t="s">
        <v>7471</v>
      </c>
    </row>
    <row r="2761" spans="1:16" x14ac:dyDescent="0.35">
      <c r="A2761" t="s">
        <v>119</v>
      </c>
      <c r="B2761">
        <v>1701216039</v>
      </c>
      <c r="C2761" t="s">
        <v>18</v>
      </c>
      <c r="D2761" t="s">
        <v>20</v>
      </c>
      <c r="E2761" s="29">
        <v>46205</v>
      </c>
      <c r="F2761" t="s">
        <v>4</v>
      </c>
      <c r="G2761" s="28">
        <v>0.38611111111111113</v>
      </c>
      <c r="H2761" s="28">
        <v>0.40694444444444444</v>
      </c>
      <c r="I2761">
        <v>0</v>
      </c>
      <c r="J2761" t="s">
        <v>146</v>
      </c>
      <c r="K2761">
        <v>2</v>
      </c>
      <c r="L2761" t="s">
        <v>147</v>
      </c>
      <c r="M2761" t="s">
        <v>7478</v>
      </c>
      <c r="N2761" t="s">
        <v>7464</v>
      </c>
      <c r="O2761" t="s">
        <v>7465</v>
      </c>
      <c r="P2761" t="s">
        <v>7466</v>
      </c>
    </row>
    <row r="2762" spans="1:16" x14ac:dyDescent="0.35">
      <c r="A2762" t="s">
        <v>119</v>
      </c>
      <c r="B2762">
        <v>1701216039</v>
      </c>
      <c r="C2762" t="s">
        <v>18</v>
      </c>
      <c r="D2762" t="s">
        <v>20</v>
      </c>
      <c r="E2762" s="29">
        <v>46205</v>
      </c>
      <c r="F2762" t="s">
        <v>4</v>
      </c>
      <c r="G2762" s="28">
        <v>0.41388888888888886</v>
      </c>
      <c r="H2762" s="28">
        <v>0.41388888888888886</v>
      </c>
      <c r="I2762">
        <v>0</v>
      </c>
      <c r="J2762" t="s">
        <v>174</v>
      </c>
      <c r="K2762">
        <v>0</v>
      </c>
      <c r="L2762" t="s">
        <v>5340</v>
      </c>
      <c r="M2762" t="s">
        <v>7532</v>
      </c>
      <c r="N2762" t="s">
        <v>7533</v>
      </c>
      <c r="O2762" t="s">
        <v>7534</v>
      </c>
      <c r="P2762" t="s">
        <v>7535</v>
      </c>
    </row>
    <row r="2763" spans="1:16" x14ac:dyDescent="0.35">
      <c r="A2763" t="s">
        <v>119</v>
      </c>
      <c r="B2763">
        <v>1701216039</v>
      </c>
      <c r="C2763" t="s">
        <v>18</v>
      </c>
      <c r="D2763" t="s">
        <v>20</v>
      </c>
      <c r="E2763" s="29">
        <v>46205</v>
      </c>
      <c r="F2763" t="s">
        <v>4</v>
      </c>
      <c r="G2763" s="28">
        <v>0.42083333333333334</v>
      </c>
      <c r="H2763" s="28">
        <v>0.42083333333333334</v>
      </c>
      <c r="I2763">
        <v>0</v>
      </c>
      <c r="J2763" t="s">
        <v>174</v>
      </c>
      <c r="K2763">
        <v>0</v>
      </c>
      <c r="L2763" t="s">
        <v>2593</v>
      </c>
      <c r="M2763" t="s">
        <v>6704</v>
      </c>
      <c r="N2763" t="s">
        <v>6705</v>
      </c>
      <c r="O2763" t="s">
        <v>6706</v>
      </c>
      <c r="P2763" t="s">
        <v>6707</v>
      </c>
    </row>
    <row r="2764" spans="1:16" x14ac:dyDescent="0.35">
      <c r="A2764" t="s">
        <v>119</v>
      </c>
      <c r="B2764">
        <v>1701216039</v>
      </c>
      <c r="C2764" t="s">
        <v>18</v>
      </c>
      <c r="D2764" t="s">
        <v>20</v>
      </c>
      <c r="E2764" s="29">
        <v>46205</v>
      </c>
      <c r="F2764" t="s">
        <v>4</v>
      </c>
      <c r="G2764" s="28">
        <v>0.42777777777777776</v>
      </c>
      <c r="H2764" s="28">
        <v>0.42777777777777776</v>
      </c>
      <c r="I2764">
        <v>0</v>
      </c>
      <c r="J2764" t="s">
        <v>174</v>
      </c>
      <c r="K2764">
        <v>0</v>
      </c>
      <c r="L2764" t="s">
        <v>369</v>
      </c>
      <c r="M2764" t="s">
        <v>7536</v>
      </c>
      <c r="N2764" t="s">
        <v>7537</v>
      </c>
      <c r="O2764" t="s">
        <v>7538</v>
      </c>
      <c r="P2764" t="s">
        <v>7539</v>
      </c>
    </row>
    <row r="2765" spans="1:16" x14ac:dyDescent="0.35">
      <c r="A2765" t="s">
        <v>119</v>
      </c>
      <c r="B2765">
        <v>1701216039</v>
      </c>
      <c r="C2765" t="s">
        <v>18</v>
      </c>
      <c r="D2765" t="s">
        <v>20</v>
      </c>
      <c r="E2765" s="29">
        <v>46205</v>
      </c>
      <c r="F2765" t="s">
        <v>4</v>
      </c>
      <c r="G2765" s="28">
        <v>0.43472222222222223</v>
      </c>
      <c r="H2765" s="28">
        <v>0.46944444444444444</v>
      </c>
      <c r="I2765">
        <v>1</v>
      </c>
      <c r="J2765" t="s">
        <v>146</v>
      </c>
      <c r="K2765">
        <v>2</v>
      </c>
      <c r="L2765" t="s">
        <v>147</v>
      </c>
      <c r="M2765" t="s">
        <v>7540</v>
      </c>
      <c r="N2765" t="s">
        <v>7541</v>
      </c>
      <c r="O2765" t="s">
        <v>7542</v>
      </c>
      <c r="P2765" t="s">
        <v>7543</v>
      </c>
    </row>
    <row r="2766" spans="1:16" x14ac:dyDescent="0.35">
      <c r="A2766" t="s">
        <v>119</v>
      </c>
      <c r="B2766">
        <v>1701216039</v>
      </c>
      <c r="C2766" t="s">
        <v>18</v>
      </c>
      <c r="D2766" t="s">
        <v>20</v>
      </c>
      <c r="E2766" s="29">
        <v>46205</v>
      </c>
      <c r="F2766" t="s">
        <v>4</v>
      </c>
      <c r="G2766" s="28">
        <v>0.47638888888888886</v>
      </c>
      <c r="H2766" s="28">
        <v>0.47638888888888886</v>
      </c>
      <c r="I2766">
        <v>0</v>
      </c>
      <c r="J2766" t="s">
        <v>174</v>
      </c>
      <c r="K2766">
        <v>0</v>
      </c>
      <c r="L2766" t="s">
        <v>1936</v>
      </c>
      <c r="M2766" t="s">
        <v>7498</v>
      </c>
      <c r="N2766" t="s">
        <v>7499</v>
      </c>
      <c r="O2766" t="s">
        <v>7500</v>
      </c>
      <c r="P2766" t="s">
        <v>7501</v>
      </c>
    </row>
    <row r="2767" spans="1:16" x14ac:dyDescent="0.35">
      <c r="A2767" t="s">
        <v>119</v>
      </c>
      <c r="B2767">
        <v>1701216039</v>
      </c>
      <c r="C2767" t="s">
        <v>18</v>
      </c>
      <c r="D2767" t="s">
        <v>20</v>
      </c>
      <c r="E2767" s="29">
        <v>46205</v>
      </c>
      <c r="F2767" t="s">
        <v>4</v>
      </c>
      <c r="G2767" s="28">
        <v>0.48333333333333334</v>
      </c>
      <c r="H2767" s="28">
        <v>0.48333333333333334</v>
      </c>
      <c r="I2767">
        <v>0</v>
      </c>
      <c r="J2767" t="s">
        <v>174</v>
      </c>
      <c r="K2767">
        <v>0</v>
      </c>
      <c r="L2767" t="s">
        <v>3836</v>
      </c>
      <c r="M2767" t="s">
        <v>7544</v>
      </c>
      <c r="N2767" t="s">
        <v>7545</v>
      </c>
      <c r="O2767" t="s">
        <v>6508</v>
      </c>
      <c r="P2767" t="s">
        <v>7546</v>
      </c>
    </row>
    <row r="2768" spans="1:16" x14ac:dyDescent="0.35">
      <c r="A2768" t="s">
        <v>119</v>
      </c>
      <c r="B2768">
        <v>1701216039</v>
      </c>
      <c r="C2768" t="s">
        <v>18</v>
      </c>
      <c r="D2768" t="s">
        <v>20</v>
      </c>
      <c r="E2768" s="29">
        <v>46205</v>
      </c>
      <c r="F2768" t="s">
        <v>4</v>
      </c>
      <c r="G2768" s="28">
        <v>0.49027777777777776</v>
      </c>
      <c r="H2768" s="28">
        <v>0.51111111111111107</v>
      </c>
      <c r="I2768">
        <v>0</v>
      </c>
      <c r="J2768" t="s">
        <v>146</v>
      </c>
      <c r="K2768">
        <v>2</v>
      </c>
      <c r="L2768" t="s">
        <v>147</v>
      </c>
      <c r="M2768" t="s">
        <v>7547</v>
      </c>
      <c r="N2768" t="s">
        <v>7548</v>
      </c>
      <c r="O2768" t="s">
        <v>7549</v>
      </c>
      <c r="P2768" t="s">
        <v>7550</v>
      </c>
    </row>
    <row r="2769" spans="1:16" x14ac:dyDescent="0.35">
      <c r="A2769" t="s">
        <v>119</v>
      </c>
      <c r="B2769">
        <v>1701216039</v>
      </c>
      <c r="C2769" t="s">
        <v>18</v>
      </c>
      <c r="D2769" t="s">
        <v>20</v>
      </c>
      <c r="E2769" s="29">
        <v>46205</v>
      </c>
      <c r="F2769" t="s">
        <v>4</v>
      </c>
      <c r="G2769" s="28">
        <v>0.5180555555555556</v>
      </c>
      <c r="H2769" s="28">
        <v>0.55277777777777781</v>
      </c>
      <c r="I2769">
        <v>1</v>
      </c>
      <c r="J2769" t="s">
        <v>146</v>
      </c>
      <c r="K2769">
        <v>2</v>
      </c>
      <c r="L2769" t="s">
        <v>147</v>
      </c>
      <c r="M2769" t="s">
        <v>6457</v>
      </c>
      <c r="N2769" t="s">
        <v>6458</v>
      </c>
      <c r="O2769" t="s">
        <v>6459</v>
      </c>
      <c r="P2769" t="s">
        <v>6460</v>
      </c>
    </row>
    <row r="2770" spans="1:16" x14ac:dyDescent="0.35">
      <c r="A2770" t="s">
        <v>119</v>
      </c>
      <c r="B2770">
        <v>1701216039</v>
      </c>
      <c r="C2770" t="s">
        <v>18</v>
      </c>
      <c r="D2770" t="s">
        <v>20</v>
      </c>
      <c r="E2770" s="29">
        <v>46205</v>
      </c>
      <c r="F2770" t="s">
        <v>4</v>
      </c>
      <c r="G2770" s="28">
        <v>0.55972222222222223</v>
      </c>
      <c r="H2770" s="28">
        <v>0.56666666666666665</v>
      </c>
      <c r="I2770">
        <v>0</v>
      </c>
      <c r="J2770" t="s">
        <v>146</v>
      </c>
      <c r="K2770">
        <v>0</v>
      </c>
      <c r="L2770" t="s">
        <v>147</v>
      </c>
      <c r="M2770" t="s">
        <v>7527</v>
      </c>
      <c r="N2770" t="s">
        <v>7528</v>
      </c>
      <c r="O2770" t="s">
        <v>7529</v>
      </c>
      <c r="P2770" t="s">
        <v>7530</v>
      </c>
    </row>
    <row r="2771" spans="1:16" x14ac:dyDescent="0.35">
      <c r="A2771" t="s">
        <v>119</v>
      </c>
      <c r="B2771">
        <v>1701216039</v>
      </c>
      <c r="C2771" t="s">
        <v>18</v>
      </c>
      <c r="D2771" t="s">
        <v>20</v>
      </c>
      <c r="E2771" s="29">
        <v>46205</v>
      </c>
      <c r="F2771" t="s">
        <v>4</v>
      </c>
      <c r="G2771" s="28">
        <v>0.57361111111111107</v>
      </c>
      <c r="H2771" s="28">
        <v>0.57361111111111107</v>
      </c>
      <c r="I2771">
        <v>0</v>
      </c>
      <c r="J2771" t="s">
        <v>174</v>
      </c>
      <c r="K2771">
        <v>0</v>
      </c>
      <c r="L2771" t="s">
        <v>1236</v>
      </c>
      <c r="M2771" t="s">
        <v>7503</v>
      </c>
      <c r="N2771" t="s">
        <v>7504</v>
      </c>
      <c r="O2771" t="s">
        <v>7505</v>
      </c>
      <c r="P2771" t="s">
        <v>7506</v>
      </c>
    </row>
    <row r="2772" spans="1:16" x14ac:dyDescent="0.35">
      <c r="A2772" t="s">
        <v>119</v>
      </c>
      <c r="B2772">
        <v>1701216039</v>
      </c>
      <c r="C2772" t="s">
        <v>18</v>
      </c>
      <c r="D2772" t="s">
        <v>20</v>
      </c>
      <c r="E2772" s="29">
        <v>46205</v>
      </c>
      <c r="F2772" t="s">
        <v>4</v>
      </c>
      <c r="G2772" s="28">
        <v>0.5805555555555556</v>
      </c>
      <c r="H2772" s="28">
        <v>0.59444444444444444</v>
      </c>
      <c r="I2772">
        <v>0</v>
      </c>
      <c r="J2772" t="s">
        <v>146</v>
      </c>
      <c r="K2772">
        <v>1</v>
      </c>
      <c r="L2772" t="s">
        <v>147</v>
      </c>
      <c r="M2772" t="s">
        <v>7511</v>
      </c>
      <c r="N2772" t="s">
        <v>7512</v>
      </c>
      <c r="O2772" t="s">
        <v>7513</v>
      </c>
      <c r="P2772" t="s">
        <v>7514</v>
      </c>
    </row>
    <row r="2773" spans="1:16" x14ac:dyDescent="0.35">
      <c r="A2773" t="s">
        <v>119</v>
      </c>
      <c r="B2773">
        <v>1701216039</v>
      </c>
      <c r="C2773" t="s">
        <v>18</v>
      </c>
      <c r="D2773" t="s">
        <v>20</v>
      </c>
      <c r="E2773" s="29">
        <v>46205</v>
      </c>
      <c r="F2773" t="s">
        <v>4</v>
      </c>
      <c r="G2773" s="28">
        <v>0.60138888888888886</v>
      </c>
      <c r="H2773" s="28">
        <v>0.67777777777777781</v>
      </c>
      <c r="I2773">
        <v>2</v>
      </c>
      <c r="J2773" t="s">
        <v>146</v>
      </c>
      <c r="K2773">
        <v>6</v>
      </c>
      <c r="L2773" t="s">
        <v>147</v>
      </c>
      <c r="M2773" t="s">
        <v>7551</v>
      </c>
      <c r="N2773" t="s">
        <v>7552</v>
      </c>
      <c r="O2773" t="s">
        <v>7553</v>
      </c>
      <c r="P2773" t="s">
        <v>7554</v>
      </c>
    </row>
    <row r="2774" spans="1:16" x14ac:dyDescent="0.35">
      <c r="A2774" t="s">
        <v>119</v>
      </c>
      <c r="B2774">
        <v>1701216039</v>
      </c>
      <c r="C2774" t="s">
        <v>18</v>
      </c>
      <c r="D2774" t="s">
        <v>20</v>
      </c>
      <c r="E2774" s="29">
        <v>46205</v>
      </c>
      <c r="F2774" t="s">
        <v>4</v>
      </c>
      <c r="G2774" s="28">
        <v>0.68472222222222223</v>
      </c>
      <c r="H2774" s="28">
        <v>0.69166666666666665</v>
      </c>
      <c r="I2774">
        <v>0</v>
      </c>
      <c r="J2774" t="s">
        <v>146</v>
      </c>
      <c r="K2774">
        <v>0</v>
      </c>
      <c r="L2774" t="s">
        <v>147</v>
      </c>
      <c r="M2774" t="s">
        <v>7555</v>
      </c>
      <c r="N2774" t="s">
        <v>7556</v>
      </c>
      <c r="O2774" t="s">
        <v>7557</v>
      </c>
      <c r="P2774" t="s">
        <v>7558</v>
      </c>
    </row>
    <row r="2775" spans="1:16" x14ac:dyDescent="0.35">
      <c r="A2775" t="s">
        <v>119</v>
      </c>
      <c r="B2775">
        <v>1701216039</v>
      </c>
      <c r="C2775" t="s">
        <v>18</v>
      </c>
      <c r="D2775" t="s">
        <v>20</v>
      </c>
      <c r="E2775" s="29">
        <v>46205</v>
      </c>
      <c r="F2775" t="s">
        <v>4</v>
      </c>
      <c r="G2775" s="28">
        <v>0.69861111111111107</v>
      </c>
      <c r="H2775" s="28">
        <v>0.69861111111111107</v>
      </c>
      <c r="I2775">
        <v>0</v>
      </c>
      <c r="J2775" t="s">
        <v>174</v>
      </c>
      <c r="K2775">
        <v>0</v>
      </c>
      <c r="L2775" t="s">
        <v>7559</v>
      </c>
      <c r="M2775" t="s">
        <v>7560</v>
      </c>
      <c r="N2775" t="s">
        <v>7561</v>
      </c>
      <c r="O2775" t="s">
        <v>7562</v>
      </c>
      <c r="P2775" t="s">
        <v>7563</v>
      </c>
    </row>
    <row r="2776" spans="1:16" x14ac:dyDescent="0.35">
      <c r="A2776" t="s">
        <v>119</v>
      </c>
      <c r="B2776">
        <v>1701216039</v>
      </c>
      <c r="C2776" t="s">
        <v>18</v>
      </c>
      <c r="D2776" t="s">
        <v>20</v>
      </c>
      <c r="E2776" s="29">
        <v>46205</v>
      </c>
      <c r="F2776" t="s">
        <v>4</v>
      </c>
      <c r="G2776" s="28">
        <v>0.7055555555555556</v>
      </c>
      <c r="H2776" s="28">
        <v>0.7055555555555556</v>
      </c>
      <c r="I2776">
        <v>0</v>
      </c>
      <c r="J2776" t="s">
        <v>174</v>
      </c>
      <c r="K2776">
        <v>0</v>
      </c>
      <c r="L2776" t="s">
        <v>7564</v>
      </c>
      <c r="M2776" t="s">
        <v>7555</v>
      </c>
      <c r="N2776" t="s">
        <v>7556</v>
      </c>
      <c r="O2776" t="s">
        <v>7557</v>
      </c>
      <c r="P2776" t="s">
        <v>7558</v>
      </c>
    </row>
    <row r="2777" spans="1:16" x14ac:dyDescent="0.35">
      <c r="A2777" t="s">
        <v>119</v>
      </c>
      <c r="B2777">
        <v>1701216039</v>
      </c>
      <c r="C2777" t="s">
        <v>18</v>
      </c>
      <c r="D2777" t="s">
        <v>20</v>
      </c>
      <c r="E2777" s="29">
        <v>46205</v>
      </c>
      <c r="F2777" t="s">
        <v>4</v>
      </c>
      <c r="G2777" s="28">
        <v>0.71250000000000002</v>
      </c>
      <c r="H2777" s="28">
        <v>0.71250000000000002</v>
      </c>
      <c r="I2777">
        <v>0</v>
      </c>
      <c r="J2777" t="s">
        <v>174</v>
      </c>
      <c r="K2777">
        <v>0</v>
      </c>
      <c r="L2777" t="s">
        <v>262</v>
      </c>
      <c r="M2777" t="s">
        <v>7565</v>
      </c>
      <c r="N2777" t="s">
        <v>7521</v>
      </c>
      <c r="O2777" t="s">
        <v>7522</v>
      </c>
      <c r="P2777" t="s">
        <v>7523</v>
      </c>
    </row>
    <row r="2778" spans="1:16" x14ac:dyDescent="0.35">
      <c r="A2778" t="s">
        <v>119</v>
      </c>
      <c r="B2778">
        <v>1701216039</v>
      </c>
      <c r="C2778" t="s">
        <v>18</v>
      </c>
      <c r="D2778" t="s">
        <v>20</v>
      </c>
      <c r="E2778" s="29">
        <v>46205</v>
      </c>
      <c r="F2778" t="s">
        <v>4</v>
      </c>
      <c r="G2778" s="28">
        <v>0.71944444444444444</v>
      </c>
      <c r="H2778" s="28">
        <v>0.71944444444444444</v>
      </c>
      <c r="I2778">
        <v>0</v>
      </c>
      <c r="J2778" t="s">
        <v>174</v>
      </c>
      <c r="K2778">
        <v>0</v>
      </c>
      <c r="L2778" t="s">
        <v>7566</v>
      </c>
      <c r="M2778" t="s">
        <v>7567</v>
      </c>
      <c r="N2778" t="s">
        <v>7568</v>
      </c>
      <c r="O2778" t="s">
        <v>7569</v>
      </c>
      <c r="P2778" t="s">
        <v>7570</v>
      </c>
    </row>
    <row r="2779" spans="1:16" x14ac:dyDescent="0.35">
      <c r="A2779" t="s">
        <v>119</v>
      </c>
      <c r="B2779">
        <v>1701216039</v>
      </c>
      <c r="C2779" t="s">
        <v>18</v>
      </c>
      <c r="D2779" t="s">
        <v>20</v>
      </c>
      <c r="E2779" s="29">
        <v>46205</v>
      </c>
      <c r="F2779" t="s">
        <v>4</v>
      </c>
      <c r="G2779" s="28">
        <v>0.72638888888888886</v>
      </c>
      <c r="H2779" s="28">
        <v>0.74027777777777781</v>
      </c>
      <c r="I2779">
        <v>0</v>
      </c>
      <c r="J2779" t="s">
        <v>146</v>
      </c>
      <c r="K2779">
        <v>1</v>
      </c>
      <c r="L2779" t="s">
        <v>147</v>
      </c>
      <c r="M2779" t="s">
        <v>7571</v>
      </c>
      <c r="N2779" t="s">
        <v>7572</v>
      </c>
      <c r="O2779" t="s">
        <v>7573</v>
      </c>
      <c r="P2779" t="s">
        <v>7574</v>
      </c>
    </row>
    <row r="2780" spans="1:16" x14ac:dyDescent="0.35">
      <c r="A2780" t="s">
        <v>119</v>
      </c>
      <c r="B2780">
        <v>1701216039</v>
      </c>
      <c r="C2780" t="s">
        <v>18</v>
      </c>
      <c r="D2780" t="s">
        <v>20</v>
      </c>
      <c r="E2780" s="29">
        <v>46205</v>
      </c>
      <c r="F2780" t="s">
        <v>4</v>
      </c>
      <c r="G2780" s="28">
        <v>0.74722222222222223</v>
      </c>
      <c r="H2780" s="28">
        <v>0.75416666666666665</v>
      </c>
      <c r="I2780">
        <v>0</v>
      </c>
      <c r="J2780" t="s">
        <v>146</v>
      </c>
      <c r="K2780">
        <v>0</v>
      </c>
      <c r="L2780" t="s">
        <v>147</v>
      </c>
      <c r="M2780" t="s">
        <v>7575</v>
      </c>
      <c r="N2780" t="s">
        <v>7576</v>
      </c>
      <c r="O2780" t="s">
        <v>7577</v>
      </c>
      <c r="P2780" t="s">
        <v>7578</v>
      </c>
    </row>
    <row r="2781" spans="1:16" x14ac:dyDescent="0.35">
      <c r="A2781" t="s">
        <v>119</v>
      </c>
      <c r="B2781">
        <v>1701216039</v>
      </c>
      <c r="C2781" t="s">
        <v>18</v>
      </c>
      <c r="D2781" t="s">
        <v>20</v>
      </c>
      <c r="E2781" s="29">
        <v>46205</v>
      </c>
      <c r="F2781" t="s">
        <v>4</v>
      </c>
      <c r="G2781" s="28">
        <v>0.76111111111111107</v>
      </c>
      <c r="H2781" s="28">
        <v>0.79583333333333328</v>
      </c>
      <c r="I2781">
        <v>1</v>
      </c>
      <c r="J2781" t="s">
        <v>146</v>
      </c>
      <c r="K2781">
        <v>2</v>
      </c>
      <c r="L2781" t="s">
        <v>147</v>
      </c>
      <c r="M2781" t="s">
        <v>7571</v>
      </c>
      <c r="N2781" t="s">
        <v>7572</v>
      </c>
      <c r="O2781" t="s">
        <v>7573</v>
      </c>
      <c r="P2781" t="s">
        <v>7574</v>
      </c>
    </row>
    <row r="2782" spans="1:16" x14ac:dyDescent="0.35">
      <c r="A2782" t="s">
        <v>119</v>
      </c>
      <c r="B2782">
        <v>1701216039</v>
      </c>
      <c r="C2782" t="s">
        <v>18</v>
      </c>
      <c r="D2782" t="s">
        <v>20</v>
      </c>
      <c r="E2782" s="29">
        <v>46207</v>
      </c>
      <c r="F2782" t="s">
        <v>5</v>
      </c>
      <c r="G2782" s="28">
        <v>0.39305555555555555</v>
      </c>
      <c r="H2782" s="28">
        <v>0.39305555555555555</v>
      </c>
      <c r="I2782">
        <v>0</v>
      </c>
      <c r="J2782" t="s">
        <v>174</v>
      </c>
      <c r="K2782">
        <v>0</v>
      </c>
      <c r="L2782" t="s">
        <v>466</v>
      </c>
      <c r="M2782" t="s">
        <v>7489</v>
      </c>
      <c r="N2782" t="s">
        <v>7490</v>
      </c>
      <c r="O2782" t="s">
        <v>7491</v>
      </c>
      <c r="P2782" t="s">
        <v>7492</v>
      </c>
    </row>
    <row r="2783" spans="1:16" x14ac:dyDescent="0.35">
      <c r="A2783" t="s">
        <v>119</v>
      </c>
      <c r="B2783">
        <v>1701216039</v>
      </c>
      <c r="C2783" t="s">
        <v>18</v>
      </c>
      <c r="D2783" t="s">
        <v>20</v>
      </c>
      <c r="E2783" s="29">
        <v>46207</v>
      </c>
      <c r="F2783" t="s">
        <v>5</v>
      </c>
      <c r="G2783" s="28">
        <v>0.4</v>
      </c>
      <c r="H2783" s="28">
        <v>0.4</v>
      </c>
      <c r="I2783">
        <v>0</v>
      </c>
      <c r="J2783" t="s">
        <v>174</v>
      </c>
      <c r="K2783">
        <v>0</v>
      </c>
      <c r="L2783" t="s">
        <v>3245</v>
      </c>
      <c r="M2783" t="s">
        <v>7579</v>
      </c>
      <c r="N2783" t="s">
        <v>7533</v>
      </c>
      <c r="O2783" t="s">
        <v>7534</v>
      </c>
      <c r="P2783" t="s">
        <v>7535</v>
      </c>
    </row>
    <row r="2784" spans="1:16" x14ac:dyDescent="0.35">
      <c r="A2784" t="s">
        <v>119</v>
      </c>
      <c r="B2784">
        <v>1701216039</v>
      </c>
      <c r="C2784" t="s">
        <v>18</v>
      </c>
      <c r="D2784" t="s">
        <v>20</v>
      </c>
      <c r="E2784" s="29">
        <v>46207</v>
      </c>
      <c r="F2784" t="s">
        <v>5</v>
      </c>
      <c r="G2784" s="28">
        <v>0.40694444444444444</v>
      </c>
      <c r="H2784" s="28">
        <v>0.40694444444444444</v>
      </c>
      <c r="I2784">
        <v>0</v>
      </c>
      <c r="J2784" t="s">
        <v>174</v>
      </c>
      <c r="K2784">
        <v>0</v>
      </c>
      <c r="L2784" t="s">
        <v>334</v>
      </c>
      <c r="M2784" t="s">
        <v>7580</v>
      </c>
      <c r="N2784" t="s">
        <v>7581</v>
      </c>
      <c r="O2784" t="s">
        <v>7582</v>
      </c>
      <c r="P2784" t="s">
        <v>7506</v>
      </c>
    </row>
    <row r="2785" spans="1:16" x14ac:dyDescent="0.35">
      <c r="A2785" t="s">
        <v>119</v>
      </c>
      <c r="B2785">
        <v>1701216039</v>
      </c>
      <c r="C2785" t="s">
        <v>18</v>
      </c>
      <c r="D2785" t="s">
        <v>20</v>
      </c>
      <c r="E2785" s="29">
        <v>46207</v>
      </c>
      <c r="F2785" t="s">
        <v>5</v>
      </c>
      <c r="G2785" s="28">
        <v>0.41388888888888886</v>
      </c>
      <c r="H2785" s="28">
        <v>0.42083333333333334</v>
      </c>
      <c r="I2785">
        <v>0</v>
      </c>
      <c r="J2785" t="s">
        <v>146</v>
      </c>
      <c r="K2785">
        <v>1</v>
      </c>
      <c r="L2785" t="s">
        <v>147</v>
      </c>
      <c r="M2785" t="s">
        <v>7583</v>
      </c>
      <c r="N2785" t="s">
        <v>7584</v>
      </c>
      <c r="O2785" t="s">
        <v>7585</v>
      </c>
      <c r="P2785" t="s">
        <v>7586</v>
      </c>
    </row>
    <row r="2786" spans="1:16" x14ac:dyDescent="0.35">
      <c r="A2786" t="s">
        <v>119</v>
      </c>
      <c r="B2786">
        <v>1701216039</v>
      </c>
      <c r="C2786" t="s">
        <v>18</v>
      </c>
      <c r="D2786" t="s">
        <v>20</v>
      </c>
      <c r="E2786" s="29">
        <v>46207</v>
      </c>
      <c r="F2786" t="s">
        <v>5</v>
      </c>
      <c r="G2786" s="28">
        <v>0.42777777777777776</v>
      </c>
      <c r="H2786" s="28">
        <v>0.42777777777777776</v>
      </c>
      <c r="I2786">
        <v>0</v>
      </c>
      <c r="J2786" t="s">
        <v>174</v>
      </c>
      <c r="K2786">
        <v>0</v>
      </c>
      <c r="L2786" t="s">
        <v>1810</v>
      </c>
      <c r="M2786" t="s">
        <v>7587</v>
      </c>
      <c r="N2786" t="s">
        <v>7588</v>
      </c>
      <c r="O2786" t="s">
        <v>7589</v>
      </c>
      <c r="P2786" t="s">
        <v>7590</v>
      </c>
    </row>
    <row r="2787" spans="1:16" x14ac:dyDescent="0.35">
      <c r="A2787" t="s">
        <v>119</v>
      </c>
      <c r="B2787">
        <v>1701216039</v>
      </c>
      <c r="C2787" t="s">
        <v>18</v>
      </c>
      <c r="D2787" t="s">
        <v>20</v>
      </c>
      <c r="E2787" s="29">
        <v>46207</v>
      </c>
      <c r="F2787" t="s">
        <v>5</v>
      </c>
      <c r="G2787" s="28">
        <v>0.43472222222222223</v>
      </c>
      <c r="H2787" s="28">
        <v>0.43472222222222223</v>
      </c>
      <c r="I2787">
        <v>0</v>
      </c>
      <c r="J2787" t="s">
        <v>174</v>
      </c>
      <c r="K2787">
        <v>0</v>
      </c>
      <c r="L2787" t="s">
        <v>7591</v>
      </c>
      <c r="M2787" t="s">
        <v>7592</v>
      </c>
      <c r="N2787" t="s">
        <v>7593</v>
      </c>
      <c r="O2787" t="s">
        <v>7594</v>
      </c>
      <c r="P2787" t="s">
        <v>7595</v>
      </c>
    </row>
    <row r="2788" spans="1:16" x14ac:dyDescent="0.35">
      <c r="A2788" t="s">
        <v>119</v>
      </c>
      <c r="B2788">
        <v>1701216039</v>
      </c>
      <c r="C2788" t="s">
        <v>18</v>
      </c>
      <c r="D2788" t="s">
        <v>20</v>
      </c>
      <c r="E2788" s="29">
        <v>46207</v>
      </c>
      <c r="F2788" t="s">
        <v>5</v>
      </c>
      <c r="G2788" s="28">
        <v>0.44166666666666665</v>
      </c>
      <c r="H2788" s="28">
        <v>0.44166666666666665</v>
      </c>
      <c r="I2788">
        <v>0</v>
      </c>
      <c r="J2788" t="s">
        <v>174</v>
      </c>
      <c r="K2788">
        <v>0</v>
      </c>
      <c r="L2788" t="s">
        <v>584</v>
      </c>
      <c r="M2788" t="s">
        <v>7596</v>
      </c>
      <c r="N2788" t="s">
        <v>7597</v>
      </c>
      <c r="O2788" t="s">
        <v>7598</v>
      </c>
      <c r="P2788" t="s">
        <v>7599</v>
      </c>
    </row>
    <row r="2789" spans="1:16" x14ac:dyDescent="0.35">
      <c r="A2789" t="s">
        <v>119</v>
      </c>
      <c r="B2789">
        <v>1701216039</v>
      </c>
      <c r="C2789" t="s">
        <v>18</v>
      </c>
      <c r="D2789" t="s">
        <v>20</v>
      </c>
      <c r="E2789" s="29">
        <v>46207</v>
      </c>
      <c r="F2789" t="s">
        <v>5</v>
      </c>
      <c r="G2789" s="28">
        <v>0.44861111111111113</v>
      </c>
      <c r="H2789" s="28">
        <v>0.44861111111111113</v>
      </c>
      <c r="I2789">
        <v>0</v>
      </c>
      <c r="J2789" t="s">
        <v>174</v>
      </c>
      <c r="K2789">
        <v>0</v>
      </c>
      <c r="L2789" t="s">
        <v>7600</v>
      </c>
      <c r="M2789" t="s">
        <v>7601</v>
      </c>
      <c r="N2789" t="s">
        <v>7602</v>
      </c>
      <c r="O2789" t="s">
        <v>7603</v>
      </c>
      <c r="P2789" t="s">
        <v>7604</v>
      </c>
    </row>
    <row r="2790" spans="1:16" x14ac:dyDescent="0.35">
      <c r="A2790" t="s">
        <v>119</v>
      </c>
      <c r="B2790">
        <v>1701216039</v>
      </c>
      <c r="C2790" t="s">
        <v>18</v>
      </c>
      <c r="D2790" t="s">
        <v>20</v>
      </c>
      <c r="E2790" s="29">
        <v>46207</v>
      </c>
      <c r="F2790" t="s">
        <v>5</v>
      </c>
      <c r="G2790" s="28">
        <v>0.45555555555555555</v>
      </c>
      <c r="H2790" s="28">
        <v>0.45555555555555555</v>
      </c>
      <c r="I2790">
        <v>0</v>
      </c>
      <c r="J2790" t="s">
        <v>174</v>
      </c>
      <c r="K2790">
        <v>0</v>
      </c>
      <c r="L2790" t="s">
        <v>5114</v>
      </c>
      <c r="M2790" t="s">
        <v>7605</v>
      </c>
      <c r="N2790" t="s">
        <v>7606</v>
      </c>
      <c r="O2790" t="s">
        <v>7607</v>
      </c>
      <c r="P2790" t="s">
        <v>7535</v>
      </c>
    </row>
    <row r="2791" spans="1:16" x14ac:dyDescent="0.35">
      <c r="A2791" t="s">
        <v>119</v>
      </c>
      <c r="B2791">
        <v>1701216039</v>
      </c>
      <c r="C2791" t="s">
        <v>18</v>
      </c>
      <c r="D2791" t="s">
        <v>20</v>
      </c>
      <c r="E2791" s="29">
        <v>46207</v>
      </c>
      <c r="F2791" t="s">
        <v>5</v>
      </c>
      <c r="G2791" s="28">
        <v>0.46250000000000002</v>
      </c>
      <c r="H2791" s="28">
        <v>0.46250000000000002</v>
      </c>
      <c r="I2791">
        <v>0</v>
      </c>
      <c r="J2791" t="s">
        <v>174</v>
      </c>
      <c r="K2791">
        <v>0</v>
      </c>
      <c r="L2791" t="s">
        <v>2884</v>
      </c>
      <c r="M2791" t="s">
        <v>7608</v>
      </c>
      <c r="N2791" t="s">
        <v>7609</v>
      </c>
      <c r="O2791" t="s">
        <v>7610</v>
      </c>
      <c r="P2791" t="s">
        <v>7611</v>
      </c>
    </row>
    <row r="2792" spans="1:16" x14ac:dyDescent="0.35">
      <c r="A2792" t="s">
        <v>119</v>
      </c>
      <c r="B2792">
        <v>1701216039</v>
      </c>
      <c r="C2792" t="s">
        <v>18</v>
      </c>
      <c r="D2792" t="s">
        <v>20</v>
      </c>
      <c r="E2792" s="29">
        <v>46207</v>
      </c>
      <c r="F2792" t="s">
        <v>5</v>
      </c>
      <c r="G2792" s="28">
        <v>0.46944444444444444</v>
      </c>
      <c r="H2792" s="28">
        <v>0.46944444444444444</v>
      </c>
      <c r="I2792">
        <v>0</v>
      </c>
      <c r="J2792" t="s">
        <v>174</v>
      </c>
      <c r="K2792">
        <v>0</v>
      </c>
      <c r="L2792" t="s">
        <v>7612</v>
      </c>
      <c r="M2792" t="s">
        <v>7613</v>
      </c>
      <c r="N2792" t="s">
        <v>7614</v>
      </c>
      <c r="O2792" t="s">
        <v>7615</v>
      </c>
      <c r="P2792" t="s">
        <v>7523</v>
      </c>
    </row>
    <row r="2793" spans="1:16" x14ac:dyDescent="0.35">
      <c r="A2793" t="s">
        <v>119</v>
      </c>
      <c r="B2793">
        <v>1701216039</v>
      </c>
      <c r="C2793" t="s">
        <v>18</v>
      </c>
      <c r="D2793" t="s">
        <v>20</v>
      </c>
      <c r="E2793" s="29">
        <v>46207</v>
      </c>
      <c r="F2793" t="s">
        <v>5</v>
      </c>
      <c r="G2793" s="28">
        <v>0.47638888888888886</v>
      </c>
      <c r="H2793" s="28">
        <v>0.48333333333333334</v>
      </c>
      <c r="I2793">
        <v>0</v>
      </c>
      <c r="J2793" t="s">
        <v>146</v>
      </c>
      <c r="K2793">
        <v>1</v>
      </c>
      <c r="L2793" t="s">
        <v>147</v>
      </c>
      <c r="M2793" t="s">
        <v>7616</v>
      </c>
      <c r="N2793" t="s">
        <v>7617</v>
      </c>
      <c r="O2793" t="s">
        <v>7618</v>
      </c>
      <c r="P2793" t="s">
        <v>7619</v>
      </c>
    </row>
    <row r="2794" spans="1:16" x14ac:dyDescent="0.35">
      <c r="A2794" t="s">
        <v>119</v>
      </c>
      <c r="B2794">
        <v>1701216039</v>
      </c>
      <c r="C2794" t="s">
        <v>18</v>
      </c>
      <c r="D2794" t="s">
        <v>20</v>
      </c>
      <c r="E2794" s="29">
        <v>46207</v>
      </c>
      <c r="F2794" t="s">
        <v>5</v>
      </c>
      <c r="G2794" s="28">
        <v>0.49027777777777776</v>
      </c>
      <c r="H2794" s="28">
        <v>0.53194444444444444</v>
      </c>
      <c r="I2794">
        <v>1</v>
      </c>
      <c r="J2794" t="s">
        <v>146</v>
      </c>
      <c r="K2794">
        <v>3</v>
      </c>
      <c r="L2794" t="s">
        <v>147</v>
      </c>
      <c r="M2794" t="s">
        <v>7620</v>
      </c>
      <c r="N2794" t="s">
        <v>7621</v>
      </c>
      <c r="O2794" t="s">
        <v>7622</v>
      </c>
      <c r="P2794" t="s">
        <v>7623</v>
      </c>
    </row>
    <row r="2795" spans="1:16" x14ac:dyDescent="0.35">
      <c r="A2795" t="s">
        <v>119</v>
      </c>
      <c r="B2795">
        <v>1701216039</v>
      </c>
      <c r="C2795" t="s">
        <v>18</v>
      </c>
      <c r="D2795" t="s">
        <v>20</v>
      </c>
      <c r="E2795" s="29">
        <v>46207</v>
      </c>
      <c r="F2795" t="s">
        <v>5</v>
      </c>
      <c r="G2795" s="28">
        <v>0.53888888888888886</v>
      </c>
      <c r="H2795" s="28">
        <v>0.53888888888888886</v>
      </c>
      <c r="I2795">
        <v>0</v>
      </c>
      <c r="J2795" t="s">
        <v>174</v>
      </c>
      <c r="K2795">
        <v>0</v>
      </c>
      <c r="L2795" t="s">
        <v>5995</v>
      </c>
      <c r="M2795" t="s">
        <v>7616</v>
      </c>
      <c r="N2795" t="s">
        <v>7617</v>
      </c>
      <c r="O2795" t="s">
        <v>7618</v>
      </c>
      <c r="P2795" t="s">
        <v>7619</v>
      </c>
    </row>
    <row r="2796" spans="1:16" x14ac:dyDescent="0.35">
      <c r="A2796" t="s">
        <v>119</v>
      </c>
      <c r="B2796">
        <v>1701216039</v>
      </c>
      <c r="C2796" t="s">
        <v>18</v>
      </c>
      <c r="D2796" t="s">
        <v>20</v>
      </c>
      <c r="E2796" s="29">
        <v>46207</v>
      </c>
      <c r="F2796" t="s">
        <v>5</v>
      </c>
      <c r="G2796" s="28">
        <v>0.54583333333333328</v>
      </c>
      <c r="H2796" s="28">
        <v>0.54583333333333328</v>
      </c>
      <c r="I2796">
        <v>0</v>
      </c>
      <c r="J2796" t="s">
        <v>174</v>
      </c>
      <c r="K2796">
        <v>0</v>
      </c>
      <c r="L2796" t="s">
        <v>815</v>
      </c>
      <c r="M2796" t="s">
        <v>7624</v>
      </c>
      <c r="N2796" t="s">
        <v>7625</v>
      </c>
      <c r="O2796" t="s">
        <v>7626</v>
      </c>
      <c r="P2796" t="s">
        <v>7627</v>
      </c>
    </row>
    <row r="2797" spans="1:16" x14ac:dyDescent="0.35">
      <c r="A2797" t="s">
        <v>119</v>
      </c>
      <c r="B2797">
        <v>1701216039</v>
      </c>
      <c r="C2797" t="s">
        <v>18</v>
      </c>
      <c r="D2797" t="s">
        <v>20</v>
      </c>
      <c r="E2797" s="29">
        <v>46207</v>
      </c>
      <c r="F2797" t="s">
        <v>5</v>
      </c>
      <c r="G2797" s="28">
        <v>0.55277777777777781</v>
      </c>
      <c r="H2797" s="28">
        <v>0.55277777777777781</v>
      </c>
      <c r="I2797">
        <v>0</v>
      </c>
      <c r="J2797" t="s">
        <v>174</v>
      </c>
      <c r="K2797">
        <v>0</v>
      </c>
      <c r="L2797" t="s">
        <v>941</v>
      </c>
      <c r="M2797" t="s">
        <v>7628</v>
      </c>
      <c r="N2797" t="s">
        <v>7629</v>
      </c>
      <c r="O2797" t="s">
        <v>7630</v>
      </c>
      <c r="P2797" t="s">
        <v>7631</v>
      </c>
    </row>
    <row r="2798" spans="1:16" x14ac:dyDescent="0.35">
      <c r="A2798" t="s">
        <v>119</v>
      </c>
      <c r="B2798">
        <v>1701216039</v>
      </c>
      <c r="C2798" t="s">
        <v>18</v>
      </c>
      <c r="D2798" t="s">
        <v>20</v>
      </c>
      <c r="E2798" s="29">
        <v>46207</v>
      </c>
      <c r="F2798" t="s">
        <v>5</v>
      </c>
      <c r="G2798" s="28">
        <v>0.55972222222222223</v>
      </c>
      <c r="H2798" s="28">
        <v>0.55972222222222223</v>
      </c>
      <c r="I2798">
        <v>0</v>
      </c>
      <c r="J2798" t="s">
        <v>174</v>
      </c>
      <c r="K2798">
        <v>0</v>
      </c>
      <c r="L2798" t="s">
        <v>466</v>
      </c>
      <c r="M2798" t="s">
        <v>7632</v>
      </c>
      <c r="N2798" t="s">
        <v>7633</v>
      </c>
      <c r="O2798" t="s">
        <v>7496</v>
      </c>
      <c r="P2798" t="s">
        <v>7634</v>
      </c>
    </row>
    <row r="2799" spans="1:16" x14ac:dyDescent="0.35">
      <c r="A2799" t="s">
        <v>119</v>
      </c>
      <c r="B2799">
        <v>1701216039</v>
      </c>
      <c r="C2799" t="s">
        <v>18</v>
      </c>
      <c r="D2799" t="s">
        <v>20</v>
      </c>
      <c r="E2799" s="29">
        <v>46207</v>
      </c>
      <c r="F2799" t="s">
        <v>5</v>
      </c>
      <c r="G2799" s="28">
        <v>0.56666666666666665</v>
      </c>
      <c r="H2799" s="28">
        <v>0.56666666666666665</v>
      </c>
      <c r="I2799">
        <v>0</v>
      </c>
      <c r="J2799" t="s">
        <v>174</v>
      </c>
      <c r="K2799">
        <v>0</v>
      </c>
      <c r="L2799" t="s">
        <v>3872</v>
      </c>
      <c r="M2799" t="s">
        <v>7635</v>
      </c>
      <c r="N2799" t="s">
        <v>7636</v>
      </c>
      <c r="O2799" t="s">
        <v>7637</v>
      </c>
      <c r="P2799" t="s">
        <v>7638</v>
      </c>
    </row>
    <row r="2800" spans="1:16" x14ac:dyDescent="0.35">
      <c r="A2800" t="s">
        <v>119</v>
      </c>
      <c r="B2800">
        <v>1701216039</v>
      </c>
      <c r="C2800" t="s">
        <v>18</v>
      </c>
      <c r="D2800" t="s">
        <v>20</v>
      </c>
      <c r="E2800" s="29">
        <v>46207</v>
      </c>
      <c r="F2800" t="s">
        <v>5</v>
      </c>
      <c r="G2800" s="28">
        <v>0.57361111111111107</v>
      </c>
      <c r="H2800" s="28">
        <v>0.57361111111111107</v>
      </c>
      <c r="I2800">
        <v>0</v>
      </c>
      <c r="J2800" t="s">
        <v>174</v>
      </c>
      <c r="K2800">
        <v>0</v>
      </c>
      <c r="L2800" t="s">
        <v>7639</v>
      </c>
      <c r="M2800" t="s">
        <v>7555</v>
      </c>
      <c r="N2800" t="s">
        <v>7556</v>
      </c>
      <c r="O2800" t="s">
        <v>7557</v>
      </c>
      <c r="P2800" t="s">
        <v>7558</v>
      </c>
    </row>
    <row r="2801" spans="1:16" x14ac:dyDescent="0.35">
      <c r="A2801" t="s">
        <v>119</v>
      </c>
      <c r="B2801">
        <v>1701216039</v>
      </c>
      <c r="C2801" t="s">
        <v>18</v>
      </c>
      <c r="D2801" t="s">
        <v>20</v>
      </c>
      <c r="E2801" s="29">
        <v>46207</v>
      </c>
      <c r="F2801" t="s">
        <v>5</v>
      </c>
      <c r="G2801" s="28">
        <v>0.5805555555555556</v>
      </c>
      <c r="H2801" s="28">
        <v>0.60138888888888886</v>
      </c>
      <c r="I2801">
        <v>0</v>
      </c>
      <c r="J2801" t="s">
        <v>146</v>
      </c>
      <c r="K2801">
        <v>1</v>
      </c>
      <c r="L2801" t="s">
        <v>147</v>
      </c>
      <c r="M2801" t="s">
        <v>7640</v>
      </c>
      <c r="N2801" t="s">
        <v>7512</v>
      </c>
      <c r="O2801" t="s">
        <v>7513</v>
      </c>
      <c r="P2801" t="s">
        <v>7514</v>
      </c>
    </row>
    <row r="2802" spans="1:16" x14ac:dyDescent="0.35">
      <c r="A2802" t="s">
        <v>119</v>
      </c>
      <c r="B2802">
        <v>1701216039</v>
      </c>
      <c r="C2802" t="s">
        <v>18</v>
      </c>
      <c r="D2802" t="s">
        <v>20</v>
      </c>
      <c r="E2802" s="29">
        <v>46207</v>
      </c>
      <c r="F2802" t="s">
        <v>5</v>
      </c>
      <c r="G2802" s="28">
        <v>0.60833333333333328</v>
      </c>
      <c r="H2802" s="28">
        <v>0.62222222222222223</v>
      </c>
      <c r="I2802">
        <v>0</v>
      </c>
      <c r="J2802" t="s">
        <v>146</v>
      </c>
      <c r="K2802">
        <v>1</v>
      </c>
      <c r="L2802" t="s">
        <v>147</v>
      </c>
      <c r="M2802" t="s">
        <v>7555</v>
      </c>
      <c r="N2802" t="s">
        <v>7556</v>
      </c>
      <c r="O2802" t="s">
        <v>7557</v>
      </c>
      <c r="P2802" t="s">
        <v>7558</v>
      </c>
    </row>
    <row r="2803" spans="1:16" x14ac:dyDescent="0.35">
      <c r="A2803" t="s">
        <v>119</v>
      </c>
      <c r="B2803">
        <v>1701216039</v>
      </c>
      <c r="C2803" t="s">
        <v>18</v>
      </c>
      <c r="D2803" t="s">
        <v>20</v>
      </c>
      <c r="E2803" s="29">
        <v>46207</v>
      </c>
      <c r="F2803" t="s">
        <v>5</v>
      </c>
      <c r="G2803" s="28">
        <v>0.62916666666666665</v>
      </c>
      <c r="H2803" s="28">
        <v>0.6430555555555556</v>
      </c>
      <c r="I2803">
        <v>0</v>
      </c>
      <c r="J2803" t="s">
        <v>146</v>
      </c>
      <c r="K2803">
        <v>1</v>
      </c>
      <c r="L2803" t="s">
        <v>147</v>
      </c>
      <c r="M2803" t="s">
        <v>7551</v>
      </c>
      <c r="N2803" t="s">
        <v>7552</v>
      </c>
      <c r="O2803" t="s">
        <v>7553</v>
      </c>
      <c r="P2803" t="s">
        <v>7554</v>
      </c>
    </row>
    <row r="2804" spans="1:16" x14ac:dyDescent="0.35">
      <c r="A2804" t="s">
        <v>119</v>
      </c>
      <c r="B2804">
        <v>1701216039</v>
      </c>
      <c r="C2804" t="s">
        <v>18</v>
      </c>
      <c r="D2804" t="s">
        <v>20</v>
      </c>
      <c r="E2804" s="29">
        <v>46207</v>
      </c>
      <c r="F2804" t="s">
        <v>5</v>
      </c>
      <c r="G2804" s="28">
        <v>0.65</v>
      </c>
      <c r="H2804" s="28">
        <v>0.76111111111111107</v>
      </c>
      <c r="I2804">
        <v>3</v>
      </c>
      <c r="J2804" t="s">
        <v>146</v>
      </c>
      <c r="K2804">
        <v>8</v>
      </c>
      <c r="L2804" t="s">
        <v>147</v>
      </c>
      <c r="M2804" t="s">
        <v>7511</v>
      </c>
      <c r="N2804" t="s">
        <v>7512</v>
      </c>
      <c r="O2804" t="s">
        <v>7513</v>
      </c>
      <c r="P2804" t="s">
        <v>7514</v>
      </c>
    </row>
    <row r="2805" spans="1:16" x14ac:dyDescent="0.35">
      <c r="A2805" t="s">
        <v>119</v>
      </c>
      <c r="B2805">
        <v>1701216039</v>
      </c>
      <c r="C2805" t="s">
        <v>18</v>
      </c>
      <c r="D2805" t="s">
        <v>20</v>
      </c>
      <c r="E2805" s="29">
        <v>46207</v>
      </c>
      <c r="F2805" t="s">
        <v>5</v>
      </c>
      <c r="G2805" s="28">
        <v>0.7680555555555556</v>
      </c>
      <c r="H2805" s="28">
        <v>0.77500000000000002</v>
      </c>
      <c r="I2805">
        <v>0</v>
      </c>
      <c r="J2805" t="s">
        <v>146</v>
      </c>
      <c r="K2805">
        <v>0</v>
      </c>
      <c r="L2805" t="s">
        <v>147</v>
      </c>
      <c r="M2805" t="s">
        <v>7516</v>
      </c>
      <c r="N2805" t="s">
        <v>7517</v>
      </c>
      <c r="O2805" t="s">
        <v>7518</v>
      </c>
      <c r="P2805" t="s">
        <v>7519</v>
      </c>
    </row>
    <row r="2806" spans="1:16" x14ac:dyDescent="0.35">
      <c r="A2806" t="s">
        <v>119</v>
      </c>
      <c r="B2806">
        <v>1701216039</v>
      </c>
      <c r="C2806" t="s">
        <v>18</v>
      </c>
      <c r="D2806" t="s">
        <v>20</v>
      </c>
      <c r="E2806" s="29">
        <v>46207</v>
      </c>
      <c r="F2806" t="s">
        <v>5</v>
      </c>
      <c r="G2806" s="28">
        <v>0.78194444444444444</v>
      </c>
      <c r="H2806" s="28">
        <v>0.78194444444444444</v>
      </c>
      <c r="I2806">
        <v>0</v>
      </c>
      <c r="J2806" t="s">
        <v>174</v>
      </c>
      <c r="K2806">
        <v>0</v>
      </c>
      <c r="L2806" t="s">
        <v>7641</v>
      </c>
      <c r="M2806" t="s">
        <v>7642</v>
      </c>
      <c r="N2806" t="s">
        <v>7643</v>
      </c>
      <c r="O2806" t="s">
        <v>7644</v>
      </c>
      <c r="P2806" t="s">
        <v>7645</v>
      </c>
    </row>
    <row r="2807" spans="1:16" x14ac:dyDescent="0.35">
      <c r="A2807" t="s">
        <v>119</v>
      </c>
      <c r="B2807">
        <v>1701216039</v>
      </c>
      <c r="C2807" t="s">
        <v>18</v>
      </c>
      <c r="D2807" t="s">
        <v>20</v>
      </c>
      <c r="E2807" s="29">
        <v>46207</v>
      </c>
      <c r="F2807" t="s">
        <v>5</v>
      </c>
      <c r="G2807" s="28">
        <v>0.78888888888888886</v>
      </c>
      <c r="H2807" s="28">
        <v>0.79583333333333328</v>
      </c>
      <c r="I2807">
        <v>0</v>
      </c>
      <c r="J2807" t="s">
        <v>146</v>
      </c>
      <c r="K2807">
        <v>0</v>
      </c>
      <c r="L2807" t="s">
        <v>147</v>
      </c>
      <c r="M2807" t="s">
        <v>7516</v>
      </c>
      <c r="N2807" t="s">
        <v>7517</v>
      </c>
      <c r="O2807" t="s">
        <v>7518</v>
      </c>
      <c r="P2807" t="s">
        <v>7519</v>
      </c>
    </row>
    <row r="2808" spans="1:16" x14ac:dyDescent="0.35">
      <c r="A2808" t="s">
        <v>119</v>
      </c>
      <c r="B2808">
        <v>1701216039</v>
      </c>
      <c r="C2808" t="s">
        <v>18</v>
      </c>
      <c r="D2808" t="s">
        <v>20</v>
      </c>
      <c r="E2808" s="29">
        <v>46208</v>
      </c>
      <c r="F2808" t="s">
        <v>6</v>
      </c>
      <c r="G2808" s="28">
        <v>0.37916666666666665</v>
      </c>
      <c r="H2808" s="28">
        <v>0.39305555555555555</v>
      </c>
      <c r="I2808">
        <v>0</v>
      </c>
      <c r="J2808" t="s">
        <v>146</v>
      </c>
      <c r="K2808">
        <v>1</v>
      </c>
      <c r="L2808" t="s">
        <v>147</v>
      </c>
      <c r="M2808" t="s">
        <v>7463</v>
      </c>
      <c r="N2808" t="s">
        <v>7464</v>
      </c>
      <c r="O2808" t="s">
        <v>7465</v>
      </c>
      <c r="P2808" t="s">
        <v>7466</v>
      </c>
    </row>
    <row r="2809" spans="1:16" x14ac:dyDescent="0.35">
      <c r="A2809" t="s">
        <v>119</v>
      </c>
      <c r="B2809">
        <v>1701216039</v>
      </c>
      <c r="C2809" t="s">
        <v>18</v>
      </c>
      <c r="D2809" t="s">
        <v>20</v>
      </c>
      <c r="E2809" s="29">
        <v>46208</v>
      </c>
      <c r="F2809" t="s">
        <v>6</v>
      </c>
      <c r="G2809" s="28">
        <v>0.4</v>
      </c>
      <c r="H2809" s="28">
        <v>0.4</v>
      </c>
      <c r="I2809">
        <v>0</v>
      </c>
      <c r="J2809" t="s">
        <v>174</v>
      </c>
      <c r="K2809">
        <v>0</v>
      </c>
      <c r="L2809" t="s">
        <v>3536</v>
      </c>
      <c r="M2809" t="s">
        <v>7646</v>
      </c>
      <c r="N2809" t="s">
        <v>7647</v>
      </c>
      <c r="O2809" t="s">
        <v>7648</v>
      </c>
      <c r="P2809" t="s">
        <v>7649</v>
      </c>
    </row>
    <row r="2810" spans="1:16" x14ac:dyDescent="0.35">
      <c r="A2810" t="s">
        <v>119</v>
      </c>
      <c r="B2810">
        <v>1701216039</v>
      </c>
      <c r="C2810" t="s">
        <v>18</v>
      </c>
      <c r="D2810" t="s">
        <v>20</v>
      </c>
      <c r="E2810" s="29">
        <v>46208</v>
      </c>
      <c r="F2810" t="s">
        <v>6</v>
      </c>
      <c r="G2810" s="28">
        <v>0.40694444444444444</v>
      </c>
      <c r="H2810" s="28">
        <v>0.40694444444444444</v>
      </c>
      <c r="I2810">
        <v>0</v>
      </c>
      <c r="J2810" t="s">
        <v>174</v>
      </c>
      <c r="K2810">
        <v>0</v>
      </c>
      <c r="L2810" t="s">
        <v>4654</v>
      </c>
      <c r="M2810" t="s">
        <v>7650</v>
      </c>
      <c r="N2810" t="s">
        <v>7651</v>
      </c>
      <c r="O2810" t="s">
        <v>7652</v>
      </c>
      <c r="P2810" t="s">
        <v>7653</v>
      </c>
    </row>
    <row r="2811" spans="1:16" x14ac:dyDescent="0.35">
      <c r="A2811" t="s">
        <v>119</v>
      </c>
      <c r="B2811">
        <v>1701216039</v>
      </c>
      <c r="C2811" t="s">
        <v>18</v>
      </c>
      <c r="D2811" t="s">
        <v>20</v>
      </c>
      <c r="E2811" s="29">
        <v>46208</v>
      </c>
      <c r="F2811" t="s">
        <v>6</v>
      </c>
      <c r="G2811" s="28">
        <v>0.41388888888888886</v>
      </c>
      <c r="H2811" s="28">
        <v>0.41388888888888886</v>
      </c>
      <c r="I2811">
        <v>0</v>
      </c>
      <c r="J2811" t="s">
        <v>174</v>
      </c>
      <c r="K2811">
        <v>0</v>
      </c>
      <c r="L2811" t="s">
        <v>7654</v>
      </c>
      <c r="M2811" t="s">
        <v>6457</v>
      </c>
      <c r="N2811" t="s">
        <v>6458</v>
      </c>
      <c r="O2811" t="s">
        <v>6459</v>
      </c>
      <c r="P2811" t="s">
        <v>6460</v>
      </c>
    </row>
    <row r="2812" spans="1:16" x14ac:dyDescent="0.35">
      <c r="A2812" t="s">
        <v>119</v>
      </c>
      <c r="B2812">
        <v>1701216039</v>
      </c>
      <c r="C2812" t="s">
        <v>18</v>
      </c>
      <c r="D2812" t="s">
        <v>20</v>
      </c>
      <c r="E2812" s="29">
        <v>46208</v>
      </c>
      <c r="F2812" t="s">
        <v>6</v>
      </c>
      <c r="G2812" s="28">
        <v>0.42083333333333334</v>
      </c>
      <c r="H2812" s="28">
        <v>0.42083333333333334</v>
      </c>
      <c r="I2812">
        <v>0</v>
      </c>
      <c r="J2812" t="s">
        <v>174</v>
      </c>
      <c r="K2812">
        <v>0</v>
      </c>
      <c r="L2812" t="s">
        <v>3245</v>
      </c>
      <c r="M2812" t="s">
        <v>7655</v>
      </c>
      <c r="N2812" t="s">
        <v>7656</v>
      </c>
      <c r="O2812" t="s">
        <v>7657</v>
      </c>
      <c r="P2812" t="s">
        <v>7658</v>
      </c>
    </row>
    <row r="2813" spans="1:16" x14ac:dyDescent="0.35">
      <c r="A2813" t="s">
        <v>119</v>
      </c>
      <c r="B2813">
        <v>1701216039</v>
      </c>
      <c r="C2813" t="s">
        <v>18</v>
      </c>
      <c r="D2813" t="s">
        <v>20</v>
      </c>
      <c r="E2813" s="29">
        <v>46208</v>
      </c>
      <c r="F2813" t="s">
        <v>6</v>
      </c>
      <c r="G2813" s="28">
        <v>0.42777777777777776</v>
      </c>
      <c r="H2813" s="28">
        <v>0.43472222222222223</v>
      </c>
      <c r="I2813">
        <v>0</v>
      </c>
      <c r="J2813" t="s">
        <v>146</v>
      </c>
      <c r="K2813">
        <v>1</v>
      </c>
      <c r="L2813" t="s">
        <v>147</v>
      </c>
      <c r="M2813" t="s">
        <v>7659</v>
      </c>
      <c r="N2813" t="s">
        <v>7660</v>
      </c>
      <c r="O2813" t="s">
        <v>7661</v>
      </c>
      <c r="P2813" t="s">
        <v>7662</v>
      </c>
    </row>
    <row r="2814" spans="1:16" x14ac:dyDescent="0.35">
      <c r="A2814" t="s">
        <v>119</v>
      </c>
      <c r="B2814">
        <v>1701216039</v>
      </c>
      <c r="C2814" t="s">
        <v>18</v>
      </c>
      <c r="D2814" t="s">
        <v>20</v>
      </c>
      <c r="E2814" s="29">
        <v>46208</v>
      </c>
      <c r="F2814" t="s">
        <v>6</v>
      </c>
      <c r="G2814" s="28">
        <v>0.44166666666666665</v>
      </c>
      <c r="H2814" s="28">
        <v>0.44166666666666665</v>
      </c>
      <c r="I2814">
        <v>0</v>
      </c>
      <c r="J2814" t="s">
        <v>174</v>
      </c>
      <c r="K2814">
        <v>0</v>
      </c>
      <c r="L2814" t="s">
        <v>7502</v>
      </c>
      <c r="M2814" t="s">
        <v>7507</v>
      </c>
      <c r="N2814" t="s">
        <v>7508</v>
      </c>
      <c r="O2814" t="s">
        <v>7509</v>
      </c>
      <c r="P2814" t="s">
        <v>7510</v>
      </c>
    </row>
    <row r="2815" spans="1:16" x14ac:dyDescent="0.35">
      <c r="A2815" t="s">
        <v>119</v>
      </c>
      <c r="B2815">
        <v>1701216039</v>
      </c>
      <c r="C2815" t="s">
        <v>18</v>
      </c>
      <c r="D2815" t="s">
        <v>20</v>
      </c>
      <c r="E2815" s="29">
        <v>46208</v>
      </c>
      <c r="F2815" t="s">
        <v>6</v>
      </c>
      <c r="G2815" s="28">
        <v>0.44861111111111113</v>
      </c>
      <c r="H2815" s="28">
        <v>0.45555555555555555</v>
      </c>
      <c r="I2815">
        <v>0</v>
      </c>
      <c r="J2815" t="s">
        <v>146</v>
      </c>
      <c r="K2815">
        <v>0</v>
      </c>
      <c r="L2815" t="s">
        <v>147</v>
      </c>
      <c r="M2815" t="s">
        <v>7503</v>
      </c>
      <c r="N2815" t="s">
        <v>7504</v>
      </c>
      <c r="O2815" t="s">
        <v>7505</v>
      </c>
      <c r="P2815" t="s">
        <v>7506</v>
      </c>
    </row>
    <row r="2816" spans="1:16" x14ac:dyDescent="0.35">
      <c r="A2816" t="s">
        <v>119</v>
      </c>
      <c r="B2816">
        <v>1701216039</v>
      </c>
      <c r="C2816" t="s">
        <v>18</v>
      </c>
      <c r="D2816" t="s">
        <v>20</v>
      </c>
      <c r="E2816" s="29">
        <v>46208</v>
      </c>
      <c r="F2816" t="s">
        <v>6</v>
      </c>
      <c r="G2816" s="28">
        <v>0.46250000000000002</v>
      </c>
      <c r="H2816" s="28">
        <v>0.47638888888888886</v>
      </c>
      <c r="I2816">
        <v>0</v>
      </c>
      <c r="J2816" t="s">
        <v>146</v>
      </c>
      <c r="K2816">
        <v>1</v>
      </c>
      <c r="L2816" t="s">
        <v>147</v>
      </c>
      <c r="M2816" t="s">
        <v>7540</v>
      </c>
      <c r="N2816" t="s">
        <v>7541</v>
      </c>
      <c r="O2816" t="s">
        <v>7542</v>
      </c>
      <c r="P2816" t="s">
        <v>7543</v>
      </c>
    </row>
    <row r="2817" spans="1:16" x14ac:dyDescent="0.35">
      <c r="A2817" t="s">
        <v>119</v>
      </c>
      <c r="B2817">
        <v>1701216039</v>
      </c>
      <c r="C2817" t="s">
        <v>18</v>
      </c>
      <c r="D2817" t="s">
        <v>20</v>
      </c>
      <c r="E2817" s="29">
        <v>46208</v>
      </c>
      <c r="F2817" t="s">
        <v>6</v>
      </c>
      <c r="G2817" s="28">
        <v>0.48333333333333334</v>
      </c>
      <c r="H2817" s="28">
        <v>0.49027777777777776</v>
      </c>
      <c r="I2817">
        <v>0</v>
      </c>
      <c r="J2817" t="s">
        <v>146</v>
      </c>
      <c r="K2817">
        <v>0</v>
      </c>
      <c r="L2817" t="s">
        <v>147</v>
      </c>
      <c r="M2817" t="s">
        <v>7663</v>
      </c>
      <c r="N2817" t="s">
        <v>7664</v>
      </c>
      <c r="O2817" t="s">
        <v>7665</v>
      </c>
      <c r="P2817" t="s">
        <v>7666</v>
      </c>
    </row>
    <row r="2818" spans="1:16" x14ac:dyDescent="0.35">
      <c r="A2818" t="s">
        <v>119</v>
      </c>
      <c r="B2818">
        <v>1701216039</v>
      </c>
      <c r="C2818" t="s">
        <v>18</v>
      </c>
      <c r="D2818" t="s">
        <v>20</v>
      </c>
      <c r="E2818" s="29">
        <v>46208</v>
      </c>
      <c r="F2818" t="s">
        <v>6</v>
      </c>
      <c r="G2818" s="28">
        <v>0.49722222222222223</v>
      </c>
      <c r="H2818" s="28">
        <v>0.49722222222222223</v>
      </c>
      <c r="I2818">
        <v>0</v>
      </c>
      <c r="J2818" t="s">
        <v>174</v>
      </c>
      <c r="K2818">
        <v>0</v>
      </c>
      <c r="L2818" t="s">
        <v>1658</v>
      </c>
      <c r="M2818" t="s">
        <v>7540</v>
      </c>
      <c r="N2818" t="s">
        <v>7541</v>
      </c>
      <c r="O2818" t="s">
        <v>7542</v>
      </c>
      <c r="P2818" t="s">
        <v>7543</v>
      </c>
    </row>
    <row r="2819" spans="1:16" x14ac:dyDescent="0.35">
      <c r="A2819" t="s">
        <v>119</v>
      </c>
      <c r="B2819">
        <v>1701216039</v>
      </c>
      <c r="C2819" t="s">
        <v>18</v>
      </c>
      <c r="D2819" t="s">
        <v>20</v>
      </c>
      <c r="E2819" s="29">
        <v>46208</v>
      </c>
      <c r="F2819" t="s">
        <v>6</v>
      </c>
      <c r="G2819" s="28">
        <v>0.50416666666666665</v>
      </c>
      <c r="H2819" s="28">
        <v>0.50416666666666665</v>
      </c>
      <c r="I2819">
        <v>0</v>
      </c>
      <c r="J2819" t="s">
        <v>174</v>
      </c>
      <c r="K2819">
        <v>0</v>
      </c>
      <c r="L2819" t="s">
        <v>3371</v>
      </c>
      <c r="M2819" t="s">
        <v>7587</v>
      </c>
      <c r="N2819" t="s">
        <v>7588</v>
      </c>
      <c r="O2819" t="s">
        <v>7589</v>
      </c>
      <c r="P2819" t="s">
        <v>7590</v>
      </c>
    </row>
    <row r="2820" spans="1:16" x14ac:dyDescent="0.35">
      <c r="A2820" t="s">
        <v>119</v>
      </c>
      <c r="B2820">
        <v>1701216039</v>
      </c>
      <c r="C2820" t="s">
        <v>18</v>
      </c>
      <c r="D2820" t="s">
        <v>20</v>
      </c>
      <c r="E2820" s="29">
        <v>46208</v>
      </c>
      <c r="F2820" t="s">
        <v>6</v>
      </c>
      <c r="G2820" s="28">
        <v>0.51111111111111107</v>
      </c>
      <c r="H2820" s="28">
        <v>0.51111111111111107</v>
      </c>
      <c r="I2820">
        <v>0</v>
      </c>
      <c r="J2820" t="s">
        <v>174</v>
      </c>
      <c r="K2820">
        <v>0</v>
      </c>
      <c r="L2820" t="s">
        <v>3257</v>
      </c>
      <c r="M2820" t="s">
        <v>7489</v>
      </c>
      <c r="N2820" t="s">
        <v>7490</v>
      </c>
      <c r="O2820" t="s">
        <v>7491</v>
      </c>
      <c r="P2820" t="s">
        <v>7492</v>
      </c>
    </row>
    <row r="2821" spans="1:16" x14ac:dyDescent="0.35">
      <c r="A2821" t="s">
        <v>119</v>
      </c>
      <c r="B2821">
        <v>1701216039</v>
      </c>
      <c r="C2821" t="s">
        <v>18</v>
      </c>
      <c r="D2821" t="s">
        <v>20</v>
      </c>
      <c r="E2821" s="29">
        <v>46208</v>
      </c>
      <c r="F2821" t="s">
        <v>6</v>
      </c>
      <c r="G2821" s="28">
        <v>0.5180555555555556</v>
      </c>
      <c r="H2821" s="28">
        <v>0.5180555555555556</v>
      </c>
      <c r="I2821">
        <v>0</v>
      </c>
      <c r="J2821" t="s">
        <v>174</v>
      </c>
      <c r="K2821">
        <v>0</v>
      </c>
      <c r="L2821" t="s">
        <v>1159</v>
      </c>
      <c r="M2821" t="s">
        <v>6672</v>
      </c>
      <c r="N2821" t="s">
        <v>6673</v>
      </c>
      <c r="O2821" t="s">
        <v>6674</v>
      </c>
      <c r="P2821" t="s">
        <v>6675</v>
      </c>
    </row>
    <row r="2822" spans="1:16" x14ac:dyDescent="0.35">
      <c r="A2822" t="s">
        <v>119</v>
      </c>
      <c r="B2822">
        <v>1701216039</v>
      </c>
      <c r="C2822" t="s">
        <v>18</v>
      </c>
      <c r="D2822" t="s">
        <v>20</v>
      </c>
      <c r="E2822" s="29">
        <v>46208</v>
      </c>
      <c r="F2822" t="s">
        <v>6</v>
      </c>
      <c r="G2822" s="28">
        <v>0.52500000000000002</v>
      </c>
      <c r="H2822" s="28">
        <v>0.52500000000000002</v>
      </c>
      <c r="I2822">
        <v>0</v>
      </c>
      <c r="J2822" t="s">
        <v>174</v>
      </c>
      <c r="K2822">
        <v>0</v>
      </c>
      <c r="L2822" t="s">
        <v>2018</v>
      </c>
      <c r="M2822" t="s">
        <v>7667</v>
      </c>
      <c r="N2822" t="s">
        <v>7668</v>
      </c>
      <c r="O2822" t="s">
        <v>7669</v>
      </c>
      <c r="P2822" t="s">
        <v>7670</v>
      </c>
    </row>
    <row r="2823" spans="1:16" x14ac:dyDescent="0.35">
      <c r="A2823" t="s">
        <v>119</v>
      </c>
      <c r="B2823">
        <v>1701216039</v>
      </c>
      <c r="C2823" t="s">
        <v>18</v>
      </c>
      <c r="D2823" t="s">
        <v>20</v>
      </c>
      <c r="E2823" s="29">
        <v>46208</v>
      </c>
      <c r="F2823" t="s">
        <v>6</v>
      </c>
      <c r="G2823" s="28">
        <v>0.53194444444444444</v>
      </c>
      <c r="H2823" s="28">
        <v>0.53194444444444444</v>
      </c>
      <c r="I2823">
        <v>0</v>
      </c>
      <c r="J2823" t="s">
        <v>174</v>
      </c>
      <c r="K2823">
        <v>0</v>
      </c>
      <c r="L2823" t="s">
        <v>6917</v>
      </c>
      <c r="M2823" t="s">
        <v>7671</v>
      </c>
      <c r="N2823" t="s">
        <v>7672</v>
      </c>
      <c r="O2823" t="s">
        <v>7673</v>
      </c>
      <c r="P2823" t="s">
        <v>7674</v>
      </c>
    </row>
    <row r="2824" spans="1:16" x14ac:dyDescent="0.35">
      <c r="A2824" t="s">
        <v>119</v>
      </c>
      <c r="B2824">
        <v>1701216039</v>
      </c>
      <c r="C2824" t="s">
        <v>18</v>
      </c>
      <c r="D2824" t="s">
        <v>20</v>
      </c>
      <c r="E2824" s="29">
        <v>46208</v>
      </c>
      <c r="F2824" t="s">
        <v>6</v>
      </c>
      <c r="G2824" s="28">
        <v>0.53888888888888886</v>
      </c>
      <c r="H2824" s="28">
        <v>0.53888888888888886</v>
      </c>
      <c r="I2824">
        <v>0</v>
      </c>
      <c r="J2824" t="s">
        <v>174</v>
      </c>
      <c r="K2824">
        <v>0</v>
      </c>
      <c r="L2824" t="s">
        <v>4665</v>
      </c>
      <c r="M2824" t="s">
        <v>7675</v>
      </c>
      <c r="N2824" t="s">
        <v>7676</v>
      </c>
      <c r="O2824" t="s">
        <v>7677</v>
      </c>
      <c r="P2824" t="s">
        <v>7678</v>
      </c>
    </row>
    <row r="2825" spans="1:16" x14ac:dyDescent="0.35">
      <c r="A2825" t="s">
        <v>119</v>
      </c>
      <c r="B2825">
        <v>1701216039</v>
      </c>
      <c r="C2825" t="s">
        <v>18</v>
      </c>
      <c r="D2825" t="s">
        <v>20</v>
      </c>
      <c r="E2825" s="29">
        <v>46208</v>
      </c>
      <c r="F2825" t="s">
        <v>6</v>
      </c>
      <c r="G2825" s="28">
        <v>0.54583333333333328</v>
      </c>
      <c r="H2825" s="28">
        <v>0.54583333333333328</v>
      </c>
      <c r="I2825">
        <v>0</v>
      </c>
      <c r="J2825" t="s">
        <v>174</v>
      </c>
      <c r="K2825">
        <v>0</v>
      </c>
      <c r="L2825" t="s">
        <v>1302</v>
      </c>
      <c r="M2825" t="s">
        <v>7679</v>
      </c>
      <c r="N2825" t="s">
        <v>7680</v>
      </c>
      <c r="O2825" t="s">
        <v>7681</v>
      </c>
      <c r="P2825" t="s">
        <v>7682</v>
      </c>
    </row>
    <row r="2826" spans="1:16" x14ac:dyDescent="0.35">
      <c r="A2826" t="s">
        <v>119</v>
      </c>
      <c r="B2826">
        <v>1701216039</v>
      </c>
      <c r="C2826" t="s">
        <v>18</v>
      </c>
      <c r="D2826" t="s">
        <v>20</v>
      </c>
      <c r="E2826" s="29">
        <v>46208</v>
      </c>
      <c r="F2826" t="s">
        <v>6</v>
      </c>
      <c r="G2826" s="28">
        <v>0.55277777777777781</v>
      </c>
      <c r="H2826" s="28">
        <v>0.55277777777777781</v>
      </c>
      <c r="I2826">
        <v>0</v>
      </c>
      <c r="J2826" t="s">
        <v>174</v>
      </c>
      <c r="K2826">
        <v>0</v>
      </c>
      <c r="L2826" t="s">
        <v>5170</v>
      </c>
      <c r="M2826" t="s">
        <v>7683</v>
      </c>
      <c r="N2826" t="s">
        <v>7684</v>
      </c>
      <c r="O2826" t="s">
        <v>7685</v>
      </c>
      <c r="P2826" t="s">
        <v>7682</v>
      </c>
    </row>
    <row r="2827" spans="1:16" x14ac:dyDescent="0.35">
      <c r="A2827" t="s">
        <v>119</v>
      </c>
      <c r="B2827">
        <v>1701216039</v>
      </c>
      <c r="C2827" t="s">
        <v>18</v>
      </c>
      <c r="D2827" t="s">
        <v>20</v>
      </c>
      <c r="E2827" s="29">
        <v>46208</v>
      </c>
      <c r="F2827" t="s">
        <v>6</v>
      </c>
      <c r="G2827" s="28">
        <v>0.55972222222222223</v>
      </c>
      <c r="H2827" s="28">
        <v>0.55972222222222223</v>
      </c>
      <c r="I2827">
        <v>0</v>
      </c>
      <c r="J2827" t="s">
        <v>174</v>
      </c>
      <c r="K2827">
        <v>0</v>
      </c>
      <c r="L2827" t="s">
        <v>6533</v>
      </c>
      <c r="M2827" t="s">
        <v>7686</v>
      </c>
      <c r="N2827" t="s">
        <v>7687</v>
      </c>
      <c r="O2827" t="s">
        <v>7688</v>
      </c>
      <c r="P2827" t="s">
        <v>7689</v>
      </c>
    </row>
    <row r="2828" spans="1:16" x14ac:dyDescent="0.35">
      <c r="A2828" t="s">
        <v>119</v>
      </c>
      <c r="B2828">
        <v>1701216039</v>
      </c>
      <c r="C2828" t="s">
        <v>18</v>
      </c>
      <c r="D2828" t="s">
        <v>20</v>
      </c>
      <c r="E2828" s="29">
        <v>46208</v>
      </c>
      <c r="F2828" t="s">
        <v>6</v>
      </c>
      <c r="G2828" s="28">
        <v>0.56666666666666665</v>
      </c>
      <c r="H2828" s="28">
        <v>0.56666666666666665</v>
      </c>
      <c r="I2828">
        <v>0</v>
      </c>
      <c r="J2828" t="s">
        <v>174</v>
      </c>
      <c r="K2828">
        <v>0</v>
      </c>
      <c r="L2828" t="s">
        <v>7690</v>
      </c>
      <c r="M2828" t="s">
        <v>7691</v>
      </c>
      <c r="N2828" t="s">
        <v>7692</v>
      </c>
      <c r="O2828" t="s">
        <v>7693</v>
      </c>
      <c r="P2828" t="s">
        <v>7694</v>
      </c>
    </row>
    <row r="2829" spans="1:16" x14ac:dyDescent="0.35">
      <c r="A2829" t="s">
        <v>119</v>
      </c>
      <c r="B2829">
        <v>1701216039</v>
      </c>
      <c r="C2829" t="s">
        <v>18</v>
      </c>
      <c r="D2829" t="s">
        <v>20</v>
      </c>
      <c r="E2829" s="29">
        <v>46208</v>
      </c>
      <c r="F2829" t="s">
        <v>6</v>
      </c>
      <c r="G2829" s="28">
        <v>0.57361111111111107</v>
      </c>
      <c r="H2829" s="28">
        <v>0.62916666666666665</v>
      </c>
      <c r="I2829">
        <v>1</v>
      </c>
      <c r="J2829" t="s">
        <v>146</v>
      </c>
      <c r="K2829">
        <v>4</v>
      </c>
      <c r="L2829" t="s">
        <v>147</v>
      </c>
      <c r="M2829" t="s">
        <v>7695</v>
      </c>
      <c r="N2829" t="s">
        <v>7696</v>
      </c>
      <c r="O2829" t="s">
        <v>7697</v>
      </c>
      <c r="P2829" t="s">
        <v>7698</v>
      </c>
    </row>
    <row r="2830" spans="1:16" x14ac:dyDescent="0.35">
      <c r="A2830" t="s">
        <v>119</v>
      </c>
      <c r="B2830">
        <v>1701216039</v>
      </c>
      <c r="C2830" t="s">
        <v>18</v>
      </c>
      <c r="D2830" t="s">
        <v>20</v>
      </c>
      <c r="E2830" s="29">
        <v>46208</v>
      </c>
      <c r="F2830" t="s">
        <v>6</v>
      </c>
      <c r="G2830" s="28">
        <v>0.63611111111111107</v>
      </c>
      <c r="H2830" s="28">
        <v>0.63611111111111107</v>
      </c>
      <c r="I2830">
        <v>0</v>
      </c>
      <c r="J2830" t="s">
        <v>174</v>
      </c>
      <c r="K2830">
        <v>0</v>
      </c>
      <c r="L2830" t="s">
        <v>1881</v>
      </c>
      <c r="M2830" t="s">
        <v>7691</v>
      </c>
      <c r="N2830" t="s">
        <v>7692</v>
      </c>
      <c r="O2830" t="s">
        <v>7693</v>
      </c>
      <c r="P2830" t="s">
        <v>7694</v>
      </c>
    </row>
    <row r="2831" spans="1:16" x14ac:dyDescent="0.35">
      <c r="A2831" t="s">
        <v>119</v>
      </c>
      <c r="B2831">
        <v>1701216039</v>
      </c>
      <c r="C2831" t="s">
        <v>18</v>
      </c>
      <c r="D2831" t="s">
        <v>20</v>
      </c>
      <c r="E2831" s="29">
        <v>46208</v>
      </c>
      <c r="F2831" t="s">
        <v>6</v>
      </c>
      <c r="G2831" s="28">
        <v>0.6430555555555556</v>
      </c>
      <c r="H2831" s="28">
        <v>0.6430555555555556</v>
      </c>
      <c r="I2831">
        <v>0</v>
      </c>
      <c r="J2831" t="s">
        <v>174</v>
      </c>
      <c r="K2831">
        <v>0</v>
      </c>
      <c r="L2831" t="s">
        <v>1083</v>
      </c>
      <c r="M2831" t="s">
        <v>7699</v>
      </c>
      <c r="N2831" t="s">
        <v>7700</v>
      </c>
      <c r="O2831" t="s">
        <v>7701</v>
      </c>
      <c r="P2831" t="s">
        <v>6446</v>
      </c>
    </row>
    <row r="2832" spans="1:16" x14ac:dyDescent="0.35">
      <c r="A2832" t="s">
        <v>119</v>
      </c>
      <c r="B2832">
        <v>1701216039</v>
      </c>
      <c r="C2832" t="s">
        <v>18</v>
      </c>
      <c r="D2832" t="s">
        <v>20</v>
      </c>
      <c r="E2832" s="29">
        <v>46208</v>
      </c>
      <c r="F2832" t="s">
        <v>6</v>
      </c>
      <c r="G2832" s="28">
        <v>0.65</v>
      </c>
      <c r="H2832" s="28">
        <v>0.66388888888888886</v>
      </c>
      <c r="I2832">
        <v>0</v>
      </c>
      <c r="J2832" t="s">
        <v>146</v>
      </c>
      <c r="K2832">
        <v>1</v>
      </c>
      <c r="L2832" t="s">
        <v>147</v>
      </c>
      <c r="M2832" t="s">
        <v>7679</v>
      </c>
      <c r="N2832" t="s">
        <v>7680</v>
      </c>
      <c r="O2832" t="s">
        <v>7681</v>
      </c>
      <c r="P2832" t="s">
        <v>7682</v>
      </c>
    </row>
    <row r="2833" spans="1:16" x14ac:dyDescent="0.35">
      <c r="A2833" t="s">
        <v>119</v>
      </c>
      <c r="B2833">
        <v>1701216039</v>
      </c>
      <c r="C2833" t="s">
        <v>18</v>
      </c>
      <c r="D2833" t="s">
        <v>20</v>
      </c>
      <c r="E2833" s="29">
        <v>46208</v>
      </c>
      <c r="F2833" t="s">
        <v>6</v>
      </c>
      <c r="G2833" s="28">
        <v>0.67083333333333328</v>
      </c>
      <c r="H2833" s="28">
        <v>0.67083333333333328</v>
      </c>
      <c r="I2833">
        <v>0</v>
      </c>
      <c r="J2833" t="s">
        <v>174</v>
      </c>
      <c r="K2833">
        <v>0</v>
      </c>
      <c r="L2833" t="s">
        <v>1400</v>
      </c>
      <c r="M2833" t="s">
        <v>7702</v>
      </c>
      <c r="N2833" t="s">
        <v>7703</v>
      </c>
      <c r="O2833" t="s">
        <v>7704</v>
      </c>
      <c r="P2833" t="s">
        <v>7705</v>
      </c>
    </row>
    <row r="2834" spans="1:16" x14ac:dyDescent="0.35">
      <c r="A2834" t="s">
        <v>119</v>
      </c>
      <c r="B2834">
        <v>1701216039</v>
      </c>
      <c r="C2834" t="s">
        <v>18</v>
      </c>
      <c r="D2834" t="s">
        <v>20</v>
      </c>
      <c r="E2834" s="29">
        <v>46208</v>
      </c>
      <c r="F2834" t="s">
        <v>6</v>
      </c>
      <c r="G2834" s="28">
        <v>0.67777777777777781</v>
      </c>
      <c r="H2834" s="28">
        <v>0.67777777777777781</v>
      </c>
      <c r="I2834">
        <v>0</v>
      </c>
      <c r="J2834" t="s">
        <v>174</v>
      </c>
      <c r="K2834">
        <v>0</v>
      </c>
      <c r="L2834" t="s">
        <v>4439</v>
      </c>
      <c r="M2834" t="s">
        <v>6684</v>
      </c>
      <c r="N2834" t="s">
        <v>6685</v>
      </c>
      <c r="O2834" t="s">
        <v>6686</v>
      </c>
      <c r="P2834" t="s">
        <v>6687</v>
      </c>
    </row>
    <row r="2835" spans="1:16" x14ac:dyDescent="0.35">
      <c r="A2835" t="s">
        <v>119</v>
      </c>
      <c r="B2835">
        <v>1701216039</v>
      </c>
      <c r="C2835" t="s">
        <v>18</v>
      </c>
      <c r="D2835" t="s">
        <v>20</v>
      </c>
      <c r="E2835" s="29">
        <v>46208</v>
      </c>
      <c r="F2835" t="s">
        <v>6</v>
      </c>
      <c r="G2835" s="28">
        <v>0.68472222222222223</v>
      </c>
      <c r="H2835" s="28">
        <v>0.68472222222222223</v>
      </c>
      <c r="I2835">
        <v>0</v>
      </c>
      <c r="J2835" t="s">
        <v>174</v>
      </c>
      <c r="K2835">
        <v>0</v>
      </c>
      <c r="L2835" t="s">
        <v>1031</v>
      </c>
      <c r="M2835" t="s">
        <v>7706</v>
      </c>
      <c r="N2835" t="s">
        <v>7707</v>
      </c>
      <c r="O2835" t="s">
        <v>7708</v>
      </c>
      <c r="P2835" t="s">
        <v>7709</v>
      </c>
    </row>
    <row r="2836" spans="1:16" x14ac:dyDescent="0.35">
      <c r="A2836" t="s">
        <v>119</v>
      </c>
      <c r="B2836">
        <v>1701216039</v>
      </c>
      <c r="C2836" t="s">
        <v>18</v>
      </c>
      <c r="D2836" t="s">
        <v>20</v>
      </c>
      <c r="E2836" s="29">
        <v>46208</v>
      </c>
      <c r="F2836" t="s">
        <v>6</v>
      </c>
      <c r="G2836" s="28">
        <v>0.69166666666666665</v>
      </c>
      <c r="H2836" s="28">
        <v>0.69166666666666665</v>
      </c>
      <c r="I2836">
        <v>0</v>
      </c>
      <c r="J2836" t="s">
        <v>174</v>
      </c>
      <c r="K2836">
        <v>0</v>
      </c>
      <c r="L2836" t="s">
        <v>3897</v>
      </c>
      <c r="M2836" t="s">
        <v>7710</v>
      </c>
      <c r="N2836" t="s">
        <v>7711</v>
      </c>
      <c r="O2836" t="s">
        <v>7712</v>
      </c>
      <c r="P2836" t="s">
        <v>7713</v>
      </c>
    </row>
    <row r="2837" spans="1:16" x14ac:dyDescent="0.35">
      <c r="A2837" t="s">
        <v>119</v>
      </c>
      <c r="B2837">
        <v>1701216039</v>
      </c>
      <c r="C2837" t="s">
        <v>18</v>
      </c>
      <c r="D2837" t="s">
        <v>20</v>
      </c>
      <c r="E2837" s="29">
        <v>46208</v>
      </c>
      <c r="F2837" t="s">
        <v>6</v>
      </c>
      <c r="G2837" s="28">
        <v>0.69861111111111107</v>
      </c>
      <c r="H2837" s="28">
        <v>0.71944444444444444</v>
      </c>
      <c r="I2837">
        <v>1</v>
      </c>
      <c r="J2837" t="s">
        <v>146</v>
      </c>
      <c r="K2837">
        <v>2</v>
      </c>
      <c r="L2837" t="s">
        <v>147</v>
      </c>
      <c r="M2837" t="s">
        <v>7489</v>
      </c>
      <c r="N2837" t="s">
        <v>7490</v>
      </c>
      <c r="O2837" t="s">
        <v>7491</v>
      </c>
      <c r="P2837" t="s">
        <v>7492</v>
      </c>
    </row>
    <row r="2838" spans="1:16" x14ac:dyDescent="0.35">
      <c r="A2838" t="s">
        <v>119</v>
      </c>
      <c r="B2838">
        <v>1701216039</v>
      </c>
      <c r="C2838" t="s">
        <v>18</v>
      </c>
      <c r="D2838" t="s">
        <v>20</v>
      </c>
      <c r="E2838" s="29">
        <v>46208</v>
      </c>
      <c r="F2838" t="s">
        <v>6</v>
      </c>
      <c r="G2838" s="28">
        <v>0.72638888888888886</v>
      </c>
      <c r="H2838" s="28">
        <v>0.72638888888888886</v>
      </c>
      <c r="I2838">
        <v>0</v>
      </c>
      <c r="J2838" t="s">
        <v>174</v>
      </c>
      <c r="K2838">
        <v>0</v>
      </c>
      <c r="L2838" t="s">
        <v>7714</v>
      </c>
      <c r="M2838" t="s">
        <v>7715</v>
      </c>
      <c r="N2838" t="s">
        <v>7486</v>
      </c>
      <c r="O2838" t="s">
        <v>7487</v>
      </c>
      <c r="P2838" t="s">
        <v>7488</v>
      </c>
    </row>
    <row r="2839" spans="1:16" x14ac:dyDescent="0.35">
      <c r="A2839" t="s">
        <v>119</v>
      </c>
      <c r="B2839">
        <v>1701216039</v>
      </c>
      <c r="C2839" t="s">
        <v>18</v>
      </c>
      <c r="D2839" t="s">
        <v>20</v>
      </c>
      <c r="E2839" s="29">
        <v>46208</v>
      </c>
      <c r="F2839" t="s">
        <v>6</v>
      </c>
      <c r="G2839" s="28">
        <v>0.73333333333333328</v>
      </c>
      <c r="H2839" s="28">
        <v>0.74722222222222223</v>
      </c>
      <c r="I2839">
        <v>0</v>
      </c>
      <c r="J2839" t="s">
        <v>146</v>
      </c>
      <c r="K2839">
        <v>1</v>
      </c>
      <c r="L2839" t="s">
        <v>147</v>
      </c>
      <c r="M2839" t="s">
        <v>7463</v>
      </c>
      <c r="N2839" t="s">
        <v>7464</v>
      </c>
      <c r="O2839" t="s">
        <v>7465</v>
      </c>
      <c r="P2839" t="s">
        <v>7466</v>
      </c>
    </row>
    <row r="2840" spans="1:16" x14ac:dyDescent="0.35">
      <c r="A2840" t="s">
        <v>119</v>
      </c>
      <c r="B2840">
        <v>1701216039</v>
      </c>
      <c r="C2840" t="s">
        <v>18</v>
      </c>
      <c r="D2840" t="s">
        <v>20</v>
      </c>
      <c r="E2840" s="29">
        <v>46208</v>
      </c>
      <c r="F2840" t="s">
        <v>6</v>
      </c>
      <c r="G2840" s="28">
        <v>0.75416666666666665</v>
      </c>
      <c r="H2840" s="28">
        <v>0.75416666666666665</v>
      </c>
      <c r="I2840">
        <v>0</v>
      </c>
      <c r="J2840" t="s">
        <v>174</v>
      </c>
      <c r="K2840">
        <v>0</v>
      </c>
      <c r="L2840" t="s">
        <v>7462</v>
      </c>
      <c r="M2840" t="s">
        <v>7483</v>
      </c>
      <c r="N2840" t="s">
        <v>7469</v>
      </c>
      <c r="O2840" t="s">
        <v>7470</v>
      </c>
      <c r="P2840" t="s">
        <v>7471</v>
      </c>
    </row>
    <row r="2841" spans="1:16" x14ac:dyDescent="0.35">
      <c r="A2841" t="s">
        <v>119</v>
      </c>
      <c r="B2841">
        <v>1701216039</v>
      </c>
      <c r="C2841" t="s">
        <v>18</v>
      </c>
      <c r="D2841" t="s">
        <v>20</v>
      </c>
      <c r="E2841" s="29">
        <v>46208</v>
      </c>
      <c r="F2841" t="s">
        <v>6</v>
      </c>
      <c r="G2841" s="28">
        <v>0.7680555555555556</v>
      </c>
      <c r="H2841" s="28">
        <v>0.7680555555555556</v>
      </c>
      <c r="I2841">
        <v>0</v>
      </c>
      <c r="J2841" t="s">
        <v>174</v>
      </c>
      <c r="K2841">
        <v>0</v>
      </c>
      <c r="L2841" t="s">
        <v>7462</v>
      </c>
      <c r="M2841" t="s">
        <v>7463</v>
      </c>
      <c r="N2841" t="s">
        <v>7464</v>
      </c>
      <c r="O2841" t="s">
        <v>7465</v>
      </c>
      <c r="P2841" t="s">
        <v>7466</v>
      </c>
    </row>
    <row r="2842" spans="1:16" x14ac:dyDescent="0.35">
      <c r="A2842" t="s">
        <v>119</v>
      </c>
      <c r="B2842">
        <v>1701216039</v>
      </c>
      <c r="C2842" t="s">
        <v>18</v>
      </c>
      <c r="D2842" t="s">
        <v>20</v>
      </c>
      <c r="E2842" s="29">
        <v>46208</v>
      </c>
      <c r="F2842" t="s">
        <v>6</v>
      </c>
      <c r="G2842" s="28">
        <v>0.77500000000000002</v>
      </c>
      <c r="H2842" s="28">
        <v>0.77500000000000002</v>
      </c>
      <c r="I2842">
        <v>0</v>
      </c>
      <c r="J2842" t="s">
        <v>174</v>
      </c>
      <c r="K2842">
        <v>0</v>
      </c>
      <c r="L2842" t="s">
        <v>7479</v>
      </c>
      <c r="M2842" t="s">
        <v>7483</v>
      </c>
      <c r="N2842" t="s">
        <v>7469</v>
      </c>
      <c r="O2842" t="s">
        <v>7470</v>
      </c>
      <c r="P2842" t="s">
        <v>7471</v>
      </c>
    </row>
    <row r="2843" spans="1:16" x14ac:dyDescent="0.35">
      <c r="A2843" t="s">
        <v>119</v>
      </c>
      <c r="B2843">
        <v>1701216039</v>
      </c>
      <c r="C2843" t="s">
        <v>18</v>
      </c>
      <c r="D2843" t="s">
        <v>20</v>
      </c>
      <c r="E2843" s="29">
        <v>46208</v>
      </c>
      <c r="F2843" t="s">
        <v>6</v>
      </c>
      <c r="G2843" s="28">
        <v>0.78888888888888886</v>
      </c>
      <c r="H2843" s="28">
        <v>0.78888888888888886</v>
      </c>
      <c r="I2843">
        <v>0</v>
      </c>
      <c r="J2843" t="s">
        <v>174</v>
      </c>
      <c r="K2843">
        <v>0</v>
      </c>
      <c r="L2843" t="s">
        <v>7479</v>
      </c>
      <c r="M2843" t="s">
        <v>7480</v>
      </c>
      <c r="N2843" t="s">
        <v>7481</v>
      </c>
      <c r="O2843" t="s">
        <v>7482</v>
      </c>
      <c r="P2843" t="s">
        <v>4302</v>
      </c>
    </row>
    <row r="2844" spans="1:16" x14ac:dyDescent="0.35">
      <c r="A2844" t="s">
        <v>83</v>
      </c>
      <c r="B2844">
        <v>1322845168</v>
      </c>
      <c r="C2844" t="s">
        <v>19</v>
      </c>
      <c r="D2844" t="s">
        <v>20</v>
      </c>
      <c r="E2844" s="29">
        <v>46204</v>
      </c>
      <c r="F2844" t="s">
        <v>3</v>
      </c>
      <c r="G2844" s="28">
        <v>0.40069444444444446</v>
      </c>
      <c r="H2844" s="28">
        <v>0.40069444444444446</v>
      </c>
      <c r="I2844">
        <v>0</v>
      </c>
      <c r="J2844" t="s">
        <v>174</v>
      </c>
      <c r="K2844">
        <v>0</v>
      </c>
      <c r="L2844" t="s">
        <v>2208</v>
      </c>
      <c r="M2844" t="s">
        <v>7716</v>
      </c>
      <c r="N2844" t="s">
        <v>7717</v>
      </c>
      <c r="O2844" t="s">
        <v>7718</v>
      </c>
      <c r="P2844" t="s">
        <v>7719</v>
      </c>
    </row>
    <row r="2845" spans="1:16" x14ac:dyDescent="0.35">
      <c r="A2845" t="s">
        <v>83</v>
      </c>
      <c r="B2845">
        <v>1322845168</v>
      </c>
      <c r="C2845" t="s">
        <v>19</v>
      </c>
      <c r="D2845" t="s">
        <v>20</v>
      </c>
      <c r="E2845" s="29">
        <v>46204</v>
      </c>
      <c r="F2845" t="s">
        <v>3</v>
      </c>
      <c r="G2845" s="28">
        <v>0.40763888888888888</v>
      </c>
      <c r="H2845" s="28">
        <v>0.40763888888888888</v>
      </c>
      <c r="I2845">
        <v>0</v>
      </c>
      <c r="J2845" t="s">
        <v>174</v>
      </c>
      <c r="K2845">
        <v>0</v>
      </c>
      <c r="L2845" t="s">
        <v>7720</v>
      </c>
      <c r="M2845" t="s">
        <v>7721</v>
      </c>
      <c r="N2845" t="s">
        <v>7722</v>
      </c>
      <c r="O2845" t="s">
        <v>7723</v>
      </c>
      <c r="P2845" t="s">
        <v>7724</v>
      </c>
    </row>
    <row r="2846" spans="1:16" x14ac:dyDescent="0.35">
      <c r="A2846" t="s">
        <v>83</v>
      </c>
      <c r="B2846">
        <v>1322845168</v>
      </c>
      <c r="C2846" t="s">
        <v>19</v>
      </c>
      <c r="D2846" t="s">
        <v>20</v>
      </c>
      <c r="E2846" s="29">
        <v>46204</v>
      </c>
      <c r="F2846" t="s">
        <v>3</v>
      </c>
      <c r="G2846" s="28">
        <v>0.41458333333333336</v>
      </c>
      <c r="H2846" s="28">
        <v>0.41458333333333336</v>
      </c>
      <c r="I2846">
        <v>0</v>
      </c>
      <c r="J2846" t="s">
        <v>174</v>
      </c>
      <c r="K2846">
        <v>0</v>
      </c>
      <c r="L2846" t="s">
        <v>2851</v>
      </c>
      <c r="M2846" t="s">
        <v>7725</v>
      </c>
      <c r="N2846" t="s">
        <v>7726</v>
      </c>
      <c r="O2846" t="s">
        <v>7727</v>
      </c>
      <c r="P2846" t="s">
        <v>7728</v>
      </c>
    </row>
    <row r="2847" spans="1:16" x14ac:dyDescent="0.35">
      <c r="A2847" t="s">
        <v>83</v>
      </c>
      <c r="B2847">
        <v>1322845168</v>
      </c>
      <c r="C2847" t="s">
        <v>19</v>
      </c>
      <c r="D2847" t="s">
        <v>20</v>
      </c>
      <c r="E2847" s="29">
        <v>46204</v>
      </c>
      <c r="F2847" t="s">
        <v>3</v>
      </c>
      <c r="G2847" s="28">
        <v>0.42152777777777778</v>
      </c>
      <c r="H2847" s="28">
        <v>0.42152777777777778</v>
      </c>
      <c r="I2847">
        <v>0</v>
      </c>
      <c r="J2847" t="s">
        <v>174</v>
      </c>
      <c r="K2847">
        <v>0</v>
      </c>
      <c r="L2847" t="s">
        <v>7729</v>
      </c>
      <c r="M2847" t="s">
        <v>7730</v>
      </c>
      <c r="N2847" t="s">
        <v>7731</v>
      </c>
      <c r="O2847" t="s">
        <v>7732</v>
      </c>
      <c r="P2847" t="s">
        <v>7733</v>
      </c>
    </row>
    <row r="2848" spans="1:16" x14ac:dyDescent="0.35">
      <c r="A2848" t="s">
        <v>83</v>
      </c>
      <c r="B2848">
        <v>1322845168</v>
      </c>
      <c r="C2848" t="s">
        <v>19</v>
      </c>
      <c r="D2848" t="s">
        <v>20</v>
      </c>
      <c r="E2848" s="29">
        <v>46204</v>
      </c>
      <c r="F2848" t="s">
        <v>3</v>
      </c>
      <c r="G2848" s="28">
        <v>0.4284722222222222</v>
      </c>
      <c r="H2848" s="28">
        <v>0.46319444444444446</v>
      </c>
      <c r="I2848">
        <v>1</v>
      </c>
      <c r="J2848" t="s">
        <v>146</v>
      </c>
      <c r="K2848">
        <v>2</v>
      </c>
      <c r="L2848" t="s">
        <v>147</v>
      </c>
      <c r="M2848" t="s">
        <v>7734</v>
      </c>
      <c r="N2848" t="s">
        <v>7735</v>
      </c>
      <c r="O2848" t="s">
        <v>7736</v>
      </c>
      <c r="P2848" t="s">
        <v>7737</v>
      </c>
    </row>
    <row r="2849" spans="1:16" x14ac:dyDescent="0.35">
      <c r="A2849" t="s">
        <v>83</v>
      </c>
      <c r="B2849">
        <v>1322845168</v>
      </c>
      <c r="C2849" t="s">
        <v>19</v>
      </c>
      <c r="D2849" t="s">
        <v>20</v>
      </c>
      <c r="E2849" s="29">
        <v>46204</v>
      </c>
      <c r="F2849" t="s">
        <v>3</v>
      </c>
      <c r="G2849" s="28">
        <v>0.47013888888888888</v>
      </c>
      <c r="H2849" s="28">
        <v>0.47013888888888888</v>
      </c>
      <c r="I2849">
        <v>0</v>
      </c>
      <c r="J2849" t="s">
        <v>174</v>
      </c>
      <c r="K2849">
        <v>0</v>
      </c>
      <c r="L2849" t="s">
        <v>1971</v>
      </c>
      <c r="M2849" t="s">
        <v>7738</v>
      </c>
      <c r="N2849" t="s">
        <v>7739</v>
      </c>
      <c r="O2849" t="s">
        <v>7740</v>
      </c>
      <c r="P2849" t="s">
        <v>7741</v>
      </c>
    </row>
    <row r="2850" spans="1:16" x14ac:dyDescent="0.35">
      <c r="A2850" t="s">
        <v>83</v>
      </c>
      <c r="B2850">
        <v>1322845168</v>
      </c>
      <c r="C2850" t="s">
        <v>19</v>
      </c>
      <c r="D2850" t="s">
        <v>20</v>
      </c>
      <c r="E2850" s="29">
        <v>46204</v>
      </c>
      <c r="F2850" t="s">
        <v>3</v>
      </c>
      <c r="G2850" s="28">
        <v>0.47708333333333336</v>
      </c>
      <c r="H2850" s="28">
        <v>0.47708333333333336</v>
      </c>
      <c r="I2850">
        <v>0</v>
      </c>
      <c r="J2850" t="s">
        <v>174</v>
      </c>
      <c r="K2850">
        <v>0</v>
      </c>
      <c r="L2850" t="s">
        <v>7742</v>
      </c>
      <c r="M2850" t="s">
        <v>7743</v>
      </c>
      <c r="N2850" t="s">
        <v>7744</v>
      </c>
      <c r="O2850" t="s">
        <v>7745</v>
      </c>
      <c r="P2850" t="s">
        <v>7746</v>
      </c>
    </row>
    <row r="2851" spans="1:16" x14ac:dyDescent="0.35">
      <c r="A2851" t="s">
        <v>83</v>
      </c>
      <c r="B2851">
        <v>1322845168</v>
      </c>
      <c r="C2851" t="s">
        <v>19</v>
      </c>
      <c r="D2851" t="s">
        <v>20</v>
      </c>
      <c r="E2851" s="29">
        <v>46204</v>
      </c>
      <c r="F2851" t="s">
        <v>3</v>
      </c>
      <c r="G2851" s="28">
        <v>0.48402777777777778</v>
      </c>
      <c r="H2851" s="28">
        <v>0.48402777777777778</v>
      </c>
      <c r="I2851">
        <v>0</v>
      </c>
      <c r="J2851" t="s">
        <v>174</v>
      </c>
      <c r="K2851">
        <v>0</v>
      </c>
      <c r="L2851" t="s">
        <v>6133</v>
      </c>
      <c r="M2851" t="s">
        <v>3998</v>
      </c>
      <c r="N2851" t="s">
        <v>4109</v>
      </c>
      <c r="O2851" t="s">
        <v>4110</v>
      </c>
      <c r="P2851" t="s">
        <v>7747</v>
      </c>
    </row>
    <row r="2852" spans="1:16" x14ac:dyDescent="0.35">
      <c r="A2852" t="s">
        <v>83</v>
      </c>
      <c r="B2852">
        <v>1322845168</v>
      </c>
      <c r="C2852" t="s">
        <v>19</v>
      </c>
      <c r="D2852" t="s">
        <v>20</v>
      </c>
      <c r="E2852" s="29">
        <v>46204</v>
      </c>
      <c r="F2852" t="s">
        <v>3</v>
      </c>
      <c r="G2852" s="28">
        <v>0.4909722222222222</v>
      </c>
      <c r="H2852" s="28">
        <v>0.4909722222222222</v>
      </c>
      <c r="I2852">
        <v>0</v>
      </c>
      <c r="J2852" t="s">
        <v>174</v>
      </c>
      <c r="K2852">
        <v>0</v>
      </c>
      <c r="L2852" t="s">
        <v>7748</v>
      </c>
      <c r="M2852" t="s">
        <v>3755</v>
      </c>
      <c r="N2852" t="s">
        <v>3756</v>
      </c>
      <c r="O2852" t="s">
        <v>3757</v>
      </c>
      <c r="P2852" t="s">
        <v>7749</v>
      </c>
    </row>
    <row r="2853" spans="1:16" x14ac:dyDescent="0.35">
      <c r="A2853" t="s">
        <v>83</v>
      </c>
      <c r="B2853">
        <v>1322845168</v>
      </c>
      <c r="C2853" t="s">
        <v>19</v>
      </c>
      <c r="D2853" t="s">
        <v>20</v>
      </c>
      <c r="E2853" s="29">
        <v>46204</v>
      </c>
      <c r="F2853" t="s">
        <v>3</v>
      </c>
      <c r="G2853" s="28">
        <v>0.49791666666666667</v>
      </c>
      <c r="H2853" s="28">
        <v>0.49791666666666667</v>
      </c>
      <c r="I2853">
        <v>0</v>
      </c>
      <c r="J2853" t="s">
        <v>174</v>
      </c>
      <c r="K2853">
        <v>0</v>
      </c>
      <c r="L2853" t="s">
        <v>4245</v>
      </c>
      <c r="M2853" t="s">
        <v>7750</v>
      </c>
      <c r="N2853" t="s">
        <v>7751</v>
      </c>
      <c r="O2853" t="s">
        <v>7752</v>
      </c>
      <c r="P2853" t="s">
        <v>7753</v>
      </c>
    </row>
    <row r="2854" spans="1:16" x14ac:dyDescent="0.35">
      <c r="A2854" t="s">
        <v>83</v>
      </c>
      <c r="B2854">
        <v>1322845168</v>
      </c>
      <c r="C2854" t="s">
        <v>19</v>
      </c>
      <c r="D2854" t="s">
        <v>20</v>
      </c>
      <c r="E2854" s="29">
        <v>46204</v>
      </c>
      <c r="F2854" t="s">
        <v>3</v>
      </c>
      <c r="G2854" s="28">
        <v>0.50486111111111109</v>
      </c>
      <c r="H2854" s="28">
        <v>0.53263888888888888</v>
      </c>
      <c r="I2854">
        <v>1</v>
      </c>
      <c r="J2854" t="s">
        <v>146</v>
      </c>
      <c r="K2854">
        <v>2</v>
      </c>
      <c r="L2854" t="s">
        <v>147</v>
      </c>
      <c r="M2854" t="s">
        <v>3750</v>
      </c>
      <c r="N2854" t="s">
        <v>3751</v>
      </c>
      <c r="O2854" t="s">
        <v>3752</v>
      </c>
      <c r="P2854" t="s">
        <v>7754</v>
      </c>
    </row>
    <row r="2855" spans="1:16" x14ac:dyDescent="0.35">
      <c r="A2855" t="s">
        <v>83</v>
      </c>
      <c r="B2855">
        <v>1322845168</v>
      </c>
      <c r="C2855" t="s">
        <v>19</v>
      </c>
      <c r="D2855" t="s">
        <v>20</v>
      </c>
      <c r="E2855" s="29">
        <v>46204</v>
      </c>
      <c r="F2855" t="s">
        <v>3</v>
      </c>
      <c r="G2855" s="28">
        <v>0.5395833333333333</v>
      </c>
      <c r="H2855" s="28">
        <v>0.5395833333333333</v>
      </c>
      <c r="I2855">
        <v>0</v>
      </c>
      <c r="J2855" t="s">
        <v>174</v>
      </c>
      <c r="K2855">
        <v>0</v>
      </c>
      <c r="L2855" t="s">
        <v>2466</v>
      </c>
      <c r="M2855" t="s">
        <v>3746</v>
      </c>
      <c r="N2855" t="s">
        <v>3747</v>
      </c>
      <c r="O2855" t="s">
        <v>3748</v>
      </c>
      <c r="P2855" t="s">
        <v>7755</v>
      </c>
    </row>
    <row r="2856" spans="1:16" x14ac:dyDescent="0.35">
      <c r="A2856" t="s">
        <v>83</v>
      </c>
      <c r="B2856">
        <v>1322845168</v>
      </c>
      <c r="C2856" t="s">
        <v>19</v>
      </c>
      <c r="D2856" t="s">
        <v>20</v>
      </c>
      <c r="E2856" s="29">
        <v>46204</v>
      </c>
      <c r="F2856" t="s">
        <v>3</v>
      </c>
      <c r="G2856" s="28">
        <v>0.54652777777777772</v>
      </c>
      <c r="H2856" s="28">
        <v>0.54652777777777772</v>
      </c>
      <c r="I2856">
        <v>0</v>
      </c>
      <c r="J2856" t="s">
        <v>174</v>
      </c>
      <c r="K2856">
        <v>0</v>
      </c>
      <c r="L2856" t="s">
        <v>4245</v>
      </c>
      <c r="M2856" t="s">
        <v>3750</v>
      </c>
      <c r="N2856" t="s">
        <v>3751</v>
      </c>
      <c r="O2856" t="s">
        <v>3752</v>
      </c>
      <c r="P2856" t="s">
        <v>7754</v>
      </c>
    </row>
    <row r="2857" spans="1:16" x14ac:dyDescent="0.35">
      <c r="A2857" t="s">
        <v>83</v>
      </c>
      <c r="B2857">
        <v>1322845168</v>
      </c>
      <c r="C2857" t="s">
        <v>19</v>
      </c>
      <c r="D2857" t="s">
        <v>20</v>
      </c>
      <c r="E2857" s="29">
        <v>46204</v>
      </c>
      <c r="F2857" t="s">
        <v>3</v>
      </c>
      <c r="G2857" s="28">
        <v>0.55347222222222225</v>
      </c>
      <c r="H2857" s="28">
        <v>0.55347222222222225</v>
      </c>
      <c r="I2857">
        <v>0</v>
      </c>
      <c r="J2857" t="s">
        <v>174</v>
      </c>
      <c r="K2857">
        <v>0</v>
      </c>
      <c r="L2857" t="s">
        <v>2398</v>
      </c>
      <c r="M2857" t="s">
        <v>7750</v>
      </c>
      <c r="N2857" t="s">
        <v>7751</v>
      </c>
      <c r="O2857" t="s">
        <v>7752</v>
      </c>
      <c r="P2857" t="s">
        <v>7753</v>
      </c>
    </row>
    <row r="2858" spans="1:16" x14ac:dyDescent="0.35">
      <c r="A2858" t="s">
        <v>83</v>
      </c>
      <c r="B2858">
        <v>1322845168</v>
      </c>
      <c r="C2858" t="s">
        <v>19</v>
      </c>
      <c r="D2858" t="s">
        <v>20</v>
      </c>
      <c r="E2858" s="29">
        <v>46204</v>
      </c>
      <c r="F2858" t="s">
        <v>3</v>
      </c>
      <c r="G2858" s="28">
        <v>0.56041666666666667</v>
      </c>
      <c r="H2858" s="28">
        <v>0.57430555555555551</v>
      </c>
      <c r="I2858">
        <v>0</v>
      </c>
      <c r="J2858" t="s">
        <v>146</v>
      </c>
      <c r="K2858">
        <v>1</v>
      </c>
      <c r="L2858" t="s">
        <v>147</v>
      </c>
      <c r="M2858" t="s">
        <v>3737</v>
      </c>
      <c r="N2858" t="s">
        <v>3738</v>
      </c>
      <c r="O2858" t="s">
        <v>3739</v>
      </c>
      <c r="P2858" t="s">
        <v>7756</v>
      </c>
    </row>
    <row r="2859" spans="1:16" x14ac:dyDescent="0.35">
      <c r="A2859" t="s">
        <v>83</v>
      </c>
      <c r="B2859">
        <v>1322845168</v>
      </c>
      <c r="C2859" t="s">
        <v>19</v>
      </c>
      <c r="D2859" t="s">
        <v>20</v>
      </c>
      <c r="E2859" s="29">
        <v>46204</v>
      </c>
      <c r="F2859" t="s">
        <v>3</v>
      </c>
      <c r="G2859" s="28">
        <v>0.58125000000000004</v>
      </c>
      <c r="H2859" s="28">
        <v>0.58125000000000004</v>
      </c>
      <c r="I2859">
        <v>0</v>
      </c>
      <c r="J2859" t="s">
        <v>174</v>
      </c>
      <c r="K2859">
        <v>0</v>
      </c>
      <c r="L2859" t="s">
        <v>7757</v>
      </c>
      <c r="M2859" t="s">
        <v>7758</v>
      </c>
      <c r="N2859" t="s">
        <v>7759</v>
      </c>
      <c r="O2859" t="s">
        <v>7760</v>
      </c>
      <c r="P2859" t="s">
        <v>7761</v>
      </c>
    </row>
    <row r="2860" spans="1:16" x14ac:dyDescent="0.35">
      <c r="A2860" t="s">
        <v>83</v>
      </c>
      <c r="B2860">
        <v>1322845168</v>
      </c>
      <c r="C2860" t="s">
        <v>19</v>
      </c>
      <c r="D2860" t="s">
        <v>20</v>
      </c>
      <c r="E2860" s="29">
        <v>46204</v>
      </c>
      <c r="F2860" t="s">
        <v>3</v>
      </c>
      <c r="G2860" s="28">
        <v>0.58819444444444446</v>
      </c>
      <c r="H2860" s="28">
        <v>0.58819444444444446</v>
      </c>
      <c r="I2860">
        <v>0</v>
      </c>
      <c r="J2860" t="s">
        <v>174</v>
      </c>
      <c r="K2860">
        <v>0</v>
      </c>
      <c r="L2860" t="s">
        <v>2745</v>
      </c>
      <c r="M2860" t="s">
        <v>7762</v>
      </c>
      <c r="N2860" t="s">
        <v>7763</v>
      </c>
      <c r="O2860" t="s">
        <v>7764</v>
      </c>
      <c r="P2860" t="s">
        <v>7765</v>
      </c>
    </row>
    <row r="2861" spans="1:16" x14ac:dyDescent="0.35">
      <c r="A2861" t="s">
        <v>83</v>
      </c>
      <c r="B2861">
        <v>1322845168</v>
      </c>
      <c r="C2861" t="s">
        <v>19</v>
      </c>
      <c r="D2861" t="s">
        <v>20</v>
      </c>
      <c r="E2861" s="29">
        <v>46204</v>
      </c>
      <c r="F2861" t="s">
        <v>3</v>
      </c>
      <c r="G2861" s="28">
        <v>0.59513888888888888</v>
      </c>
      <c r="H2861" s="28">
        <v>0.59513888888888888</v>
      </c>
      <c r="I2861">
        <v>0</v>
      </c>
      <c r="J2861" t="s">
        <v>174</v>
      </c>
      <c r="K2861">
        <v>0</v>
      </c>
      <c r="L2861" t="s">
        <v>2745</v>
      </c>
      <c r="M2861" t="s">
        <v>7766</v>
      </c>
      <c r="N2861" t="s">
        <v>7767</v>
      </c>
      <c r="O2861" t="s">
        <v>7768</v>
      </c>
      <c r="P2861" t="s">
        <v>7769</v>
      </c>
    </row>
    <row r="2862" spans="1:16" x14ac:dyDescent="0.35">
      <c r="A2862" t="s">
        <v>83</v>
      </c>
      <c r="B2862">
        <v>1322845168</v>
      </c>
      <c r="C2862" t="s">
        <v>19</v>
      </c>
      <c r="D2862" t="s">
        <v>20</v>
      </c>
      <c r="E2862" s="29">
        <v>46204</v>
      </c>
      <c r="F2862" t="s">
        <v>3</v>
      </c>
      <c r="G2862" s="28">
        <v>0.6020833333333333</v>
      </c>
      <c r="H2862" s="28">
        <v>0.6020833333333333</v>
      </c>
      <c r="I2862">
        <v>0</v>
      </c>
      <c r="J2862" t="s">
        <v>174</v>
      </c>
      <c r="K2862">
        <v>0</v>
      </c>
      <c r="L2862" t="s">
        <v>4700</v>
      </c>
      <c r="M2862" t="s">
        <v>7762</v>
      </c>
      <c r="N2862" t="s">
        <v>7763</v>
      </c>
      <c r="O2862" t="s">
        <v>7764</v>
      </c>
      <c r="P2862" t="s">
        <v>7765</v>
      </c>
    </row>
    <row r="2863" spans="1:16" x14ac:dyDescent="0.35">
      <c r="A2863" t="s">
        <v>83</v>
      </c>
      <c r="B2863">
        <v>1322845168</v>
      </c>
      <c r="C2863" t="s">
        <v>19</v>
      </c>
      <c r="D2863" t="s">
        <v>20</v>
      </c>
      <c r="E2863" s="29">
        <v>46204</v>
      </c>
      <c r="F2863" t="s">
        <v>3</v>
      </c>
      <c r="G2863" s="28">
        <v>0.60902777777777772</v>
      </c>
      <c r="H2863" s="28">
        <v>0.60902777777777772</v>
      </c>
      <c r="I2863">
        <v>0</v>
      </c>
      <c r="J2863" t="s">
        <v>174</v>
      </c>
      <c r="K2863">
        <v>0</v>
      </c>
      <c r="L2863" t="s">
        <v>1425</v>
      </c>
      <c r="M2863" t="s">
        <v>7770</v>
      </c>
      <c r="N2863" t="s">
        <v>7771</v>
      </c>
      <c r="O2863" t="s">
        <v>7772</v>
      </c>
      <c r="P2863" t="s">
        <v>7773</v>
      </c>
    </row>
    <row r="2864" spans="1:16" x14ac:dyDescent="0.35">
      <c r="A2864" t="s">
        <v>83</v>
      </c>
      <c r="B2864">
        <v>1322845168</v>
      </c>
      <c r="C2864" t="s">
        <v>19</v>
      </c>
      <c r="D2864" t="s">
        <v>20</v>
      </c>
      <c r="E2864" s="29">
        <v>46204</v>
      </c>
      <c r="F2864" t="s">
        <v>3</v>
      </c>
      <c r="G2864" s="28">
        <v>0.61597222222222225</v>
      </c>
      <c r="H2864" s="28">
        <v>0.61597222222222225</v>
      </c>
      <c r="I2864">
        <v>0</v>
      </c>
      <c r="J2864" t="s">
        <v>174</v>
      </c>
      <c r="K2864">
        <v>0</v>
      </c>
      <c r="L2864" t="s">
        <v>7774</v>
      </c>
      <c r="M2864" t="s">
        <v>7775</v>
      </c>
      <c r="N2864" t="s">
        <v>7776</v>
      </c>
      <c r="O2864" t="s">
        <v>7777</v>
      </c>
      <c r="P2864" t="s">
        <v>7778</v>
      </c>
    </row>
    <row r="2865" spans="1:16" x14ac:dyDescent="0.35">
      <c r="A2865" t="s">
        <v>83</v>
      </c>
      <c r="B2865">
        <v>1322845168</v>
      </c>
      <c r="C2865" t="s">
        <v>19</v>
      </c>
      <c r="D2865" t="s">
        <v>20</v>
      </c>
      <c r="E2865" s="29">
        <v>46204</v>
      </c>
      <c r="F2865" t="s">
        <v>3</v>
      </c>
      <c r="G2865" s="28">
        <v>0.62291666666666667</v>
      </c>
      <c r="H2865" s="28">
        <v>0.64375000000000004</v>
      </c>
      <c r="I2865">
        <v>1</v>
      </c>
      <c r="J2865" t="s">
        <v>146</v>
      </c>
      <c r="K2865">
        <v>2</v>
      </c>
      <c r="L2865" t="s">
        <v>147</v>
      </c>
      <c r="M2865" t="s">
        <v>3750</v>
      </c>
      <c r="N2865" t="s">
        <v>3751</v>
      </c>
      <c r="O2865" t="s">
        <v>3752</v>
      </c>
      <c r="P2865" t="s">
        <v>7754</v>
      </c>
    </row>
    <row r="2866" spans="1:16" x14ac:dyDescent="0.35">
      <c r="A2866" t="s">
        <v>83</v>
      </c>
      <c r="B2866">
        <v>1322845168</v>
      </c>
      <c r="C2866" t="s">
        <v>19</v>
      </c>
      <c r="D2866" t="s">
        <v>20</v>
      </c>
      <c r="E2866" s="29">
        <v>46204</v>
      </c>
      <c r="F2866" t="s">
        <v>3</v>
      </c>
      <c r="G2866" s="28">
        <v>0.65069444444444446</v>
      </c>
      <c r="H2866" s="28">
        <v>0.65069444444444446</v>
      </c>
      <c r="I2866">
        <v>0</v>
      </c>
      <c r="J2866" t="s">
        <v>174</v>
      </c>
      <c r="K2866">
        <v>0</v>
      </c>
      <c r="L2866" t="s">
        <v>1696</v>
      </c>
      <c r="M2866" t="s">
        <v>3755</v>
      </c>
      <c r="N2866" t="s">
        <v>3756</v>
      </c>
      <c r="O2866" t="s">
        <v>3757</v>
      </c>
      <c r="P2866" t="s">
        <v>7749</v>
      </c>
    </row>
    <row r="2867" spans="1:16" x14ac:dyDescent="0.35">
      <c r="A2867" t="s">
        <v>83</v>
      </c>
      <c r="B2867">
        <v>1322845168</v>
      </c>
      <c r="C2867" t="s">
        <v>19</v>
      </c>
      <c r="D2867" t="s">
        <v>20</v>
      </c>
      <c r="E2867" s="29">
        <v>46204</v>
      </c>
      <c r="F2867" t="s">
        <v>3</v>
      </c>
      <c r="G2867" s="28">
        <v>0.65763888888888888</v>
      </c>
      <c r="H2867" s="28">
        <v>0.68541666666666667</v>
      </c>
      <c r="I2867">
        <v>1</v>
      </c>
      <c r="J2867" t="s">
        <v>146</v>
      </c>
      <c r="K2867">
        <v>2</v>
      </c>
      <c r="L2867" t="s">
        <v>147</v>
      </c>
      <c r="M2867" t="s">
        <v>3737</v>
      </c>
      <c r="N2867" t="s">
        <v>3738</v>
      </c>
      <c r="O2867" t="s">
        <v>3739</v>
      </c>
      <c r="P2867" t="s">
        <v>7756</v>
      </c>
    </row>
    <row r="2868" spans="1:16" x14ac:dyDescent="0.35">
      <c r="A2868" t="s">
        <v>83</v>
      </c>
      <c r="B2868">
        <v>1322845168</v>
      </c>
      <c r="C2868" t="s">
        <v>19</v>
      </c>
      <c r="D2868" t="s">
        <v>20</v>
      </c>
      <c r="E2868" s="29">
        <v>46204</v>
      </c>
      <c r="F2868" t="s">
        <v>3</v>
      </c>
      <c r="G2868" s="28">
        <v>0.69236111111111109</v>
      </c>
      <c r="H2868" s="28">
        <v>0.69236111111111109</v>
      </c>
      <c r="I2868">
        <v>0</v>
      </c>
      <c r="J2868" t="s">
        <v>174</v>
      </c>
      <c r="K2868">
        <v>0</v>
      </c>
      <c r="L2868" t="s">
        <v>7748</v>
      </c>
      <c r="M2868" t="s">
        <v>7750</v>
      </c>
      <c r="N2868" t="s">
        <v>7751</v>
      </c>
      <c r="O2868" t="s">
        <v>7752</v>
      </c>
      <c r="P2868" t="s">
        <v>7753</v>
      </c>
    </row>
    <row r="2869" spans="1:16" x14ac:dyDescent="0.35">
      <c r="A2869" t="s">
        <v>83</v>
      </c>
      <c r="B2869">
        <v>1322845168</v>
      </c>
      <c r="C2869" t="s">
        <v>19</v>
      </c>
      <c r="D2869" t="s">
        <v>20</v>
      </c>
      <c r="E2869" s="29">
        <v>46204</v>
      </c>
      <c r="F2869" t="s">
        <v>3</v>
      </c>
      <c r="G2869" s="28">
        <v>0.69930555555555551</v>
      </c>
      <c r="H2869" s="28">
        <v>0.71319444444444446</v>
      </c>
      <c r="I2869">
        <v>0</v>
      </c>
      <c r="J2869" t="s">
        <v>146</v>
      </c>
      <c r="K2869">
        <v>1</v>
      </c>
      <c r="L2869" t="s">
        <v>147</v>
      </c>
      <c r="M2869" t="s">
        <v>3755</v>
      </c>
      <c r="N2869" t="s">
        <v>3756</v>
      </c>
      <c r="O2869" t="s">
        <v>3757</v>
      </c>
      <c r="P2869" t="s">
        <v>7749</v>
      </c>
    </row>
    <row r="2870" spans="1:16" x14ac:dyDescent="0.35">
      <c r="A2870" t="s">
        <v>83</v>
      </c>
      <c r="B2870">
        <v>1322845168</v>
      </c>
      <c r="C2870" t="s">
        <v>19</v>
      </c>
      <c r="D2870" t="s">
        <v>20</v>
      </c>
      <c r="E2870" s="29">
        <v>46204</v>
      </c>
      <c r="F2870" t="s">
        <v>3</v>
      </c>
      <c r="G2870" s="28">
        <v>0.72013888888888888</v>
      </c>
      <c r="H2870" s="28">
        <v>0.72013888888888888</v>
      </c>
      <c r="I2870">
        <v>0</v>
      </c>
      <c r="J2870" t="s">
        <v>174</v>
      </c>
      <c r="K2870">
        <v>0</v>
      </c>
      <c r="L2870" t="s">
        <v>629</v>
      </c>
      <c r="M2870" t="s">
        <v>3737</v>
      </c>
      <c r="N2870" t="s">
        <v>3738</v>
      </c>
      <c r="O2870" t="s">
        <v>3739</v>
      </c>
      <c r="P2870" t="s">
        <v>7756</v>
      </c>
    </row>
    <row r="2871" spans="1:16" x14ac:dyDescent="0.35">
      <c r="A2871" t="s">
        <v>83</v>
      </c>
      <c r="B2871">
        <v>1322845168</v>
      </c>
      <c r="C2871" t="s">
        <v>19</v>
      </c>
      <c r="D2871" t="s">
        <v>20</v>
      </c>
      <c r="E2871" s="29">
        <v>46204</v>
      </c>
      <c r="F2871" t="s">
        <v>3</v>
      </c>
      <c r="G2871" s="28">
        <v>0.7270833333333333</v>
      </c>
      <c r="H2871" s="28">
        <v>0.7270833333333333</v>
      </c>
      <c r="I2871">
        <v>0</v>
      </c>
      <c r="J2871" t="s">
        <v>174</v>
      </c>
      <c r="K2871">
        <v>0</v>
      </c>
      <c r="L2871" t="s">
        <v>4805</v>
      </c>
      <c r="M2871" t="s">
        <v>7779</v>
      </c>
      <c r="N2871" t="s">
        <v>7780</v>
      </c>
      <c r="O2871" t="s">
        <v>7781</v>
      </c>
      <c r="P2871" t="s">
        <v>7782</v>
      </c>
    </row>
    <row r="2872" spans="1:16" x14ac:dyDescent="0.35">
      <c r="A2872" t="s">
        <v>83</v>
      </c>
      <c r="B2872">
        <v>1322845168</v>
      </c>
      <c r="C2872" t="s">
        <v>19</v>
      </c>
      <c r="D2872" t="s">
        <v>20</v>
      </c>
      <c r="E2872" s="29">
        <v>46204</v>
      </c>
      <c r="F2872" t="s">
        <v>3</v>
      </c>
      <c r="G2872" s="28">
        <v>0.73402777777777772</v>
      </c>
      <c r="H2872" s="28">
        <v>0.73402777777777772</v>
      </c>
      <c r="I2872">
        <v>0</v>
      </c>
      <c r="J2872" t="s">
        <v>174</v>
      </c>
      <c r="K2872">
        <v>0</v>
      </c>
      <c r="L2872" t="s">
        <v>7783</v>
      </c>
      <c r="M2872" t="s">
        <v>7784</v>
      </c>
      <c r="N2872" t="s">
        <v>7785</v>
      </c>
      <c r="O2872" t="s">
        <v>7786</v>
      </c>
      <c r="P2872" t="s">
        <v>7787</v>
      </c>
    </row>
    <row r="2873" spans="1:16" x14ac:dyDescent="0.35">
      <c r="A2873" t="s">
        <v>83</v>
      </c>
      <c r="B2873">
        <v>1322845168</v>
      </c>
      <c r="C2873" t="s">
        <v>19</v>
      </c>
      <c r="D2873" t="s">
        <v>20</v>
      </c>
      <c r="E2873" s="29">
        <v>46204</v>
      </c>
      <c r="F2873" t="s">
        <v>3</v>
      </c>
      <c r="G2873" s="28">
        <v>0.74097222222222225</v>
      </c>
      <c r="H2873" s="28">
        <v>0.75486111111111109</v>
      </c>
      <c r="I2873">
        <v>0</v>
      </c>
      <c r="J2873" t="s">
        <v>146</v>
      </c>
      <c r="K2873">
        <v>1</v>
      </c>
      <c r="L2873" t="s">
        <v>147</v>
      </c>
      <c r="M2873" t="s">
        <v>7788</v>
      </c>
      <c r="N2873" t="s">
        <v>7789</v>
      </c>
      <c r="O2873" t="s">
        <v>7790</v>
      </c>
      <c r="P2873" t="s">
        <v>7791</v>
      </c>
    </row>
    <row r="2874" spans="1:16" x14ac:dyDescent="0.35">
      <c r="A2874" t="s">
        <v>83</v>
      </c>
      <c r="B2874">
        <v>1322845168</v>
      </c>
      <c r="C2874" t="s">
        <v>19</v>
      </c>
      <c r="D2874" t="s">
        <v>20</v>
      </c>
      <c r="E2874" s="29">
        <v>46204</v>
      </c>
      <c r="F2874" t="s">
        <v>3</v>
      </c>
      <c r="G2874" s="28">
        <v>0.76180555555555551</v>
      </c>
      <c r="H2874" s="28">
        <v>0.80347222222222225</v>
      </c>
      <c r="I2874">
        <v>1</v>
      </c>
      <c r="J2874" t="s">
        <v>146</v>
      </c>
      <c r="K2874">
        <v>3</v>
      </c>
      <c r="L2874" t="s">
        <v>147</v>
      </c>
      <c r="M2874" t="s">
        <v>7792</v>
      </c>
      <c r="N2874" t="s">
        <v>7793</v>
      </c>
      <c r="O2874" t="s">
        <v>7794</v>
      </c>
      <c r="P2874" t="s">
        <v>7755</v>
      </c>
    </row>
    <row r="2875" spans="1:16" x14ac:dyDescent="0.35">
      <c r="A2875" t="s">
        <v>83</v>
      </c>
      <c r="B2875">
        <v>1322845168</v>
      </c>
      <c r="C2875" t="s">
        <v>19</v>
      </c>
      <c r="D2875" t="s">
        <v>20</v>
      </c>
      <c r="E2875" s="29">
        <v>46205</v>
      </c>
      <c r="F2875" t="s">
        <v>4</v>
      </c>
      <c r="G2875" s="28">
        <v>0.37986111111111109</v>
      </c>
      <c r="H2875" s="28">
        <v>0.37986111111111109</v>
      </c>
      <c r="I2875">
        <v>0</v>
      </c>
      <c r="J2875" t="s">
        <v>174</v>
      </c>
      <c r="K2875">
        <v>0</v>
      </c>
      <c r="L2875" t="s">
        <v>2095</v>
      </c>
      <c r="M2875" t="s">
        <v>4076</v>
      </c>
      <c r="N2875" t="s">
        <v>4077</v>
      </c>
      <c r="O2875" t="s">
        <v>4078</v>
      </c>
      <c r="P2875" t="s">
        <v>7795</v>
      </c>
    </row>
    <row r="2876" spans="1:16" x14ac:dyDescent="0.35">
      <c r="A2876" t="s">
        <v>83</v>
      </c>
      <c r="B2876">
        <v>1322845168</v>
      </c>
      <c r="C2876" t="s">
        <v>19</v>
      </c>
      <c r="D2876" t="s">
        <v>20</v>
      </c>
      <c r="E2876" s="29">
        <v>46205</v>
      </c>
      <c r="F2876" t="s">
        <v>4</v>
      </c>
      <c r="G2876" s="28">
        <v>0.38680555555555557</v>
      </c>
      <c r="H2876" s="28">
        <v>0.38680555555555557</v>
      </c>
      <c r="I2876">
        <v>0</v>
      </c>
      <c r="J2876" t="s">
        <v>174</v>
      </c>
      <c r="K2876">
        <v>0</v>
      </c>
      <c r="L2876" t="s">
        <v>7796</v>
      </c>
      <c r="M2876" t="s">
        <v>7797</v>
      </c>
      <c r="N2876" t="s">
        <v>7798</v>
      </c>
      <c r="O2876" t="s">
        <v>7799</v>
      </c>
      <c r="P2876" t="s">
        <v>7800</v>
      </c>
    </row>
    <row r="2877" spans="1:16" x14ac:dyDescent="0.35">
      <c r="A2877" t="s">
        <v>83</v>
      </c>
      <c r="B2877">
        <v>1322845168</v>
      </c>
      <c r="C2877" t="s">
        <v>19</v>
      </c>
      <c r="D2877" t="s">
        <v>20</v>
      </c>
      <c r="E2877" s="29">
        <v>46205</v>
      </c>
      <c r="F2877" t="s">
        <v>4</v>
      </c>
      <c r="G2877" s="28">
        <v>0.39374999999999999</v>
      </c>
      <c r="H2877" s="28">
        <v>0.40069444444444446</v>
      </c>
      <c r="I2877">
        <v>0</v>
      </c>
      <c r="J2877" t="s">
        <v>146</v>
      </c>
      <c r="K2877">
        <v>1</v>
      </c>
      <c r="L2877" t="s">
        <v>147</v>
      </c>
      <c r="M2877" t="s">
        <v>7801</v>
      </c>
      <c r="N2877" t="s">
        <v>7802</v>
      </c>
      <c r="O2877" t="s">
        <v>7803</v>
      </c>
      <c r="P2877" t="s">
        <v>7804</v>
      </c>
    </row>
    <row r="2878" spans="1:16" x14ac:dyDescent="0.35">
      <c r="A2878" t="s">
        <v>83</v>
      </c>
      <c r="B2878">
        <v>1322845168</v>
      </c>
      <c r="C2878" t="s">
        <v>19</v>
      </c>
      <c r="D2878" t="s">
        <v>20</v>
      </c>
      <c r="E2878" s="29">
        <v>46205</v>
      </c>
      <c r="F2878" t="s">
        <v>4</v>
      </c>
      <c r="G2878" s="28">
        <v>0.40763888888888888</v>
      </c>
      <c r="H2878" s="28">
        <v>0.40763888888888888</v>
      </c>
      <c r="I2878">
        <v>0</v>
      </c>
      <c r="J2878" t="s">
        <v>174</v>
      </c>
      <c r="K2878">
        <v>0</v>
      </c>
      <c r="L2878" t="s">
        <v>7805</v>
      </c>
      <c r="M2878" t="s">
        <v>7806</v>
      </c>
      <c r="N2878" t="s">
        <v>7807</v>
      </c>
      <c r="O2878" t="s">
        <v>7808</v>
      </c>
      <c r="P2878" t="s">
        <v>7809</v>
      </c>
    </row>
    <row r="2879" spans="1:16" x14ac:dyDescent="0.35">
      <c r="A2879" t="s">
        <v>83</v>
      </c>
      <c r="B2879">
        <v>1322845168</v>
      </c>
      <c r="C2879" t="s">
        <v>19</v>
      </c>
      <c r="D2879" t="s">
        <v>20</v>
      </c>
      <c r="E2879" s="29">
        <v>46205</v>
      </c>
      <c r="F2879" t="s">
        <v>4</v>
      </c>
      <c r="G2879" s="28">
        <v>0.41458333333333336</v>
      </c>
      <c r="H2879" s="28">
        <v>0.41458333333333336</v>
      </c>
      <c r="I2879">
        <v>0</v>
      </c>
      <c r="J2879" t="s">
        <v>174</v>
      </c>
      <c r="K2879">
        <v>0</v>
      </c>
      <c r="L2879" t="s">
        <v>7810</v>
      </c>
      <c r="M2879" t="s">
        <v>7811</v>
      </c>
      <c r="N2879" t="s">
        <v>7812</v>
      </c>
      <c r="O2879" t="s">
        <v>7813</v>
      </c>
      <c r="P2879" t="s">
        <v>7814</v>
      </c>
    </row>
    <row r="2880" spans="1:16" x14ac:dyDescent="0.35">
      <c r="A2880" t="s">
        <v>83</v>
      </c>
      <c r="B2880">
        <v>1322845168</v>
      </c>
      <c r="C2880" t="s">
        <v>19</v>
      </c>
      <c r="D2880" t="s">
        <v>20</v>
      </c>
      <c r="E2880" s="29">
        <v>46205</v>
      </c>
      <c r="F2880" t="s">
        <v>4</v>
      </c>
      <c r="G2880" s="28">
        <v>0.42152777777777778</v>
      </c>
      <c r="H2880" s="28">
        <v>0.42152777777777778</v>
      </c>
      <c r="I2880">
        <v>0</v>
      </c>
      <c r="J2880" t="s">
        <v>174</v>
      </c>
      <c r="K2880">
        <v>0</v>
      </c>
      <c r="L2880" t="s">
        <v>7810</v>
      </c>
      <c r="M2880" t="s">
        <v>3998</v>
      </c>
      <c r="N2880" t="s">
        <v>4109</v>
      </c>
      <c r="O2880" t="s">
        <v>4110</v>
      </c>
      <c r="P2880" t="s">
        <v>7747</v>
      </c>
    </row>
    <row r="2881" spans="1:16" x14ac:dyDescent="0.35">
      <c r="A2881" t="s">
        <v>83</v>
      </c>
      <c r="B2881">
        <v>1322845168</v>
      </c>
      <c r="C2881" t="s">
        <v>19</v>
      </c>
      <c r="D2881" t="s">
        <v>20</v>
      </c>
      <c r="E2881" s="29">
        <v>46205</v>
      </c>
      <c r="F2881" t="s">
        <v>4</v>
      </c>
      <c r="G2881" s="28">
        <v>0.4284722222222222</v>
      </c>
      <c r="H2881" s="28">
        <v>0.44930555555555557</v>
      </c>
      <c r="I2881">
        <v>1</v>
      </c>
      <c r="J2881" t="s">
        <v>146</v>
      </c>
      <c r="K2881">
        <v>2</v>
      </c>
      <c r="L2881" t="s">
        <v>147</v>
      </c>
      <c r="M2881" t="s">
        <v>7811</v>
      </c>
      <c r="N2881" t="s">
        <v>7812</v>
      </c>
      <c r="O2881" t="s">
        <v>7813</v>
      </c>
      <c r="P2881" t="s">
        <v>7814</v>
      </c>
    </row>
    <row r="2882" spans="1:16" x14ac:dyDescent="0.35">
      <c r="A2882" t="s">
        <v>83</v>
      </c>
      <c r="B2882">
        <v>1322845168</v>
      </c>
      <c r="C2882" t="s">
        <v>19</v>
      </c>
      <c r="D2882" t="s">
        <v>20</v>
      </c>
      <c r="E2882" s="29">
        <v>46205</v>
      </c>
      <c r="F2882" t="s">
        <v>4</v>
      </c>
      <c r="G2882" s="28">
        <v>0.45624999999999999</v>
      </c>
      <c r="H2882" s="28">
        <v>0.45624999999999999</v>
      </c>
      <c r="I2882">
        <v>0</v>
      </c>
      <c r="J2882" t="s">
        <v>174</v>
      </c>
      <c r="K2882">
        <v>0</v>
      </c>
      <c r="L2882" t="s">
        <v>7815</v>
      </c>
      <c r="M2882" t="s">
        <v>3998</v>
      </c>
      <c r="N2882" t="s">
        <v>4109</v>
      </c>
      <c r="O2882" t="s">
        <v>4110</v>
      </c>
      <c r="P2882" t="s">
        <v>7747</v>
      </c>
    </row>
    <row r="2883" spans="1:16" x14ac:dyDescent="0.35">
      <c r="A2883" t="s">
        <v>83</v>
      </c>
      <c r="B2883">
        <v>1322845168</v>
      </c>
      <c r="C2883" t="s">
        <v>19</v>
      </c>
      <c r="D2883" t="s">
        <v>20</v>
      </c>
      <c r="E2883" s="29">
        <v>46205</v>
      </c>
      <c r="F2883" t="s">
        <v>4</v>
      </c>
      <c r="G2883" s="28">
        <v>0.46319444444444446</v>
      </c>
      <c r="H2883" s="28">
        <v>0.46319444444444446</v>
      </c>
      <c r="I2883">
        <v>0</v>
      </c>
      <c r="J2883" t="s">
        <v>174</v>
      </c>
      <c r="K2883">
        <v>0</v>
      </c>
      <c r="L2883" t="s">
        <v>7816</v>
      </c>
      <c r="M2883" t="s">
        <v>7817</v>
      </c>
      <c r="N2883" t="s">
        <v>7818</v>
      </c>
      <c r="O2883" t="s">
        <v>7819</v>
      </c>
      <c r="P2883" t="s">
        <v>7820</v>
      </c>
    </row>
    <row r="2884" spans="1:16" x14ac:dyDescent="0.35">
      <c r="A2884" t="s">
        <v>83</v>
      </c>
      <c r="B2884">
        <v>1322845168</v>
      </c>
      <c r="C2884" t="s">
        <v>19</v>
      </c>
      <c r="D2884" t="s">
        <v>20</v>
      </c>
      <c r="E2884" s="29">
        <v>46205</v>
      </c>
      <c r="F2884" t="s">
        <v>4</v>
      </c>
      <c r="G2884" s="28">
        <v>0.47013888888888888</v>
      </c>
      <c r="H2884" s="28">
        <v>0.48402777777777778</v>
      </c>
      <c r="I2884">
        <v>0</v>
      </c>
      <c r="J2884" t="s">
        <v>146</v>
      </c>
      <c r="K2884">
        <v>1</v>
      </c>
      <c r="L2884" t="s">
        <v>147</v>
      </c>
      <c r="M2884" t="s">
        <v>4104</v>
      </c>
      <c r="N2884" t="s">
        <v>4105</v>
      </c>
      <c r="O2884" t="s">
        <v>4106</v>
      </c>
      <c r="P2884" t="s">
        <v>7821</v>
      </c>
    </row>
    <row r="2885" spans="1:16" x14ac:dyDescent="0.35">
      <c r="A2885" t="s">
        <v>83</v>
      </c>
      <c r="B2885">
        <v>1322845168</v>
      </c>
      <c r="C2885" t="s">
        <v>19</v>
      </c>
      <c r="D2885" t="s">
        <v>20</v>
      </c>
      <c r="E2885" s="29">
        <v>46205</v>
      </c>
      <c r="F2885" t="s">
        <v>4</v>
      </c>
      <c r="G2885" s="28">
        <v>0.4909722222222222</v>
      </c>
      <c r="H2885" s="28">
        <v>0.4909722222222222</v>
      </c>
      <c r="I2885">
        <v>0</v>
      </c>
      <c r="J2885" t="s">
        <v>174</v>
      </c>
      <c r="K2885">
        <v>0</v>
      </c>
      <c r="L2885" t="s">
        <v>1989</v>
      </c>
      <c r="M2885" t="s">
        <v>3760</v>
      </c>
      <c r="N2885" t="s">
        <v>3761</v>
      </c>
      <c r="O2885" t="s">
        <v>3762</v>
      </c>
      <c r="P2885" t="s">
        <v>7822</v>
      </c>
    </row>
    <row r="2886" spans="1:16" x14ac:dyDescent="0.35">
      <c r="A2886" t="s">
        <v>83</v>
      </c>
      <c r="B2886">
        <v>1322845168</v>
      </c>
      <c r="C2886" t="s">
        <v>19</v>
      </c>
      <c r="D2886" t="s">
        <v>20</v>
      </c>
      <c r="E2886" s="29">
        <v>46205</v>
      </c>
      <c r="F2886" t="s">
        <v>4</v>
      </c>
      <c r="G2886" s="28">
        <v>0.49791666666666667</v>
      </c>
      <c r="H2886" s="28">
        <v>0.49791666666666667</v>
      </c>
      <c r="I2886">
        <v>0</v>
      </c>
      <c r="J2886" t="s">
        <v>174</v>
      </c>
      <c r="K2886">
        <v>0</v>
      </c>
      <c r="L2886" t="s">
        <v>6737</v>
      </c>
      <c r="M2886" t="s">
        <v>3755</v>
      </c>
      <c r="N2886" t="s">
        <v>3756</v>
      </c>
      <c r="O2886" t="s">
        <v>3757</v>
      </c>
      <c r="P2886" t="s">
        <v>7749</v>
      </c>
    </row>
    <row r="2887" spans="1:16" x14ac:dyDescent="0.35">
      <c r="A2887" t="s">
        <v>83</v>
      </c>
      <c r="B2887">
        <v>1322845168</v>
      </c>
      <c r="C2887" t="s">
        <v>19</v>
      </c>
      <c r="D2887" t="s">
        <v>20</v>
      </c>
      <c r="E2887" s="29">
        <v>46205</v>
      </c>
      <c r="F2887" t="s">
        <v>4</v>
      </c>
      <c r="G2887" s="28">
        <v>0.50486111111111109</v>
      </c>
      <c r="H2887" s="28">
        <v>0.50486111111111109</v>
      </c>
      <c r="I2887">
        <v>0</v>
      </c>
      <c r="J2887" t="s">
        <v>174</v>
      </c>
      <c r="K2887">
        <v>0</v>
      </c>
      <c r="L2887" t="s">
        <v>2466</v>
      </c>
      <c r="M2887" t="s">
        <v>3746</v>
      </c>
      <c r="N2887" t="s">
        <v>3747</v>
      </c>
      <c r="O2887" t="s">
        <v>3748</v>
      </c>
      <c r="P2887" t="s">
        <v>7755</v>
      </c>
    </row>
    <row r="2888" spans="1:16" x14ac:dyDescent="0.35">
      <c r="A2888" t="s">
        <v>83</v>
      </c>
      <c r="B2888">
        <v>1322845168</v>
      </c>
      <c r="C2888" t="s">
        <v>19</v>
      </c>
      <c r="D2888" t="s">
        <v>20</v>
      </c>
      <c r="E2888" s="29">
        <v>46205</v>
      </c>
      <c r="F2888" t="s">
        <v>4</v>
      </c>
      <c r="G2888" s="28">
        <v>0.51180555555555551</v>
      </c>
      <c r="H2888" s="28">
        <v>0.51875000000000004</v>
      </c>
      <c r="I2888">
        <v>0</v>
      </c>
      <c r="J2888" t="s">
        <v>146</v>
      </c>
      <c r="K2888">
        <v>1</v>
      </c>
      <c r="L2888" t="s">
        <v>147</v>
      </c>
      <c r="M2888" t="s">
        <v>3750</v>
      </c>
      <c r="N2888" t="s">
        <v>3751</v>
      </c>
      <c r="O2888" t="s">
        <v>3752</v>
      </c>
      <c r="P2888" t="s">
        <v>7754</v>
      </c>
    </row>
    <row r="2889" spans="1:16" x14ac:dyDescent="0.35">
      <c r="A2889" t="s">
        <v>83</v>
      </c>
      <c r="B2889">
        <v>1322845168</v>
      </c>
      <c r="C2889" t="s">
        <v>19</v>
      </c>
      <c r="D2889" t="s">
        <v>20</v>
      </c>
      <c r="E2889" s="29">
        <v>46205</v>
      </c>
      <c r="F2889" t="s">
        <v>4</v>
      </c>
      <c r="G2889" s="28">
        <v>0.52569444444444446</v>
      </c>
      <c r="H2889" s="28">
        <v>0.52569444444444446</v>
      </c>
      <c r="I2889">
        <v>0</v>
      </c>
      <c r="J2889" t="s">
        <v>174</v>
      </c>
      <c r="K2889">
        <v>0</v>
      </c>
      <c r="L2889" t="s">
        <v>3754</v>
      </c>
      <c r="M2889" t="s">
        <v>3755</v>
      </c>
      <c r="N2889" t="s">
        <v>3756</v>
      </c>
      <c r="O2889" t="s">
        <v>3757</v>
      </c>
      <c r="P2889" t="s">
        <v>7749</v>
      </c>
    </row>
    <row r="2890" spans="1:16" x14ac:dyDescent="0.35">
      <c r="A2890" t="s">
        <v>83</v>
      </c>
      <c r="B2890">
        <v>1322845168</v>
      </c>
      <c r="C2890" t="s">
        <v>19</v>
      </c>
      <c r="D2890" t="s">
        <v>20</v>
      </c>
      <c r="E2890" s="29">
        <v>46205</v>
      </c>
      <c r="F2890" t="s">
        <v>4</v>
      </c>
      <c r="G2890" s="28">
        <v>0.53263888888888888</v>
      </c>
      <c r="H2890" s="28">
        <v>0.5395833333333333</v>
      </c>
      <c r="I2890">
        <v>0</v>
      </c>
      <c r="J2890" t="s">
        <v>146</v>
      </c>
      <c r="K2890">
        <v>0</v>
      </c>
      <c r="L2890" t="s">
        <v>147</v>
      </c>
      <c r="M2890" t="s">
        <v>3750</v>
      </c>
      <c r="N2890" t="s">
        <v>3751</v>
      </c>
      <c r="O2890" t="s">
        <v>3752</v>
      </c>
      <c r="P2890" t="s">
        <v>7754</v>
      </c>
    </row>
    <row r="2891" spans="1:16" x14ac:dyDescent="0.35">
      <c r="A2891" t="s">
        <v>83</v>
      </c>
      <c r="B2891">
        <v>1322845168</v>
      </c>
      <c r="C2891" t="s">
        <v>19</v>
      </c>
      <c r="D2891" t="s">
        <v>20</v>
      </c>
      <c r="E2891" s="29">
        <v>46205</v>
      </c>
      <c r="F2891" t="s">
        <v>4</v>
      </c>
      <c r="G2891" s="28">
        <v>0.54652777777777772</v>
      </c>
      <c r="H2891" s="28">
        <v>0.56736111111111109</v>
      </c>
      <c r="I2891">
        <v>1</v>
      </c>
      <c r="J2891" t="s">
        <v>146</v>
      </c>
      <c r="K2891">
        <v>2</v>
      </c>
      <c r="L2891" t="s">
        <v>147</v>
      </c>
      <c r="M2891" t="s">
        <v>3755</v>
      </c>
      <c r="N2891" t="s">
        <v>3756</v>
      </c>
      <c r="O2891" t="s">
        <v>3757</v>
      </c>
      <c r="P2891" t="s">
        <v>7749</v>
      </c>
    </row>
    <row r="2892" spans="1:16" x14ac:dyDescent="0.35">
      <c r="A2892" t="s">
        <v>83</v>
      </c>
      <c r="B2892">
        <v>1322845168</v>
      </c>
      <c r="C2892" t="s">
        <v>19</v>
      </c>
      <c r="D2892" t="s">
        <v>20</v>
      </c>
      <c r="E2892" s="29">
        <v>46205</v>
      </c>
      <c r="F2892" t="s">
        <v>4</v>
      </c>
      <c r="G2892" s="28">
        <v>0.57430555555555551</v>
      </c>
      <c r="H2892" s="28">
        <v>0.60902777777777772</v>
      </c>
      <c r="I2892">
        <v>1</v>
      </c>
      <c r="J2892" t="s">
        <v>146</v>
      </c>
      <c r="K2892">
        <v>2</v>
      </c>
      <c r="L2892" t="s">
        <v>147</v>
      </c>
      <c r="M2892" t="s">
        <v>3750</v>
      </c>
      <c r="N2892" t="s">
        <v>3751</v>
      </c>
      <c r="O2892" t="s">
        <v>3752</v>
      </c>
      <c r="P2892" t="s">
        <v>7754</v>
      </c>
    </row>
    <row r="2893" spans="1:16" x14ac:dyDescent="0.35">
      <c r="A2893" t="s">
        <v>83</v>
      </c>
      <c r="B2893">
        <v>1322845168</v>
      </c>
      <c r="C2893" t="s">
        <v>19</v>
      </c>
      <c r="D2893" t="s">
        <v>20</v>
      </c>
      <c r="E2893" s="29">
        <v>46205</v>
      </c>
      <c r="F2893" t="s">
        <v>4</v>
      </c>
      <c r="G2893" s="28">
        <v>0.61597222222222225</v>
      </c>
      <c r="H2893" s="28">
        <v>0.65763888888888888</v>
      </c>
      <c r="I2893">
        <v>1</v>
      </c>
      <c r="J2893" t="s">
        <v>146</v>
      </c>
      <c r="K2893">
        <v>3</v>
      </c>
      <c r="L2893" t="s">
        <v>147</v>
      </c>
      <c r="M2893" t="s">
        <v>3755</v>
      </c>
      <c r="N2893" t="s">
        <v>3756</v>
      </c>
      <c r="O2893" t="s">
        <v>3757</v>
      </c>
      <c r="P2893" t="s">
        <v>7749</v>
      </c>
    </row>
    <row r="2894" spans="1:16" x14ac:dyDescent="0.35">
      <c r="A2894" t="s">
        <v>83</v>
      </c>
      <c r="B2894">
        <v>1322845168</v>
      </c>
      <c r="C2894" t="s">
        <v>19</v>
      </c>
      <c r="D2894" t="s">
        <v>20</v>
      </c>
      <c r="E2894" s="29">
        <v>46205</v>
      </c>
      <c r="F2894" t="s">
        <v>4</v>
      </c>
      <c r="G2894" s="28">
        <v>0.6645833333333333</v>
      </c>
      <c r="H2894" s="28">
        <v>0.67847222222222225</v>
      </c>
      <c r="I2894">
        <v>0</v>
      </c>
      <c r="J2894" t="s">
        <v>146</v>
      </c>
      <c r="K2894">
        <v>1</v>
      </c>
      <c r="L2894" t="s">
        <v>147</v>
      </c>
      <c r="M2894" t="s">
        <v>3750</v>
      </c>
      <c r="N2894" t="s">
        <v>3751</v>
      </c>
      <c r="O2894" t="s">
        <v>3752</v>
      </c>
      <c r="P2894" t="s">
        <v>7754</v>
      </c>
    </row>
    <row r="2895" spans="1:16" x14ac:dyDescent="0.35">
      <c r="A2895" t="s">
        <v>83</v>
      </c>
      <c r="B2895">
        <v>1322845168</v>
      </c>
      <c r="C2895" t="s">
        <v>19</v>
      </c>
      <c r="D2895" t="s">
        <v>20</v>
      </c>
      <c r="E2895" s="29">
        <v>46205</v>
      </c>
      <c r="F2895" t="s">
        <v>4</v>
      </c>
      <c r="G2895" s="28">
        <v>0.68541666666666667</v>
      </c>
      <c r="H2895" s="28">
        <v>0.68541666666666667</v>
      </c>
      <c r="I2895">
        <v>0</v>
      </c>
      <c r="J2895" t="s">
        <v>174</v>
      </c>
      <c r="K2895">
        <v>0</v>
      </c>
      <c r="L2895" t="s">
        <v>2466</v>
      </c>
      <c r="M2895" t="s">
        <v>3746</v>
      </c>
      <c r="N2895" t="s">
        <v>3747</v>
      </c>
      <c r="O2895" t="s">
        <v>3748</v>
      </c>
      <c r="P2895" t="s">
        <v>7755</v>
      </c>
    </row>
    <row r="2896" spans="1:16" x14ac:dyDescent="0.35">
      <c r="A2896" t="s">
        <v>83</v>
      </c>
      <c r="B2896">
        <v>1322845168</v>
      </c>
      <c r="C2896" t="s">
        <v>19</v>
      </c>
      <c r="D2896" t="s">
        <v>20</v>
      </c>
      <c r="E2896" s="29">
        <v>46205</v>
      </c>
      <c r="F2896" t="s">
        <v>4</v>
      </c>
      <c r="G2896" s="28">
        <v>0.69236111111111109</v>
      </c>
      <c r="H2896" s="28">
        <v>0.69236111111111109</v>
      </c>
      <c r="I2896">
        <v>0</v>
      </c>
      <c r="J2896" t="s">
        <v>174</v>
      </c>
      <c r="K2896">
        <v>0</v>
      </c>
      <c r="L2896" t="s">
        <v>3754</v>
      </c>
      <c r="M2896" t="s">
        <v>3750</v>
      </c>
      <c r="N2896" t="s">
        <v>3751</v>
      </c>
      <c r="O2896" t="s">
        <v>3752</v>
      </c>
      <c r="P2896" t="s">
        <v>7754</v>
      </c>
    </row>
    <row r="2897" spans="1:16" x14ac:dyDescent="0.35">
      <c r="A2897" t="s">
        <v>83</v>
      </c>
      <c r="B2897">
        <v>1322845168</v>
      </c>
      <c r="C2897" t="s">
        <v>19</v>
      </c>
      <c r="D2897" t="s">
        <v>20</v>
      </c>
      <c r="E2897" s="29">
        <v>46205</v>
      </c>
      <c r="F2897" t="s">
        <v>4</v>
      </c>
      <c r="G2897" s="28">
        <v>0.69930555555555551</v>
      </c>
      <c r="H2897" s="28">
        <v>0.70625000000000004</v>
      </c>
      <c r="I2897">
        <v>0</v>
      </c>
      <c r="J2897" t="s">
        <v>146</v>
      </c>
      <c r="K2897">
        <v>1</v>
      </c>
      <c r="L2897" t="s">
        <v>147</v>
      </c>
      <c r="M2897" t="s">
        <v>3755</v>
      </c>
      <c r="N2897" t="s">
        <v>3756</v>
      </c>
      <c r="O2897" t="s">
        <v>3757</v>
      </c>
      <c r="P2897" t="s">
        <v>7749</v>
      </c>
    </row>
    <row r="2898" spans="1:16" x14ac:dyDescent="0.35">
      <c r="A2898" t="s">
        <v>83</v>
      </c>
      <c r="B2898">
        <v>1322845168</v>
      </c>
      <c r="C2898" t="s">
        <v>19</v>
      </c>
      <c r="D2898" t="s">
        <v>20</v>
      </c>
      <c r="E2898" s="29">
        <v>46205</v>
      </c>
      <c r="F2898" t="s">
        <v>4</v>
      </c>
      <c r="G2898" s="28">
        <v>0.71319444444444446</v>
      </c>
      <c r="H2898" s="28">
        <v>0.77569444444444446</v>
      </c>
      <c r="I2898">
        <v>2</v>
      </c>
      <c r="J2898" t="s">
        <v>146</v>
      </c>
      <c r="K2898">
        <v>4</v>
      </c>
      <c r="L2898" t="s">
        <v>147</v>
      </c>
      <c r="M2898" t="s">
        <v>3750</v>
      </c>
      <c r="N2898" t="s">
        <v>3751</v>
      </c>
      <c r="O2898" t="s">
        <v>3752</v>
      </c>
      <c r="P2898" t="s">
        <v>7754</v>
      </c>
    </row>
    <row r="2899" spans="1:16" x14ac:dyDescent="0.35">
      <c r="A2899" t="s">
        <v>83</v>
      </c>
      <c r="B2899">
        <v>1322845168</v>
      </c>
      <c r="C2899" t="s">
        <v>19</v>
      </c>
      <c r="D2899" t="s">
        <v>20</v>
      </c>
      <c r="E2899" s="29">
        <v>46205</v>
      </c>
      <c r="F2899" t="s">
        <v>4</v>
      </c>
      <c r="G2899" s="28">
        <v>0.78263888888888888</v>
      </c>
      <c r="H2899" s="28">
        <v>0.80347222222222225</v>
      </c>
      <c r="I2899">
        <v>1</v>
      </c>
      <c r="J2899" t="s">
        <v>146</v>
      </c>
      <c r="K2899">
        <v>2</v>
      </c>
      <c r="L2899" t="s">
        <v>147</v>
      </c>
      <c r="M2899" t="s">
        <v>3755</v>
      </c>
      <c r="N2899" t="s">
        <v>3756</v>
      </c>
      <c r="O2899" t="s">
        <v>3757</v>
      </c>
      <c r="P2899" t="s">
        <v>7749</v>
      </c>
    </row>
    <row r="2900" spans="1:16" x14ac:dyDescent="0.35">
      <c r="A2900" t="s">
        <v>83</v>
      </c>
      <c r="B2900">
        <v>1322845168</v>
      </c>
      <c r="C2900" t="s">
        <v>19</v>
      </c>
      <c r="D2900" t="s">
        <v>20</v>
      </c>
      <c r="E2900" s="29">
        <v>46207</v>
      </c>
      <c r="F2900" t="s">
        <v>5</v>
      </c>
      <c r="G2900" s="28">
        <v>0.40069444444444446</v>
      </c>
      <c r="H2900" s="28">
        <v>0.40069444444444446</v>
      </c>
      <c r="I2900">
        <v>0</v>
      </c>
      <c r="J2900" t="s">
        <v>174</v>
      </c>
      <c r="K2900">
        <v>0</v>
      </c>
      <c r="L2900" t="s">
        <v>2879</v>
      </c>
      <c r="M2900" t="s">
        <v>7716</v>
      </c>
      <c r="N2900" t="s">
        <v>7823</v>
      </c>
      <c r="O2900" t="s">
        <v>7824</v>
      </c>
      <c r="P2900" t="s">
        <v>7825</v>
      </c>
    </row>
    <row r="2901" spans="1:16" x14ac:dyDescent="0.35">
      <c r="A2901" t="s">
        <v>83</v>
      </c>
      <c r="B2901">
        <v>1322845168</v>
      </c>
      <c r="C2901" t="s">
        <v>19</v>
      </c>
      <c r="D2901" t="s">
        <v>20</v>
      </c>
      <c r="E2901" s="29">
        <v>46207</v>
      </c>
      <c r="F2901" t="s">
        <v>5</v>
      </c>
      <c r="G2901" s="28">
        <v>0.40763888888888888</v>
      </c>
      <c r="H2901" s="28">
        <v>0.40763888888888888</v>
      </c>
      <c r="I2901">
        <v>0</v>
      </c>
      <c r="J2901" t="s">
        <v>174</v>
      </c>
      <c r="K2901">
        <v>0</v>
      </c>
      <c r="L2901" t="s">
        <v>6934</v>
      </c>
      <c r="M2901" t="s">
        <v>7738</v>
      </c>
      <c r="N2901" t="s">
        <v>7739</v>
      </c>
      <c r="O2901" t="s">
        <v>7740</v>
      </c>
      <c r="P2901" t="s">
        <v>7741</v>
      </c>
    </row>
    <row r="2902" spans="1:16" x14ac:dyDescent="0.35">
      <c r="A2902" t="s">
        <v>83</v>
      </c>
      <c r="B2902">
        <v>1322845168</v>
      </c>
      <c r="C2902" t="s">
        <v>19</v>
      </c>
      <c r="D2902" t="s">
        <v>20</v>
      </c>
      <c r="E2902" s="29">
        <v>46207</v>
      </c>
      <c r="F2902" t="s">
        <v>5</v>
      </c>
      <c r="G2902" s="28">
        <v>0.41458333333333336</v>
      </c>
      <c r="H2902" s="28">
        <v>0.41458333333333336</v>
      </c>
      <c r="I2902">
        <v>0</v>
      </c>
      <c r="J2902" t="s">
        <v>174</v>
      </c>
      <c r="K2902">
        <v>0</v>
      </c>
      <c r="L2902" t="s">
        <v>7826</v>
      </c>
      <c r="M2902" t="s">
        <v>7827</v>
      </c>
      <c r="N2902" t="s">
        <v>7828</v>
      </c>
      <c r="O2902" t="s">
        <v>7829</v>
      </c>
      <c r="P2902" t="s">
        <v>7830</v>
      </c>
    </row>
    <row r="2903" spans="1:16" x14ac:dyDescent="0.35">
      <c r="A2903" t="s">
        <v>83</v>
      </c>
      <c r="B2903">
        <v>1322845168</v>
      </c>
      <c r="C2903" t="s">
        <v>19</v>
      </c>
      <c r="D2903" t="s">
        <v>20</v>
      </c>
      <c r="E2903" s="29">
        <v>46207</v>
      </c>
      <c r="F2903" t="s">
        <v>5</v>
      </c>
      <c r="G2903" s="28">
        <v>0.42152777777777778</v>
      </c>
      <c r="H2903" s="28">
        <v>0.42152777777777778</v>
      </c>
      <c r="I2903">
        <v>0</v>
      </c>
      <c r="J2903" t="s">
        <v>174</v>
      </c>
      <c r="K2903">
        <v>0</v>
      </c>
      <c r="L2903" t="s">
        <v>5774</v>
      </c>
      <c r="M2903" t="s">
        <v>7831</v>
      </c>
      <c r="N2903" t="s">
        <v>7832</v>
      </c>
      <c r="O2903" t="s">
        <v>7833</v>
      </c>
      <c r="P2903" t="s">
        <v>7834</v>
      </c>
    </row>
    <row r="2904" spans="1:16" x14ac:dyDescent="0.35">
      <c r="A2904" t="s">
        <v>83</v>
      </c>
      <c r="B2904">
        <v>1322845168</v>
      </c>
      <c r="C2904" t="s">
        <v>19</v>
      </c>
      <c r="D2904" t="s">
        <v>20</v>
      </c>
      <c r="E2904" s="29">
        <v>46207</v>
      </c>
      <c r="F2904" t="s">
        <v>5</v>
      </c>
      <c r="G2904" s="28">
        <v>0.4284722222222222</v>
      </c>
      <c r="H2904" s="28">
        <v>0.4284722222222222</v>
      </c>
      <c r="I2904">
        <v>0</v>
      </c>
      <c r="J2904" t="s">
        <v>174</v>
      </c>
      <c r="K2904">
        <v>0</v>
      </c>
      <c r="L2904" t="s">
        <v>5109</v>
      </c>
      <c r="M2904" t="s">
        <v>7835</v>
      </c>
      <c r="N2904" t="s">
        <v>7836</v>
      </c>
      <c r="O2904" t="s">
        <v>7837</v>
      </c>
      <c r="P2904" t="s">
        <v>7838</v>
      </c>
    </row>
    <row r="2905" spans="1:16" x14ac:dyDescent="0.35">
      <c r="A2905" t="s">
        <v>83</v>
      </c>
      <c r="B2905">
        <v>1322845168</v>
      </c>
      <c r="C2905" t="s">
        <v>19</v>
      </c>
      <c r="D2905" t="s">
        <v>20</v>
      </c>
      <c r="E2905" s="29">
        <v>46207</v>
      </c>
      <c r="F2905" t="s">
        <v>5</v>
      </c>
      <c r="G2905" s="28">
        <v>0.43541666666666667</v>
      </c>
      <c r="H2905" s="28">
        <v>0.43541666666666667</v>
      </c>
      <c r="I2905">
        <v>0</v>
      </c>
      <c r="J2905" t="s">
        <v>174</v>
      </c>
      <c r="K2905">
        <v>0</v>
      </c>
      <c r="L2905" t="s">
        <v>1696</v>
      </c>
      <c r="M2905" t="s">
        <v>3737</v>
      </c>
      <c r="N2905" t="s">
        <v>3738</v>
      </c>
      <c r="O2905" t="s">
        <v>3739</v>
      </c>
      <c r="P2905" t="s">
        <v>7756</v>
      </c>
    </row>
    <row r="2906" spans="1:16" x14ac:dyDescent="0.35">
      <c r="A2906" t="s">
        <v>83</v>
      </c>
      <c r="B2906">
        <v>1322845168</v>
      </c>
      <c r="C2906" t="s">
        <v>19</v>
      </c>
      <c r="D2906" t="s">
        <v>20</v>
      </c>
      <c r="E2906" s="29">
        <v>46207</v>
      </c>
      <c r="F2906" t="s">
        <v>5</v>
      </c>
      <c r="G2906" s="28">
        <v>0.44236111111111109</v>
      </c>
      <c r="H2906" s="28">
        <v>0.47013888888888888</v>
      </c>
      <c r="I2906">
        <v>1</v>
      </c>
      <c r="J2906" t="s">
        <v>146</v>
      </c>
      <c r="K2906">
        <v>2</v>
      </c>
      <c r="L2906" t="s">
        <v>147</v>
      </c>
      <c r="M2906" t="s">
        <v>3755</v>
      </c>
      <c r="N2906" t="s">
        <v>3756</v>
      </c>
      <c r="O2906" t="s">
        <v>3757</v>
      </c>
      <c r="P2906" t="s">
        <v>7749</v>
      </c>
    </row>
    <row r="2907" spans="1:16" x14ac:dyDescent="0.35">
      <c r="A2907" t="s">
        <v>83</v>
      </c>
      <c r="B2907">
        <v>1322845168</v>
      </c>
      <c r="C2907" t="s">
        <v>19</v>
      </c>
      <c r="D2907" t="s">
        <v>20</v>
      </c>
      <c r="E2907" s="29">
        <v>46207</v>
      </c>
      <c r="F2907" t="s">
        <v>5</v>
      </c>
      <c r="G2907" s="28">
        <v>0.47708333333333336</v>
      </c>
      <c r="H2907" s="28">
        <v>0.47708333333333336</v>
      </c>
      <c r="I2907">
        <v>0</v>
      </c>
      <c r="J2907" t="s">
        <v>174</v>
      </c>
      <c r="K2907">
        <v>0</v>
      </c>
      <c r="L2907" t="s">
        <v>7839</v>
      </c>
      <c r="M2907" t="s">
        <v>3750</v>
      </c>
      <c r="N2907" t="s">
        <v>3751</v>
      </c>
      <c r="O2907" t="s">
        <v>3752</v>
      </c>
      <c r="P2907" t="s">
        <v>7754</v>
      </c>
    </row>
    <row r="2908" spans="1:16" x14ac:dyDescent="0.35">
      <c r="A2908" t="s">
        <v>83</v>
      </c>
      <c r="B2908">
        <v>1322845168</v>
      </c>
      <c r="C2908" t="s">
        <v>19</v>
      </c>
      <c r="D2908" t="s">
        <v>20</v>
      </c>
      <c r="E2908" s="29">
        <v>46207</v>
      </c>
      <c r="F2908" t="s">
        <v>5</v>
      </c>
      <c r="G2908" s="28">
        <v>0.48402777777777778</v>
      </c>
      <c r="H2908" s="28">
        <v>0.48402777777777778</v>
      </c>
      <c r="I2908">
        <v>0</v>
      </c>
      <c r="J2908" t="s">
        <v>174</v>
      </c>
      <c r="K2908">
        <v>0</v>
      </c>
      <c r="L2908" t="s">
        <v>7839</v>
      </c>
      <c r="M2908" t="s">
        <v>7840</v>
      </c>
      <c r="N2908" t="s">
        <v>7841</v>
      </c>
      <c r="O2908" t="s">
        <v>7781</v>
      </c>
      <c r="P2908" t="s">
        <v>7842</v>
      </c>
    </row>
    <row r="2909" spans="1:16" x14ac:dyDescent="0.35">
      <c r="A2909" t="s">
        <v>83</v>
      </c>
      <c r="B2909">
        <v>1322845168</v>
      </c>
      <c r="C2909" t="s">
        <v>19</v>
      </c>
      <c r="D2909" t="s">
        <v>20</v>
      </c>
      <c r="E2909" s="29">
        <v>46207</v>
      </c>
      <c r="F2909" t="s">
        <v>5</v>
      </c>
      <c r="G2909" s="28">
        <v>0.4909722222222222</v>
      </c>
      <c r="H2909" s="28">
        <v>0.51944444444444449</v>
      </c>
      <c r="I2909">
        <v>1</v>
      </c>
      <c r="J2909" t="s">
        <v>146</v>
      </c>
      <c r="K2909">
        <v>2</v>
      </c>
      <c r="L2909" t="s">
        <v>147</v>
      </c>
      <c r="M2909" t="s">
        <v>3750</v>
      </c>
      <c r="N2909" t="s">
        <v>3751</v>
      </c>
      <c r="O2909" t="s">
        <v>3752</v>
      </c>
      <c r="P2909" t="s">
        <v>7754</v>
      </c>
    </row>
    <row r="2910" spans="1:16" x14ac:dyDescent="0.35">
      <c r="A2910" t="s">
        <v>83</v>
      </c>
      <c r="B2910">
        <v>1322845168</v>
      </c>
      <c r="C2910" t="s">
        <v>19</v>
      </c>
      <c r="D2910" t="s">
        <v>20</v>
      </c>
      <c r="E2910" s="29">
        <v>46207</v>
      </c>
      <c r="F2910" t="s">
        <v>5</v>
      </c>
      <c r="G2910" s="28">
        <v>0.52569444444444446</v>
      </c>
      <c r="H2910" s="28">
        <v>0.52569444444444446</v>
      </c>
      <c r="I2910">
        <v>0</v>
      </c>
      <c r="J2910" t="s">
        <v>174</v>
      </c>
      <c r="K2910">
        <v>0</v>
      </c>
      <c r="L2910" t="s">
        <v>3741</v>
      </c>
      <c r="M2910" t="s">
        <v>3746</v>
      </c>
      <c r="N2910" t="s">
        <v>3747</v>
      </c>
      <c r="O2910" t="s">
        <v>3748</v>
      </c>
      <c r="P2910" t="s">
        <v>7755</v>
      </c>
    </row>
    <row r="2911" spans="1:16" x14ac:dyDescent="0.35">
      <c r="A2911" t="s">
        <v>83</v>
      </c>
      <c r="B2911">
        <v>1322845168</v>
      </c>
      <c r="C2911" t="s">
        <v>19</v>
      </c>
      <c r="D2911" t="s">
        <v>20</v>
      </c>
      <c r="E2911" s="29">
        <v>46207</v>
      </c>
      <c r="F2911" t="s">
        <v>5</v>
      </c>
      <c r="G2911" s="28">
        <v>0.53263888888888888</v>
      </c>
      <c r="H2911" s="28">
        <v>0.5395833333333333</v>
      </c>
      <c r="I2911">
        <v>0</v>
      </c>
      <c r="J2911" t="s">
        <v>146</v>
      </c>
      <c r="K2911">
        <v>0</v>
      </c>
      <c r="L2911" t="s">
        <v>147</v>
      </c>
      <c r="M2911" t="s">
        <v>3742</v>
      </c>
      <c r="N2911" t="s">
        <v>3743</v>
      </c>
      <c r="O2911" t="s">
        <v>3744</v>
      </c>
      <c r="P2911" t="s">
        <v>7843</v>
      </c>
    </row>
    <row r="2912" spans="1:16" x14ac:dyDescent="0.35">
      <c r="A2912" t="s">
        <v>83</v>
      </c>
      <c r="B2912">
        <v>1322845168</v>
      </c>
      <c r="C2912" t="s">
        <v>19</v>
      </c>
      <c r="D2912" t="s">
        <v>20</v>
      </c>
      <c r="E2912" s="29">
        <v>46207</v>
      </c>
      <c r="F2912" t="s">
        <v>5</v>
      </c>
      <c r="G2912" s="28">
        <v>0.54652777777777772</v>
      </c>
      <c r="H2912" s="28">
        <v>0.54652777777777772</v>
      </c>
      <c r="I2912">
        <v>0</v>
      </c>
      <c r="J2912" t="s">
        <v>174</v>
      </c>
      <c r="K2912">
        <v>0</v>
      </c>
      <c r="L2912" t="s">
        <v>2466</v>
      </c>
      <c r="M2912" t="s">
        <v>3746</v>
      </c>
      <c r="N2912" t="s">
        <v>3747</v>
      </c>
      <c r="O2912" t="s">
        <v>3748</v>
      </c>
      <c r="P2912" t="s">
        <v>7755</v>
      </c>
    </row>
    <row r="2913" spans="1:16" x14ac:dyDescent="0.35">
      <c r="A2913" t="s">
        <v>83</v>
      </c>
      <c r="B2913">
        <v>1322845168</v>
      </c>
      <c r="C2913" t="s">
        <v>19</v>
      </c>
      <c r="D2913" t="s">
        <v>20</v>
      </c>
      <c r="E2913" s="29">
        <v>46207</v>
      </c>
      <c r="F2913" t="s">
        <v>5</v>
      </c>
      <c r="G2913" s="28">
        <v>0.55347222222222225</v>
      </c>
      <c r="H2913" s="28">
        <v>0.56041666666666667</v>
      </c>
      <c r="I2913">
        <v>0</v>
      </c>
      <c r="J2913" t="s">
        <v>146</v>
      </c>
      <c r="K2913">
        <v>0</v>
      </c>
      <c r="L2913" t="s">
        <v>147</v>
      </c>
      <c r="M2913" t="s">
        <v>3750</v>
      </c>
      <c r="N2913" t="s">
        <v>3751</v>
      </c>
      <c r="O2913" t="s">
        <v>3752</v>
      </c>
      <c r="P2913" t="s">
        <v>7754</v>
      </c>
    </row>
    <row r="2914" spans="1:16" x14ac:dyDescent="0.35">
      <c r="A2914" t="s">
        <v>83</v>
      </c>
      <c r="B2914">
        <v>1322845168</v>
      </c>
      <c r="C2914" t="s">
        <v>19</v>
      </c>
      <c r="D2914" t="s">
        <v>20</v>
      </c>
      <c r="E2914" s="29">
        <v>46207</v>
      </c>
      <c r="F2914" t="s">
        <v>5</v>
      </c>
      <c r="G2914" s="28">
        <v>0.56736111111111109</v>
      </c>
      <c r="H2914" s="28">
        <v>0.56736111111111109</v>
      </c>
      <c r="I2914">
        <v>0</v>
      </c>
      <c r="J2914" t="s">
        <v>174</v>
      </c>
      <c r="K2914">
        <v>0</v>
      </c>
      <c r="L2914" t="s">
        <v>3754</v>
      </c>
      <c r="M2914" t="s">
        <v>3755</v>
      </c>
      <c r="N2914" t="s">
        <v>3756</v>
      </c>
      <c r="O2914" t="s">
        <v>3757</v>
      </c>
      <c r="P2914" t="s">
        <v>7749</v>
      </c>
    </row>
    <row r="2915" spans="1:16" x14ac:dyDescent="0.35">
      <c r="A2915" t="s">
        <v>83</v>
      </c>
      <c r="B2915">
        <v>1322845168</v>
      </c>
      <c r="C2915" t="s">
        <v>19</v>
      </c>
      <c r="D2915" t="s">
        <v>20</v>
      </c>
      <c r="E2915" s="29">
        <v>46207</v>
      </c>
      <c r="F2915" t="s">
        <v>5</v>
      </c>
      <c r="G2915" s="28">
        <v>0.57430555555555551</v>
      </c>
      <c r="H2915" s="28">
        <v>0.58125000000000004</v>
      </c>
      <c r="I2915">
        <v>0</v>
      </c>
      <c r="J2915" t="s">
        <v>146</v>
      </c>
      <c r="K2915">
        <v>1</v>
      </c>
      <c r="L2915" t="s">
        <v>147</v>
      </c>
      <c r="M2915" t="s">
        <v>3750</v>
      </c>
      <c r="N2915" t="s">
        <v>3751</v>
      </c>
      <c r="O2915" t="s">
        <v>3752</v>
      </c>
      <c r="P2915" t="s">
        <v>7754</v>
      </c>
    </row>
    <row r="2916" spans="1:16" x14ac:dyDescent="0.35">
      <c r="A2916" t="s">
        <v>83</v>
      </c>
      <c r="B2916">
        <v>1322845168</v>
      </c>
      <c r="C2916" t="s">
        <v>19</v>
      </c>
      <c r="D2916" t="s">
        <v>20</v>
      </c>
      <c r="E2916" s="29">
        <v>46207</v>
      </c>
      <c r="F2916" t="s">
        <v>5</v>
      </c>
      <c r="G2916" s="28">
        <v>0.58819444444444446</v>
      </c>
      <c r="H2916" s="28">
        <v>0.61597222222222225</v>
      </c>
      <c r="I2916">
        <v>1</v>
      </c>
      <c r="J2916" t="s">
        <v>146</v>
      </c>
      <c r="K2916">
        <v>2</v>
      </c>
      <c r="L2916" t="s">
        <v>147</v>
      </c>
      <c r="M2916" t="s">
        <v>3755</v>
      </c>
      <c r="N2916" t="s">
        <v>3756</v>
      </c>
      <c r="O2916" t="s">
        <v>3757</v>
      </c>
      <c r="P2916" t="s">
        <v>7749</v>
      </c>
    </row>
    <row r="2917" spans="1:16" x14ac:dyDescent="0.35">
      <c r="A2917" t="s">
        <v>83</v>
      </c>
      <c r="B2917">
        <v>1322845168</v>
      </c>
      <c r="C2917" t="s">
        <v>19</v>
      </c>
      <c r="D2917" t="s">
        <v>20</v>
      </c>
      <c r="E2917" s="29">
        <v>46207</v>
      </c>
      <c r="F2917" t="s">
        <v>5</v>
      </c>
      <c r="G2917" s="28">
        <v>0.62291666666666667</v>
      </c>
      <c r="H2917" s="28">
        <v>0.65069444444444446</v>
      </c>
      <c r="I2917">
        <v>1</v>
      </c>
      <c r="J2917" t="s">
        <v>146</v>
      </c>
      <c r="K2917">
        <v>2</v>
      </c>
      <c r="L2917" t="s">
        <v>147</v>
      </c>
      <c r="M2917" t="s">
        <v>3764</v>
      </c>
      <c r="N2917" t="s">
        <v>3765</v>
      </c>
      <c r="O2917" t="s">
        <v>3766</v>
      </c>
      <c r="P2917" t="s">
        <v>7844</v>
      </c>
    </row>
    <row r="2918" spans="1:16" x14ac:dyDescent="0.35">
      <c r="A2918" t="s">
        <v>83</v>
      </c>
      <c r="B2918">
        <v>1322845168</v>
      </c>
      <c r="C2918" t="s">
        <v>19</v>
      </c>
      <c r="D2918" t="s">
        <v>20</v>
      </c>
      <c r="E2918" s="29">
        <v>46207</v>
      </c>
      <c r="F2918" t="s">
        <v>5</v>
      </c>
      <c r="G2918" s="28">
        <v>0.65763888888888888</v>
      </c>
      <c r="H2918" s="28">
        <v>0.6645833333333333</v>
      </c>
      <c r="I2918">
        <v>0</v>
      </c>
      <c r="J2918" t="s">
        <v>146</v>
      </c>
      <c r="K2918">
        <v>0</v>
      </c>
      <c r="L2918" t="s">
        <v>147</v>
      </c>
      <c r="M2918" t="s">
        <v>7845</v>
      </c>
      <c r="N2918" t="s">
        <v>7846</v>
      </c>
      <c r="O2918" t="s">
        <v>7847</v>
      </c>
      <c r="P2918" t="s">
        <v>7848</v>
      </c>
    </row>
    <row r="2919" spans="1:16" x14ac:dyDescent="0.35">
      <c r="A2919" t="s">
        <v>83</v>
      </c>
      <c r="B2919">
        <v>1322845168</v>
      </c>
      <c r="C2919" t="s">
        <v>19</v>
      </c>
      <c r="D2919" t="s">
        <v>20</v>
      </c>
      <c r="E2919" s="29">
        <v>46207</v>
      </c>
      <c r="F2919" t="s">
        <v>5</v>
      </c>
      <c r="G2919" s="28">
        <v>0.67222222222222228</v>
      </c>
      <c r="H2919" s="28">
        <v>0.67222222222222228</v>
      </c>
      <c r="I2919">
        <v>0</v>
      </c>
      <c r="J2919" t="s">
        <v>174</v>
      </c>
      <c r="K2919">
        <v>0</v>
      </c>
      <c r="L2919" t="s">
        <v>1084</v>
      </c>
      <c r="M2919" t="s">
        <v>7849</v>
      </c>
      <c r="N2919" t="s">
        <v>7850</v>
      </c>
      <c r="O2919" t="s">
        <v>7851</v>
      </c>
      <c r="P2919" t="s">
        <v>7852</v>
      </c>
    </row>
    <row r="2920" spans="1:16" x14ac:dyDescent="0.35">
      <c r="A2920" t="s">
        <v>83</v>
      </c>
      <c r="B2920">
        <v>1322845168</v>
      </c>
      <c r="C2920" t="s">
        <v>19</v>
      </c>
      <c r="D2920" t="s">
        <v>20</v>
      </c>
      <c r="E2920" s="29">
        <v>46207</v>
      </c>
      <c r="F2920" t="s">
        <v>5</v>
      </c>
      <c r="G2920" s="28">
        <v>0.67847222222222225</v>
      </c>
      <c r="H2920" s="28">
        <v>0.67847222222222225</v>
      </c>
      <c r="I2920">
        <v>0</v>
      </c>
      <c r="J2920" t="s">
        <v>174</v>
      </c>
      <c r="K2920">
        <v>0</v>
      </c>
      <c r="L2920" t="s">
        <v>3781</v>
      </c>
      <c r="M2920" t="s">
        <v>3782</v>
      </c>
      <c r="N2920" t="s">
        <v>3783</v>
      </c>
      <c r="O2920" t="s">
        <v>3784</v>
      </c>
      <c r="P2920" t="s">
        <v>7853</v>
      </c>
    </row>
    <row r="2921" spans="1:16" x14ac:dyDescent="0.35">
      <c r="A2921" t="s">
        <v>83</v>
      </c>
      <c r="B2921">
        <v>1322845168</v>
      </c>
      <c r="C2921" t="s">
        <v>19</v>
      </c>
      <c r="D2921" t="s">
        <v>20</v>
      </c>
      <c r="E2921" s="29">
        <v>46207</v>
      </c>
      <c r="F2921" t="s">
        <v>5</v>
      </c>
      <c r="G2921" s="28">
        <v>0.68611111111111112</v>
      </c>
      <c r="H2921" s="28">
        <v>0.72013888888888888</v>
      </c>
      <c r="I2921">
        <v>1</v>
      </c>
      <c r="J2921" t="s">
        <v>146</v>
      </c>
      <c r="K2921">
        <v>2</v>
      </c>
      <c r="L2921" t="s">
        <v>147</v>
      </c>
      <c r="M2921" t="s">
        <v>3786</v>
      </c>
      <c r="N2921" t="s">
        <v>3787</v>
      </c>
      <c r="O2921" t="s">
        <v>3788</v>
      </c>
      <c r="P2921" t="s">
        <v>7854</v>
      </c>
    </row>
    <row r="2922" spans="1:16" x14ac:dyDescent="0.35">
      <c r="A2922" t="s">
        <v>83</v>
      </c>
      <c r="B2922">
        <v>1322845168</v>
      </c>
      <c r="C2922" t="s">
        <v>19</v>
      </c>
      <c r="D2922" t="s">
        <v>20</v>
      </c>
      <c r="E2922" s="29">
        <v>46207</v>
      </c>
      <c r="F2922" t="s">
        <v>5</v>
      </c>
      <c r="G2922" s="28">
        <v>0.7270833333333333</v>
      </c>
      <c r="H2922" s="28">
        <v>0.73402777777777772</v>
      </c>
      <c r="I2922">
        <v>0</v>
      </c>
      <c r="J2922" t="s">
        <v>146</v>
      </c>
      <c r="K2922">
        <v>0</v>
      </c>
      <c r="L2922" t="s">
        <v>147</v>
      </c>
      <c r="M2922" t="s">
        <v>7855</v>
      </c>
      <c r="N2922" t="s">
        <v>7856</v>
      </c>
      <c r="O2922" t="s">
        <v>7857</v>
      </c>
      <c r="P2922" t="s">
        <v>7858</v>
      </c>
    </row>
    <row r="2923" spans="1:16" x14ac:dyDescent="0.35">
      <c r="A2923" t="s">
        <v>83</v>
      </c>
      <c r="B2923">
        <v>1322845168</v>
      </c>
      <c r="C2923" t="s">
        <v>19</v>
      </c>
      <c r="D2923" t="s">
        <v>20</v>
      </c>
      <c r="E2923" s="29">
        <v>46207</v>
      </c>
      <c r="F2923" t="s">
        <v>5</v>
      </c>
      <c r="G2923" s="28">
        <v>0.74097222222222225</v>
      </c>
      <c r="H2923" s="28">
        <v>0.74097222222222225</v>
      </c>
      <c r="I2923">
        <v>0</v>
      </c>
      <c r="J2923" t="s">
        <v>174</v>
      </c>
      <c r="K2923">
        <v>0</v>
      </c>
      <c r="L2923" t="s">
        <v>6105</v>
      </c>
      <c r="M2923" t="s">
        <v>7859</v>
      </c>
      <c r="N2923" t="s">
        <v>7860</v>
      </c>
      <c r="O2923" t="s">
        <v>7861</v>
      </c>
      <c r="P2923" t="s">
        <v>7862</v>
      </c>
    </row>
    <row r="2924" spans="1:16" x14ac:dyDescent="0.35">
      <c r="A2924" t="s">
        <v>83</v>
      </c>
      <c r="B2924">
        <v>1322845168</v>
      </c>
      <c r="C2924" t="s">
        <v>19</v>
      </c>
      <c r="D2924" t="s">
        <v>20</v>
      </c>
      <c r="E2924" s="29">
        <v>46207</v>
      </c>
      <c r="F2924" t="s">
        <v>5</v>
      </c>
      <c r="G2924" s="28">
        <v>0.74791666666666667</v>
      </c>
      <c r="H2924" s="28">
        <v>0.74791666666666667</v>
      </c>
      <c r="I2924">
        <v>0</v>
      </c>
      <c r="J2924" t="s">
        <v>174</v>
      </c>
      <c r="K2924">
        <v>0</v>
      </c>
      <c r="L2924" t="s">
        <v>1125</v>
      </c>
      <c r="M2924" t="s">
        <v>3798</v>
      </c>
      <c r="N2924" t="s">
        <v>3799</v>
      </c>
      <c r="O2924" t="s">
        <v>3800</v>
      </c>
      <c r="P2924" t="s">
        <v>7863</v>
      </c>
    </row>
    <row r="2925" spans="1:16" x14ac:dyDescent="0.35">
      <c r="A2925" t="s">
        <v>83</v>
      </c>
      <c r="B2925">
        <v>1322845168</v>
      </c>
      <c r="C2925" t="s">
        <v>19</v>
      </c>
      <c r="D2925" t="s">
        <v>20</v>
      </c>
      <c r="E2925" s="29">
        <v>46207</v>
      </c>
      <c r="F2925" t="s">
        <v>5</v>
      </c>
      <c r="G2925" s="28">
        <v>0.75486111111111109</v>
      </c>
      <c r="H2925" s="28">
        <v>0.79652777777777772</v>
      </c>
      <c r="I2925">
        <v>1</v>
      </c>
      <c r="J2925" t="s">
        <v>146</v>
      </c>
      <c r="K2925">
        <v>3</v>
      </c>
      <c r="L2925" t="s">
        <v>147</v>
      </c>
      <c r="M2925" t="s">
        <v>3802</v>
      </c>
      <c r="N2925" t="s">
        <v>3803</v>
      </c>
      <c r="O2925" t="s">
        <v>3804</v>
      </c>
      <c r="P2925" t="s">
        <v>7864</v>
      </c>
    </row>
    <row r="2926" spans="1:16" x14ac:dyDescent="0.35">
      <c r="A2926" t="s">
        <v>83</v>
      </c>
      <c r="B2926">
        <v>1322845168</v>
      </c>
      <c r="C2926" t="s">
        <v>19</v>
      </c>
      <c r="D2926" t="s">
        <v>20</v>
      </c>
      <c r="E2926" s="29">
        <v>46208</v>
      </c>
      <c r="F2926" t="s">
        <v>6</v>
      </c>
      <c r="G2926" s="28">
        <v>0.37986111111111109</v>
      </c>
      <c r="H2926" s="28">
        <v>0.37986111111111109</v>
      </c>
      <c r="I2926">
        <v>0</v>
      </c>
      <c r="J2926" t="s">
        <v>174</v>
      </c>
      <c r="K2926">
        <v>0</v>
      </c>
      <c r="L2926" t="s">
        <v>3454</v>
      </c>
      <c r="M2926" t="s">
        <v>3695</v>
      </c>
      <c r="N2926" t="s">
        <v>3696</v>
      </c>
      <c r="O2926" t="s">
        <v>3697</v>
      </c>
      <c r="P2926" t="s">
        <v>7865</v>
      </c>
    </row>
    <row r="2927" spans="1:16" x14ac:dyDescent="0.35">
      <c r="A2927" t="s">
        <v>83</v>
      </c>
      <c r="B2927">
        <v>1322845168</v>
      </c>
      <c r="C2927" t="s">
        <v>19</v>
      </c>
      <c r="D2927" t="s">
        <v>20</v>
      </c>
      <c r="E2927" s="29">
        <v>46208</v>
      </c>
      <c r="F2927" t="s">
        <v>6</v>
      </c>
      <c r="G2927" s="28">
        <v>0.38680555555555557</v>
      </c>
      <c r="H2927" s="28">
        <v>0.38680555555555557</v>
      </c>
      <c r="I2927">
        <v>0</v>
      </c>
      <c r="J2927" t="s">
        <v>174</v>
      </c>
      <c r="K2927">
        <v>0</v>
      </c>
      <c r="L2927" t="s">
        <v>7866</v>
      </c>
      <c r="M2927" t="s">
        <v>3691</v>
      </c>
      <c r="N2927" t="s">
        <v>3692</v>
      </c>
      <c r="O2927" t="s">
        <v>3693</v>
      </c>
      <c r="P2927" t="s">
        <v>7867</v>
      </c>
    </row>
    <row r="2928" spans="1:16" x14ac:dyDescent="0.35">
      <c r="A2928" t="s">
        <v>83</v>
      </c>
      <c r="B2928">
        <v>1322845168</v>
      </c>
      <c r="C2928" t="s">
        <v>19</v>
      </c>
      <c r="D2928" t="s">
        <v>20</v>
      </c>
      <c r="E2928" s="29">
        <v>46208</v>
      </c>
      <c r="F2928" t="s">
        <v>6</v>
      </c>
      <c r="G2928" s="28">
        <v>0.39374999999999999</v>
      </c>
      <c r="H2928" s="28">
        <v>0.39374999999999999</v>
      </c>
      <c r="I2928">
        <v>0</v>
      </c>
      <c r="J2928" t="s">
        <v>174</v>
      </c>
      <c r="K2928">
        <v>0</v>
      </c>
      <c r="L2928" t="s">
        <v>7639</v>
      </c>
      <c r="M2928" t="s">
        <v>4076</v>
      </c>
      <c r="N2928" t="s">
        <v>2422</v>
      </c>
      <c r="O2928" t="s">
        <v>7868</v>
      </c>
      <c r="P2928" t="s">
        <v>7869</v>
      </c>
    </row>
    <row r="2929" spans="1:16" x14ac:dyDescent="0.35">
      <c r="A2929" t="s">
        <v>83</v>
      </c>
      <c r="B2929">
        <v>1322845168</v>
      </c>
      <c r="C2929" t="s">
        <v>19</v>
      </c>
      <c r="D2929" t="s">
        <v>20</v>
      </c>
      <c r="E2929" s="29">
        <v>46208</v>
      </c>
      <c r="F2929" t="s">
        <v>6</v>
      </c>
      <c r="G2929" s="28">
        <v>0.40069444444444446</v>
      </c>
      <c r="H2929" s="28">
        <v>0.40069444444444446</v>
      </c>
      <c r="I2929">
        <v>0</v>
      </c>
      <c r="J2929" t="s">
        <v>174</v>
      </c>
      <c r="K2929">
        <v>0</v>
      </c>
      <c r="L2929" t="s">
        <v>7870</v>
      </c>
      <c r="M2929" t="s">
        <v>7871</v>
      </c>
      <c r="N2929" t="s">
        <v>7872</v>
      </c>
      <c r="O2929" t="s">
        <v>7873</v>
      </c>
      <c r="P2929" t="s">
        <v>7874</v>
      </c>
    </row>
    <row r="2930" spans="1:16" x14ac:dyDescent="0.35">
      <c r="A2930" t="s">
        <v>83</v>
      </c>
      <c r="B2930">
        <v>1322845168</v>
      </c>
      <c r="C2930" t="s">
        <v>19</v>
      </c>
      <c r="D2930" t="s">
        <v>20</v>
      </c>
      <c r="E2930" s="29">
        <v>46208</v>
      </c>
      <c r="F2930" t="s">
        <v>6</v>
      </c>
      <c r="G2930" s="28">
        <v>0.40763888888888888</v>
      </c>
      <c r="H2930" s="28">
        <v>0.40763888888888888</v>
      </c>
      <c r="I2930">
        <v>0</v>
      </c>
      <c r="J2930" t="s">
        <v>174</v>
      </c>
      <c r="K2930">
        <v>0</v>
      </c>
      <c r="L2930" t="s">
        <v>3472</v>
      </c>
      <c r="M2930" t="s">
        <v>3993</v>
      </c>
      <c r="N2930" t="s">
        <v>3994</v>
      </c>
      <c r="O2930" t="s">
        <v>3995</v>
      </c>
      <c r="P2930" t="s">
        <v>7875</v>
      </c>
    </row>
    <row r="2931" spans="1:16" x14ac:dyDescent="0.35">
      <c r="A2931" t="s">
        <v>83</v>
      </c>
      <c r="B2931">
        <v>1322845168</v>
      </c>
      <c r="C2931" t="s">
        <v>19</v>
      </c>
      <c r="D2931" t="s">
        <v>20</v>
      </c>
      <c r="E2931" s="29">
        <v>46208</v>
      </c>
      <c r="F2931" t="s">
        <v>6</v>
      </c>
      <c r="G2931" s="28">
        <v>0.41458333333333336</v>
      </c>
      <c r="H2931" s="28">
        <v>0.41458333333333336</v>
      </c>
      <c r="I2931">
        <v>0</v>
      </c>
      <c r="J2931" t="s">
        <v>174</v>
      </c>
      <c r="K2931">
        <v>0</v>
      </c>
      <c r="L2931" t="s">
        <v>3325</v>
      </c>
      <c r="M2931" t="s">
        <v>3737</v>
      </c>
      <c r="N2931" t="s">
        <v>3738</v>
      </c>
      <c r="O2931" t="s">
        <v>3739</v>
      </c>
      <c r="P2931" t="s">
        <v>7756</v>
      </c>
    </row>
    <row r="2932" spans="1:16" x14ac:dyDescent="0.35">
      <c r="A2932" t="s">
        <v>83</v>
      </c>
      <c r="B2932">
        <v>1322845168</v>
      </c>
      <c r="C2932" t="s">
        <v>19</v>
      </c>
      <c r="D2932" t="s">
        <v>20</v>
      </c>
      <c r="E2932" s="29">
        <v>46208</v>
      </c>
      <c r="F2932" t="s">
        <v>6</v>
      </c>
      <c r="G2932" s="28">
        <v>0.42152777777777778</v>
      </c>
      <c r="H2932" s="28">
        <v>0.42152777777777778</v>
      </c>
      <c r="I2932">
        <v>0</v>
      </c>
      <c r="J2932" t="s">
        <v>174</v>
      </c>
      <c r="K2932">
        <v>0</v>
      </c>
      <c r="L2932" t="s">
        <v>2466</v>
      </c>
      <c r="M2932" t="s">
        <v>3746</v>
      </c>
      <c r="N2932" t="s">
        <v>3747</v>
      </c>
      <c r="O2932" t="s">
        <v>3748</v>
      </c>
      <c r="P2932" t="s">
        <v>7755</v>
      </c>
    </row>
    <row r="2933" spans="1:16" x14ac:dyDescent="0.35">
      <c r="A2933" t="s">
        <v>83</v>
      </c>
      <c r="B2933">
        <v>1322845168</v>
      </c>
      <c r="C2933" t="s">
        <v>19</v>
      </c>
      <c r="D2933" t="s">
        <v>20</v>
      </c>
      <c r="E2933" s="29">
        <v>46208</v>
      </c>
      <c r="F2933" t="s">
        <v>6</v>
      </c>
      <c r="G2933" s="28">
        <v>0.43541666666666667</v>
      </c>
      <c r="H2933" s="28">
        <v>0.43541666666666667</v>
      </c>
      <c r="I2933">
        <v>0</v>
      </c>
      <c r="J2933" t="s">
        <v>174</v>
      </c>
      <c r="K2933">
        <v>0</v>
      </c>
      <c r="L2933" t="s">
        <v>3754</v>
      </c>
      <c r="M2933" t="s">
        <v>3750</v>
      </c>
      <c r="N2933" t="s">
        <v>3751</v>
      </c>
      <c r="O2933" t="s">
        <v>3752</v>
      </c>
      <c r="P2933" t="s">
        <v>7754</v>
      </c>
    </row>
    <row r="2934" spans="1:16" x14ac:dyDescent="0.35">
      <c r="A2934" t="s">
        <v>83</v>
      </c>
      <c r="B2934">
        <v>1322845168</v>
      </c>
      <c r="C2934" t="s">
        <v>19</v>
      </c>
      <c r="D2934" t="s">
        <v>20</v>
      </c>
      <c r="E2934" s="29">
        <v>46208</v>
      </c>
      <c r="F2934" t="s">
        <v>6</v>
      </c>
      <c r="G2934" s="28">
        <v>0.44236111111111109</v>
      </c>
      <c r="H2934" s="28">
        <v>0.49791666666666667</v>
      </c>
      <c r="I2934">
        <v>1</v>
      </c>
      <c r="J2934" t="s">
        <v>146</v>
      </c>
      <c r="K2934">
        <v>4</v>
      </c>
      <c r="L2934" t="s">
        <v>147</v>
      </c>
      <c r="M2934" t="s">
        <v>3755</v>
      </c>
      <c r="N2934" t="s">
        <v>3756</v>
      </c>
      <c r="O2934" t="s">
        <v>3757</v>
      </c>
      <c r="P2934" t="s">
        <v>7749</v>
      </c>
    </row>
    <row r="2935" spans="1:16" x14ac:dyDescent="0.35">
      <c r="A2935" t="s">
        <v>83</v>
      </c>
      <c r="B2935">
        <v>1322845168</v>
      </c>
      <c r="C2935" t="s">
        <v>19</v>
      </c>
      <c r="D2935" t="s">
        <v>20</v>
      </c>
      <c r="E2935" s="29">
        <v>46208</v>
      </c>
      <c r="F2935" t="s">
        <v>6</v>
      </c>
      <c r="G2935" s="28">
        <v>0.50486111111111109</v>
      </c>
      <c r="H2935" s="28">
        <v>0.51875000000000004</v>
      </c>
      <c r="I2935">
        <v>0</v>
      </c>
      <c r="J2935" t="s">
        <v>146</v>
      </c>
      <c r="K2935">
        <v>1</v>
      </c>
      <c r="L2935" t="s">
        <v>147</v>
      </c>
      <c r="M2935" t="s">
        <v>7840</v>
      </c>
      <c r="N2935" t="s">
        <v>7841</v>
      </c>
      <c r="O2935" t="s">
        <v>7781</v>
      </c>
      <c r="P2935" t="s">
        <v>7842</v>
      </c>
    </row>
    <row r="2936" spans="1:16" x14ac:dyDescent="0.35">
      <c r="A2936" t="s">
        <v>83</v>
      </c>
      <c r="B2936">
        <v>1322845168</v>
      </c>
      <c r="C2936" t="s">
        <v>19</v>
      </c>
      <c r="D2936" t="s">
        <v>20</v>
      </c>
      <c r="E2936" s="29">
        <v>46208</v>
      </c>
      <c r="F2936" t="s">
        <v>6</v>
      </c>
      <c r="G2936" s="28">
        <v>0.52569444444444446</v>
      </c>
      <c r="H2936" s="28">
        <v>0.52569444444444446</v>
      </c>
      <c r="I2936">
        <v>0</v>
      </c>
      <c r="J2936" t="s">
        <v>174</v>
      </c>
      <c r="K2936">
        <v>0</v>
      </c>
      <c r="L2936" t="s">
        <v>3754</v>
      </c>
      <c r="M2936" t="s">
        <v>3750</v>
      </c>
      <c r="N2936" t="s">
        <v>3751</v>
      </c>
      <c r="O2936" t="s">
        <v>3752</v>
      </c>
      <c r="P2936" t="s">
        <v>7754</v>
      </c>
    </row>
    <row r="2937" spans="1:16" x14ac:dyDescent="0.35">
      <c r="A2937" t="s">
        <v>83</v>
      </c>
      <c r="B2937">
        <v>1322845168</v>
      </c>
      <c r="C2937" t="s">
        <v>19</v>
      </c>
      <c r="D2937" t="s">
        <v>20</v>
      </c>
      <c r="E2937" s="29">
        <v>46208</v>
      </c>
      <c r="F2937" t="s">
        <v>6</v>
      </c>
      <c r="G2937" s="28">
        <v>0.53263888888888888</v>
      </c>
      <c r="H2937" s="28">
        <v>0.62291666666666667</v>
      </c>
      <c r="I2937">
        <v>2</v>
      </c>
      <c r="J2937" t="s">
        <v>146</v>
      </c>
      <c r="K2937">
        <v>6</v>
      </c>
      <c r="L2937" t="s">
        <v>147</v>
      </c>
      <c r="M2937" t="s">
        <v>3755</v>
      </c>
      <c r="N2937" t="s">
        <v>3756</v>
      </c>
      <c r="O2937" t="s">
        <v>3757</v>
      </c>
      <c r="P2937" t="s">
        <v>7749</v>
      </c>
    </row>
    <row r="2938" spans="1:16" x14ac:dyDescent="0.35">
      <c r="A2938" t="s">
        <v>83</v>
      </c>
      <c r="B2938">
        <v>1322845168</v>
      </c>
      <c r="C2938" t="s">
        <v>19</v>
      </c>
      <c r="D2938" t="s">
        <v>20</v>
      </c>
      <c r="E2938" s="29">
        <v>46208</v>
      </c>
      <c r="F2938" t="s">
        <v>6</v>
      </c>
      <c r="G2938" s="28">
        <v>0.62986111111111109</v>
      </c>
      <c r="H2938" s="28">
        <v>0.63680555555555551</v>
      </c>
      <c r="I2938">
        <v>0</v>
      </c>
      <c r="J2938" t="s">
        <v>146</v>
      </c>
      <c r="K2938">
        <v>0</v>
      </c>
      <c r="L2938" t="s">
        <v>147</v>
      </c>
      <c r="M2938" t="s">
        <v>3750</v>
      </c>
      <c r="N2938" t="s">
        <v>3751</v>
      </c>
      <c r="O2938" t="s">
        <v>3752</v>
      </c>
      <c r="P2938" t="s">
        <v>7754</v>
      </c>
    </row>
    <row r="2939" spans="1:16" x14ac:dyDescent="0.35">
      <c r="A2939" t="s">
        <v>83</v>
      </c>
      <c r="B2939">
        <v>1322845168</v>
      </c>
      <c r="C2939" t="s">
        <v>19</v>
      </c>
      <c r="D2939" t="s">
        <v>20</v>
      </c>
      <c r="E2939" s="29">
        <v>46208</v>
      </c>
      <c r="F2939" t="s">
        <v>6</v>
      </c>
      <c r="G2939" s="28">
        <v>0.64375000000000004</v>
      </c>
      <c r="H2939" s="28">
        <v>0.64375000000000004</v>
      </c>
      <c r="I2939">
        <v>0</v>
      </c>
      <c r="J2939" t="s">
        <v>174</v>
      </c>
      <c r="K2939">
        <v>0</v>
      </c>
      <c r="L2939" t="s">
        <v>3754</v>
      </c>
      <c r="M2939" t="s">
        <v>3755</v>
      </c>
      <c r="N2939" t="s">
        <v>3756</v>
      </c>
      <c r="O2939" t="s">
        <v>3757</v>
      </c>
      <c r="P2939" t="s">
        <v>7749</v>
      </c>
    </row>
    <row r="2940" spans="1:16" x14ac:dyDescent="0.35">
      <c r="A2940" t="s">
        <v>83</v>
      </c>
      <c r="B2940">
        <v>1322845168</v>
      </c>
      <c r="C2940" t="s">
        <v>19</v>
      </c>
      <c r="D2940" t="s">
        <v>20</v>
      </c>
      <c r="E2940" s="29">
        <v>46208</v>
      </c>
      <c r="F2940" t="s">
        <v>6</v>
      </c>
      <c r="G2940" s="28">
        <v>0.65069444444444446</v>
      </c>
      <c r="H2940" s="28">
        <v>0.65069444444444446</v>
      </c>
      <c r="I2940">
        <v>0</v>
      </c>
      <c r="J2940" t="s">
        <v>174</v>
      </c>
      <c r="K2940">
        <v>0</v>
      </c>
      <c r="L2940" t="s">
        <v>3754</v>
      </c>
      <c r="M2940" t="s">
        <v>3750</v>
      </c>
      <c r="N2940" t="s">
        <v>3751</v>
      </c>
      <c r="O2940" t="s">
        <v>3752</v>
      </c>
      <c r="P2940" t="s">
        <v>7754</v>
      </c>
    </row>
    <row r="2941" spans="1:16" x14ac:dyDescent="0.35">
      <c r="A2941" t="s">
        <v>83</v>
      </c>
      <c r="B2941">
        <v>1322845168</v>
      </c>
      <c r="C2941" t="s">
        <v>19</v>
      </c>
      <c r="D2941" t="s">
        <v>20</v>
      </c>
      <c r="E2941" s="29">
        <v>46208</v>
      </c>
      <c r="F2941" t="s">
        <v>6</v>
      </c>
      <c r="G2941" s="28">
        <v>0.65763888888888888</v>
      </c>
      <c r="H2941" s="28">
        <v>0.65763888888888888</v>
      </c>
      <c r="I2941">
        <v>0</v>
      </c>
      <c r="J2941" t="s">
        <v>174</v>
      </c>
      <c r="K2941">
        <v>0</v>
      </c>
      <c r="L2941" t="s">
        <v>3754</v>
      </c>
      <c r="M2941" t="s">
        <v>3755</v>
      </c>
      <c r="N2941" t="s">
        <v>3756</v>
      </c>
      <c r="O2941" t="s">
        <v>3757</v>
      </c>
      <c r="P2941" t="s">
        <v>7749</v>
      </c>
    </row>
    <row r="2942" spans="1:16" x14ac:dyDescent="0.35">
      <c r="A2942" t="s">
        <v>83</v>
      </c>
      <c r="B2942">
        <v>1322845168</v>
      </c>
      <c r="C2942" t="s">
        <v>19</v>
      </c>
      <c r="D2942" t="s">
        <v>20</v>
      </c>
      <c r="E2942" s="29">
        <v>46208</v>
      </c>
      <c r="F2942" t="s">
        <v>6</v>
      </c>
      <c r="G2942" s="28">
        <v>0.6645833333333333</v>
      </c>
      <c r="H2942" s="28">
        <v>0.67152777777777772</v>
      </c>
      <c r="I2942">
        <v>0</v>
      </c>
      <c r="J2942" t="s">
        <v>146</v>
      </c>
      <c r="K2942">
        <v>0</v>
      </c>
      <c r="L2942" t="s">
        <v>147</v>
      </c>
      <c r="M2942" t="s">
        <v>3750</v>
      </c>
      <c r="N2942" t="s">
        <v>3751</v>
      </c>
      <c r="O2942" t="s">
        <v>3752</v>
      </c>
      <c r="P2942" t="s">
        <v>7754</v>
      </c>
    </row>
    <row r="2943" spans="1:16" x14ac:dyDescent="0.35">
      <c r="A2943" t="s">
        <v>83</v>
      </c>
      <c r="B2943">
        <v>1322845168</v>
      </c>
      <c r="C2943" t="s">
        <v>19</v>
      </c>
      <c r="D2943" t="s">
        <v>20</v>
      </c>
      <c r="E2943" s="29">
        <v>46208</v>
      </c>
      <c r="F2943" t="s">
        <v>6</v>
      </c>
      <c r="G2943" s="28">
        <v>0.67847222222222225</v>
      </c>
      <c r="H2943" s="28">
        <v>0.68541666666666667</v>
      </c>
      <c r="I2943">
        <v>0</v>
      </c>
      <c r="J2943" t="s">
        <v>146</v>
      </c>
      <c r="K2943">
        <v>0</v>
      </c>
      <c r="L2943" t="s">
        <v>147</v>
      </c>
      <c r="M2943" t="s">
        <v>3755</v>
      </c>
      <c r="N2943" t="s">
        <v>3756</v>
      </c>
      <c r="O2943" t="s">
        <v>3757</v>
      </c>
      <c r="P2943" t="s">
        <v>7749</v>
      </c>
    </row>
    <row r="2944" spans="1:16" x14ac:dyDescent="0.35">
      <c r="A2944" t="s">
        <v>83</v>
      </c>
      <c r="B2944">
        <v>1322845168</v>
      </c>
      <c r="C2944" t="s">
        <v>19</v>
      </c>
      <c r="D2944" t="s">
        <v>20</v>
      </c>
      <c r="E2944" s="29">
        <v>46208</v>
      </c>
      <c r="F2944" t="s">
        <v>6</v>
      </c>
      <c r="G2944" s="28">
        <v>0.69236111111111109</v>
      </c>
      <c r="H2944" s="28">
        <v>0.69930555555555551</v>
      </c>
      <c r="I2944">
        <v>0</v>
      </c>
      <c r="J2944" t="s">
        <v>146</v>
      </c>
      <c r="K2944">
        <v>0</v>
      </c>
      <c r="L2944" t="s">
        <v>147</v>
      </c>
      <c r="M2944" t="s">
        <v>3750</v>
      </c>
      <c r="N2944" t="s">
        <v>3751</v>
      </c>
      <c r="O2944" t="s">
        <v>3752</v>
      </c>
      <c r="P2944" t="s">
        <v>7754</v>
      </c>
    </row>
    <row r="2945" spans="1:16" x14ac:dyDescent="0.35">
      <c r="A2945" t="s">
        <v>83</v>
      </c>
      <c r="B2945">
        <v>1322845168</v>
      </c>
      <c r="C2945" t="s">
        <v>19</v>
      </c>
      <c r="D2945" t="s">
        <v>20</v>
      </c>
      <c r="E2945" s="29">
        <v>46208</v>
      </c>
      <c r="F2945" t="s">
        <v>6</v>
      </c>
      <c r="G2945" s="28">
        <v>0.70625000000000004</v>
      </c>
      <c r="H2945" s="28">
        <v>0.70625000000000004</v>
      </c>
      <c r="I2945">
        <v>0</v>
      </c>
      <c r="J2945" t="s">
        <v>174</v>
      </c>
      <c r="K2945">
        <v>0</v>
      </c>
      <c r="L2945" t="s">
        <v>3754</v>
      </c>
      <c r="M2945" t="s">
        <v>3755</v>
      </c>
      <c r="N2945" t="s">
        <v>3756</v>
      </c>
      <c r="O2945" t="s">
        <v>3757</v>
      </c>
      <c r="P2945" t="s">
        <v>7749</v>
      </c>
    </row>
    <row r="2946" spans="1:16" x14ac:dyDescent="0.35">
      <c r="A2946" t="s">
        <v>83</v>
      </c>
      <c r="B2946">
        <v>1322845168</v>
      </c>
      <c r="C2946" t="s">
        <v>19</v>
      </c>
      <c r="D2946" t="s">
        <v>20</v>
      </c>
      <c r="E2946" s="29">
        <v>46208</v>
      </c>
      <c r="F2946" t="s">
        <v>6</v>
      </c>
      <c r="G2946" s="28">
        <v>0.71319444444444446</v>
      </c>
      <c r="H2946" s="28">
        <v>0.71319444444444446</v>
      </c>
      <c r="I2946">
        <v>0</v>
      </c>
      <c r="J2946" t="s">
        <v>174</v>
      </c>
      <c r="K2946">
        <v>0</v>
      </c>
      <c r="L2946" t="s">
        <v>584</v>
      </c>
      <c r="M2946" t="s">
        <v>3750</v>
      </c>
      <c r="N2946" t="s">
        <v>3751</v>
      </c>
      <c r="O2946" t="s">
        <v>3752</v>
      </c>
      <c r="P2946" t="s">
        <v>7754</v>
      </c>
    </row>
    <row r="2947" spans="1:16" x14ac:dyDescent="0.35">
      <c r="A2947" t="s">
        <v>83</v>
      </c>
      <c r="B2947">
        <v>1322845168</v>
      </c>
      <c r="C2947" t="s">
        <v>19</v>
      </c>
      <c r="D2947" t="s">
        <v>20</v>
      </c>
      <c r="E2947" s="29">
        <v>46208</v>
      </c>
      <c r="F2947" t="s">
        <v>6</v>
      </c>
      <c r="G2947" s="28">
        <v>0.72013888888888888</v>
      </c>
      <c r="H2947" s="28">
        <v>0.74791666666666667</v>
      </c>
      <c r="I2947">
        <v>1</v>
      </c>
      <c r="J2947" t="s">
        <v>146</v>
      </c>
      <c r="K2947">
        <v>2</v>
      </c>
      <c r="L2947" t="s">
        <v>147</v>
      </c>
      <c r="M2947" t="s">
        <v>3737</v>
      </c>
      <c r="N2947" t="s">
        <v>3738</v>
      </c>
      <c r="O2947" t="s">
        <v>3739</v>
      </c>
      <c r="P2947" t="s">
        <v>7756</v>
      </c>
    </row>
    <row r="2948" spans="1:16" x14ac:dyDescent="0.35">
      <c r="A2948" t="s">
        <v>83</v>
      </c>
      <c r="B2948">
        <v>1322845168</v>
      </c>
      <c r="C2948" t="s">
        <v>19</v>
      </c>
      <c r="D2948" t="s">
        <v>20</v>
      </c>
      <c r="E2948" s="29">
        <v>46208</v>
      </c>
      <c r="F2948" t="s">
        <v>6</v>
      </c>
      <c r="G2948" s="28">
        <v>0.75486111111111109</v>
      </c>
      <c r="H2948" s="28">
        <v>0.75486111111111109</v>
      </c>
      <c r="I2948">
        <v>0</v>
      </c>
      <c r="J2948" t="s">
        <v>174</v>
      </c>
      <c r="K2948">
        <v>0</v>
      </c>
      <c r="L2948" t="s">
        <v>2412</v>
      </c>
      <c r="M2948" t="s">
        <v>3993</v>
      </c>
      <c r="N2948" t="s">
        <v>3994</v>
      </c>
      <c r="O2948" t="s">
        <v>3995</v>
      </c>
      <c r="P2948" t="s">
        <v>7875</v>
      </c>
    </row>
    <row r="2949" spans="1:16" x14ac:dyDescent="0.35">
      <c r="A2949" t="s">
        <v>83</v>
      </c>
      <c r="B2949">
        <v>1322845168</v>
      </c>
      <c r="C2949" t="s">
        <v>19</v>
      </c>
      <c r="D2949" t="s">
        <v>20</v>
      </c>
      <c r="E2949" s="29">
        <v>46208</v>
      </c>
      <c r="F2949" t="s">
        <v>6</v>
      </c>
      <c r="G2949" s="28">
        <v>0.76180555555555551</v>
      </c>
      <c r="H2949" s="28">
        <v>0.76180555555555551</v>
      </c>
      <c r="I2949">
        <v>0</v>
      </c>
      <c r="J2949" t="s">
        <v>174</v>
      </c>
      <c r="K2949">
        <v>0</v>
      </c>
      <c r="L2949" t="s">
        <v>7876</v>
      </c>
      <c r="M2949" t="s">
        <v>7877</v>
      </c>
      <c r="N2949" t="s">
        <v>7878</v>
      </c>
      <c r="O2949" t="s">
        <v>7879</v>
      </c>
      <c r="P2949" t="s">
        <v>7880</v>
      </c>
    </row>
    <row r="2950" spans="1:16" x14ac:dyDescent="0.35">
      <c r="A2950" t="s">
        <v>83</v>
      </c>
      <c r="B2950">
        <v>1322845168</v>
      </c>
      <c r="C2950" t="s">
        <v>19</v>
      </c>
      <c r="D2950" t="s">
        <v>20</v>
      </c>
      <c r="E2950" s="29">
        <v>46208</v>
      </c>
      <c r="F2950" t="s">
        <v>6</v>
      </c>
      <c r="G2950" s="28">
        <v>0.76875000000000004</v>
      </c>
      <c r="H2950" s="28">
        <v>0.76875000000000004</v>
      </c>
      <c r="I2950">
        <v>0</v>
      </c>
      <c r="J2950" t="s">
        <v>174</v>
      </c>
      <c r="K2950">
        <v>0</v>
      </c>
      <c r="L2950" t="s">
        <v>7876</v>
      </c>
      <c r="M2950" t="s">
        <v>7797</v>
      </c>
      <c r="N2950" t="s">
        <v>7798</v>
      </c>
      <c r="O2950" t="s">
        <v>7799</v>
      </c>
      <c r="P2950" t="s">
        <v>7800</v>
      </c>
    </row>
    <row r="2951" spans="1:16" x14ac:dyDescent="0.35">
      <c r="A2951" t="s">
        <v>83</v>
      </c>
      <c r="B2951">
        <v>1322845168</v>
      </c>
      <c r="C2951" t="s">
        <v>19</v>
      </c>
      <c r="D2951" t="s">
        <v>20</v>
      </c>
      <c r="E2951" s="29">
        <v>46208</v>
      </c>
      <c r="F2951" t="s">
        <v>6</v>
      </c>
      <c r="G2951" s="28">
        <v>0.77569444444444446</v>
      </c>
      <c r="H2951" s="28">
        <v>0.78263888888888888</v>
      </c>
      <c r="I2951">
        <v>0</v>
      </c>
      <c r="J2951" t="s">
        <v>146</v>
      </c>
      <c r="K2951">
        <v>0</v>
      </c>
      <c r="L2951" t="s">
        <v>147</v>
      </c>
      <c r="M2951" t="s">
        <v>7877</v>
      </c>
      <c r="N2951" t="s">
        <v>7878</v>
      </c>
      <c r="O2951" t="s">
        <v>7879</v>
      </c>
      <c r="P2951" t="s">
        <v>7880</v>
      </c>
    </row>
    <row r="2952" spans="1:16" x14ac:dyDescent="0.35">
      <c r="A2952" t="s">
        <v>83</v>
      </c>
      <c r="B2952">
        <v>1322845168</v>
      </c>
      <c r="C2952" t="s">
        <v>19</v>
      </c>
      <c r="D2952" t="s">
        <v>20</v>
      </c>
      <c r="E2952" s="29">
        <v>46208</v>
      </c>
      <c r="F2952" t="s">
        <v>6</v>
      </c>
      <c r="G2952" s="28">
        <v>0.7895833333333333</v>
      </c>
      <c r="H2952" s="28">
        <v>0.81736111111111109</v>
      </c>
      <c r="I2952">
        <v>1</v>
      </c>
      <c r="J2952" t="s">
        <v>146</v>
      </c>
      <c r="K2952">
        <v>2</v>
      </c>
      <c r="L2952" t="s">
        <v>147</v>
      </c>
      <c r="M2952" t="s">
        <v>7797</v>
      </c>
      <c r="N2952" t="s">
        <v>7798</v>
      </c>
      <c r="O2952" t="s">
        <v>7799</v>
      </c>
      <c r="P2952" t="s">
        <v>7800</v>
      </c>
    </row>
    <row r="2953" spans="1:16" x14ac:dyDescent="0.35">
      <c r="A2953" t="s">
        <v>126</v>
      </c>
      <c r="B2953">
        <v>1704124000</v>
      </c>
      <c r="C2953" t="s">
        <v>18</v>
      </c>
      <c r="D2953" t="s">
        <v>20</v>
      </c>
      <c r="E2953" s="29">
        <v>46204</v>
      </c>
      <c r="F2953" t="s">
        <v>3</v>
      </c>
      <c r="G2953" s="28">
        <v>0.37916666666666665</v>
      </c>
      <c r="H2953" s="28">
        <v>0.37916666666666665</v>
      </c>
      <c r="I2953">
        <v>0</v>
      </c>
      <c r="J2953" t="s">
        <v>174</v>
      </c>
      <c r="K2953">
        <v>0</v>
      </c>
      <c r="L2953" t="s">
        <v>1331</v>
      </c>
      <c r="M2953" t="s">
        <v>7881</v>
      </c>
      <c r="N2953" t="s">
        <v>7882</v>
      </c>
      <c r="O2953" t="s">
        <v>7883</v>
      </c>
      <c r="P2953" t="s">
        <v>7884</v>
      </c>
    </row>
    <row r="2954" spans="1:16" x14ac:dyDescent="0.35">
      <c r="A2954" t="s">
        <v>126</v>
      </c>
      <c r="B2954">
        <v>1704124000</v>
      </c>
      <c r="C2954" t="s">
        <v>18</v>
      </c>
      <c r="D2954" t="s">
        <v>20</v>
      </c>
      <c r="E2954" s="29">
        <v>46204</v>
      </c>
      <c r="F2954" t="s">
        <v>3</v>
      </c>
      <c r="G2954" s="28">
        <v>0.38611111111111113</v>
      </c>
      <c r="H2954" s="28">
        <v>0.38611111111111113</v>
      </c>
      <c r="I2954">
        <v>0</v>
      </c>
      <c r="J2954" t="s">
        <v>174</v>
      </c>
      <c r="K2954">
        <v>0</v>
      </c>
      <c r="L2954" t="s">
        <v>7885</v>
      </c>
      <c r="M2954" t="s">
        <v>7886</v>
      </c>
      <c r="N2954" t="s">
        <v>7887</v>
      </c>
      <c r="O2954" t="s">
        <v>7888</v>
      </c>
      <c r="P2954" t="s">
        <v>7889</v>
      </c>
    </row>
    <row r="2955" spans="1:16" x14ac:dyDescent="0.35">
      <c r="A2955" t="s">
        <v>126</v>
      </c>
      <c r="B2955">
        <v>1704124000</v>
      </c>
      <c r="C2955" t="s">
        <v>18</v>
      </c>
      <c r="D2955" t="s">
        <v>20</v>
      </c>
      <c r="E2955" s="29">
        <v>46204</v>
      </c>
      <c r="F2955" t="s">
        <v>3</v>
      </c>
      <c r="G2955" s="28">
        <v>0.39305555555555555</v>
      </c>
      <c r="H2955" s="28">
        <v>0.5180555555555556</v>
      </c>
      <c r="I2955">
        <v>3</v>
      </c>
      <c r="J2955" t="s">
        <v>146</v>
      </c>
      <c r="K2955">
        <v>9</v>
      </c>
      <c r="L2955" t="s">
        <v>147</v>
      </c>
      <c r="M2955" t="s">
        <v>7890</v>
      </c>
      <c r="N2955" t="s">
        <v>7891</v>
      </c>
      <c r="O2955" t="s">
        <v>7892</v>
      </c>
      <c r="P2955" t="s">
        <v>7893</v>
      </c>
    </row>
    <row r="2956" spans="1:16" x14ac:dyDescent="0.35">
      <c r="A2956" t="s">
        <v>126</v>
      </c>
      <c r="B2956">
        <v>1704124000</v>
      </c>
      <c r="C2956" t="s">
        <v>18</v>
      </c>
      <c r="D2956" t="s">
        <v>20</v>
      </c>
      <c r="E2956" s="29">
        <v>46204</v>
      </c>
      <c r="F2956" t="s">
        <v>3</v>
      </c>
      <c r="G2956" s="28">
        <v>0.52500000000000002</v>
      </c>
      <c r="H2956" s="28">
        <v>0.53194444444444444</v>
      </c>
      <c r="I2956">
        <v>0</v>
      </c>
      <c r="J2956" t="s">
        <v>146</v>
      </c>
      <c r="K2956">
        <v>0</v>
      </c>
      <c r="L2956" t="s">
        <v>147</v>
      </c>
      <c r="M2956" t="s">
        <v>7894</v>
      </c>
      <c r="N2956" t="s">
        <v>7895</v>
      </c>
      <c r="O2956" t="s">
        <v>7896</v>
      </c>
      <c r="P2956" t="s">
        <v>7897</v>
      </c>
    </row>
    <row r="2957" spans="1:16" x14ac:dyDescent="0.35">
      <c r="A2957" t="s">
        <v>126</v>
      </c>
      <c r="B2957">
        <v>1704124000</v>
      </c>
      <c r="C2957" t="s">
        <v>18</v>
      </c>
      <c r="D2957" t="s">
        <v>20</v>
      </c>
      <c r="E2957" s="29">
        <v>46204</v>
      </c>
      <c r="F2957" t="s">
        <v>3</v>
      </c>
      <c r="G2957" s="28">
        <v>0.53888888888888886</v>
      </c>
      <c r="H2957" s="28">
        <v>0.53888888888888886</v>
      </c>
      <c r="I2957">
        <v>0</v>
      </c>
      <c r="J2957" t="s">
        <v>174</v>
      </c>
      <c r="K2957">
        <v>0</v>
      </c>
      <c r="L2957" t="s">
        <v>1936</v>
      </c>
      <c r="M2957" t="s">
        <v>7881</v>
      </c>
      <c r="N2957" t="s">
        <v>7882</v>
      </c>
      <c r="O2957" t="s">
        <v>7883</v>
      </c>
      <c r="P2957" t="s">
        <v>7884</v>
      </c>
    </row>
    <row r="2958" spans="1:16" x14ac:dyDescent="0.35">
      <c r="A2958" t="s">
        <v>126</v>
      </c>
      <c r="B2958">
        <v>1704124000</v>
      </c>
      <c r="C2958" t="s">
        <v>18</v>
      </c>
      <c r="D2958" t="s">
        <v>20</v>
      </c>
      <c r="E2958" s="29">
        <v>46204</v>
      </c>
      <c r="F2958" t="s">
        <v>3</v>
      </c>
      <c r="G2958" s="28">
        <v>0.54583333333333328</v>
      </c>
      <c r="H2958" s="28">
        <v>0.56666666666666665</v>
      </c>
      <c r="I2958">
        <v>1</v>
      </c>
      <c r="J2958" t="s">
        <v>146</v>
      </c>
      <c r="K2958">
        <v>2</v>
      </c>
      <c r="L2958" t="s">
        <v>147</v>
      </c>
      <c r="M2958" t="s">
        <v>7894</v>
      </c>
      <c r="N2958" t="s">
        <v>7895</v>
      </c>
      <c r="O2958" t="s">
        <v>7896</v>
      </c>
      <c r="P2958" t="s">
        <v>7897</v>
      </c>
    </row>
    <row r="2959" spans="1:16" x14ac:dyDescent="0.35">
      <c r="A2959" t="s">
        <v>126</v>
      </c>
      <c r="B2959">
        <v>1704124000</v>
      </c>
      <c r="C2959" t="s">
        <v>18</v>
      </c>
      <c r="D2959" t="s">
        <v>20</v>
      </c>
      <c r="E2959" s="29">
        <v>46204</v>
      </c>
      <c r="F2959" t="s">
        <v>3</v>
      </c>
      <c r="G2959" s="28">
        <v>0.57361111111111107</v>
      </c>
      <c r="H2959" s="28">
        <v>0.5805555555555556</v>
      </c>
      <c r="I2959">
        <v>0</v>
      </c>
      <c r="J2959" t="s">
        <v>146</v>
      </c>
      <c r="K2959">
        <v>1</v>
      </c>
      <c r="L2959" t="s">
        <v>147</v>
      </c>
      <c r="M2959" t="s">
        <v>7890</v>
      </c>
      <c r="N2959" t="s">
        <v>7891</v>
      </c>
      <c r="O2959" t="s">
        <v>7892</v>
      </c>
      <c r="P2959" t="s">
        <v>7893</v>
      </c>
    </row>
    <row r="2960" spans="1:16" x14ac:dyDescent="0.35">
      <c r="A2960" t="s">
        <v>126</v>
      </c>
      <c r="B2960">
        <v>1704124000</v>
      </c>
      <c r="C2960" t="s">
        <v>18</v>
      </c>
      <c r="D2960" t="s">
        <v>20</v>
      </c>
      <c r="E2960" s="29">
        <v>46204</v>
      </c>
      <c r="F2960" t="s">
        <v>3</v>
      </c>
      <c r="G2960" s="28">
        <v>0.58750000000000002</v>
      </c>
      <c r="H2960" s="28">
        <v>0.58750000000000002</v>
      </c>
      <c r="I2960">
        <v>0</v>
      </c>
      <c r="J2960" t="s">
        <v>174</v>
      </c>
      <c r="K2960">
        <v>0</v>
      </c>
      <c r="L2960" t="s">
        <v>2593</v>
      </c>
      <c r="M2960" t="s">
        <v>7894</v>
      </c>
      <c r="N2960" t="s">
        <v>7895</v>
      </c>
      <c r="O2960" t="s">
        <v>7896</v>
      </c>
      <c r="P2960" t="s">
        <v>7897</v>
      </c>
    </row>
    <row r="2961" spans="1:16" x14ac:dyDescent="0.35">
      <c r="A2961" t="s">
        <v>126</v>
      </c>
      <c r="B2961">
        <v>1704124000</v>
      </c>
      <c r="C2961" t="s">
        <v>18</v>
      </c>
      <c r="D2961" t="s">
        <v>20</v>
      </c>
      <c r="E2961" s="29">
        <v>46204</v>
      </c>
      <c r="F2961" t="s">
        <v>3</v>
      </c>
      <c r="G2961" s="28">
        <v>0.59444444444444444</v>
      </c>
      <c r="H2961" s="28">
        <v>0.62916666666666665</v>
      </c>
      <c r="I2961">
        <v>1</v>
      </c>
      <c r="J2961" t="s">
        <v>146</v>
      </c>
      <c r="K2961">
        <v>2</v>
      </c>
      <c r="L2961" t="s">
        <v>147</v>
      </c>
      <c r="M2961" t="s">
        <v>7898</v>
      </c>
      <c r="N2961" t="s">
        <v>7899</v>
      </c>
      <c r="O2961" t="s">
        <v>7900</v>
      </c>
      <c r="P2961" t="s">
        <v>7901</v>
      </c>
    </row>
    <row r="2962" spans="1:16" x14ac:dyDescent="0.35">
      <c r="A2962" t="s">
        <v>126</v>
      </c>
      <c r="B2962">
        <v>1704124000</v>
      </c>
      <c r="C2962" t="s">
        <v>18</v>
      </c>
      <c r="D2962" t="s">
        <v>20</v>
      </c>
      <c r="E2962" s="29">
        <v>46204</v>
      </c>
      <c r="F2962" t="s">
        <v>3</v>
      </c>
      <c r="G2962" s="28">
        <v>0.63611111111111107</v>
      </c>
      <c r="H2962" s="28">
        <v>0.63611111111111107</v>
      </c>
      <c r="I2962">
        <v>0</v>
      </c>
      <c r="J2962" t="s">
        <v>174</v>
      </c>
      <c r="K2962">
        <v>0</v>
      </c>
      <c r="L2962" t="s">
        <v>1936</v>
      </c>
      <c r="M2962" t="s">
        <v>7894</v>
      </c>
      <c r="N2962" t="s">
        <v>7895</v>
      </c>
      <c r="O2962" t="s">
        <v>7896</v>
      </c>
      <c r="P2962" t="s">
        <v>7897</v>
      </c>
    </row>
    <row r="2963" spans="1:16" x14ac:dyDescent="0.35">
      <c r="A2963" t="s">
        <v>126</v>
      </c>
      <c r="B2963">
        <v>1704124000</v>
      </c>
      <c r="C2963" t="s">
        <v>18</v>
      </c>
      <c r="D2963" t="s">
        <v>20</v>
      </c>
      <c r="E2963" s="29">
        <v>46204</v>
      </c>
      <c r="F2963" t="s">
        <v>3</v>
      </c>
      <c r="G2963" s="28">
        <v>0.6430555555555556</v>
      </c>
      <c r="H2963" s="28">
        <v>0.6430555555555556</v>
      </c>
      <c r="I2963">
        <v>0</v>
      </c>
      <c r="J2963" t="s">
        <v>174</v>
      </c>
      <c r="K2963">
        <v>0</v>
      </c>
      <c r="L2963" t="s">
        <v>1936</v>
      </c>
      <c r="M2963" t="s">
        <v>7881</v>
      </c>
      <c r="N2963" t="s">
        <v>7882</v>
      </c>
      <c r="O2963" t="s">
        <v>7883</v>
      </c>
      <c r="P2963" t="s">
        <v>7884</v>
      </c>
    </row>
    <row r="2964" spans="1:16" x14ac:dyDescent="0.35">
      <c r="A2964" t="s">
        <v>126</v>
      </c>
      <c r="B2964">
        <v>1704124000</v>
      </c>
      <c r="C2964" t="s">
        <v>18</v>
      </c>
      <c r="D2964" t="s">
        <v>20</v>
      </c>
      <c r="E2964" s="29">
        <v>46204</v>
      </c>
      <c r="F2964" t="s">
        <v>3</v>
      </c>
      <c r="G2964" s="28">
        <v>0.65</v>
      </c>
      <c r="H2964" s="28">
        <v>0.65</v>
      </c>
      <c r="I2964">
        <v>0</v>
      </c>
      <c r="J2964" t="s">
        <v>174</v>
      </c>
      <c r="K2964">
        <v>0</v>
      </c>
      <c r="L2964" t="s">
        <v>1936</v>
      </c>
      <c r="M2964" t="s">
        <v>7894</v>
      </c>
      <c r="N2964" t="s">
        <v>7895</v>
      </c>
      <c r="O2964" t="s">
        <v>7896</v>
      </c>
      <c r="P2964" t="s">
        <v>7897</v>
      </c>
    </row>
    <row r="2965" spans="1:16" x14ac:dyDescent="0.35">
      <c r="A2965" t="s">
        <v>126</v>
      </c>
      <c r="B2965">
        <v>1704124000</v>
      </c>
      <c r="C2965" t="s">
        <v>18</v>
      </c>
      <c r="D2965" t="s">
        <v>20</v>
      </c>
      <c r="E2965" s="29">
        <v>46204</v>
      </c>
      <c r="F2965" t="s">
        <v>3</v>
      </c>
      <c r="G2965" s="28">
        <v>0.65694444444444444</v>
      </c>
      <c r="H2965" s="28">
        <v>0.65694444444444444</v>
      </c>
      <c r="I2965">
        <v>0</v>
      </c>
      <c r="J2965" t="s">
        <v>174</v>
      </c>
      <c r="K2965">
        <v>0</v>
      </c>
      <c r="L2965" t="s">
        <v>1936</v>
      </c>
      <c r="M2965" t="s">
        <v>7881</v>
      </c>
      <c r="N2965" t="s">
        <v>7882</v>
      </c>
      <c r="O2965" t="s">
        <v>7883</v>
      </c>
      <c r="P2965" t="s">
        <v>7884</v>
      </c>
    </row>
    <row r="2966" spans="1:16" x14ac:dyDescent="0.35">
      <c r="A2966" t="s">
        <v>126</v>
      </c>
      <c r="B2966">
        <v>1704124000</v>
      </c>
      <c r="C2966" t="s">
        <v>18</v>
      </c>
      <c r="D2966" t="s">
        <v>20</v>
      </c>
      <c r="E2966" s="29">
        <v>46204</v>
      </c>
      <c r="F2966" t="s">
        <v>3</v>
      </c>
      <c r="G2966" s="28">
        <v>0.66388888888888886</v>
      </c>
      <c r="H2966" s="28">
        <v>0.69166666666666665</v>
      </c>
      <c r="I2966">
        <v>1</v>
      </c>
      <c r="J2966" t="s">
        <v>146</v>
      </c>
      <c r="K2966">
        <v>2</v>
      </c>
      <c r="L2966" t="s">
        <v>147</v>
      </c>
      <c r="M2966" t="s">
        <v>7894</v>
      </c>
      <c r="N2966" t="s">
        <v>7895</v>
      </c>
      <c r="O2966" t="s">
        <v>7896</v>
      </c>
      <c r="P2966" t="s">
        <v>7897</v>
      </c>
    </row>
    <row r="2967" spans="1:16" x14ac:dyDescent="0.35">
      <c r="A2967" t="s">
        <v>126</v>
      </c>
      <c r="B2967">
        <v>1704124000</v>
      </c>
      <c r="C2967" t="s">
        <v>18</v>
      </c>
      <c r="D2967" t="s">
        <v>20</v>
      </c>
      <c r="E2967" s="29">
        <v>46204</v>
      </c>
      <c r="F2967" t="s">
        <v>3</v>
      </c>
      <c r="G2967" s="28">
        <v>0.69861111111111107</v>
      </c>
      <c r="H2967" s="28">
        <v>0.69861111111111107</v>
      </c>
      <c r="I2967">
        <v>0</v>
      </c>
      <c r="J2967" t="s">
        <v>174</v>
      </c>
      <c r="K2967">
        <v>0</v>
      </c>
      <c r="L2967" t="s">
        <v>1936</v>
      </c>
      <c r="M2967" t="s">
        <v>7881</v>
      </c>
      <c r="N2967" t="s">
        <v>7882</v>
      </c>
      <c r="O2967" t="s">
        <v>7883</v>
      </c>
      <c r="P2967" t="s">
        <v>7884</v>
      </c>
    </row>
    <row r="2968" spans="1:16" x14ac:dyDescent="0.35">
      <c r="A2968" t="s">
        <v>126</v>
      </c>
      <c r="B2968">
        <v>1704124000</v>
      </c>
      <c r="C2968" t="s">
        <v>18</v>
      </c>
      <c r="D2968" t="s">
        <v>20</v>
      </c>
      <c r="E2968" s="29">
        <v>46204</v>
      </c>
      <c r="F2968" t="s">
        <v>3</v>
      </c>
      <c r="G2968" s="28">
        <v>0.7055555555555556</v>
      </c>
      <c r="H2968" s="28">
        <v>0.72638888888888886</v>
      </c>
      <c r="I2968">
        <v>0</v>
      </c>
      <c r="J2968" t="s">
        <v>146</v>
      </c>
      <c r="K2968">
        <v>1</v>
      </c>
      <c r="L2968" t="s">
        <v>147</v>
      </c>
      <c r="M2968" t="s">
        <v>7894</v>
      </c>
      <c r="N2968" t="s">
        <v>7895</v>
      </c>
      <c r="O2968" t="s">
        <v>7896</v>
      </c>
      <c r="P2968" t="s">
        <v>7897</v>
      </c>
    </row>
    <row r="2969" spans="1:16" x14ac:dyDescent="0.35">
      <c r="A2969" t="s">
        <v>126</v>
      </c>
      <c r="B2969">
        <v>1704124000</v>
      </c>
      <c r="C2969" t="s">
        <v>18</v>
      </c>
      <c r="D2969" t="s">
        <v>20</v>
      </c>
      <c r="E2969" s="29">
        <v>46204</v>
      </c>
      <c r="F2969" t="s">
        <v>3</v>
      </c>
      <c r="G2969" s="28">
        <v>0.73333333333333328</v>
      </c>
      <c r="H2969" s="28">
        <v>0.73333333333333328</v>
      </c>
      <c r="I2969">
        <v>0</v>
      </c>
      <c r="J2969" t="s">
        <v>174</v>
      </c>
      <c r="K2969">
        <v>0</v>
      </c>
      <c r="L2969" t="s">
        <v>1936</v>
      </c>
      <c r="M2969" t="s">
        <v>7881</v>
      </c>
      <c r="N2969" t="s">
        <v>7882</v>
      </c>
      <c r="O2969" t="s">
        <v>7883</v>
      </c>
      <c r="P2969" t="s">
        <v>7884</v>
      </c>
    </row>
    <row r="2970" spans="1:16" x14ac:dyDescent="0.35">
      <c r="A2970" t="s">
        <v>126</v>
      </c>
      <c r="B2970">
        <v>1704124000</v>
      </c>
      <c r="C2970" t="s">
        <v>18</v>
      </c>
      <c r="D2970" t="s">
        <v>20</v>
      </c>
      <c r="E2970" s="29">
        <v>46204</v>
      </c>
      <c r="F2970" t="s">
        <v>3</v>
      </c>
      <c r="G2970" s="28">
        <v>0.74027777777777781</v>
      </c>
      <c r="H2970" s="28">
        <v>0.74027777777777781</v>
      </c>
      <c r="I2970">
        <v>0</v>
      </c>
      <c r="J2970" t="s">
        <v>174</v>
      </c>
      <c r="K2970">
        <v>0</v>
      </c>
      <c r="L2970" t="s">
        <v>1936</v>
      </c>
      <c r="M2970" t="s">
        <v>7894</v>
      </c>
      <c r="N2970" t="s">
        <v>7895</v>
      </c>
      <c r="O2970" t="s">
        <v>7896</v>
      </c>
      <c r="P2970" t="s">
        <v>7897</v>
      </c>
    </row>
    <row r="2971" spans="1:16" x14ac:dyDescent="0.35">
      <c r="A2971" t="s">
        <v>126</v>
      </c>
      <c r="B2971">
        <v>1704124000</v>
      </c>
      <c r="C2971" t="s">
        <v>18</v>
      </c>
      <c r="D2971" t="s">
        <v>20</v>
      </c>
      <c r="E2971" s="29">
        <v>46204</v>
      </c>
      <c r="F2971" t="s">
        <v>3</v>
      </c>
      <c r="G2971" s="28">
        <v>0.74722222222222223</v>
      </c>
      <c r="H2971" s="28">
        <v>0.74722222222222223</v>
      </c>
      <c r="I2971">
        <v>0</v>
      </c>
      <c r="J2971" t="s">
        <v>174</v>
      </c>
      <c r="K2971">
        <v>0</v>
      </c>
      <c r="L2971" t="s">
        <v>1936</v>
      </c>
      <c r="M2971" t="s">
        <v>7881</v>
      </c>
      <c r="N2971" t="s">
        <v>7882</v>
      </c>
      <c r="O2971" t="s">
        <v>7883</v>
      </c>
      <c r="P2971" t="s">
        <v>7884</v>
      </c>
    </row>
    <row r="2972" spans="1:16" x14ac:dyDescent="0.35">
      <c r="A2972" t="s">
        <v>126</v>
      </c>
      <c r="B2972">
        <v>1704124000</v>
      </c>
      <c r="C2972" t="s">
        <v>18</v>
      </c>
      <c r="D2972" t="s">
        <v>20</v>
      </c>
      <c r="E2972" s="29">
        <v>46204</v>
      </c>
      <c r="F2972" t="s">
        <v>3</v>
      </c>
      <c r="G2972" s="28">
        <v>0.75416666666666665</v>
      </c>
      <c r="H2972" s="28">
        <v>0.75416666666666665</v>
      </c>
      <c r="I2972">
        <v>0</v>
      </c>
      <c r="J2972" t="s">
        <v>174</v>
      </c>
      <c r="K2972">
        <v>0</v>
      </c>
      <c r="L2972" t="s">
        <v>1936</v>
      </c>
      <c r="M2972" t="s">
        <v>7894</v>
      </c>
      <c r="N2972" t="s">
        <v>7895</v>
      </c>
      <c r="O2972" t="s">
        <v>7896</v>
      </c>
      <c r="P2972" t="s">
        <v>7897</v>
      </c>
    </row>
    <row r="2973" spans="1:16" x14ac:dyDescent="0.35">
      <c r="A2973" t="s">
        <v>126</v>
      </c>
      <c r="B2973">
        <v>1704124000</v>
      </c>
      <c r="C2973" t="s">
        <v>18</v>
      </c>
      <c r="D2973" t="s">
        <v>20</v>
      </c>
      <c r="E2973" s="29">
        <v>46204</v>
      </c>
      <c r="F2973" t="s">
        <v>3</v>
      </c>
      <c r="G2973" s="28">
        <v>0.76111111111111107</v>
      </c>
      <c r="H2973" s="28">
        <v>0.76111111111111107</v>
      </c>
      <c r="I2973">
        <v>0</v>
      </c>
      <c r="J2973" t="s">
        <v>174</v>
      </c>
      <c r="K2973">
        <v>0</v>
      </c>
      <c r="L2973" t="s">
        <v>1936</v>
      </c>
      <c r="M2973" t="s">
        <v>7881</v>
      </c>
      <c r="N2973" t="s">
        <v>7882</v>
      </c>
      <c r="O2973" t="s">
        <v>7883</v>
      </c>
      <c r="P2973" t="s">
        <v>7884</v>
      </c>
    </row>
    <row r="2974" spans="1:16" x14ac:dyDescent="0.35">
      <c r="A2974" t="s">
        <v>126</v>
      </c>
      <c r="B2974">
        <v>1704124000</v>
      </c>
      <c r="C2974" t="s">
        <v>18</v>
      </c>
      <c r="D2974" t="s">
        <v>20</v>
      </c>
      <c r="E2974" s="29">
        <v>46204</v>
      </c>
      <c r="F2974" t="s">
        <v>3</v>
      </c>
      <c r="G2974" s="28">
        <v>0.7680555555555556</v>
      </c>
      <c r="H2974" s="28">
        <v>0.7680555555555556</v>
      </c>
      <c r="I2974">
        <v>0</v>
      </c>
      <c r="J2974" t="s">
        <v>174</v>
      </c>
      <c r="K2974">
        <v>0</v>
      </c>
      <c r="L2974" t="s">
        <v>1936</v>
      </c>
      <c r="M2974" t="s">
        <v>7894</v>
      </c>
      <c r="N2974" t="s">
        <v>7895</v>
      </c>
      <c r="O2974" t="s">
        <v>7896</v>
      </c>
      <c r="P2974" t="s">
        <v>7897</v>
      </c>
    </row>
    <row r="2975" spans="1:16" x14ac:dyDescent="0.35">
      <c r="A2975" t="s">
        <v>126</v>
      </c>
      <c r="B2975">
        <v>1704124000</v>
      </c>
      <c r="C2975" t="s">
        <v>18</v>
      </c>
      <c r="D2975" t="s">
        <v>20</v>
      </c>
      <c r="E2975" s="29">
        <v>46204</v>
      </c>
      <c r="F2975" t="s">
        <v>3</v>
      </c>
      <c r="G2975" s="28">
        <v>0.77500000000000002</v>
      </c>
      <c r="H2975" s="28">
        <v>0.80277777777777781</v>
      </c>
      <c r="I2975">
        <v>1</v>
      </c>
      <c r="J2975" t="s">
        <v>146</v>
      </c>
      <c r="K2975">
        <v>2</v>
      </c>
      <c r="L2975" t="s">
        <v>147</v>
      </c>
      <c r="M2975" t="s">
        <v>7881</v>
      </c>
      <c r="N2975" t="s">
        <v>7882</v>
      </c>
      <c r="O2975" t="s">
        <v>7883</v>
      </c>
      <c r="P2975" t="s">
        <v>7884</v>
      </c>
    </row>
    <row r="2976" spans="1:16" x14ac:dyDescent="0.35">
      <c r="A2976" t="s">
        <v>126</v>
      </c>
      <c r="B2976">
        <v>1704124000</v>
      </c>
      <c r="C2976" t="s">
        <v>18</v>
      </c>
      <c r="D2976" t="s">
        <v>20</v>
      </c>
      <c r="E2976" s="29">
        <v>46205</v>
      </c>
      <c r="F2976" t="s">
        <v>4</v>
      </c>
      <c r="G2976" s="28">
        <v>0.42083333333333334</v>
      </c>
      <c r="H2976" s="28">
        <v>0.42083333333333334</v>
      </c>
      <c r="I2976">
        <v>0</v>
      </c>
      <c r="J2976" t="s">
        <v>174</v>
      </c>
      <c r="K2976">
        <v>0</v>
      </c>
      <c r="L2976" t="s">
        <v>1936</v>
      </c>
      <c r="M2976" t="s">
        <v>7894</v>
      </c>
      <c r="N2976" t="s">
        <v>7895</v>
      </c>
      <c r="O2976" t="s">
        <v>7896</v>
      </c>
      <c r="P2976" t="s">
        <v>7897</v>
      </c>
    </row>
    <row r="2977" spans="1:16" x14ac:dyDescent="0.35">
      <c r="A2977" t="s">
        <v>126</v>
      </c>
      <c r="B2977">
        <v>1704124000</v>
      </c>
      <c r="C2977" t="s">
        <v>18</v>
      </c>
      <c r="D2977" t="s">
        <v>20</v>
      </c>
      <c r="E2977" s="29">
        <v>46205</v>
      </c>
      <c r="F2977" t="s">
        <v>4</v>
      </c>
      <c r="G2977" s="28">
        <v>0.42777777777777776</v>
      </c>
      <c r="H2977" s="28">
        <v>0.44861111111111113</v>
      </c>
      <c r="I2977">
        <v>1</v>
      </c>
      <c r="J2977" t="s">
        <v>146</v>
      </c>
      <c r="K2977">
        <v>2</v>
      </c>
      <c r="L2977" t="s">
        <v>147</v>
      </c>
      <c r="M2977" t="s">
        <v>7881</v>
      </c>
      <c r="N2977" t="s">
        <v>7882</v>
      </c>
      <c r="O2977" t="s">
        <v>7883</v>
      </c>
      <c r="P2977" t="s">
        <v>7884</v>
      </c>
    </row>
    <row r="2978" spans="1:16" x14ac:dyDescent="0.35">
      <c r="A2978" t="s">
        <v>126</v>
      </c>
      <c r="B2978">
        <v>1704124000</v>
      </c>
      <c r="C2978" t="s">
        <v>18</v>
      </c>
      <c r="D2978" t="s">
        <v>20</v>
      </c>
      <c r="E2978" s="29">
        <v>46205</v>
      </c>
      <c r="F2978" t="s">
        <v>4</v>
      </c>
      <c r="G2978" s="28">
        <v>0.45555555555555555</v>
      </c>
      <c r="H2978" s="28">
        <v>0.45555555555555555</v>
      </c>
      <c r="I2978">
        <v>0</v>
      </c>
      <c r="J2978" t="s">
        <v>174</v>
      </c>
      <c r="K2978">
        <v>0</v>
      </c>
      <c r="L2978" t="s">
        <v>1936</v>
      </c>
      <c r="M2978" t="s">
        <v>7894</v>
      </c>
      <c r="N2978" t="s">
        <v>7895</v>
      </c>
      <c r="O2978" t="s">
        <v>7896</v>
      </c>
      <c r="P2978" t="s">
        <v>7897</v>
      </c>
    </row>
    <row r="2979" spans="1:16" x14ac:dyDescent="0.35">
      <c r="A2979" t="s">
        <v>126</v>
      </c>
      <c r="B2979">
        <v>1704124000</v>
      </c>
      <c r="C2979" t="s">
        <v>18</v>
      </c>
      <c r="D2979" t="s">
        <v>20</v>
      </c>
      <c r="E2979" s="29">
        <v>46205</v>
      </c>
      <c r="F2979" t="s">
        <v>4</v>
      </c>
      <c r="G2979" s="28">
        <v>0.46250000000000002</v>
      </c>
      <c r="H2979" s="28">
        <v>0.47638888888888886</v>
      </c>
      <c r="I2979">
        <v>0</v>
      </c>
      <c r="J2979" t="s">
        <v>146</v>
      </c>
      <c r="K2979">
        <v>1</v>
      </c>
      <c r="L2979" t="s">
        <v>147</v>
      </c>
      <c r="M2979" t="s">
        <v>7881</v>
      </c>
      <c r="N2979" t="s">
        <v>7882</v>
      </c>
      <c r="O2979" t="s">
        <v>7883</v>
      </c>
      <c r="P2979" t="s">
        <v>7884</v>
      </c>
    </row>
    <row r="2980" spans="1:16" x14ac:dyDescent="0.35">
      <c r="A2980" t="s">
        <v>126</v>
      </c>
      <c r="B2980">
        <v>1704124000</v>
      </c>
      <c r="C2980" t="s">
        <v>18</v>
      </c>
      <c r="D2980" t="s">
        <v>20</v>
      </c>
      <c r="E2980" s="29">
        <v>46205</v>
      </c>
      <c r="F2980" t="s">
        <v>4</v>
      </c>
      <c r="G2980" s="28">
        <v>0.48333333333333334</v>
      </c>
      <c r="H2980" s="28">
        <v>0.48333333333333334</v>
      </c>
      <c r="I2980">
        <v>0</v>
      </c>
      <c r="J2980" t="s">
        <v>174</v>
      </c>
      <c r="K2980">
        <v>0</v>
      </c>
      <c r="L2980" t="s">
        <v>1936</v>
      </c>
      <c r="M2980" t="s">
        <v>7894</v>
      </c>
      <c r="N2980" t="s">
        <v>7895</v>
      </c>
      <c r="O2980" t="s">
        <v>7896</v>
      </c>
      <c r="P2980" t="s">
        <v>7897</v>
      </c>
    </row>
    <row r="2981" spans="1:16" x14ac:dyDescent="0.35">
      <c r="A2981" t="s">
        <v>126</v>
      </c>
      <c r="B2981">
        <v>1704124000</v>
      </c>
      <c r="C2981" t="s">
        <v>18</v>
      </c>
      <c r="D2981" t="s">
        <v>20</v>
      </c>
      <c r="E2981" s="29">
        <v>46205</v>
      </c>
      <c r="F2981" t="s">
        <v>4</v>
      </c>
      <c r="G2981" s="28">
        <v>0.49027777777777776</v>
      </c>
      <c r="H2981" s="28">
        <v>0.49722222222222223</v>
      </c>
      <c r="I2981">
        <v>0</v>
      </c>
      <c r="J2981" t="s">
        <v>146</v>
      </c>
      <c r="K2981">
        <v>1</v>
      </c>
      <c r="L2981" t="s">
        <v>147</v>
      </c>
      <c r="M2981" t="s">
        <v>7881</v>
      </c>
      <c r="N2981" t="s">
        <v>7882</v>
      </c>
      <c r="O2981" t="s">
        <v>7883</v>
      </c>
      <c r="P2981" t="s">
        <v>7884</v>
      </c>
    </row>
    <row r="2982" spans="1:16" x14ac:dyDescent="0.35">
      <c r="A2982" t="s">
        <v>126</v>
      </c>
      <c r="B2982">
        <v>1704124000</v>
      </c>
      <c r="C2982" t="s">
        <v>18</v>
      </c>
      <c r="D2982" t="s">
        <v>20</v>
      </c>
      <c r="E2982" s="29">
        <v>46205</v>
      </c>
      <c r="F2982" t="s">
        <v>4</v>
      </c>
      <c r="G2982" s="28">
        <v>0.50416666666666665</v>
      </c>
      <c r="H2982" s="28">
        <v>0.53194444444444444</v>
      </c>
      <c r="I2982">
        <v>1</v>
      </c>
      <c r="J2982" t="s">
        <v>146</v>
      </c>
      <c r="K2982">
        <v>2</v>
      </c>
      <c r="L2982" t="s">
        <v>147</v>
      </c>
      <c r="M2982" t="s">
        <v>7894</v>
      </c>
      <c r="N2982" t="s">
        <v>7895</v>
      </c>
      <c r="O2982" t="s">
        <v>7896</v>
      </c>
      <c r="P2982" t="s">
        <v>7897</v>
      </c>
    </row>
    <row r="2983" spans="1:16" x14ac:dyDescent="0.35">
      <c r="A2983" t="s">
        <v>126</v>
      </c>
      <c r="B2983">
        <v>1704124000</v>
      </c>
      <c r="C2983" t="s">
        <v>18</v>
      </c>
      <c r="D2983" t="s">
        <v>20</v>
      </c>
      <c r="E2983" s="29">
        <v>46205</v>
      </c>
      <c r="F2983" t="s">
        <v>4</v>
      </c>
      <c r="G2983" s="28">
        <v>0.53888888888888886</v>
      </c>
      <c r="H2983" s="28">
        <v>0.53888888888888886</v>
      </c>
      <c r="I2983">
        <v>0</v>
      </c>
      <c r="J2983" t="s">
        <v>174</v>
      </c>
      <c r="K2983">
        <v>0</v>
      </c>
      <c r="L2983" t="s">
        <v>1936</v>
      </c>
      <c r="M2983" t="s">
        <v>7881</v>
      </c>
      <c r="N2983" t="s">
        <v>7882</v>
      </c>
      <c r="O2983" t="s">
        <v>7883</v>
      </c>
      <c r="P2983" t="s">
        <v>7884</v>
      </c>
    </row>
    <row r="2984" spans="1:16" x14ac:dyDescent="0.35">
      <c r="A2984" t="s">
        <v>126</v>
      </c>
      <c r="B2984">
        <v>1704124000</v>
      </c>
      <c r="C2984" t="s">
        <v>18</v>
      </c>
      <c r="D2984" t="s">
        <v>20</v>
      </c>
      <c r="E2984" s="29">
        <v>46205</v>
      </c>
      <c r="F2984" t="s">
        <v>4</v>
      </c>
      <c r="G2984" s="28">
        <v>0.54583333333333328</v>
      </c>
      <c r="H2984" s="28">
        <v>0.56666666666666665</v>
      </c>
      <c r="I2984">
        <v>1</v>
      </c>
      <c r="J2984" t="s">
        <v>146</v>
      </c>
      <c r="K2984">
        <v>2</v>
      </c>
      <c r="L2984" t="s">
        <v>147</v>
      </c>
      <c r="M2984" t="s">
        <v>7894</v>
      </c>
      <c r="N2984" t="s">
        <v>7895</v>
      </c>
      <c r="O2984" t="s">
        <v>7896</v>
      </c>
      <c r="P2984" t="s">
        <v>7897</v>
      </c>
    </row>
    <row r="2985" spans="1:16" x14ac:dyDescent="0.35">
      <c r="A2985" t="s">
        <v>126</v>
      </c>
      <c r="B2985">
        <v>1704124000</v>
      </c>
      <c r="C2985" t="s">
        <v>18</v>
      </c>
      <c r="D2985" t="s">
        <v>20</v>
      </c>
      <c r="E2985" s="29">
        <v>46205</v>
      </c>
      <c r="F2985" t="s">
        <v>4</v>
      </c>
      <c r="G2985" s="28">
        <v>0.57361111111111107</v>
      </c>
      <c r="H2985" s="28">
        <v>0.57361111111111107</v>
      </c>
      <c r="I2985">
        <v>0</v>
      </c>
      <c r="J2985" t="s">
        <v>174</v>
      </c>
      <c r="K2985">
        <v>0</v>
      </c>
      <c r="L2985" t="s">
        <v>1936</v>
      </c>
      <c r="M2985" t="s">
        <v>7881</v>
      </c>
      <c r="N2985" t="s">
        <v>7882</v>
      </c>
      <c r="O2985" t="s">
        <v>7883</v>
      </c>
      <c r="P2985" t="s">
        <v>7884</v>
      </c>
    </row>
    <row r="2986" spans="1:16" x14ac:dyDescent="0.35">
      <c r="A2986" t="s">
        <v>126</v>
      </c>
      <c r="B2986">
        <v>1704124000</v>
      </c>
      <c r="C2986" t="s">
        <v>18</v>
      </c>
      <c r="D2986" t="s">
        <v>20</v>
      </c>
      <c r="E2986" s="29">
        <v>46205</v>
      </c>
      <c r="F2986" t="s">
        <v>4</v>
      </c>
      <c r="G2986" s="28">
        <v>0.5805555555555556</v>
      </c>
      <c r="H2986" s="28">
        <v>0.5805555555555556</v>
      </c>
      <c r="I2986">
        <v>0</v>
      </c>
      <c r="J2986" t="s">
        <v>174</v>
      </c>
      <c r="K2986">
        <v>0</v>
      </c>
      <c r="L2986" t="s">
        <v>1936</v>
      </c>
      <c r="M2986" t="s">
        <v>7894</v>
      </c>
      <c r="N2986" t="s">
        <v>7895</v>
      </c>
      <c r="O2986" t="s">
        <v>7896</v>
      </c>
      <c r="P2986" t="s">
        <v>7897</v>
      </c>
    </row>
    <row r="2987" spans="1:16" x14ac:dyDescent="0.35">
      <c r="A2987" t="s">
        <v>126</v>
      </c>
      <c r="B2987">
        <v>1704124000</v>
      </c>
      <c r="C2987" t="s">
        <v>18</v>
      </c>
      <c r="D2987" t="s">
        <v>20</v>
      </c>
      <c r="E2987" s="29">
        <v>46205</v>
      </c>
      <c r="F2987" t="s">
        <v>4</v>
      </c>
      <c r="G2987" s="28">
        <v>0.58750000000000002</v>
      </c>
      <c r="H2987" s="28">
        <v>0.58750000000000002</v>
      </c>
      <c r="I2987">
        <v>0</v>
      </c>
      <c r="J2987" t="s">
        <v>174</v>
      </c>
      <c r="K2987">
        <v>0</v>
      </c>
      <c r="L2987" t="s">
        <v>1936</v>
      </c>
      <c r="M2987" t="s">
        <v>7881</v>
      </c>
      <c r="N2987" t="s">
        <v>7882</v>
      </c>
      <c r="O2987" t="s">
        <v>7883</v>
      </c>
      <c r="P2987" t="s">
        <v>7884</v>
      </c>
    </row>
    <row r="2988" spans="1:16" x14ac:dyDescent="0.35">
      <c r="A2988" t="s">
        <v>126</v>
      </c>
      <c r="B2988">
        <v>1704124000</v>
      </c>
      <c r="C2988" t="s">
        <v>18</v>
      </c>
      <c r="D2988" t="s">
        <v>20</v>
      </c>
      <c r="E2988" s="29">
        <v>46205</v>
      </c>
      <c r="F2988" t="s">
        <v>4</v>
      </c>
      <c r="G2988" s="28">
        <v>0.59444444444444444</v>
      </c>
      <c r="H2988" s="28">
        <v>0.59444444444444444</v>
      </c>
      <c r="I2988">
        <v>0</v>
      </c>
      <c r="J2988" t="s">
        <v>174</v>
      </c>
      <c r="K2988">
        <v>0</v>
      </c>
      <c r="L2988" t="s">
        <v>1936</v>
      </c>
      <c r="M2988" t="s">
        <v>7894</v>
      </c>
      <c r="N2988" t="s">
        <v>7895</v>
      </c>
      <c r="O2988" t="s">
        <v>7896</v>
      </c>
      <c r="P2988" t="s">
        <v>7897</v>
      </c>
    </row>
    <row r="2989" spans="1:16" x14ac:dyDescent="0.35">
      <c r="A2989" t="s">
        <v>126</v>
      </c>
      <c r="B2989">
        <v>1704124000</v>
      </c>
      <c r="C2989" t="s">
        <v>18</v>
      </c>
      <c r="D2989" t="s">
        <v>20</v>
      </c>
      <c r="E2989" s="29">
        <v>46205</v>
      </c>
      <c r="F2989" t="s">
        <v>4</v>
      </c>
      <c r="G2989" s="28">
        <v>0.60138888888888886</v>
      </c>
      <c r="H2989" s="28">
        <v>0.60138888888888886</v>
      </c>
      <c r="I2989">
        <v>0</v>
      </c>
      <c r="J2989" t="s">
        <v>174</v>
      </c>
      <c r="K2989">
        <v>0</v>
      </c>
      <c r="L2989" t="s">
        <v>1936</v>
      </c>
      <c r="M2989" t="s">
        <v>7881</v>
      </c>
      <c r="N2989" t="s">
        <v>7882</v>
      </c>
      <c r="O2989" t="s">
        <v>7883</v>
      </c>
      <c r="P2989" t="s">
        <v>7884</v>
      </c>
    </row>
    <row r="2990" spans="1:16" x14ac:dyDescent="0.35">
      <c r="A2990" t="s">
        <v>126</v>
      </c>
      <c r="B2990">
        <v>1704124000</v>
      </c>
      <c r="C2990" t="s">
        <v>18</v>
      </c>
      <c r="D2990" t="s">
        <v>20</v>
      </c>
      <c r="E2990" s="29">
        <v>46205</v>
      </c>
      <c r="F2990" t="s">
        <v>4</v>
      </c>
      <c r="G2990" s="28">
        <v>0.60833333333333328</v>
      </c>
      <c r="H2990" s="28">
        <v>0.60833333333333328</v>
      </c>
      <c r="I2990">
        <v>0</v>
      </c>
      <c r="J2990" t="s">
        <v>174</v>
      </c>
      <c r="K2990">
        <v>0</v>
      </c>
      <c r="L2990" t="s">
        <v>1936</v>
      </c>
      <c r="M2990" t="s">
        <v>7894</v>
      </c>
      <c r="N2990" t="s">
        <v>7895</v>
      </c>
      <c r="O2990" t="s">
        <v>7896</v>
      </c>
      <c r="P2990" t="s">
        <v>7897</v>
      </c>
    </row>
    <row r="2991" spans="1:16" x14ac:dyDescent="0.35">
      <c r="A2991" t="s">
        <v>126</v>
      </c>
      <c r="B2991">
        <v>1704124000</v>
      </c>
      <c r="C2991" t="s">
        <v>18</v>
      </c>
      <c r="D2991" t="s">
        <v>20</v>
      </c>
      <c r="E2991" s="29">
        <v>46205</v>
      </c>
      <c r="F2991" t="s">
        <v>4</v>
      </c>
      <c r="G2991" s="28">
        <v>0.61527777777777781</v>
      </c>
      <c r="H2991" s="28">
        <v>0.61527777777777781</v>
      </c>
      <c r="I2991">
        <v>0</v>
      </c>
      <c r="J2991" t="s">
        <v>174</v>
      </c>
      <c r="K2991">
        <v>0</v>
      </c>
      <c r="L2991" t="s">
        <v>1936</v>
      </c>
      <c r="M2991" t="s">
        <v>7881</v>
      </c>
      <c r="N2991" t="s">
        <v>7882</v>
      </c>
      <c r="O2991" t="s">
        <v>7883</v>
      </c>
      <c r="P2991" t="s">
        <v>7884</v>
      </c>
    </row>
    <row r="2992" spans="1:16" x14ac:dyDescent="0.35">
      <c r="A2992" t="s">
        <v>126</v>
      </c>
      <c r="B2992">
        <v>1704124000</v>
      </c>
      <c r="C2992" t="s">
        <v>18</v>
      </c>
      <c r="D2992" t="s">
        <v>20</v>
      </c>
      <c r="E2992" s="29">
        <v>46205</v>
      </c>
      <c r="F2992" t="s">
        <v>4</v>
      </c>
      <c r="G2992" s="28">
        <v>0.62222222222222223</v>
      </c>
      <c r="H2992" s="28">
        <v>0.62222222222222223</v>
      </c>
      <c r="I2992">
        <v>0</v>
      </c>
      <c r="J2992" t="s">
        <v>174</v>
      </c>
      <c r="K2992">
        <v>0</v>
      </c>
      <c r="L2992" t="s">
        <v>1936</v>
      </c>
      <c r="M2992" t="s">
        <v>7894</v>
      </c>
      <c r="N2992" t="s">
        <v>7895</v>
      </c>
      <c r="O2992" t="s">
        <v>7896</v>
      </c>
      <c r="P2992" t="s">
        <v>7897</v>
      </c>
    </row>
    <row r="2993" spans="1:16" x14ac:dyDescent="0.35">
      <c r="A2993" t="s">
        <v>126</v>
      </c>
      <c r="B2993">
        <v>1704124000</v>
      </c>
      <c r="C2993" t="s">
        <v>18</v>
      </c>
      <c r="D2993" t="s">
        <v>20</v>
      </c>
      <c r="E2993" s="29">
        <v>46205</v>
      </c>
      <c r="F2993" t="s">
        <v>4</v>
      </c>
      <c r="G2993" s="28">
        <v>0.62916666666666665</v>
      </c>
      <c r="H2993" s="28">
        <v>0.63611111111111107</v>
      </c>
      <c r="I2993">
        <v>0</v>
      </c>
      <c r="J2993" t="s">
        <v>146</v>
      </c>
      <c r="K2993">
        <v>0</v>
      </c>
      <c r="L2993" t="s">
        <v>147</v>
      </c>
      <c r="M2993" t="s">
        <v>7881</v>
      </c>
      <c r="N2993" t="s">
        <v>7882</v>
      </c>
      <c r="O2993" t="s">
        <v>7883</v>
      </c>
      <c r="P2993" t="s">
        <v>7884</v>
      </c>
    </row>
    <row r="2994" spans="1:16" x14ac:dyDescent="0.35">
      <c r="A2994" t="s">
        <v>126</v>
      </c>
      <c r="B2994">
        <v>1704124000</v>
      </c>
      <c r="C2994" t="s">
        <v>18</v>
      </c>
      <c r="D2994" t="s">
        <v>20</v>
      </c>
      <c r="E2994" s="29">
        <v>46205</v>
      </c>
      <c r="F2994" t="s">
        <v>4</v>
      </c>
      <c r="G2994" s="28">
        <v>0.6430555555555556</v>
      </c>
      <c r="H2994" s="28">
        <v>0.6430555555555556</v>
      </c>
      <c r="I2994">
        <v>0</v>
      </c>
      <c r="J2994" t="s">
        <v>174</v>
      </c>
      <c r="K2994">
        <v>0</v>
      </c>
      <c r="L2994" t="s">
        <v>1687</v>
      </c>
      <c r="M2994" t="s">
        <v>7902</v>
      </c>
      <c r="N2994" t="s">
        <v>7903</v>
      </c>
      <c r="O2994" t="s">
        <v>7904</v>
      </c>
      <c r="P2994" t="s">
        <v>7905</v>
      </c>
    </row>
    <row r="2995" spans="1:16" x14ac:dyDescent="0.35">
      <c r="A2995" t="s">
        <v>126</v>
      </c>
      <c r="B2995">
        <v>1704124000</v>
      </c>
      <c r="C2995" t="s">
        <v>18</v>
      </c>
      <c r="D2995" t="s">
        <v>20</v>
      </c>
      <c r="E2995" s="29">
        <v>46205</v>
      </c>
      <c r="F2995" t="s">
        <v>4</v>
      </c>
      <c r="G2995" s="28">
        <v>0.65694444444444444</v>
      </c>
      <c r="H2995" s="28">
        <v>0.65694444444444444</v>
      </c>
      <c r="I2995">
        <v>0</v>
      </c>
      <c r="J2995" t="s">
        <v>174</v>
      </c>
      <c r="K2995">
        <v>0</v>
      </c>
      <c r="L2995" t="s">
        <v>7906</v>
      </c>
      <c r="M2995" t="s">
        <v>7907</v>
      </c>
      <c r="N2995" t="s">
        <v>7908</v>
      </c>
      <c r="O2995" t="s">
        <v>7909</v>
      </c>
      <c r="P2995" t="s">
        <v>7910</v>
      </c>
    </row>
    <row r="2996" spans="1:16" x14ac:dyDescent="0.35">
      <c r="A2996" t="s">
        <v>126</v>
      </c>
      <c r="B2996">
        <v>1704124000</v>
      </c>
      <c r="C2996" t="s">
        <v>18</v>
      </c>
      <c r="D2996" t="s">
        <v>20</v>
      </c>
      <c r="E2996" s="29">
        <v>46205</v>
      </c>
      <c r="F2996" t="s">
        <v>4</v>
      </c>
      <c r="G2996" s="28">
        <v>0.66388888888888886</v>
      </c>
      <c r="H2996" s="28">
        <v>0.66388888888888886</v>
      </c>
      <c r="I2996">
        <v>0</v>
      </c>
      <c r="J2996" t="s">
        <v>174</v>
      </c>
      <c r="K2996">
        <v>0</v>
      </c>
      <c r="L2996" t="s">
        <v>7911</v>
      </c>
      <c r="M2996" t="s">
        <v>7912</v>
      </c>
      <c r="N2996" t="s">
        <v>7913</v>
      </c>
      <c r="O2996" t="s">
        <v>7914</v>
      </c>
      <c r="P2996" t="s">
        <v>7915</v>
      </c>
    </row>
    <row r="2997" spans="1:16" x14ac:dyDescent="0.35">
      <c r="A2997" t="s">
        <v>126</v>
      </c>
      <c r="B2997">
        <v>1704124000</v>
      </c>
      <c r="C2997" t="s">
        <v>18</v>
      </c>
      <c r="D2997" t="s">
        <v>20</v>
      </c>
      <c r="E2997" s="29">
        <v>46205</v>
      </c>
      <c r="F2997" t="s">
        <v>4</v>
      </c>
      <c r="G2997" s="28">
        <v>0.67083333333333328</v>
      </c>
      <c r="H2997" s="28">
        <v>0.67083333333333328</v>
      </c>
      <c r="I2997">
        <v>0</v>
      </c>
      <c r="J2997" t="s">
        <v>174</v>
      </c>
      <c r="K2997">
        <v>0</v>
      </c>
      <c r="L2997" t="s">
        <v>1574</v>
      </c>
      <c r="M2997" t="s">
        <v>7916</v>
      </c>
      <c r="N2997" t="s">
        <v>7917</v>
      </c>
      <c r="O2997" t="s">
        <v>7918</v>
      </c>
      <c r="P2997" t="s">
        <v>7919</v>
      </c>
    </row>
    <row r="2998" spans="1:16" x14ac:dyDescent="0.35">
      <c r="A2998" t="s">
        <v>126</v>
      </c>
      <c r="B2998">
        <v>1704124000</v>
      </c>
      <c r="C2998" t="s">
        <v>18</v>
      </c>
      <c r="D2998" t="s">
        <v>20</v>
      </c>
      <c r="E2998" s="29">
        <v>46205</v>
      </c>
      <c r="F2998" t="s">
        <v>4</v>
      </c>
      <c r="G2998" s="28">
        <v>0.67777777777777781</v>
      </c>
      <c r="H2998" s="28">
        <v>0.67777777777777781</v>
      </c>
      <c r="I2998">
        <v>0</v>
      </c>
      <c r="J2998" t="s">
        <v>174</v>
      </c>
      <c r="K2998">
        <v>0</v>
      </c>
      <c r="L2998" t="s">
        <v>3536</v>
      </c>
      <c r="M2998" t="s">
        <v>7920</v>
      </c>
      <c r="N2998" t="s">
        <v>7921</v>
      </c>
      <c r="O2998" t="s">
        <v>7922</v>
      </c>
      <c r="P2998" t="s">
        <v>7923</v>
      </c>
    </row>
    <row r="2999" spans="1:16" x14ac:dyDescent="0.35">
      <c r="A2999" t="s">
        <v>126</v>
      </c>
      <c r="B2999">
        <v>1704124000</v>
      </c>
      <c r="C2999" t="s">
        <v>18</v>
      </c>
      <c r="D2999" t="s">
        <v>20</v>
      </c>
      <c r="E2999" s="29">
        <v>46205</v>
      </c>
      <c r="F2999" t="s">
        <v>4</v>
      </c>
      <c r="G2999" s="28">
        <v>0.68472222222222223</v>
      </c>
      <c r="H2999" s="28">
        <v>0.68472222222222223</v>
      </c>
      <c r="I2999">
        <v>0</v>
      </c>
      <c r="J2999" t="s">
        <v>174</v>
      </c>
      <c r="K2999">
        <v>0</v>
      </c>
      <c r="L2999" t="s">
        <v>3241</v>
      </c>
      <c r="M2999" t="s">
        <v>7924</v>
      </c>
      <c r="N2999" t="s">
        <v>7925</v>
      </c>
      <c r="O2999" t="s">
        <v>7926</v>
      </c>
      <c r="P2999" t="s">
        <v>7927</v>
      </c>
    </row>
    <row r="3000" spans="1:16" x14ac:dyDescent="0.35">
      <c r="A3000" t="s">
        <v>126</v>
      </c>
      <c r="B3000">
        <v>1704124000</v>
      </c>
      <c r="C3000" t="s">
        <v>18</v>
      </c>
      <c r="D3000" t="s">
        <v>20</v>
      </c>
      <c r="E3000" s="29">
        <v>46205</v>
      </c>
      <c r="F3000" t="s">
        <v>4</v>
      </c>
      <c r="G3000" s="28">
        <v>0.69166666666666665</v>
      </c>
      <c r="H3000" s="28">
        <v>0.69166666666666665</v>
      </c>
      <c r="I3000">
        <v>0</v>
      </c>
      <c r="J3000" t="s">
        <v>174</v>
      </c>
      <c r="K3000">
        <v>0</v>
      </c>
      <c r="L3000" t="s">
        <v>2953</v>
      </c>
      <c r="M3000" t="s">
        <v>7928</v>
      </c>
      <c r="N3000" t="s">
        <v>7929</v>
      </c>
      <c r="O3000" t="s">
        <v>7930</v>
      </c>
      <c r="P3000" t="s">
        <v>7931</v>
      </c>
    </row>
    <row r="3001" spans="1:16" x14ac:dyDescent="0.35">
      <c r="A3001" t="s">
        <v>126</v>
      </c>
      <c r="B3001">
        <v>1704124000</v>
      </c>
      <c r="C3001" t="s">
        <v>18</v>
      </c>
      <c r="D3001" t="s">
        <v>20</v>
      </c>
      <c r="E3001" s="29">
        <v>46205</v>
      </c>
      <c r="F3001" t="s">
        <v>4</v>
      </c>
      <c r="G3001" s="28">
        <v>0.69861111111111107</v>
      </c>
      <c r="H3001" s="28">
        <v>0.83750000000000002</v>
      </c>
      <c r="I3001">
        <v>3</v>
      </c>
      <c r="J3001" t="s">
        <v>146</v>
      </c>
      <c r="K3001">
        <v>10</v>
      </c>
      <c r="L3001" t="s">
        <v>147</v>
      </c>
      <c r="M3001" t="s">
        <v>7932</v>
      </c>
      <c r="N3001" t="s">
        <v>7933</v>
      </c>
      <c r="O3001" t="s">
        <v>7934</v>
      </c>
      <c r="P3001" t="s">
        <v>7935</v>
      </c>
    </row>
    <row r="3002" spans="1:16" x14ac:dyDescent="0.35">
      <c r="A3002" t="s">
        <v>126</v>
      </c>
      <c r="B3002">
        <v>1704124000</v>
      </c>
      <c r="C3002" t="s">
        <v>18</v>
      </c>
      <c r="D3002" t="s">
        <v>20</v>
      </c>
      <c r="E3002" s="29">
        <v>46207</v>
      </c>
      <c r="F3002" t="s">
        <v>5</v>
      </c>
      <c r="G3002" s="28">
        <v>0.37916666666666665</v>
      </c>
      <c r="H3002" s="28">
        <v>0.37916666666666665</v>
      </c>
      <c r="I3002">
        <v>0</v>
      </c>
      <c r="J3002" t="s">
        <v>174</v>
      </c>
      <c r="K3002">
        <v>0</v>
      </c>
      <c r="L3002" t="s">
        <v>1936</v>
      </c>
      <c r="M3002" t="s">
        <v>7894</v>
      </c>
      <c r="N3002" t="s">
        <v>7895</v>
      </c>
      <c r="O3002" t="s">
        <v>7896</v>
      </c>
      <c r="P3002" t="s">
        <v>7897</v>
      </c>
    </row>
    <row r="3003" spans="1:16" x14ac:dyDescent="0.35">
      <c r="A3003" t="s">
        <v>126</v>
      </c>
      <c r="B3003">
        <v>1704124000</v>
      </c>
      <c r="C3003" t="s">
        <v>18</v>
      </c>
      <c r="D3003" t="s">
        <v>20</v>
      </c>
      <c r="E3003" s="29">
        <v>46207</v>
      </c>
      <c r="F3003" t="s">
        <v>5</v>
      </c>
      <c r="G3003" s="28">
        <v>0.38611111111111113</v>
      </c>
      <c r="H3003" s="28">
        <v>0.39305555555555555</v>
      </c>
      <c r="I3003">
        <v>0</v>
      </c>
      <c r="J3003" t="s">
        <v>146</v>
      </c>
      <c r="K3003">
        <v>0</v>
      </c>
      <c r="L3003" t="s">
        <v>147</v>
      </c>
      <c r="M3003" t="s">
        <v>7881</v>
      </c>
      <c r="N3003" t="s">
        <v>7882</v>
      </c>
      <c r="O3003" t="s">
        <v>7883</v>
      </c>
      <c r="P3003" t="s">
        <v>7884</v>
      </c>
    </row>
    <row r="3004" spans="1:16" x14ac:dyDescent="0.35">
      <c r="A3004" t="s">
        <v>126</v>
      </c>
      <c r="B3004">
        <v>1704124000</v>
      </c>
      <c r="C3004" t="s">
        <v>18</v>
      </c>
      <c r="D3004" t="s">
        <v>20</v>
      </c>
      <c r="E3004" s="29">
        <v>46207</v>
      </c>
      <c r="F3004" t="s">
        <v>5</v>
      </c>
      <c r="G3004" s="28">
        <v>0.4</v>
      </c>
      <c r="H3004" s="28">
        <v>0.4</v>
      </c>
      <c r="I3004">
        <v>0</v>
      </c>
      <c r="J3004" t="s">
        <v>174</v>
      </c>
      <c r="K3004">
        <v>0</v>
      </c>
      <c r="L3004" t="s">
        <v>1936</v>
      </c>
      <c r="M3004" t="s">
        <v>7894</v>
      </c>
      <c r="N3004" t="s">
        <v>7895</v>
      </c>
      <c r="O3004" t="s">
        <v>7896</v>
      </c>
      <c r="P3004" t="s">
        <v>7897</v>
      </c>
    </row>
    <row r="3005" spans="1:16" x14ac:dyDescent="0.35">
      <c r="A3005" t="s">
        <v>126</v>
      </c>
      <c r="B3005">
        <v>1704124000</v>
      </c>
      <c r="C3005" t="s">
        <v>18</v>
      </c>
      <c r="D3005" t="s">
        <v>20</v>
      </c>
      <c r="E3005" s="29">
        <v>46207</v>
      </c>
      <c r="F3005" t="s">
        <v>5</v>
      </c>
      <c r="G3005" s="28">
        <v>0.40694444444444444</v>
      </c>
      <c r="H3005" s="28">
        <v>0.41388888888888886</v>
      </c>
      <c r="I3005">
        <v>0</v>
      </c>
      <c r="J3005" t="s">
        <v>146</v>
      </c>
      <c r="K3005">
        <v>0</v>
      </c>
      <c r="L3005" t="s">
        <v>147</v>
      </c>
      <c r="M3005" t="s">
        <v>7881</v>
      </c>
      <c r="N3005" t="s">
        <v>7882</v>
      </c>
      <c r="O3005" t="s">
        <v>7883</v>
      </c>
      <c r="P3005" t="s">
        <v>7884</v>
      </c>
    </row>
    <row r="3006" spans="1:16" x14ac:dyDescent="0.35">
      <c r="A3006" t="s">
        <v>126</v>
      </c>
      <c r="B3006">
        <v>1704124000</v>
      </c>
      <c r="C3006" t="s">
        <v>18</v>
      </c>
      <c r="D3006" t="s">
        <v>20</v>
      </c>
      <c r="E3006" s="29">
        <v>46207</v>
      </c>
      <c r="F3006" t="s">
        <v>5</v>
      </c>
      <c r="G3006" s="28">
        <v>0.42083333333333334</v>
      </c>
      <c r="H3006" s="28">
        <v>0.43472222222222223</v>
      </c>
      <c r="I3006">
        <v>0</v>
      </c>
      <c r="J3006" t="s">
        <v>146</v>
      </c>
      <c r="K3006">
        <v>1</v>
      </c>
      <c r="L3006" t="s">
        <v>147</v>
      </c>
      <c r="M3006" t="s">
        <v>7894</v>
      </c>
      <c r="N3006" t="s">
        <v>7895</v>
      </c>
      <c r="O3006" t="s">
        <v>7896</v>
      </c>
      <c r="P3006" t="s">
        <v>7897</v>
      </c>
    </row>
    <row r="3007" spans="1:16" x14ac:dyDescent="0.35">
      <c r="A3007" t="s">
        <v>126</v>
      </c>
      <c r="B3007">
        <v>1704124000</v>
      </c>
      <c r="C3007" t="s">
        <v>18</v>
      </c>
      <c r="D3007" t="s">
        <v>20</v>
      </c>
      <c r="E3007" s="29">
        <v>46207</v>
      </c>
      <c r="F3007" t="s">
        <v>5</v>
      </c>
      <c r="G3007" s="28">
        <v>0.44166666666666665</v>
      </c>
      <c r="H3007" s="28">
        <v>0.44861111111111113</v>
      </c>
      <c r="I3007">
        <v>0</v>
      </c>
      <c r="J3007" t="s">
        <v>146</v>
      </c>
      <c r="K3007">
        <v>1</v>
      </c>
      <c r="L3007" t="s">
        <v>147</v>
      </c>
      <c r="M3007" t="s">
        <v>7881</v>
      </c>
      <c r="N3007" t="s">
        <v>7882</v>
      </c>
      <c r="O3007" t="s">
        <v>7883</v>
      </c>
      <c r="P3007" t="s">
        <v>7884</v>
      </c>
    </row>
    <row r="3008" spans="1:16" x14ac:dyDescent="0.35">
      <c r="A3008" t="s">
        <v>126</v>
      </c>
      <c r="B3008">
        <v>1704124000</v>
      </c>
      <c r="C3008" t="s">
        <v>18</v>
      </c>
      <c r="D3008" t="s">
        <v>20</v>
      </c>
      <c r="E3008" s="29">
        <v>46207</v>
      </c>
      <c r="F3008" t="s">
        <v>5</v>
      </c>
      <c r="G3008" s="28">
        <v>0.45555555555555555</v>
      </c>
      <c r="H3008" s="28">
        <v>0.52500000000000002</v>
      </c>
      <c r="I3008">
        <v>2</v>
      </c>
      <c r="J3008" t="s">
        <v>146</v>
      </c>
      <c r="K3008">
        <v>5</v>
      </c>
      <c r="L3008" t="s">
        <v>147</v>
      </c>
      <c r="M3008" t="s">
        <v>7894</v>
      </c>
      <c r="N3008" t="s">
        <v>7895</v>
      </c>
      <c r="O3008" t="s">
        <v>7896</v>
      </c>
      <c r="P3008" t="s">
        <v>7897</v>
      </c>
    </row>
    <row r="3009" spans="1:16" x14ac:dyDescent="0.35">
      <c r="A3009" t="s">
        <v>126</v>
      </c>
      <c r="B3009">
        <v>1704124000</v>
      </c>
      <c r="C3009" t="s">
        <v>18</v>
      </c>
      <c r="D3009" t="s">
        <v>20</v>
      </c>
      <c r="E3009" s="29">
        <v>46207</v>
      </c>
      <c r="F3009" t="s">
        <v>5</v>
      </c>
      <c r="G3009" s="28">
        <v>0.53194444444444444</v>
      </c>
      <c r="H3009" s="28">
        <v>0.53194444444444444</v>
      </c>
      <c r="I3009">
        <v>0</v>
      </c>
      <c r="J3009" t="s">
        <v>174</v>
      </c>
      <c r="K3009">
        <v>0</v>
      </c>
      <c r="L3009" t="s">
        <v>1936</v>
      </c>
      <c r="M3009" t="s">
        <v>7881</v>
      </c>
      <c r="N3009" t="s">
        <v>7882</v>
      </c>
      <c r="O3009" t="s">
        <v>7883</v>
      </c>
      <c r="P3009" t="s">
        <v>7884</v>
      </c>
    </row>
    <row r="3010" spans="1:16" x14ac:dyDescent="0.35">
      <c r="A3010" t="s">
        <v>126</v>
      </c>
      <c r="B3010">
        <v>1704124000</v>
      </c>
      <c r="C3010" t="s">
        <v>18</v>
      </c>
      <c r="D3010" t="s">
        <v>20</v>
      </c>
      <c r="E3010" s="29">
        <v>46207</v>
      </c>
      <c r="F3010" t="s">
        <v>5</v>
      </c>
      <c r="G3010" s="28">
        <v>0.53888888888888886</v>
      </c>
      <c r="H3010" s="28">
        <v>0.59444444444444444</v>
      </c>
      <c r="I3010">
        <v>1</v>
      </c>
      <c r="J3010" t="s">
        <v>146</v>
      </c>
      <c r="K3010">
        <v>4</v>
      </c>
      <c r="L3010" t="s">
        <v>147</v>
      </c>
      <c r="M3010" t="s">
        <v>7894</v>
      </c>
      <c r="N3010" t="s">
        <v>7895</v>
      </c>
      <c r="O3010" t="s">
        <v>7896</v>
      </c>
      <c r="P3010" t="s">
        <v>7897</v>
      </c>
    </row>
    <row r="3011" spans="1:16" x14ac:dyDescent="0.35">
      <c r="A3011" t="s">
        <v>126</v>
      </c>
      <c r="B3011">
        <v>1704124000</v>
      </c>
      <c r="C3011" t="s">
        <v>18</v>
      </c>
      <c r="D3011" t="s">
        <v>20</v>
      </c>
      <c r="E3011" s="29">
        <v>46207</v>
      </c>
      <c r="F3011" t="s">
        <v>5</v>
      </c>
      <c r="G3011" s="28">
        <v>0.60138888888888886</v>
      </c>
      <c r="H3011" s="28">
        <v>0.60138888888888886</v>
      </c>
      <c r="I3011">
        <v>0</v>
      </c>
      <c r="J3011" t="s">
        <v>174</v>
      </c>
      <c r="K3011">
        <v>0</v>
      </c>
      <c r="L3011" t="s">
        <v>1936</v>
      </c>
      <c r="M3011" t="s">
        <v>7881</v>
      </c>
      <c r="N3011" t="s">
        <v>7882</v>
      </c>
      <c r="O3011" t="s">
        <v>7883</v>
      </c>
      <c r="P3011" t="s">
        <v>7884</v>
      </c>
    </row>
    <row r="3012" spans="1:16" x14ac:dyDescent="0.35">
      <c r="A3012" t="s">
        <v>126</v>
      </c>
      <c r="B3012">
        <v>1704124000</v>
      </c>
      <c r="C3012" t="s">
        <v>18</v>
      </c>
      <c r="D3012" t="s">
        <v>20</v>
      </c>
      <c r="E3012" s="29">
        <v>46207</v>
      </c>
      <c r="F3012" t="s">
        <v>5</v>
      </c>
      <c r="G3012" s="28">
        <v>0.60833333333333328</v>
      </c>
      <c r="H3012" s="28">
        <v>0.72638888888888886</v>
      </c>
      <c r="I3012">
        <v>3</v>
      </c>
      <c r="J3012" t="s">
        <v>146</v>
      </c>
      <c r="K3012">
        <v>8</v>
      </c>
      <c r="L3012" t="s">
        <v>147</v>
      </c>
      <c r="M3012" t="s">
        <v>7894</v>
      </c>
      <c r="N3012" t="s">
        <v>7895</v>
      </c>
      <c r="O3012" t="s">
        <v>7896</v>
      </c>
      <c r="P3012" t="s">
        <v>7897</v>
      </c>
    </row>
    <row r="3013" spans="1:16" x14ac:dyDescent="0.35">
      <c r="A3013" t="s">
        <v>126</v>
      </c>
      <c r="B3013">
        <v>1704124000</v>
      </c>
      <c r="C3013" t="s">
        <v>18</v>
      </c>
      <c r="D3013" t="s">
        <v>20</v>
      </c>
      <c r="E3013" s="29">
        <v>46207</v>
      </c>
      <c r="F3013" t="s">
        <v>5</v>
      </c>
      <c r="G3013" s="28">
        <v>0.73333333333333328</v>
      </c>
      <c r="H3013" s="28">
        <v>0.75416666666666665</v>
      </c>
      <c r="I3013">
        <v>1</v>
      </c>
      <c r="J3013" t="s">
        <v>146</v>
      </c>
      <c r="K3013">
        <v>2</v>
      </c>
      <c r="L3013" t="s">
        <v>147</v>
      </c>
      <c r="M3013" t="s">
        <v>7881</v>
      </c>
      <c r="N3013" t="s">
        <v>7882</v>
      </c>
      <c r="O3013" t="s">
        <v>7883</v>
      </c>
      <c r="P3013" t="s">
        <v>7884</v>
      </c>
    </row>
    <row r="3014" spans="1:16" x14ac:dyDescent="0.35">
      <c r="A3014" t="s">
        <v>126</v>
      </c>
      <c r="B3014">
        <v>1704124000</v>
      </c>
      <c r="C3014" t="s">
        <v>18</v>
      </c>
      <c r="D3014" t="s">
        <v>20</v>
      </c>
      <c r="E3014" s="29">
        <v>46207</v>
      </c>
      <c r="F3014" t="s">
        <v>5</v>
      </c>
      <c r="G3014" s="28">
        <v>0.76111111111111107</v>
      </c>
      <c r="H3014" s="28">
        <v>0.78194444444444444</v>
      </c>
      <c r="I3014">
        <v>1</v>
      </c>
      <c r="J3014" t="s">
        <v>146</v>
      </c>
      <c r="K3014">
        <v>2</v>
      </c>
      <c r="L3014" t="s">
        <v>147</v>
      </c>
      <c r="M3014" t="s">
        <v>7894</v>
      </c>
      <c r="N3014" t="s">
        <v>7895</v>
      </c>
      <c r="O3014" t="s">
        <v>7896</v>
      </c>
      <c r="P3014" t="s">
        <v>7897</v>
      </c>
    </row>
    <row r="3015" spans="1:16" x14ac:dyDescent="0.35">
      <c r="A3015" t="s">
        <v>126</v>
      </c>
      <c r="B3015">
        <v>1704124000</v>
      </c>
      <c r="C3015" t="s">
        <v>18</v>
      </c>
      <c r="D3015" t="s">
        <v>20</v>
      </c>
      <c r="E3015" s="29">
        <v>46207</v>
      </c>
      <c r="F3015" t="s">
        <v>5</v>
      </c>
      <c r="G3015" s="28">
        <v>0.78888888888888886</v>
      </c>
      <c r="H3015" s="28">
        <v>0.79583333333333328</v>
      </c>
      <c r="I3015">
        <v>0</v>
      </c>
      <c r="J3015" t="s">
        <v>146</v>
      </c>
      <c r="K3015">
        <v>0</v>
      </c>
      <c r="L3015" t="s">
        <v>147</v>
      </c>
      <c r="M3015" t="s">
        <v>7881</v>
      </c>
      <c r="N3015" t="s">
        <v>7882</v>
      </c>
      <c r="O3015" t="s">
        <v>7883</v>
      </c>
      <c r="P3015" t="s">
        <v>7884</v>
      </c>
    </row>
    <row r="3016" spans="1:16" x14ac:dyDescent="0.35">
      <c r="A3016" t="s">
        <v>126</v>
      </c>
      <c r="B3016">
        <v>1704124000</v>
      </c>
      <c r="C3016" t="s">
        <v>18</v>
      </c>
      <c r="D3016" t="s">
        <v>20</v>
      </c>
      <c r="E3016" s="29">
        <v>46208</v>
      </c>
      <c r="F3016" t="s">
        <v>6</v>
      </c>
      <c r="G3016" s="28">
        <v>0.37916666666666665</v>
      </c>
      <c r="H3016" s="28">
        <v>0.37916666666666665</v>
      </c>
      <c r="I3016">
        <v>0</v>
      </c>
      <c r="J3016" t="s">
        <v>174</v>
      </c>
      <c r="K3016">
        <v>0</v>
      </c>
      <c r="L3016" t="s">
        <v>1936</v>
      </c>
      <c r="M3016" t="s">
        <v>7894</v>
      </c>
      <c r="N3016" t="s">
        <v>7895</v>
      </c>
      <c r="O3016" t="s">
        <v>7896</v>
      </c>
      <c r="P3016" t="s">
        <v>7897</v>
      </c>
    </row>
    <row r="3017" spans="1:16" x14ac:dyDescent="0.35">
      <c r="A3017" t="s">
        <v>126</v>
      </c>
      <c r="B3017">
        <v>1704124000</v>
      </c>
      <c r="C3017" t="s">
        <v>18</v>
      </c>
      <c r="D3017" t="s">
        <v>20</v>
      </c>
      <c r="E3017" s="29">
        <v>46208</v>
      </c>
      <c r="F3017" t="s">
        <v>6</v>
      </c>
      <c r="G3017" s="28">
        <v>0.38611111111111113</v>
      </c>
      <c r="H3017" s="28">
        <v>0.39305555555555555</v>
      </c>
      <c r="I3017">
        <v>0</v>
      </c>
      <c r="J3017" t="s">
        <v>146</v>
      </c>
      <c r="K3017">
        <v>0</v>
      </c>
      <c r="L3017" t="s">
        <v>147</v>
      </c>
      <c r="M3017" t="s">
        <v>7881</v>
      </c>
      <c r="N3017" t="s">
        <v>7882</v>
      </c>
      <c r="O3017" t="s">
        <v>7883</v>
      </c>
      <c r="P3017" t="s">
        <v>7884</v>
      </c>
    </row>
    <row r="3018" spans="1:16" x14ac:dyDescent="0.35">
      <c r="A3018" t="s">
        <v>126</v>
      </c>
      <c r="B3018">
        <v>1704124000</v>
      </c>
      <c r="C3018" t="s">
        <v>18</v>
      </c>
      <c r="D3018" t="s">
        <v>20</v>
      </c>
      <c r="E3018" s="29">
        <v>46208</v>
      </c>
      <c r="F3018" t="s">
        <v>6</v>
      </c>
      <c r="G3018" s="28">
        <v>0.4</v>
      </c>
      <c r="H3018" s="28">
        <v>0.44166666666666665</v>
      </c>
      <c r="I3018">
        <v>1</v>
      </c>
      <c r="J3018" t="s">
        <v>146</v>
      </c>
      <c r="K3018">
        <v>3</v>
      </c>
      <c r="L3018" t="s">
        <v>147</v>
      </c>
      <c r="M3018" t="s">
        <v>7894</v>
      </c>
      <c r="N3018" t="s">
        <v>7895</v>
      </c>
      <c r="O3018" t="s">
        <v>7896</v>
      </c>
      <c r="P3018" t="s">
        <v>7897</v>
      </c>
    </row>
    <row r="3019" spans="1:16" x14ac:dyDescent="0.35">
      <c r="A3019" t="s">
        <v>126</v>
      </c>
      <c r="B3019">
        <v>1704124000</v>
      </c>
      <c r="C3019" t="s">
        <v>18</v>
      </c>
      <c r="D3019" t="s">
        <v>20</v>
      </c>
      <c r="E3019" s="29">
        <v>46208</v>
      </c>
      <c r="F3019" t="s">
        <v>6</v>
      </c>
      <c r="G3019" s="28">
        <v>0.44861111111111113</v>
      </c>
      <c r="H3019" s="28">
        <v>0.44861111111111113</v>
      </c>
      <c r="I3019">
        <v>0</v>
      </c>
      <c r="J3019" t="s">
        <v>174</v>
      </c>
      <c r="K3019">
        <v>0</v>
      </c>
      <c r="L3019" t="s">
        <v>1936</v>
      </c>
      <c r="M3019" t="s">
        <v>7881</v>
      </c>
      <c r="N3019" t="s">
        <v>7882</v>
      </c>
      <c r="O3019" t="s">
        <v>7883</v>
      </c>
      <c r="P3019" t="s">
        <v>7884</v>
      </c>
    </row>
    <row r="3020" spans="1:16" x14ac:dyDescent="0.35">
      <c r="A3020" t="s">
        <v>126</v>
      </c>
      <c r="B3020">
        <v>1704124000</v>
      </c>
      <c r="C3020" t="s">
        <v>18</v>
      </c>
      <c r="D3020" t="s">
        <v>20</v>
      </c>
      <c r="E3020" s="29">
        <v>46208</v>
      </c>
      <c r="F3020" t="s">
        <v>6</v>
      </c>
      <c r="G3020" s="28">
        <v>0.45555555555555555</v>
      </c>
      <c r="H3020" s="28">
        <v>0.47638888888888886</v>
      </c>
      <c r="I3020">
        <v>0</v>
      </c>
      <c r="J3020" t="s">
        <v>146</v>
      </c>
      <c r="K3020">
        <v>2</v>
      </c>
      <c r="L3020" t="s">
        <v>147</v>
      </c>
      <c r="M3020" t="s">
        <v>7894</v>
      </c>
      <c r="N3020" t="s">
        <v>7895</v>
      </c>
      <c r="O3020" t="s">
        <v>7896</v>
      </c>
      <c r="P3020" t="s">
        <v>7897</v>
      </c>
    </row>
    <row r="3021" spans="1:16" x14ac:dyDescent="0.35">
      <c r="A3021" t="s">
        <v>126</v>
      </c>
      <c r="B3021">
        <v>1704124000</v>
      </c>
      <c r="C3021" t="s">
        <v>18</v>
      </c>
      <c r="D3021" t="s">
        <v>20</v>
      </c>
      <c r="E3021" s="29">
        <v>46208</v>
      </c>
      <c r="F3021" t="s">
        <v>6</v>
      </c>
      <c r="G3021" s="28">
        <v>0.48333333333333334</v>
      </c>
      <c r="H3021" s="28">
        <v>0.48333333333333334</v>
      </c>
      <c r="I3021">
        <v>0</v>
      </c>
      <c r="J3021" t="s">
        <v>174</v>
      </c>
      <c r="K3021">
        <v>0</v>
      </c>
      <c r="L3021" t="s">
        <v>1936</v>
      </c>
      <c r="M3021" t="s">
        <v>7881</v>
      </c>
      <c r="N3021" t="s">
        <v>7882</v>
      </c>
      <c r="O3021" t="s">
        <v>7883</v>
      </c>
      <c r="P3021" t="s">
        <v>7884</v>
      </c>
    </row>
    <row r="3022" spans="1:16" x14ac:dyDescent="0.35">
      <c r="A3022" t="s">
        <v>126</v>
      </c>
      <c r="B3022">
        <v>1704124000</v>
      </c>
      <c r="C3022" t="s">
        <v>18</v>
      </c>
      <c r="D3022" t="s">
        <v>20</v>
      </c>
      <c r="E3022" s="29">
        <v>46208</v>
      </c>
      <c r="F3022" t="s">
        <v>6</v>
      </c>
      <c r="G3022" s="28">
        <v>0.49027777777777776</v>
      </c>
      <c r="H3022" s="28">
        <v>0.49027777777777776</v>
      </c>
      <c r="I3022">
        <v>0</v>
      </c>
      <c r="J3022" t="s">
        <v>174</v>
      </c>
      <c r="K3022">
        <v>0</v>
      </c>
      <c r="L3022" t="s">
        <v>1936</v>
      </c>
      <c r="M3022" t="s">
        <v>7894</v>
      </c>
      <c r="N3022" t="s">
        <v>7895</v>
      </c>
      <c r="O3022" t="s">
        <v>7896</v>
      </c>
      <c r="P3022" t="s">
        <v>7897</v>
      </c>
    </row>
    <row r="3023" spans="1:16" x14ac:dyDescent="0.35">
      <c r="A3023" t="s">
        <v>126</v>
      </c>
      <c r="B3023">
        <v>1704124000</v>
      </c>
      <c r="C3023" t="s">
        <v>18</v>
      </c>
      <c r="D3023" t="s">
        <v>20</v>
      </c>
      <c r="E3023" s="29">
        <v>46208</v>
      </c>
      <c r="F3023" t="s">
        <v>6</v>
      </c>
      <c r="G3023" s="28">
        <v>0.49722222222222223</v>
      </c>
      <c r="H3023" s="28">
        <v>0.50416666666666665</v>
      </c>
      <c r="I3023">
        <v>0</v>
      </c>
      <c r="J3023" t="s">
        <v>146</v>
      </c>
      <c r="K3023">
        <v>0</v>
      </c>
      <c r="L3023" t="s">
        <v>147</v>
      </c>
      <c r="M3023" t="s">
        <v>7881</v>
      </c>
      <c r="N3023" t="s">
        <v>7882</v>
      </c>
      <c r="O3023" t="s">
        <v>7883</v>
      </c>
      <c r="P3023" t="s">
        <v>7884</v>
      </c>
    </row>
    <row r="3024" spans="1:16" x14ac:dyDescent="0.35">
      <c r="A3024" t="s">
        <v>126</v>
      </c>
      <c r="B3024">
        <v>1704124000</v>
      </c>
      <c r="C3024" t="s">
        <v>18</v>
      </c>
      <c r="D3024" t="s">
        <v>20</v>
      </c>
      <c r="E3024" s="29">
        <v>46208</v>
      </c>
      <c r="F3024" t="s">
        <v>6</v>
      </c>
      <c r="G3024" s="28">
        <v>0.51111111111111107</v>
      </c>
      <c r="H3024" s="28">
        <v>0.5180555555555556</v>
      </c>
      <c r="I3024">
        <v>0</v>
      </c>
      <c r="J3024" t="s">
        <v>146</v>
      </c>
      <c r="K3024">
        <v>1</v>
      </c>
      <c r="L3024" t="s">
        <v>147</v>
      </c>
      <c r="M3024" t="s">
        <v>7894</v>
      </c>
      <c r="N3024" t="s">
        <v>7895</v>
      </c>
      <c r="O3024" t="s">
        <v>7896</v>
      </c>
      <c r="P3024" t="s">
        <v>7897</v>
      </c>
    </row>
    <row r="3025" spans="1:16" x14ac:dyDescent="0.35">
      <c r="A3025" t="s">
        <v>126</v>
      </c>
      <c r="B3025">
        <v>1704124000</v>
      </c>
      <c r="C3025" t="s">
        <v>18</v>
      </c>
      <c r="D3025" t="s">
        <v>20</v>
      </c>
      <c r="E3025" s="29">
        <v>46208</v>
      </c>
      <c r="F3025" t="s">
        <v>6</v>
      </c>
      <c r="G3025" s="28">
        <v>0.52500000000000002</v>
      </c>
      <c r="H3025" s="28">
        <v>0.53194444444444444</v>
      </c>
      <c r="I3025">
        <v>0</v>
      </c>
      <c r="J3025" t="s">
        <v>146</v>
      </c>
      <c r="K3025">
        <v>0</v>
      </c>
      <c r="L3025" t="s">
        <v>147</v>
      </c>
      <c r="M3025" t="s">
        <v>7881</v>
      </c>
      <c r="N3025" t="s">
        <v>7882</v>
      </c>
      <c r="O3025" t="s">
        <v>7883</v>
      </c>
      <c r="P3025" t="s">
        <v>7884</v>
      </c>
    </row>
    <row r="3026" spans="1:16" x14ac:dyDescent="0.35">
      <c r="A3026" t="s">
        <v>126</v>
      </c>
      <c r="B3026">
        <v>1704124000</v>
      </c>
      <c r="C3026" t="s">
        <v>18</v>
      </c>
      <c r="D3026" t="s">
        <v>20</v>
      </c>
      <c r="E3026" s="29">
        <v>46208</v>
      </c>
      <c r="F3026" t="s">
        <v>6</v>
      </c>
      <c r="G3026" s="28">
        <v>0.53888888888888886</v>
      </c>
      <c r="H3026" s="28">
        <v>0.53888888888888886</v>
      </c>
      <c r="I3026">
        <v>0</v>
      </c>
      <c r="J3026" t="s">
        <v>174</v>
      </c>
      <c r="K3026">
        <v>0</v>
      </c>
      <c r="L3026" t="s">
        <v>1936</v>
      </c>
      <c r="M3026" t="s">
        <v>7894</v>
      </c>
      <c r="N3026" t="s">
        <v>7895</v>
      </c>
      <c r="O3026" t="s">
        <v>7896</v>
      </c>
      <c r="P3026" t="s">
        <v>7897</v>
      </c>
    </row>
    <row r="3027" spans="1:16" x14ac:dyDescent="0.35">
      <c r="A3027" t="s">
        <v>126</v>
      </c>
      <c r="B3027">
        <v>1704124000</v>
      </c>
      <c r="C3027" t="s">
        <v>18</v>
      </c>
      <c r="D3027" t="s">
        <v>20</v>
      </c>
      <c r="E3027" s="29">
        <v>46208</v>
      </c>
      <c r="F3027" t="s">
        <v>6</v>
      </c>
      <c r="G3027" s="28">
        <v>0.54583333333333328</v>
      </c>
      <c r="H3027" s="28">
        <v>0.54583333333333328</v>
      </c>
      <c r="I3027">
        <v>0</v>
      </c>
      <c r="J3027" t="s">
        <v>174</v>
      </c>
      <c r="K3027">
        <v>0</v>
      </c>
      <c r="L3027" t="s">
        <v>1936</v>
      </c>
      <c r="M3027" t="s">
        <v>7881</v>
      </c>
      <c r="N3027" t="s">
        <v>7882</v>
      </c>
      <c r="O3027" t="s">
        <v>7883</v>
      </c>
      <c r="P3027" t="s">
        <v>7884</v>
      </c>
    </row>
    <row r="3028" spans="1:16" x14ac:dyDescent="0.35">
      <c r="A3028" t="s">
        <v>126</v>
      </c>
      <c r="B3028">
        <v>1704124000</v>
      </c>
      <c r="C3028" t="s">
        <v>18</v>
      </c>
      <c r="D3028" t="s">
        <v>20</v>
      </c>
      <c r="E3028" s="29">
        <v>46208</v>
      </c>
      <c r="F3028" t="s">
        <v>6</v>
      </c>
      <c r="G3028" s="28">
        <v>0.55972222222222223</v>
      </c>
      <c r="H3028" s="28">
        <v>0.55972222222222223</v>
      </c>
      <c r="I3028">
        <v>0</v>
      </c>
      <c r="J3028" t="s">
        <v>174</v>
      </c>
      <c r="K3028">
        <v>0</v>
      </c>
      <c r="L3028" t="s">
        <v>2309</v>
      </c>
      <c r="M3028" t="s">
        <v>7894</v>
      </c>
      <c r="N3028" t="s">
        <v>7895</v>
      </c>
      <c r="O3028" t="s">
        <v>7896</v>
      </c>
      <c r="P3028" t="s">
        <v>7897</v>
      </c>
    </row>
    <row r="3029" spans="1:16" x14ac:dyDescent="0.35">
      <c r="A3029" t="s">
        <v>126</v>
      </c>
      <c r="B3029">
        <v>1704124000</v>
      </c>
      <c r="C3029" t="s">
        <v>18</v>
      </c>
      <c r="D3029" t="s">
        <v>20</v>
      </c>
      <c r="E3029" s="29">
        <v>46208</v>
      </c>
      <c r="F3029" t="s">
        <v>6</v>
      </c>
      <c r="G3029" s="28">
        <v>0.56666666666666665</v>
      </c>
      <c r="H3029" s="28">
        <v>0.58750000000000002</v>
      </c>
      <c r="I3029">
        <v>1</v>
      </c>
      <c r="J3029" t="s">
        <v>146</v>
      </c>
      <c r="K3029">
        <v>2</v>
      </c>
      <c r="L3029" t="s">
        <v>147</v>
      </c>
      <c r="M3029" t="s">
        <v>7890</v>
      </c>
      <c r="N3029" t="s">
        <v>7891</v>
      </c>
      <c r="O3029" t="s">
        <v>7892</v>
      </c>
      <c r="P3029" t="s">
        <v>7893</v>
      </c>
    </row>
    <row r="3030" spans="1:16" x14ac:dyDescent="0.35">
      <c r="A3030" t="s">
        <v>126</v>
      </c>
      <c r="B3030">
        <v>1704124000</v>
      </c>
      <c r="C3030" t="s">
        <v>18</v>
      </c>
      <c r="D3030" t="s">
        <v>20</v>
      </c>
      <c r="E3030" s="29">
        <v>46208</v>
      </c>
      <c r="F3030" t="s">
        <v>6</v>
      </c>
      <c r="G3030" s="28">
        <v>0.59444444444444444</v>
      </c>
      <c r="H3030" s="28">
        <v>0.59444444444444444</v>
      </c>
      <c r="I3030">
        <v>0</v>
      </c>
      <c r="J3030" t="s">
        <v>174</v>
      </c>
      <c r="K3030">
        <v>0</v>
      </c>
      <c r="L3030" t="s">
        <v>695</v>
      </c>
      <c r="M3030" t="s">
        <v>7898</v>
      </c>
      <c r="N3030" t="s">
        <v>7899</v>
      </c>
      <c r="O3030" t="s">
        <v>7900</v>
      </c>
      <c r="P3030" t="s">
        <v>7901</v>
      </c>
    </row>
    <row r="3031" spans="1:16" x14ac:dyDescent="0.35">
      <c r="A3031" t="s">
        <v>126</v>
      </c>
      <c r="B3031">
        <v>1704124000</v>
      </c>
      <c r="C3031" t="s">
        <v>18</v>
      </c>
      <c r="D3031" t="s">
        <v>20</v>
      </c>
      <c r="E3031" s="29">
        <v>46208</v>
      </c>
      <c r="F3031" t="s">
        <v>6</v>
      </c>
      <c r="G3031" s="28">
        <v>0.60138888888888886</v>
      </c>
      <c r="H3031" s="28">
        <v>0.62222222222222223</v>
      </c>
      <c r="I3031">
        <v>1</v>
      </c>
      <c r="J3031" t="s">
        <v>146</v>
      </c>
      <c r="K3031">
        <v>2</v>
      </c>
      <c r="L3031" t="s">
        <v>147</v>
      </c>
      <c r="M3031" t="s">
        <v>7881</v>
      </c>
      <c r="N3031" t="s">
        <v>7882</v>
      </c>
      <c r="O3031" t="s">
        <v>7883</v>
      </c>
      <c r="P3031" t="s">
        <v>7884</v>
      </c>
    </row>
    <row r="3032" spans="1:16" x14ac:dyDescent="0.35">
      <c r="A3032" t="s">
        <v>126</v>
      </c>
      <c r="B3032">
        <v>1704124000</v>
      </c>
      <c r="C3032" t="s">
        <v>18</v>
      </c>
      <c r="D3032" t="s">
        <v>20</v>
      </c>
      <c r="E3032" s="29">
        <v>46208</v>
      </c>
      <c r="F3032" t="s">
        <v>6</v>
      </c>
      <c r="G3032" s="28">
        <v>0.62916666666666665</v>
      </c>
      <c r="H3032" s="28">
        <v>0.62916666666666665</v>
      </c>
      <c r="I3032">
        <v>0</v>
      </c>
      <c r="J3032" t="s">
        <v>174</v>
      </c>
      <c r="K3032">
        <v>0</v>
      </c>
      <c r="L3032" t="s">
        <v>7936</v>
      </c>
      <c r="M3032" t="s">
        <v>7937</v>
      </c>
      <c r="N3032" t="s">
        <v>7903</v>
      </c>
      <c r="O3032" t="s">
        <v>7904</v>
      </c>
      <c r="P3032" t="s">
        <v>7905</v>
      </c>
    </row>
    <row r="3033" spans="1:16" x14ac:dyDescent="0.35">
      <c r="A3033" t="s">
        <v>126</v>
      </c>
      <c r="B3033">
        <v>1704124000</v>
      </c>
      <c r="C3033" t="s">
        <v>18</v>
      </c>
      <c r="D3033" t="s">
        <v>20</v>
      </c>
      <c r="E3033" s="29">
        <v>46208</v>
      </c>
      <c r="F3033" t="s">
        <v>6</v>
      </c>
      <c r="G3033" s="28">
        <v>0.63611111111111107</v>
      </c>
      <c r="H3033" s="28">
        <v>0.63611111111111107</v>
      </c>
      <c r="I3033">
        <v>0</v>
      </c>
      <c r="J3033" t="s">
        <v>174</v>
      </c>
      <c r="K3033">
        <v>0</v>
      </c>
      <c r="L3033" t="s">
        <v>3929</v>
      </c>
      <c r="M3033" t="s">
        <v>7938</v>
      </c>
      <c r="N3033" t="s">
        <v>7939</v>
      </c>
      <c r="O3033" t="s">
        <v>7940</v>
      </c>
      <c r="P3033" t="s">
        <v>7941</v>
      </c>
    </row>
    <row r="3034" spans="1:16" x14ac:dyDescent="0.35">
      <c r="A3034" t="s">
        <v>126</v>
      </c>
      <c r="B3034">
        <v>1704124000</v>
      </c>
      <c r="C3034" t="s">
        <v>18</v>
      </c>
      <c r="D3034" t="s">
        <v>20</v>
      </c>
      <c r="E3034" s="29">
        <v>46208</v>
      </c>
      <c r="F3034" t="s">
        <v>6</v>
      </c>
      <c r="G3034" s="28">
        <v>0.6430555555555556</v>
      </c>
      <c r="H3034" s="28">
        <v>0.6430555555555556</v>
      </c>
      <c r="I3034">
        <v>0</v>
      </c>
      <c r="J3034" t="s">
        <v>174</v>
      </c>
      <c r="K3034">
        <v>0</v>
      </c>
      <c r="L3034" t="s">
        <v>437</v>
      </c>
      <c r="M3034" t="s">
        <v>7942</v>
      </c>
      <c r="N3034" t="s">
        <v>7943</v>
      </c>
      <c r="O3034" t="s">
        <v>7944</v>
      </c>
      <c r="P3034" t="s">
        <v>7945</v>
      </c>
    </row>
    <row r="3035" spans="1:16" x14ac:dyDescent="0.35">
      <c r="A3035" t="s">
        <v>126</v>
      </c>
      <c r="B3035">
        <v>1704124000</v>
      </c>
      <c r="C3035" t="s">
        <v>18</v>
      </c>
      <c r="D3035" t="s">
        <v>20</v>
      </c>
      <c r="E3035" s="29">
        <v>46208</v>
      </c>
      <c r="F3035" t="s">
        <v>6</v>
      </c>
      <c r="G3035" s="28">
        <v>0.65</v>
      </c>
      <c r="H3035" s="28">
        <v>0.65</v>
      </c>
      <c r="I3035">
        <v>0</v>
      </c>
      <c r="J3035" t="s">
        <v>174</v>
      </c>
      <c r="K3035">
        <v>0</v>
      </c>
      <c r="L3035" t="s">
        <v>7946</v>
      </c>
      <c r="M3035" t="s">
        <v>7947</v>
      </c>
      <c r="N3035" t="s">
        <v>7948</v>
      </c>
      <c r="O3035" t="s">
        <v>7949</v>
      </c>
      <c r="P3035" t="s">
        <v>7950</v>
      </c>
    </row>
    <row r="3036" spans="1:16" x14ac:dyDescent="0.35">
      <c r="A3036" t="s">
        <v>126</v>
      </c>
      <c r="B3036">
        <v>1704124000</v>
      </c>
      <c r="C3036" t="s">
        <v>18</v>
      </c>
      <c r="D3036" t="s">
        <v>20</v>
      </c>
      <c r="E3036" s="29">
        <v>46208</v>
      </c>
      <c r="F3036" t="s">
        <v>6</v>
      </c>
      <c r="G3036" s="28">
        <v>0.65694444444444444</v>
      </c>
      <c r="H3036" s="28">
        <v>0.65694444444444444</v>
      </c>
      <c r="I3036">
        <v>0</v>
      </c>
      <c r="J3036" t="s">
        <v>174</v>
      </c>
      <c r="K3036">
        <v>0</v>
      </c>
      <c r="L3036" t="s">
        <v>7951</v>
      </c>
      <c r="M3036" t="s">
        <v>7952</v>
      </c>
      <c r="N3036" t="s">
        <v>7953</v>
      </c>
      <c r="O3036" t="s">
        <v>7954</v>
      </c>
      <c r="P3036" t="s">
        <v>7955</v>
      </c>
    </row>
    <row r="3037" spans="1:16" x14ac:dyDescent="0.35">
      <c r="A3037" t="s">
        <v>126</v>
      </c>
      <c r="B3037">
        <v>1704124000</v>
      </c>
      <c r="C3037" t="s">
        <v>18</v>
      </c>
      <c r="D3037" t="s">
        <v>20</v>
      </c>
      <c r="E3037" s="29">
        <v>46208</v>
      </c>
      <c r="F3037" t="s">
        <v>6</v>
      </c>
      <c r="G3037" s="28">
        <v>0.66388888888888886</v>
      </c>
      <c r="H3037" s="28">
        <v>0.66388888888888886</v>
      </c>
      <c r="I3037">
        <v>0</v>
      </c>
      <c r="J3037" t="s">
        <v>174</v>
      </c>
      <c r="K3037">
        <v>0</v>
      </c>
      <c r="L3037" t="s">
        <v>3257</v>
      </c>
      <c r="M3037" t="s">
        <v>7956</v>
      </c>
      <c r="N3037" t="s">
        <v>7957</v>
      </c>
      <c r="O3037" t="s">
        <v>7958</v>
      </c>
      <c r="P3037" t="s">
        <v>7959</v>
      </c>
    </row>
    <row r="3038" spans="1:16" x14ac:dyDescent="0.35">
      <c r="A3038" t="s">
        <v>126</v>
      </c>
      <c r="B3038">
        <v>1704124000</v>
      </c>
      <c r="C3038" t="s">
        <v>18</v>
      </c>
      <c r="D3038" t="s">
        <v>20</v>
      </c>
      <c r="E3038" s="29">
        <v>46208</v>
      </c>
      <c r="F3038" t="s">
        <v>6</v>
      </c>
      <c r="G3038" s="28">
        <v>0.67083333333333328</v>
      </c>
      <c r="H3038" s="28">
        <v>0.67083333333333328</v>
      </c>
      <c r="I3038">
        <v>0</v>
      </c>
      <c r="J3038" t="s">
        <v>174</v>
      </c>
      <c r="K3038">
        <v>0</v>
      </c>
      <c r="L3038" t="s">
        <v>705</v>
      </c>
      <c r="M3038" t="s">
        <v>7960</v>
      </c>
      <c r="N3038" t="s">
        <v>7961</v>
      </c>
      <c r="O3038" t="s">
        <v>7962</v>
      </c>
      <c r="P3038" t="s">
        <v>7963</v>
      </c>
    </row>
    <row r="3039" spans="1:16" x14ac:dyDescent="0.35">
      <c r="A3039" t="s">
        <v>126</v>
      </c>
      <c r="B3039">
        <v>1704124000</v>
      </c>
      <c r="C3039" t="s">
        <v>18</v>
      </c>
      <c r="D3039" t="s">
        <v>20</v>
      </c>
      <c r="E3039" s="29">
        <v>46208</v>
      </c>
      <c r="F3039" t="s">
        <v>6</v>
      </c>
      <c r="G3039" s="28">
        <v>0.67777777777777781</v>
      </c>
      <c r="H3039" s="28">
        <v>0.69166666666666665</v>
      </c>
      <c r="I3039">
        <v>0</v>
      </c>
      <c r="J3039" t="s">
        <v>146</v>
      </c>
      <c r="K3039">
        <v>1</v>
      </c>
      <c r="L3039" t="s">
        <v>147</v>
      </c>
      <c r="M3039" t="s">
        <v>7932</v>
      </c>
      <c r="N3039" t="s">
        <v>7933</v>
      </c>
      <c r="O3039" t="s">
        <v>7934</v>
      </c>
      <c r="P3039" t="s">
        <v>7935</v>
      </c>
    </row>
    <row r="3040" spans="1:16" x14ac:dyDescent="0.35">
      <c r="A3040" t="s">
        <v>126</v>
      </c>
      <c r="B3040">
        <v>1704124000</v>
      </c>
      <c r="C3040" t="s">
        <v>18</v>
      </c>
      <c r="D3040" t="s">
        <v>20</v>
      </c>
      <c r="E3040" s="29">
        <v>46208</v>
      </c>
      <c r="F3040" t="s">
        <v>6</v>
      </c>
      <c r="G3040" s="28">
        <v>0.69861111111111107</v>
      </c>
      <c r="H3040" s="28">
        <v>0.71944444444444444</v>
      </c>
      <c r="I3040">
        <v>1</v>
      </c>
      <c r="J3040" t="s">
        <v>146</v>
      </c>
      <c r="K3040">
        <v>2</v>
      </c>
      <c r="L3040" t="s">
        <v>147</v>
      </c>
      <c r="M3040" t="s">
        <v>7924</v>
      </c>
      <c r="N3040" t="s">
        <v>7925</v>
      </c>
      <c r="O3040" t="s">
        <v>7926</v>
      </c>
      <c r="P3040" t="s">
        <v>7927</v>
      </c>
    </row>
    <row r="3041" spans="1:16" x14ac:dyDescent="0.35">
      <c r="A3041" t="s">
        <v>126</v>
      </c>
      <c r="B3041">
        <v>1704124000</v>
      </c>
      <c r="C3041" t="s">
        <v>18</v>
      </c>
      <c r="D3041" t="s">
        <v>20</v>
      </c>
      <c r="E3041" s="29">
        <v>46208</v>
      </c>
      <c r="F3041" t="s">
        <v>6</v>
      </c>
      <c r="G3041" s="28">
        <v>0.72638888888888886</v>
      </c>
      <c r="H3041" s="28">
        <v>0.72638888888888886</v>
      </c>
      <c r="I3041">
        <v>0</v>
      </c>
      <c r="J3041" t="s">
        <v>174</v>
      </c>
      <c r="K3041">
        <v>0</v>
      </c>
      <c r="L3041" t="s">
        <v>4504</v>
      </c>
      <c r="M3041" t="s">
        <v>7964</v>
      </c>
      <c r="N3041" t="s">
        <v>7965</v>
      </c>
      <c r="O3041" t="s">
        <v>7966</v>
      </c>
      <c r="P3041" t="s">
        <v>7967</v>
      </c>
    </row>
    <row r="3042" spans="1:16" x14ac:dyDescent="0.35">
      <c r="A3042" t="s">
        <v>126</v>
      </c>
      <c r="B3042">
        <v>1704124000</v>
      </c>
      <c r="C3042" t="s">
        <v>18</v>
      </c>
      <c r="D3042" t="s">
        <v>20</v>
      </c>
      <c r="E3042" s="29">
        <v>46208</v>
      </c>
      <c r="F3042" t="s">
        <v>6</v>
      </c>
      <c r="G3042" s="28">
        <v>0.73333333333333328</v>
      </c>
      <c r="H3042" s="28">
        <v>0.87222222222222223</v>
      </c>
      <c r="I3042">
        <v>3</v>
      </c>
      <c r="J3042" t="s">
        <v>146</v>
      </c>
      <c r="K3042">
        <v>10</v>
      </c>
      <c r="L3042" t="s">
        <v>147</v>
      </c>
      <c r="M3042" t="s">
        <v>7932</v>
      </c>
      <c r="N3042" t="s">
        <v>7933</v>
      </c>
      <c r="O3042" t="s">
        <v>7934</v>
      </c>
      <c r="P3042" t="s">
        <v>7935</v>
      </c>
    </row>
    <row r="3043" spans="1:16" x14ac:dyDescent="0.35">
      <c r="A3043" t="s">
        <v>103</v>
      </c>
      <c r="B3043">
        <v>1322845179</v>
      </c>
      <c r="C3043" t="s">
        <v>18</v>
      </c>
      <c r="D3043" t="s">
        <v>21</v>
      </c>
      <c r="E3043" s="29">
        <v>46204</v>
      </c>
      <c r="F3043" t="s">
        <v>3</v>
      </c>
      <c r="G3043" s="28">
        <v>0.38124999999999998</v>
      </c>
      <c r="H3043" s="28">
        <v>0.38819444444444445</v>
      </c>
      <c r="I3043">
        <v>0</v>
      </c>
      <c r="J3043" t="s">
        <v>146</v>
      </c>
      <c r="K3043">
        <v>1</v>
      </c>
      <c r="L3043" t="s">
        <v>147</v>
      </c>
      <c r="M3043" t="s">
        <v>7968</v>
      </c>
      <c r="N3043" t="s">
        <v>7969</v>
      </c>
      <c r="O3043" t="s">
        <v>7970</v>
      </c>
      <c r="P3043" t="s">
        <v>7971</v>
      </c>
    </row>
    <row r="3044" spans="1:16" x14ac:dyDescent="0.35">
      <c r="A3044" t="s">
        <v>103</v>
      </c>
      <c r="B3044">
        <v>1322845179</v>
      </c>
      <c r="C3044" t="s">
        <v>18</v>
      </c>
      <c r="D3044" t="s">
        <v>21</v>
      </c>
      <c r="E3044" s="29">
        <v>46204</v>
      </c>
      <c r="F3044" t="s">
        <v>3</v>
      </c>
      <c r="G3044" s="28">
        <v>0.39513888888888887</v>
      </c>
      <c r="H3044" s="28">
        <v>0.39513888888888887</v>
      </c>
      <c r="I3044">
        <v>0</v>
      </c>
      <c r="J3044" t="s">
        <v>174</v>
      </c>
      <c r="K3044">
        <v>0</v>
      </c>
      <c r="L3044" t="s">
        <v>579</v>
      </c>
      <c r="M3044" t="s">
        <v>7972</v>
      </c>
      <c r="N3044" t="s">
        <v>7973</v>
      </c>
      <c r="O3044" t="s">
        <v>7974</v>
      </c>
      <c r="P3044" t="s">
        <v>7975</v>
      </c>
    </row>
    <row r="3045" spans="1:16" x14ac:dyDescent="0.35">
      <c r="A3045" t="s">
        <v>103</v>
      </c>
      <c r="B3045">
        <v>1322845179</v>
      </c>
      <c r="C3045" t="s">
        <v>18</v>
      </c>
      <c r="D3045" t="s">
        <v>21</v>
      </c>
      <c r="E3045" s="29">
        <v>46204</v>
      </c>
      <c r="F3045" t="s">
        <v>3</v>
      </c>
      <c r="G3045" s="28">
        <v>0.40208333333333335</v>
      </c>
      <c r="H3045" s="28">
        <v>0.42986111111111114</v>
      </c>
      <c r="I3045">
        <v>1</v>
      </c>
      <c r="J3045" t="s">
        <v>146</v>
      </c>
      <c r="K3045">
        <v>2</v>
      </c>
      <c r="L3045" t="s">
        <v>147</v>
      </c>
      <c r="M3045" t="s">
        <v>7968</v>
      </c>
      <c r="N3045" t="s">
        <v>7969</v>
      </c>
      <c r="O3045" t="s">
        <v>7970</v>
      </c>
      <c r="P3045" t="s">
        <v>7971</v>
      </c>
    </row>
    <row r="3046" spans="1:16" x14ac:dyDescent="0.35">
      <c r="A3046" t="s">
        <v>103</v>
      </c>
      <c r="B3046">
        <v>1322845179</v>
      </c>
      <c r="C3046" t="s">
        <v>18</v>
      </c>
      <c r="D3046" t="s">
        <v>21</v>
      </c>
      <c r="E3046" s="29">
        <v>46204</v>
      </c>
      <c r="F3046" t="s">
        <v>3</v>
      </c>
      <c r="G3046" s="28">
        <v>0.43680555555555556</v>
      </c>
      <c r="H3046" s="28">
        <v>0.43680555555555556</v>
      </c>
      <c r="I3046">
        <v>0</v>
      </c>
      <c r="J3046" t="s">
        <v>174</v>
      </c>
      <c r="K3046">
        <v>0</v>
      </c>
      <c r="L3046" t="s">
        <v>5575</v>
      </c>
      <c r="M3046" t="s">
        <v>7976</v>
      </c>
      <c r="N3046" t="s">
        <v>7977</v>
      </c>
      <c r="O3046" t="s">
        <v>7978</v>
      </c>
      <c r="P3046" t="s">
        <v>7979</v>
      </c>
    </row>
    <row r="3047" spans="1:16" x14ac:dyDescent="0.35">
      <c r="A3047" t="s">
        <v>103</v>
      </c>
      <c r="B3047">
        <v>1322845179</v>
      </c>
      <c r="C3047" t="s">
        <v>18</v>
      </c>
      <c r="D3047" t="s">
        <v>21</v>
      </c>
      <c r="E3047" s="29">
        <v>46204</v>
      </c>
      <c r="F3047" t="s">
        <v>3</v>
      </c>
      <c r="G3047" s="28">
        <v>0.44374999999999998</v>
      </c>
      <c r="H3047" s="28">
        <v>0.44374999999999998</v>
      </c>
      <c r="I3047">
        <v>0</v>
      </c>
      <c r="J3047" t="s">
        <v>174</v>
      </c>
      <c r="K3047">
        <v>0</v>
      </c>
      <c r="L3047" t="s">
        <v>2762</v>
      </c>
      <c r="M3047" t="s">
        <v>7980</v>
      </c>
      <c r="N3047" t="s">
        <v>7981</v>
      </c>
      <c r="O3047" t="s">
        <v>7982</v>
      </c>
      <c r="P3047" t="s">
        <v>7983</v>
      </c>
    </row>
    <row r="3048" spans="1:16" x14ac:dyDescent="0.35">
      <c r="A3048" t="s">
        <v>103</v>
      </c>
      <c r="B3048">
        <v>1322845179</v>
      </c>
      <c r="C3048" t="s">
        <v>18</v>
      </c>
      <c r="D3048" t="s">
        <v>21</v>
      </c>
      <c r="E3048" s="29">
        <v>46204</v>
      </c>
      <c r="F3048" t="s">
        <v>3</v>
      </c>
      <c r="G3048" s="28">
        <v>0.45069444444444445</v>
      </c>
      <c r="H3048" s="28">
        <v>0.45069444444444445</v>
      </c>
      <c r="I3048">
        <v>0</v>
      </c>
      <c r="J3048" t="s">
        <v>174</v>
      </c>
      <c r="K3048">
        <v>0</v>
      </c>
      <c r="L3048" t="s">
        <v>7984</v>
      </c>
      <c r="M3048" t="s">
        <v>7985</v>
      </c>
      <c r="N3048" t="s">
        <v>7986</v>
      </c>
      <c r="O3048" t="s">
        <v>7987</v>
      </c>
      <c r="P3048" t="s">
        <v>7988</v>
      </c>
    </row>
    <row r="3049" spans="1:16" x14ac:dyDescent="0.35">
      <c r="A3049" t="s">
        <v>103</v>
      </c>
      <c r="B3049">
        <v>1322845179</v>
      </c>
      <c r="C3049" t="s">
        <v>18</v>
      </c>
      <c r="D3049" t="s">
        <v>21</v>
      </c>
      <c r="E3049" s="29">
        <v>46204</v>
      </c>
      <c r="F3049" t="s">
        <v>3</v>
      </c>
      <c r="G3049" s="28">
        <v>0.45763888888888887</v>
      </c>
      <c r="H3049" s="28">
        <v>0.45763888888888887</v>
      </c>
      <c r="I3049">
        <v>0</v>
      </c>
      <c r="J3049" t="s">
        <v>174</v>
      </c>
      <c r="K3049">
        <v>0</v>
      </c>
      <c r="L3049" t="s">
        <v>4343</v>
      </c>
      <c r="M3049" t="s">
        <v>7989</v>
      </c>
      <c r="N3049" t="s">
        <v>7990</v>
      </c>
      <c r="O3049" t="s">
        <v>7991</v>
      </c>
      <c r="P3049" t="s">
        <v>7992</v>
      </c>
    </row>
    <row r="3050" spans="1:16" x14ac:dyDescent="0.35">
      <c r="A3050" t="s">
        <v>103</v>
      </c>
      <c r="B3050">
        <v>1322845179</v>
      </c>
      <c r="C3050" t="s">
        <v>18</v>
      </c>
      <c r="D3050" t="s">
        <v>21</v>
      </c>
      <c r="E3050" s="29">
        <v>46204</v>
      </c>
      <c r="F3050" t="s">
        <v>3</v>
      </c>
      <c r="G3050" s="28">
        <v>0.46458333333333335</v>
      </c>
      <c r="H3050" s="28">
        <v>0.46458333333333335</v>
      </c>
      <c r="I3050">
        <v>0</v>
      </c>
      <c r="J3050" t="s">
        <v>174</v>
      </c>
      <c r="K3050">
        <v>0</v>
      </c>
      <c r="L3050" t="s">
        <v>7993</v>
      </c>
      <c r="M3050" t="s">
        <v>7994</v>
      </c>
      <c r="N3050" t="s">
        <v>7995</v>
      </c>
      <c r="O3050" t="s">
        <v>7996</v>
      </c>
      <c r="P3050" t="s">
        <v>7997</v>
      </c>
    </row>
    <row r="3051" spans="1:16" x14ac:dyDescent="0.35">
      <c r="A3051" t="s">
        <v>103</v>
      </c>
      <c r="B3051">
        <v>1322845179</v>
      </c>
      <c r="C3051" t="s">
        <v>18</v>
      </c>
      <c r="D3051" t="s">
        <v>21</v>
      </c>
      <c r="E3051" s="29">
        <v>46204</v>
      </c>
      <c r="F3051" t="s">
        <v>3</v>
      </c>
      <c r="G3051" s="28">
        <v>0.47152777777777777</v>
      </c>
      <c r="H3051" s="28">
        <v>0.49930555555555556</v>
      </c>
      <c r="I3051">
        <v>1</v>
      </c>
      <c r="J3051" t="s">
        <v>146</v>
      </c>
      <c r="K3051">
        <v>2</v>
      </c>
      <c r="L3051" t="s">
        <v>147</v>
      </c>
      <c r="M3051" t="s">
        <v>7998</v>
      </c>
      <c r="N3051" t="s">
        <v>7999</v>
      </c>
      <c r="O3051" t="s">
        <v>8000</v>
      </c>
      <c r="P3051" t="s">
        <v>8001</v>
      </c>
    </row>
    <row r="3052" spans="1:16" x14ac:dyDescent="0.35">
      <c r="A3052" t="s">
        <v>103</v>
      </c>
      <c r="B3052">
        <v>1322845179</v>
      </c>
      <c r="C3052" t="s">
        <v>18</v>
      </c>
      <c r="D3052" t="s">
        <v>21</v>
      </c>
      <c r="E3052" s="29">
        <v>46204</v>
      </c>
      <c r="F3052" t="s">
        <v>3</v>
      </c>
      <c r="G3052" s="28">
        <v>0.50624999999999998</v>
      </c>
      <c r="H3052" s="28">
        <v>0.50624999999999998</v>
      </c>
      <c r="I3052">
        <v>0</v>
      </c>
      <c r="J3052" t="s">
        <v>174</v>
      </c>
      <c r="K3052">
        <v>0</v>
      </c>
      <c r="L3052" t="s">
        <v>4343</v>
      </c>
      <c r="M3052" t="s">
        <v>8002</v>
      </c>
      <c r="N3052" t="s">
        <v>8003</v>
      </c>
      <c r="O3052" t="s">
        <v>8004</v>
      </c>
      <c r="P3052" t="s">
        <v>8005</v>
      </c>
    </row>
    <row r="3053" spans="1:16" x14ac:dyDescent="0.35">
      <c r="A3053" t="s">
        <v>103</v>
      </c>
      <c r="B3053">
        <v>1322845179</v>
      </c>
      <c r="C3053" t="s">
        <v>18</v>
      </c>
      <c r="D3053" t="s">
        <v>21</v>
      </c>
      <c r="E3053" s="29">
        <v>46204</v>
      </c>
      <c r="F3053" t="s">
        <v>3</v>
      </c>
      <c r="G3053" s="28">
        <v>0.5131944444444444</v>
      </c>
      <c r="H3053" s="28">
        <v>0.54097222222222219</v>
      </c>
      <c r="I3053">
        <v>1</v>
      </c>
      <c r="J3053" t="s">
        <v>146</v>
      </c>
      <c r="K3053">
        <v>2</v>
      </c>
      <c r="L3053" t="s">
        <v>147</v>
      </c>
      <c r="M3053" t="s">
        <v>7998</v>
      </c>
      <c r="N3053" t="s">
        <v>7999</v>
      </c>
      <c r="O3053" t="s">
        <v>8000</v>
      </c>
      <c r="P3053" t="s">
        <v>8001</v>
      </c>
    </row>
    <row r="3054" spans="1:16" x14ac:dyDescent="0.35">
      <c r="A3054" t="s">
        <v>103</v>
      </c>
      <c r="B3054">
        <v>1322845179</v>
      </c>
      <c r="C3054" t="s">
        <v>18</v>
      </c>
      <c r="D3054" t="s">
        <v>21</v>
      </c>
      <c r="E3054" s="29">
        <v>46204</v>
      </c>
      <c r="F3054" t="s">
        <v>3</v>
      </c>
      <c r="G3054" s="28">
        <v>0.54791666666666672</v>
      </c>
      <c r="H3054" s="28">
        <v>0.54791666666666672</v>
      </c>
      <c r="I3054">
        <v>0</v>
      </c>
      <c r="J3054" t="s">
        <v>174</v>
      </c>
      <c r="K3054">
        <v>0</v>
      </c>
      <c r="L3054" t="s">
        <v>4949</v>
      </c>
      <c r="M3054" t="s">
        <v>8006</v>
      </c>
      <c r="N3054" t="s">
        <v>8007</v>
      </c>
      <c r="O3054" t="s">
        <v>8008</v>
      </c>
      <c r="P3054" t="s">
        <v>8009</v>
      </c>
    </row>
    <row r="3055" spans="1:16" x14ac:dyDescent="0.35">
      <c r="A3055" t="s">
        <v>103</v>
      </c>
      <c r="B3055">
        <v>1322845179</v>
      </c>
      <c r="C3055" t="s">
        <v>18</v>
      </c>
      <c r="D3055" t="s">
        <v>21</v>
      </c>
      <c r="E3055" s="29">
        <v>46204</v>
      </c>
      <c r="F3055" t="s">
        <v>3</v>
      </c>
      <c r="G3055" s="28">
        <v>0.55486111111111114</v>
      </c>
      <c r="H3055" s="28">
        <v>0.56180555555555556</v>
      </c>
      <c r="I3055">
        <v>0</v>
      </c>
      <c r="J3055" t="s">
        <v>146</v>
      </c>
      <c r="K3055">
        <v>0</v>
      </c>
      <c r="L3055" t="s">
        <v>147</v>
      </c>
      <c r="M3055" t="s">
        <v>8010</v>
      </c>
      <c r="N3055" t="s">
        <v>8011</v>
      </c>
      <c r="O3055" t="s">
        <v>8012</v>
      </c>
      <c r="P3055" t="s">
        <v>8013</v>
      </c>
    </row>
    <row r="3056" spans="1:16" x14ac:dyDescent="0.35">
      <c r="A3056" t="s">
        <v>103</v>
      </c>
      <c r="B3056">
        <v>1322845179</v>
      </c>
      <c r="C3056" t="s">
        <v>18</v>
      </c>
      <c r="D3056" t="s">
        <v>21</v>
      </c>
      <c r="E3056" s="29">
        <v>46204</v>
      </c>
      <c r="F3056" t="s">
        <v>3</v>
      </c>
      <c r="G3056" s="28">
        <v>0.56874999999999998</v>
      </c>
      <c r="H3056" s="28">
        <v>0.56874999999999998</v>
      </c>
      <c r="I3056">
        <v>0</v>
      </c>
      <c r="J3056" t="s">
        <v>174</v>
      </c>
      <c r="K3056">
        <v>0</v>
      </c>
      <c r="L3056" t="s">
        <v>4054</v>
      </c>
      <c r="M3056" t="s">
        <v>8014</v>
      </c>
      <c r="N3056" t="s">
        <v>8015</v>
      </c>
      <c r="O3056" t="s">
        <v>8016</v>
      </c>
      <c r="P3056" t="s">
        <v>8017</v>
      </c>
    </row>
    <row r="3057" spans="1:16" x14ac:dyDescent="0.35">
      <c r="A3057" t="s">
        <v>103</v>
      </c>
      <c r="B3057">
        <v>1322845179</v>
      </c>
      <c r="C3057" t="s">
        <v>18</v>
      </c>
      <c r="D3057" t="s">
        <v>21</v>
      </c>
      <c r="E3057" s="29">
        <v>46204</v>
      </c>
      <c r="F3057" t="s">
        <v>3</v>
      </c>
      <c r="G3057" s="28">
        <v>0.5756944444444444</v>
      </c>
      <c r="H3057" s="28">
        <v>0.58958333333333335</v>
      </c>
      <c r="I3057">
        <v>0</v>
      </c>
      <c r="J3057" t="s">
        <v>146</v>
      </c>
      <c r="K3057">
        <v>1</v>
      </c>
      <c r="L3057" t="s">
        <v>147</v>
      </c>
      <c r="M3057" t="s">
        <v>8018</v>
      </c>
      <c r="N3057" t="s">
        <v>8019</v>
      </c>
      <c r="O3057" t="s">
        <v>8020</v>
      </c>
      <c r="P3057" t="s">
        <v>8021</v>
      </c>
    </row>
    <row r="3058" spans="1:16" x14ac:dyDescent="0.35">
      <c r="A3058" t="s">
        <v>103</v>
      </c>
      <c r="B3058">
        <v>1322845179</v>
      </c>
      <c r="C3058" t="s">
        <v>18</v>
      </c>
      <c r="D3058" t="s">
        <v>21</v>
      </c>
      <c r="E3058" s="29">
        <v>46204</v>
      </c>
      <c r="F3058" t="s">
        <v>3</v>
      </c>
      <c r="G3058" s="28">
        <v>0.59652777777777777</v>
      </c>
      <c r="H3058" s="28">
        <v>0.61736111111111114</v>
      </c>
      <c r="I3058">
        <v>1</v>
      </c>
      <c r="J3058" t="s">
        <v>146</v>
      </c>
      <c r="K3058">
        <v>2</v>
      </c>
      <c r="L3058" t="s">
        <v>147</v>
      </c>
      <c r="M3058" t="s">
        <v>8022</v>
      </c>
      <c r="N3058" t="s">
        <v>8023</v>
      </c>
      <c r="O3058" t="s">
        <v>8024</v>
      </c>
      <c r="P3058" t="s">
        <v>8025</v>
      </c>
    </row>
    <row r="3059" spans="1:16" x14ac:dyDescent="0.35">
      <c r="A3059" t="s">
        <v>103</v>
      </c>
      <c r="B3059">
        <v>1322845179</v>
      </c>
      <c r="C3059" t="s">
        <v>18</v>
      </c>
      <c r="D3059" t="s">
        <v>21</v>
      </c>
      <c r="E3059" s="29">
        <v>46204</v>
      </c>
      <c r="F3059" t="s">
        <v>3</v>
      </c>
      <c r="G3059" s="28">
        <v>0.62430555555555556</v>
      </c>
      <c r="H3059" s="28">
        <v>0.62430555555555556</v>
      </c>
      <c r="I3059">
        <v>0</v>
      </c>
      <c r="J3059" t="s">
        <v>174</v>
      </c>
      <c r="K3059">
        <v>0</v>
      </c>
      <c r="L3059" t="s">
        <v>3067</v>
      </c>
      <c r="M3059" t="s">
        <v>8026</v>
      </c>
      <c r="N3059" t="s">
        <v>8027</v>
      </c>
      <c r="O3059" t="s">
        <v>8028</v>
      </c>
      <c r="P3059" t="s">
        <v>8029</v>
      </c>
    </row>
    <row r="3060" spans="1:16" x14ac:dyDescent="0.35">
      <c r="A3060" t="s">
        <v>103</v>
      </c>
      <c r="B3060">
        <v>1322845179</v>
      </c>
      <c r="C3060" t="s">
        <v>18</v>
      </c>
      <c r="D3060" t="s">
        <v>21</v>
      </c>
      <c r="E3060" s="29">
        <v>46204</v>
      </c>
      <c r="F3060" t="s">
        <v>3</v>
      </c>
      <c r="G3060" s="28">
        <v>0.63124999999999998</v>
      </c>
      <c r="H3060" s="28">
        <v>0.65208333333333335</v>
      </c>
      <c r="I3060">
        <v>1</v>
      </c>
      <c r="J3060" t="s">
        <v>146</v>
      </c>
      <c r="K3060">
        <v>2</v>
      </c>
      <c r="L3060" t="s">
        <v>147</v>
      </c>
      <c r="M3060" t="s">
        <v>8030</v>
      </c>
      <c r="N3060" t="s">
        <v>8031</v>
      </c>
      <c r="O3060" t="s">
        <v>8032</v>
      </c>
      <c r="P3060" t="s">
        <v>8033</v>
      </c>
    </row>
    <row r="3061" spans="1:16" x14ac:dyDescent="0.35">
      <c r="A3061" t="s">
        <v>103</v>
      </c>
      <c r="B3061">
        <v>1322845179</v>
      </c>
      <c r="C3061" t="s">
        <v>18</v>
      </c>
      <c r="D3061" t="s">
        <v>21</v>
      </c>
      <c r="E3061" s="29">
        <v>46204</v>
      </c>
      <c r="F3061" t="s">
        <v>3</v>
      </c>
      <c r="G3061" s="28">
        <v>0.65902777777777777</v>
      </c>
      <c r="H3061" s="28">
        <v>0.73541666666666672</v>
      </c>
      <c r="I3061">
        <v>2</v>
      </c>
      <c r="J3061" t="s">
        <v>146</v>
      </c>
      <c r="K3061">
        <v>6</v>
      </c>
      <c r="L3061" t="s">
        <v>147</v>
      </c>
      <c r="M3061" t="s">
        <v>8034</v>
      </c>
      <c r="N3061" t="s">
        <v>8035</v>
      </c>
      <c r="O3061" t="s">
        <v>8036</v>
      </c>
      <c r="P3061" t="s">
        <v>8037</v>
      </c>
    </row>
    <row r="3062" spans="1:16" x14ac:dyDescent="0.35">
      <c r="A3062" t="s">
        <v>103</v>
      </c>
      <c r="B3062">
        <v>1322845179</v>
      </c>
      <c r="C3062" t="s">
        <v>18</v>
      </c>
      <c r="D3062" t="s">
        <v>21</v>
      </c>
      <c r="E3062" s="29">
        <v>46204</v>
      </c>
      <c r="F3062" t="s">
        <v>3</v>
      </c>
      <c r="G3062" s="28">
        <v>0.74236111111111114</v>
      </c>
      <c r="H3062" s="28">
        <v>0.74236111111111114</v>
      </c>
      <c r="I3062">
        <v>0</v>
      </c>
      <c r="J3062" t="s">
        <v>174</v>
      </c>
      <c r="K3062">
        <v>0</v>
      </c>
      <c r="L3062" t="s">
        <v>4665</v>
      </c>
      <c r="M3062" t="s">
        <v>8038</v>
      </c>
      <c r="N3062" t="s">
        <v>8039</v>
      </c>
      <c r="O3062" t="s">
        <v>8040</v>
      </c>
      <c r="P3062" t="s">
        <v>8041</v>
      </c>
    </row>
    <row r="3063" spans="1:16" x14ac:dyDescent="0.35">
      <c r="A3063" t="s">
        <v>103</v>
      </c>
      <c r="B3063">
        <v>1322845179</v>
      </c>
      <c r="C3063" t="s">
        <v>18</v>
      </c>
      <c r="D3063" t="s">
        <v>21</v>
      </c>
      <c r="E3063" s="29">
        <v>46204</v>
      </c>
      <c r="F3063" t="s">
        <v>3</v>
      </c>
      <c r="G3063" s="28">
        <v>0.74930555555555556</v>
      </c>
      <c r="H3063" s="28">
        <v>0.74930555555555556</v>
      </c>
      <c r="I3063">
        <v>0</v>
      </c>
      <c r="J3063" t="s">
        <v>174</v>
      </c>
      <c r="K3063">
        <v>0</v>
      </c>
      <c r="L3063" t="s">
        <v>614</v>
      </c>
      <c r="M3063" t="s">
        <v>8042</v>
      </c>
      <c r="N3063" t="s">
        <v>8043</v>
      </c>
      <c r="O3063" t="s">
        <v>8044</v>
      </c>
      <c r="P3063" t="s">
        <v>8045</v>
      </c>
    </row>
    <row r="3064" spans="1:16" x14ac:dyDescent="0.35">
      <c r="A3064" t="s">
        <v>103</v>
      </c>
      <c r="B3064">
        <v>1322845179</v>
      </c>
      <c r="C3064" t="s">
        <v>18</v>
      </c>
      <c r="D3064" t="s">
        <v>21</v>
      </c>
      <c r="E3064" s="29">
        <v>46204</v>
      </c>
      <c r="F3064" t="s">
        <v>3</v>
      </c>
      <c r="G3064" s="28">
        <v>0.75624999999999998</v>
      </c>
      <c r="H3064" s="28">
        <v>0.79791666666666672</v>
      </c>
      <c r="I3064">
        <v>1</v>
      </c>
      <c r="J3064" t="s">
        <v>146</v>
      </c>
      <c r="K3064">
        <v>3</v>
      </c>
      <c r="L3064" t="s">
        <v>147</v>
      </c>
      <c r="M3064" t="s">
        <v>8006</v>
      </c>
      <c r="N3064" t="s">
        <v>8007</v>
      </c>
      <c r="O3064" t="s">
        <v>8008</v>
      </c>
      <c r="P3064" t="s">
        <v>8009</v>
      </c>
    </row>
    <row r="3065" spans="1:16" x14ac:dyDescent="0.35">
      <c r="A3065" t="s">
        <v>103</v>
      </c>
      <c r="B3065">
        <v>1322845179</v>
      </c>
      <c r="C3065" t="s">
        <v>18</v>
      </c>
      <c r="D3065" t="s">
        <v>21</v>
      </c>
      <c r="E3065" s="29">
        <v>46205</v>
      </c>
      <c r="F3065" t="s">
        <v>4</v>
      </c>
      <c r="G3065" s="28">
        <v>0.38124999999999998</v>
      </c>
      <c r="H3065" s="28">
        <v>0.38124999999999998</v>
      </c>
      <c r="I3065">
        <v>0</v>
      </c>
      <c r="J3065" t="s">
        <v>174</v>
      </c>
      <c r="K3065">
        <v>0</v>
      </c>
      <c r="L3065" t="s">
        <v>579</v>
      </c>
      <c r="M3065" t="s">
        <v>7972</v>
      </c>
      <c r="N3065" t="s">
        <v>7973</v>
      </c>
      <c r="O3065" t="s">
        <v>7974</v>
      </c>
      <c r="P3065" t="s">
        <v>7975</v>
      </c>
    </row>
    <row r="3066" spans="1:16" x14ac:dyDescent="0.35">
      <c r="A3066" t="s">
        <v>103</v>
      </c>
      <c r="B3066">
        <v>1322845179</v>
      </c>
      <c r="C3066" t="s">
        <v>18</v>
      </c>
      <c r="D3066" t="s">
        <v>21</v>
      </c>
      <c r="E3066" s="29">
        <v>46205</v>
      </c>
      <c r="F3066" t="s">
        <v>4</v>
      </c>
      <c r="G3066" s="28">
        <v>0.38819444444444445</v>
      </c>
      <c r="H3066" s="28">
        <v>0.38819444444444445</v>
      </c>
      <c r="I3066">
        <v>0</v>
      </c>
      <c r="J3066" t="s">
        <v>174</v>
      </c>
      <c r="K3066">
        <v>0</v>
      </c>
      <c r="L3066" t="s">
        <v>579</v>
      </c>
      <c r="M3066" t="s">
        <v>7968</v>
      </c>
      <c r="N3066" t="s">
        <v>7969</v>
      </c>
      <c r="O3066" t="s">
        <v>7970</v>
      </c>
      <c r="P3066" t="s">
        <v>7971</v>
      </c>
    </row>
    <row r="3067" spans="1:16" x14ac:dyDescent="0.35">
      <c r="A3067" t="s">
        <v>103</v>
      </c>
      <c r="B3067">
        <v>1322845179</v>
      </c>
      <c r="C3067" t="s">
        <v>18</v>
      </c>
      <c r="D3067" t="s">
        <v>21</v>
      </c>
      <c r="E3067" s="29">
        <v>46205</v>
      </c>
      <c r="F3067" t="s">
        <v>4</v>
      </c>
      <c r="G3067" s="28">
        <v>0.39513888888888887</v>
      </c>
      <c r="H3067" s="28">
        <v>0.40208333333333335</v>
      </c>
      <c r="I3067">
        <v>0</v>
      </c>
      <c r="J3067" t="s">
        <v>146</v>
      </c>
      <c r="K3067">
        <v>1</v>
      </c>
      <c r="L3067" t="s">
        <v>147</v>
      </c>
      <c r="M3067" t="s">
        <v>7972</v>
      </c>
      <c r="N3067" t="s">
        <v>7973</v>
      </c>
      <c r="O3067" t="s">
        <v>7974</v>
      </c>
      <c r="P3067" t="s">
        <v>7975</v>
      </c>
    </row>
    <row r="3068" spans="1:16" x14ac:dyDescent="0.35">
      <c r="A3068" t="s">
        <v>103</v>
      </c>
      <c r="B3068">
        <v>1322845179</v>
      </c>
      <c r="C3068" t="s">
        <v>18</v>
      </c>
      <c r="D3068" t="s">
        <v>21</v>
      </c>
      <c r="E3068" s="29">
        <v>46205</v>
      </c>
      <c r="F3068" t="s">
        <v>4</v>
      </c>
      <c r="G3068" s="28">
        <v>0.40902777777777777</v>
      </c>
      <c r="H3068" s="28">
        <v>0.40902777777777777</v>
      </c>
      <c r="I3068">
        <v>0</v>
      </c>
      <c r="J3068" t="s">
        <v>174</v>
      </c>
      <c r="K3068">
        <v>0</v>
      </c>
      <c r="L3068" t="s">
        <v>1966</v>
      </c>
      <c r="M3068" t="s">
        <v>8046</v>
      </c>
      <c r="N3068" t="s">
        <v>8047</v>
      </c>
      <c r="O3068" t="s">
        <v>8048</v>
      </c>
      <c r="P3068" t="s">
        <v>8049</v>
      </c>
    </row>
    <row r="3069" spans="1:16" x14ac:dyDescent="0.35">
      <c r="A3069" t="s">
        <v>103</v>
      </c>
      <c r="B3069">
        <v>1322845179</v>
      </c>
      <c r="C3069" t="s">
        <v>18</v>
      </c>
      <c r="D3069" t="s">
        <v>21</v>
      </c>
      <c r="E3069" s="29">
        <v>46205</v>
      </c>
      <c r="F3069" t="s">
        <v>4</v>
      </c>
      <c r="G3069" s="28">
        <v>0.41597222222222224</v>
      </c>
      <c r="H3069" s="28">
        <v>0.41597222222222224</v>
      </c>
      <c r="I3069">
        <v>0</v>
      </c>
      <c r="J3069" t="s">
        <v>174</v>
      </c>
      <c r="K3069">
        <v>0</v>
      </c>
      <c r="L3069" t="s">
        <v>5340</v>
      </c>
      <c r="M3069" t="s">
        <v>8050</v>
      </c>
      <c r="N3069" t="s">
        <v>8051</v>
      </c>
      <c r="O3069" t="s">
        <v>8052</v>
      </c>
      <c r="P3069" t="s">
        <v>8053</v>
      </c>
    </row>
    <row r="3070" spans="1:16" x14ac:dyDescent="0.35">
      <c r="A3070" t="s">
        <v>103</v>
      </c>
      <c r="B3070">
        <v>1322845179</v>
      </c>
      <c r="C3070" t="s">
        <v>18</v>
      </c>
      <c r="D3070" t="s">
        <v>21</v>
      </c>
      <c r="E3070" s="29">
        <v>46205</v>
      </c>
      <c r="F3070" t="s">
        <v>4</v>
      </c>
      <c r="G3070" s="28">
        <v>0.42291666666666666</v>
      </c>
      <c r="H3070" s="28">
        <v>0.42291666666666666</v>
      </c>
      <c r="I3070">
        <v>0</v>
      </c>
      <c r="J3070" t="s">
        <v>174</v>
      </c>
      <c r="K3070">
        <v>0</v>
      </c>
      <c r="L3070" t="s">
        <v>663</v>
      </c>
      <c r="M3070" t="s">
        <v>7989</v>
      </c>
      <c r="N3070" t="s">
        <v>7990</v>
      </c>
      <c r="O3070" t="s">
        <v>7991</v>
      </c>
      <c r="P3070" t="s">
        <v>7992</v>
      </c>
    </row>
    <row r="3071" spans="1:16" x14ac:dyDescent="0.35">
      <c r="A3071" t="s">
        <v>103</v>
      </c>
      <c r="B3071">
        <v>1322845179</v>
      </c>
      <c r="C3071" t="s">
        <v>18</v>
      </c>
      <c r="D3071" t="s">
        <v>21</v>
      </c>
      <c r="E3071" s="29">
        <v>46205</v>
      </c>
      <c r="F3071" t="s">
        <v>4</v>
      </c>
      <c r="G3071" s="28">
        <v>0.42986111111111114</v>
      </c>
      <c r="H3071" s="28">
        <v>0.42986111111111114</v>
      </c>
      <c r="I3071">
        <v>0</v>
      </c>
      <c r="J3071" t="s">
        <v>174</v>
      </c>
      <c r="K3071">
        <v>0</v>
      </c>
      <c r="L3071" t="s">
        <v>4225</v>
      </c>
      <c r="M3071" t="s">
        <v>8054</v>
      </c>
      <c r="N3071" t="s">
        <v>8055</v>
      </c>
      <c r="O3071" t="s">
        <v>8056</v>
      </c>
      <c r="P3071" t="s">
        <v>8057</v>
      </c>
    </row>
    <row r="3072" spans="1:16" x14ac:dyDescent="0.35">
      <c r="A3072" t="s">
        <v>103</v>
      </c>
      <c r="B3072">
        <v>1322845179</v>
      </c>
      <c r="C3072" t="s">
        <v>18</v>
      </c>
      <c r="D3072" t="s">
        <v>21</v>
      </c>
      <c r="E3072" s="29">
        <v>46205</v>
      </c>
      <c r="F3072" t="s">
        <v>4</v>
      </c>
      <c r="G3072" s="28">
        <v>0.43680555555555556</v>
      </c>
      <c r="H3072" s="28">
        <v>0.44374999999999998</v>
      </c>
      <c r="I3072">
        <v>0</v>
      </c>
      <c r="J3072" t="s">
        <v>146</v>
      </c>
      <c r="K3072">
        <v>0</v>
      </c>
      <c r="L3072" t="s">
        <v>147</v>
      </c>
      <c r="M3072" t="s">
        <v>8058</v>
      </c>
      <c r="N3072" t="s">
        <v>8059</v>
      </c>
      <c r="O3072" t="s">
        <v>8060</v>
      </c>
      <c r="P3072" t="s">
        <v>8061</v>
      </c>
    </row>
    <row r="3073" spans="1:16" x14ac:dyDescent="0.35">
      <c r="A3073" t="s">
        <v>103</v>
      </c>
      <c r="B3073">
        <v>1322845179</v>
      </c>
      <c r="C3073" t="s">
        <v>18</v>
      </c>
      <c r="D3073" t="s">
        <v>21</v>
      </c>
      <c r="E3073" s="29">
        <v>46205</v>
      </c>
      <c r="F3073" t="s">
        <v>4</v>
      </c>
      <c r="G3073" s="28">
        <v>0.45069444444444445</v>
      </c>
      <c r="H3073" s="28">
        <v>0.45069444444444445</v>
      </c>
      <c r="I3073">
        <v>0</v>
      </c>
      <c r="J3073" t="s">
        <v>174</v>
      </c>
      <c r="K3073">
        <v>0</v>
      </c>
      <c r="L3073" t="s">
        <v>4230</v>
      </c>
      <c r="M3073" t="s">
        <v>8030</v>
      </c>
      <c r="N3073" t="s">
        <v>8031</v>
      </c>
      <c r="O3073" t="s">
        <v>8032</v>
      </c>
      <c r="P3073" t="s">
        <v>8033</v>
      </c>
    </row>
    <row r="3074" spans="1:16" x14ac:dyDescent="0.35">
      <c r="A3074" t="s">
        <v>103</v>
      </c>
      <c r="B3074">
        <v>1322845179</v>
      </c>
      <c r="C3074" t="s">
        <v>18</v>
      </c>
      <c r="D3074" t="s">
        <v>21</v>
      </c>
      <c r="E3074" s="29">
        <v>46205</v>
      </c>
      <c r="F3074" t="s">
        <v>4</v>
      </c>
      <c r="G3074" s="28">
        <v>0.45763888888888887</v>
      </c>
      <c r="H3074" s="28">
        <v>0.45763888888888887</v>
      </c>
      <c r="I3074">
        <v>0</v>
      </c>
      <c r="J3074" t="s">
        <v>174</v>
      </c>
      <c r="K3074">
        <v>0</v>
      </c>
      <c r="L3074" t="s">
        <v>1600</v>
      </c>
      <c r="M3074" t="s">
        <v>8062</v>
      </c>
      <c r="N3074" t="s">
        <v>8063</v>
      </c>
      <c r="O3074" t="s">
        <v>8064</v>
      </c>
      <c r="P3074" t="s">
        <v>8065</v>
      </c>
    </row>
    <row r="3075" spans="1:16" x14ac:dyDescent="0.35">
      <c r="A3075" t="s">
        <v>103</v>
      </c>
      <c r="B3075">
        <v>1322845179</v>
      </c>
      <c r="C3075" t="s">
        <v>18</v>
      </c>
      <c r="D3075" t="s">
        <v>21</v>
      </c>
      <c r="E3075" s="29">
        <v>46205</v>
      </c>
      <c r="F3075" t="s">
        <v>4</v>
      </c>
      <c r="G3075" s="28">
        <v>0.46458333333333335</v>
      </c>
      <c r="H3075" s="28">
        <v>0.46458333333333335</v>
      </c>
      <c r="I3075">
        <v>0</v>
      </c>
      <c r="J3075" t="s">
        <v>174</v>
      </c>
      <c r="K3075">
        <v>0</v>
      </c>
      <c r="L3075" t="s">
        <v>2745</v>
      </c>
      <c r="M3075" t="s">
        <v>8066</v>
      </c>
      <c r="N3075" t="s">
        <v>8067</v>
      </c>
      <c r="O3075" t="s">
        <v>8068</v>
      </c>
      <c r="P3075" t="s">
        <v>8069</v>
      </c>
    </row>
    <row r="3076" spans="1:16" x14ac:dyDescent="0.35">
      <c r="A3076" t="s">
        <v>103</v>
      </c>
      <c r="B3076">
        <v>1322845179</v>
      </c>
      <c r="C3076" t="s">
        <v>18</v>
      </c>
      <c r="D3076" t="s">
        <v>21</v>
      </c>
      <c r="E3076" s="29">
        <v>46205</v>
      </c>
      <c r="F3076" t="s">
        <v>4</v>
      </c>
      <c r="G3076" s="28">
        <v>0.47152777777777777</v>
      </c>
      <c r="H3076" s="28">
        <v>0.47152777777777777</v>
      </c>
      <c r="I3076">
        <v>0</v>
      </c>
      <c r="J3076" t="s">
        <v>174</v>
      </c>
      <c r="K3076">
        <v>0</v>
      </c>
      <c r="L3076" t="s">
        <v>8070</v>
      </c>
      <c r="M3076" t="s">
        <v>8066</v>
      </c>
      <c r="N3076" t="s">
        <v>8071</v>
      </c>
      <c r="O3076" t="s">
        <v>8072</v>
      </c>
      <c r="P3076" t="s">
        <v>8073</v>
      </c>
    </row>
    <row r="3077" spans="1:16" x14ac:dyDescent="0.35">
      <c r="A3077" t="s">
        <v>103</v>
      </c>
      <c r="B3077">
        <v>1322845179</v>
      </c>
      <c r="C3077" t="s">
        <v>18</v>
      </c>
      <c r="D3077" t="s">
        <v>21</v>
      </c>
      <c r="E3077" s="29">
        <v>46205</v>
      </c>
      <c r="F3077" t="s">
        <v>4</v>
      </c>
      <c r="G3077" s="28">
        <v>0.47847222222222224</v>
      </c>
      <c r="H3077" s="28">
        <v>0.47847222222222224</v>
      </c>
      <c r="I3077">
        <v>0</v>
      </c>
      <c r="J3077" t="s">
        <v>174</v>
      </c>
      <c r="K3077">
        <v>0</v>
      </c>
      <c r="L3077" t="s">
        <v>614</v>
      </c>
      <c r="M3077" t="s">
        <v>8074</v>
      </c>
      <c r="N3077" t="s">
        <v>8075</v>
      </c>
      <c r="O3077" t="s">
        <v>8076</v>
      </c>
      <c r="P3077" t="s">
        <v>8077</v>
      </c>
    </row>
    <row r="3078" spans="1:16" x14ac:dyDescent="0.35">
      <c r="A3078" t="s">
        <v>103</v>
      </c>
      <c r="B3078">
        <v>1322845179</v>
      </c>
      <c r="C3078" t="s">
        <v>18</v>
      </c>
      <c r="D3078" t="s">
        <v>21</v>
      </c>
      <c r="E3078" s="29">
        <v>46205</v>
      </c>
      <c r="F3078" t="s">
        <v>4</v>
      </c>
      <c r="G3078" s="28">
        <v>0.48541666666666666</v>
      </c>
      <c r="H3078" s="28">
        <v>0.48541666666666666</v>
      </c>
      <c r="I3078">
        <v>0</v>
      </c>
      <c r="J3078" t="s">
        <v>174</v>
      </c>
      <c r="K3078">
        <v>0</v>
      </c>
      <c r="L3078" t="s">
        <v>6173</v>
      </c>
      <c r="M3078" t="s">
        <v>8078</v>
      </c>
      <c r="N3078" t="s">
        <v>8079</v>
      </c>
      <c r="O3078" t="s">
        <v>8080</v>
      </c>
      <c r="P3078" t="s">
        <v>8081</v>
      </c>
    </row>
    <row r="3079" spans="1:16" x14ac:dyDescent="0.35">
      <c r="A3079" t="s">
        <v>103</v>
      </c>
      <c r="B3079">
        <v>1322845179</v>
      </c>
      <c r="C3079" t="s">
        <v>18</v>
      </c>
      <c r="D3079" t="s">
        <v>21</v>
      </c>
      <c r="E3079" s="29">
        <v>46205</v>
      </c>
      <c r="F3079" t="s">
        <v>4</v>
      </c>
      <c r="G3079" s="28">
        <v>0.49236111111111114</v>
      </c>
      <c r="H3079" s="28">
        <v>0.49236111111111114</v>
      </c>
      <c r="I3079">
        <v>0</v>
      </c>
      <c r="J3079" t="s">
        <v>174</v>
      </c>
      <c r="K3079">
        <v>0</v>
      </c>
      <c r="L3079" t="s">
        <v>8082</v>
      </c>
      <c r="M3079" t="s">
        <v>8083</v>
      </c>
      <c r="N3079" t="s">
        <v>8084</v>
      </c>
      <c r="O3079" t="s">
        <v>8085</v>
      </c>
      <c r="P3079" t="s">
        <v>1622</v>
      </c>
    </row>
    <row r="3080" spans="1:16" x14ac:dyDescent="0.35">
      <c r="A3080" t="s">
        <v>103</v>
      </c>
      <c r="B3080">
        <v>1322845179</v>
      </c>
      <c r="C3080" t="s">
        <v>18</v>
      </c>
      <c r="D3080" t="s">
        <v>21</v>
      </c>
      <c r="E3080" s="29">
        <v>46205</v>
      </c>
      <c r="F3080" t="s">
        <v>4</v>
      </c>
      <c r="G3080" s="28">
        <v>0.49930555555555556</v>
      </c>
      <c r="H3080" s="28">
        <v>0.49930555555555556</v>
      </c>
      <c r="I3080">
        <v>0</v>
      </c>
      <c r="J3080" t="s">
        <v>174</v>
      </c>
      <c r="K3080">
        <v>0</v>
      </c>
      <c r="L3080" t="s">
        <v>8086</v>
      </c>
      <c r="M3080" t="s">
        <v>8087</v>
      </c>
      <c r="N3080" t="s">
        <v>8088</v>
      </c>
      <c r="O3080" t="s">
        <v>8089</v>
      </c>
      <c r="P3080" t="s">
        <v>8090</v>
      </c>
    </row>
    <row r="3081" spans="1:16" x14ac:dyDescent="0.35">
      <c r="A3081" t="s">
        <v>103</v>
      </c>
      <c r="B3081">
        <v>1322845179</v>
      </c>
      <c r="C3081" t="s">
        <v>18</v>
      </c>
      <c r="D3081" t="s">
        <v>21</v>
      </c>
      <c r="E3081" s="29">
        <v>46205</v>
      </c>
      <c r="F3081" t="s">
        <v>4</v>
      </c>
      <c r="G3081" s="28">
        <v>0.50624999999999998</v>
      </c>
      <c r="H3081" s="28">
        <v>0.50624999999999998</v>
      </c>
      <c r="I3081">
        <v>0</v>
      </c>
      <c r="J3081" t="s">
        <v>174</v>
      </c>
      <c r="K3081">
        <v>0</v>
      </c>
      <c r="L3081" t="s">
        <v>6008</v>
      </c>
      <c r="M3081" t="s">
        <v>8091</v>
      </c>
      <c r="N3081" t="s">
        <v>8092</v>
      </c>
      <c r="O3081" t="s">
        <v>8093</v>
      </c>
      <c r="P3081" t="s">
        <v>8094</v>
      </c>
    </row>
    <row r="3082" spans="1:16" x14ac:dyDescent="0.35">
      <c r="A3082" t="s">
        <v>103</v>
      </c>
      <c r="B3082">
        <v>1322845179</v>
      </c>
      <c r="C3082" t="s">
        <v>18</v>
      </c>
      <c r="D3082" t="s">
        <v>21</v>
      </c>
      <c r="E3082" s="29">
        <v>46205</v>
      </c>
      <c r="F3082" t="s">
        <v>4</v>
      </c>
      <c r="G3082" s="28">
        <v>0.5131944444444444</v>
      </c>
      <c r="H3082" s="28">
        <v>0.5131944444444444</v>
      </c>
      <c r="I3082">
        <v>0</v>
      </c>
      <c r="J3082" t="s">
        <v>174</v>
      </c>
      <c r="K3082">
        <v>0</v>
      </c>
      <c r="L3082" t="s">
        <v>7866</v>
      </c>
      <c r="M3082" t="s">
        <v>8095</v>
      </c>
      <c r="N3082" t="s">
        <v>8096</v>
      </c>
      <c r="O3082" t="s">
        <v>8097</v>
      </c>
      <c r="P3082" t="s">
        <v>8098</v>
      </c>
    </row>
    <row r="3083" spans="1:16" x14ac:dyDescent="0.35">
      <c r="A3083" t="s">
        <v>103</v>
      </c>
      <c r="B3083">
        <v>1322845179</v>
      </c>
      <c r="C3083" t="s">
        <v>18</v>
      </c>
      <c r="D3083" t="s">
        <v>21</v>
      </c>
      <c r="E3083" s="29">
        <v>46205</v>
      </c>
      <c r="F3083" t="s">
        <v>4</v>
      </c>
      <c r="G3083" s="28">
        <v>0.52013888888888893</v>
      </c>
      <c r="H3083" s="28">
        <v>0.52013888888888893</v>
      </c>
      <c r="I3083">
        <v>0</v>
      </c>
      <c r="J3083" t="s">
        <v>174</v>
      </c>
      <c r="K3083">
        <v>0</v>
      </c>
      <c r="L3083" t="s">
        <v>8099</v>
      </c>
      <c r="M3083" t="s">
        <v>8100</v>
      </c>
      <c r="N3083" t="s">
        <v>8101</v>
      </c>
      <c r="O3083" t="s">
        <v>8102</v>
      </c>
      <c r="P3083" t="s">
        <v>8103</v>
      </c>
    </row>
    <row r="3084" spans="1:16" x14ac:dyDescent="0.35">
      <c r="A3084" t="s">
        <v>103</v>
      </c>
      <c r="B3084">
        <v>1322845179</v>
      </c>
      <c r="C3084" t="s">
        <v>18</v>
      </c>
      <c r="D3084" t="s">
        <v>21</v>
      </c>
      <c r="E3084" s="29">
        <v>46205</v>
      </c>
      <c r="F3084" t="s">
        <v>4</v>
      </c>
      <c r="G3084" s="28">
        <v>0.52708333333333335</v>
      </c>
      <c r="H3084" s="28">
        <v>0.52708333333333335</v>
      </c>
      <c r="I3084">
        <v>0</v>
      </c>
      <c r="J3084" t="s">
        <v>174</v>
      </c>
      <c r="K3084">
        <v>0</v>
      </c>
      <c r="L3084" t="s">
        <v>287</v>
      </c>
      <c r="M3084" t="s">
        <v>8104</v>
      </c>
      <c r="N3084" t="s">
        <v>8105</v>
      </c>
      <c r="O3084" t="s">
        <v>8106</v>
      </c>
      <c r="P3084" t="s">
        <v>8107</v>
      </c>
    </row>
    <row r="3085" spans="1:16" x14ac:dyDescent="0.35">
      <c r="A3085" t="s">
        <v>103</v>
      </c>
      <c r="B3085">
        <v>1322845179</v>
      </c>
      <c r="C3085" t="s">
        <v>18</v>
      </c>
      <c r="D3085" t="s">
        <v>21</v>
      </c>
      <c r="E3085" s="29">
        <v>46205</v>
      </c>
      <c r="F3085" t="s">
        <v>4</v>
      </c>
      <c r="G3085" s="28">
        <v>0.53402777777777777</v>
      </c>
      <c r="H3085" s="28">
        <v>0.53402777777777777</v>
      </c>
      <c r="I3085">
        <v>0</v>
      </c>
      <c r="J3085" t="s">
        <v>174</v>
      </c>
      <c r="K3085">
        <v>0</v>
      </c>
      <c r="L3085" t="s">
        <v>4949</v>
      </c>
      <c r="M3085" t="s">
        <v>8108</v>
      </c>
      <c r="N3085" t="s">
        <v>8109</v>
      </c>
      <c r="O3085" t="s">
        <v>8110</v>
      </c>
      <c r="P3085" t="s">
        <v>8111</v>
      </c>
    </row>
    <row r="3086" spans="1:16" x14ac:dyDescent="0.35">
      <c r="A3086" t="s">
        <v>103</v>
      </c>
      <c r="B3086">
        <v>1322845179</v>
      </c>
      <c r="C3086" t="s">
        <v>18</v>
      </c>
      <c r="D3086" t="s">
        <v>21</v>
      </c>
      <c r="E3086" s="29">
        <v>46205</v>
      </c>
      <c r="F3086" t="s">
        <v>4</v>
      </c>
      <c r="G3086" s="28">
        <v>0.54097222222222219</v>
      </c>
      <c r="H3086" s="28">
        <v>0.56874999999999998</v>
      </c>
      <c r="I3086">
        <v>1</v>
      </c>
      <c r="J3086" t="s">
        <v>146</v>
      </c>
      <c r="K3086">
        <v>2</v>
      </c>
      <c r="L3086" t="s">
        <v>147</v>
      </c>
      <c r="M3086" t="s">
        <v>8112</v>
      </c>
      <c r="N3086" t="s">
        <v>5018</v>
      </c>
      <c r="O3086" t="s">
        <v>5019</v>
      </c>
      <c r="P3086" t="s">
        <v>8113</v>
      </c>
    </row>
    <row r="3087" spans="1:16" x14ac:dyDescent="0.35">
      <c r="A3087" t="s">
        <v>103</v>
      </c>
      <c r="B3087">
        <v>1322845179</v>
      </c>
      <c r="C3087" t="s">
        <v>18</v>
      </c>
      <c r="D3087" t="s">
        <v>21</v>
      </c>
      <c r="E3087" s="29">
        <v>46205</v>
      </c>
      <c r="F3087" t="s">
        <v>4</v>
      </c>
      <c r="G3087" s="28">
        <v>0.58263888888888893</v>
      </c>
      <c r="H3087" s="28">
        <v>0.59652777777777777</v>
      </c>
      <c r="I3087">
        <v>0</v>
      </c>
      <c r="J3087" t="s">
        <v>146</v>
      </c>
      <c r="K3087">
        <v>1</v>
      </c>
      <c r="L3087" t="s">
        <v>147</v>
      </c>
      <c r="M3087" t="s">
        <v>8114</v>
      </c>
      <c r="N3087" t="s">
        <v>8115</v>
      </c>
      <c r="O3087" t="s">
        <v>8116</v>
      </c>
      <c r="P3087" t="s">
        <v>8117</v>
      </c>
    </row>
    <row r="3088" spans="1:16" x14ac:dyDescent="0.35">
      <c r="A3088" t="s">
        <v>103</v>
      </c>
      <c r="B3088">
        <v>1322845179</v>
      </c>
      <c r="C3088" t="s">
        <v>18</v>
      </c>
      <c r="D3088" t="s">
        <v>21</v>
      </c>
      <c r="E3088" s="29">
        <v>46205</v>
      </c>
      <c r="F3088" t="s">
        <v>4</v>
      </c>
      <c r="G3088" s="28">
        <v>0.60347222222222219</v>
      </c>
      <c r="H3088" s="28">
        <v>0.61041666666666672</v>
      </c>
      <c r="I3088">
        <v>0</v>
      </c>
      <c r="J3088" t="s">
        <v>146</v>
      </c>
      <c r="K3088">
        <v>1</v>
      </c>
      <c r="L3088" t="s">
        <v>147</v>
      </c>
      <c r="M3088" t="s">
        <v>5012</v>
      </c>
      <c r="N3088" t="s">
        <v>4993</v>
      </c>
      <c r="O3088" t="s">
        <v>4994</v>
      </c>
      <c r="P3088" t="s">
        <v>8118</v>
      </c>
    </row>
    <row r="3089" spans="1:16" x14ac:dyDescent="0.35">
      <c r="A3089" t="s">
        <v>103</v>
      </c>
      <c r="B3089">
        <v>1322845179</v>
      </c>
      <c r="C3089" t="s">
        <v>18</v>
      </c>
      <c r="D3089" t="s">
        <v>21</v>
      </c>
      <c r="E3089" s="29">
        <v>46205</v>
      </c>
      <c r="F3089" t="s">
        <v>4</v>
      </c>
      <c r="G3089" s="28">
        <v>0.61736111111111114</v>
      </c>
      <c r="H3089" s="28">
        <v>0.62430555555555556</v>
      </c>
      <c r="I3089">
        <v>0</v>
      </c>
      <c r="J3089" t="s">
        <v>146</v>
      </c>
      <c r="K3089">
        <v>0</v>
      </c>
      <c r="L3089" t="s">
        <v>147</v>
      </c>
      <c r="M3089" t="s">
        <v>5017</v>
      </c>
      <c r="N3089" t="s">
        <v>5018</v>
      </c>
      <c r="O3089" t="s">
        <v>5019</v>
      </c>
      <c r="P3089" t="s">
        <v>8113</v>
      </c>
    </row>
    <row r="3090" spans="1:16" x14ac:dyDescent="0.35">
      <c r="A3090" t="s">
        <v>103</v>
      </c>
      <c r="B3090">
        <v>1322845179</v>
      </c>
      <c r="C3090" t="s">
        <v>18</v>
      </c>
      <c r="D3090" t="s">
        <v>21</v>
      </c>
      <c r="E3090" s="29">
        <v>46205</v>
      </c>
      <c r="F3090" t="s">
        <v>4</v>
      </c>
      <c r="G3090" s="28">
        <v>0.64513888888888893</v>
      </c>
      <c r="H3090" s="28">
        <v>0.65902777777777777</v>
      </c>
      <c r="I3090">
        <v>0</v>
      </c>
      <c r="J3090" t="s">
        <v>146</v>
      </c>
      <c r="K3090">
        <v>1</v>
      </c>
      <c r="L3090" t="s">
        <v>147</v>
      </c>
      <c r="M3090" t="s">
        <v>8108</v>
      </c>
      <c r="N3090" t="s">
        <v>8109</v>
      </c>
      <c r="O3090" t="s">
        <v>8110</v>
      </c>
      <c r="P3090" t="s">
        <v>8111</v>
      </c>
    </row>
    <row r="3091" spans="1:16" x14ac:dyDescent="0.35">
      <c r="A3091" t="s">
        <v>103</v>
      </c>
      <c r="B3091">
        <v>1322845179</v>
      </c>
      <c r="C3091" t="s">
        <v>18</v>
      </c>
      <c r="D3091" t="s">
        <v>21</v>
      </c>
      <c r="E3091" s="29">
        <v>46205</v>
      </c>
      <c r="F3091" t="s">
        <v>4</v>
      </c>
      <c r="G3091" s="28">
        <v>0.66597222222222219</v>
      </c>
      <c r="H3091" s="28">
        <v>0.66597222222222219</v>
      </c>
      <c r="I3091">
        <v>0</v>
      </c>
      <c r="J3091" t="s">
        <v>174</v>
      </c>
      <c r="K3091">
        <v>0</v>
      </c>
      <c r="L3091" t="s">
        <v>3311</v>
      </c>
      <c r="M3091" t="s">
        <v>8119</v>
      </c>
      <c r="N3091" t="s">
        <v>8120</v>
      </c>
      <c r="O3091" t="s">
        <v>8121</v>
      </c>
      <c r="P3091" t="s">
        <v>8122</v>
      </c>
    </row>
    <row r="3092" spans="1:16" x14ac:dyDescent="0.35">
      <c r="A3092" t="s">
        <v>103</v>
      </c>
      <c r="B3092">
        <v>1322845179</v>
      </c>
      <c r="C3092" t="s">
        <v>18</v>
      </c>
      <c r="D3092" t="s">
        <v>21</v>
      </c>
      <c r="E3092" s="29">
        <v>46205</v>
      </c>
      <c r="F3092" t="s">
        <v>4</v>
      </c>
      <c r="G3092" s="28">
        <v>0.67291666666666672</v>
      </c>
      <c r="H3092" s="28">
        <v>0.67291666666666672</v>
      </c>
      <c r="I3092">
        <v>0</v>
      </c>
      <c r="J3092" t="s">
        <v>174</v>
      </c>
      <c r="K3092">
        <v>0</v>
      </c>
      <c r="L3092" t="s">
        <v>4316</v>
      </c>
      <c r="M3092" t="s">
        <v>8123</v>
      </c>
      <c r="N3092" t="s">
        <v>8124</v>
      </c>
      <c r="O3092" t="s">
        <v>8125</v>
      </c>
      <c r="P3092" t="s">
        <v>8126</v>
      </c>
    </row>
    <row r="3093" spans="1:16" x14ac:dyDescent="0.35">
      <c r="A3093" t="s">
        <v>103</v>
      </c>
      <c r="B3093">
        <v>1322845179</v>
      </c>
      <c r="C3093" t="s">
        <v>18</v>
      </c>
      <c r="D3093" t="s">
        <v>21</v>
      </c>
      <c r="E3093" s="29">
        <v>46205</v>
      </c>
      <c r="F3093" t="s">
        <v>4</v>
      </c>
      <c r="G3093" s="28">
        <v>0.67986111111111114</v>
      </c>
      <c r="H3093" s="28">
        <v>0.67986111111111114</v>
      </c>
      <c r="I3093">
        <v>0</v>
      </c>
      <c r="J3093" t="s">
        <v>174</v>
      </c>
      <c r="K3093">
        <v>0</v>
      </c>
      <c r="L3093" t="s">
        <v>7946</v>
      </c>
      <c r="M3093" t="s">
        <v>8127</v>
      </c>
      <c r="N3093" t="s">
        <v>8128</v>
      </c>
      <c r="O3093" t="s">
        <v>8129</v>
      </c>
      <c r="P3093" t="s">
        <v>8130</v>
      </c>
    </row>
    <row r="3094" spans="1:16" x14ac:dyDescent="0.35">
      <c r="A3094" t="s">
        <v>103</v>
      </c>
      <c r="B3094">
        <v>1322845179</v>
      </c>
      <c r="C3094" t="s">
        <v>18</v>
      </c>
      <c r="D3094" t="s">
        <v>21</v>
      </c>
      <c r="E3094" s="29">
        <v>46205</v>
      </c>
      <c r="F3094" t="s">
        <v>4</v>
      </c>
      <c r="G3094" s="28">
        <v>0.68680555555555556</v>
      </c>
      <c r="H3094" s="28">
        <v>0.68680555555555556</v>
      </c>
      <c r="I3094">
        <v>0</v>
      </c>
      <c r="J3094" t="s">
        <v>174</v>
      </c>
      <c r="K3094">
        <v>0</v>
      </c>
      <c r="L3094" t="s">
        <v>2398</v>
      </c>
      <c r="M3094" t="s">
        <v>5053</v>
      </c>
      <c r="N3094" t="s">
        <v>5054</v>
      </c>
      <c r="O3094" t="s">
        <v>5055</v>
      </c>
      <c r="P3094" t="s">
        <v>8131</v>
      </c>
    </row>
    <row r="3095" spans="1:16" x14ac:dyDescent="0.35">
      <c r="A3095" t="s">
        <v>103</v>
      </c>
      <c r="B3095">
        <v>1322845179</v>
      </c>
      <c r="C3095" t="s">
        <v>18</v>
      </c>
      <c r="D3095" t="s">
        <v>21</v>
      </c>
      <c r="E3095" s="29">
        <v>46205</v>
      </c>
      <c r="F3095" t="s">
        <v>4</v>
      </c>
      <c r="G3095" s="28">
        <v>0.69374999999999998</v>
      </c>
      <c r="H3095" s="28">
        <v>0.70763888888888893</v>
      </c>
      <c r="I3095">
        <v>0</v>
      </c>
      <c r="J3095" t="s">
        <v>146</v>
      </c>
      <c r="K3095">
        <v>1</v>
      </c>
      <c r="L3095" t="s">
        <v>147</v>
      </c>
      <c r="M3095" t="s">
        <v>5048</v>
      </c>
      <c r="N3095" t="s">
        <v>5049</v>
      </c>
      <c r="O3095" t="s">
        <v>5050</v>
      </c>
      <c r="P3095" t="s">
        <v>8132</v>
      </c>
    </row>
    <row r="3096" spans="1:16" x14ac:dyDescent="0.35">
      <c r="A3096" t="s">
        <v>103</v>
      </c>
      <c r="B3096">
        <v>1322845179</v>
      </c>
      <c r="C3096" t="s">
        <v>18</v>
      </c>
      <c r="D3096" t="s">
        <v>21</v>
      </c>
      <c r="E3096" s="29">
        <v>46205</v>
      </c>
      <c r="F3096" t="s">
        <v>4</v>
      </c>
      <c r="G3096" s="28">
        <v>0.71458333333333335</v>
      </c>
      <c r="H3096" s="28">
        <v>0.71458333333333335</v>
      </c>
      <c r="I3096">
        <v>0</v>
      </c>
      <c r="J3096" t="s">
        <v>174</v>
      </c>
      <c r="K3096">
        <v>0</v>
      </c>
      <c r="L3096" t="s">
        <v>1440</v>
      </c>
      <c r="M3096" t="s">
        <v>5044</v>
      </c>
      <c r="N3096" t="s">
        <v>5045</v>
      </c>
      <c r="O3096" t="s">
        <v>5046</v>
      </c>
      <c r="P3096" t="s">
        <v>8133</v>
      </c>
    </row>
    <row r="3097" spans="1:16" x14ac:dyDescent="0.35">
      <c r="A3097" t="s">
        <v>103</v>
      </c>
      <c r="B3097">
        <v>1322845179</v>
      </c>
      <c r="C3097" t="s">
        <v>18</v>
      </c>
      <c r="D3097" t="s">
        <v>21</v>
      </c>
      <c r="E3097" s="29">
        <v>46205</v>
      </c>
      <c r="F3097" t="s">
        <v>4</v>
      </c>
      <c r="G3097" s="28">
        <v>0.72152777777777777</v>
      </c>
      <c r="H3097" s="28">
        <v>0.72152777777777777</v>
      </c>
      <c r="I3097">
        <v>0</v>
      </c>
      <c r="J3097" t="s">
        <v>174</v>
      </c>
      <c r="K3097">
        <v>0</v>
      </c>
      <c r="L3097" t="s">
        <v>8134</v>
      </c>
      <c r="M3097" t="s">
        <v>5039</v>
      </c>
      <c r="N3097" t="s">
        <v>5040</v>
      </c>
      <c r="O3097" t="s">
        <v>5041</v>
      </c>
      <c r="P3097" t="s">
        <v>8135</v>
      </c>
    </row>
    <row r="3098" spans="1:16" x14ac:dyDescent="0.35">
      <c r="A3098" t="s">
        <v>103</v>
      </c>
      <c r="B3098">
        <v>1322845179</v>
      </c>
      <c r="C3098" t="s">
        <v>18</v>
      </c>
      <c r="D3098" t="s">
        <v>21</v>
      </c>
      <c r="E3098" s="29">
        <v>46205</v>
      </c>
      <c r="F3098" t="s">
        <v>4</v>
      </c>
      <c r="G3098" s="28">
        <v>0.72847222222222219</v>
      </c>
      <c r="H3098" s="28">
        <v>0.72847222222222219</v>
      </c>
      <c r="I3098">
        <v>0</v>
      </c>
      <c r="J3098" t="s">
        <v>174</v>
      </c>
      <c r="K3098">
        <v>0</v>
      </c>
      <c r="L3098" t="s">
        <v>6956</v>
      </c>
      <c r="M3098" t="s">
        <v>8136</v>
      </c>
      <c r="N3098" t="s">
        <v>8137</v>
      </c>
      <c r="O3098" t="s">
        <v>8138</v>
      </c>
      <c r="P3098" t="s">
        <v>8139</v>
      </c>
    </row>
    <row r="3099" spans="1:16" x14ac:dyDescent="0.35">
      <c r="A3099" t="s">
        <v>103</v>
      </c>
      <c r="B3099">
        <v>1322845179</v>
      </c>
      <c r="C3099" t="s">
        <v>18</v>
      </c>
      <c r="D3099" t="s">
        <v>21</v>
      </c>
      <c r="E3099" s="29">
        <v>46205</v>
      </c>
      <c r="F3099" t="s">
        <v>4</v>
      </c>
      <c r="G3099" s="28">
        <v>0.73541666666666672</v>
      </c>
      <c r="H3099" s="28">
        <v>0.73541666666666672</v>
      </c>
      <c r="I3099">
        <v>0</v>
      </c>
      <c r="J3099" t="s">
        <v>174</v>
      </c>
      <c r="K3099">
        <v>0</v>
      </c>
      <c r="L3099" t="s">
        <v>5774</v>
      </c>
      <c r="M3099" t="s">
        <v>8140</v>
      </c>
      <c r="N3099" t="s">
        <v>8141</v>
      </c>
      <c r="O3099" t="s">
        <v>8142</v>
      </c>
      <c r="P3099" t="s">
        <v>8143</v>
      </c>
    </row>
    <row r="3100" spans="1:16" x14ac:dyDescent="0.35">
      <c r="A3100" t="s">
        <v>103</v>
      </c>
      <c r="B3100">
        <v>1322845179</v>
      </c>
      <c r="C3100" t="s">
        <v>18</v>
      </c>
      <c r="D3100" t="s">
        <v>21</v>
      </c>
      <c r="E3100" s="29">
        <v>46205</v>
      </c>
      <c r="F3100" t="s">
        <v>4</v>
      </c>
      <c r="G3100" s="28">
        <v>0.74236111111111114</v>
      </c>
      <c r="H3100" s="28">
        <v>0.74236111111111114</v>
      </c>
      <c r="I3100">
        <v>0</v>
      </c>
      <c r="J3100" t="s">
        <v>174</v>
      </c>
      <c r="K3100">
        <v>0</v>
      </c>
      <c r="L3100" t="s">
        <v>466</v>
      </c>
      <c r="M3100" t="s">
        <v>5013</v>
      </c>
      <c r="N3100" t="s">
        <v>5014</v>
      </c>
      <c r="O3100" t="s">
        <v>5015</v>
      </c>
      <c r="P3100" t="s">
        <v>8144</v>
      </c>
    </row>
    <row r="3101" spans="1:16" x14ac:dyDescent="0.35">
      <c r="A3101" t="s">
        <v>103</v>
      </c>
      <c r="B3101">
        <v>1322845179</v>
      </c>
      <c r="C3101" t="s">
        <v>18</v>
      </c>
      <c r="D3101" t="s">
        <v>21</v>
      </c>
      <c r="E3101" s="29">
        <v>46205</v>
      </c>
      <c r="F3101" t="s">
        <v>4</v>
      </c>
      <c r="G3101" s="28">
        <v>0.74930555555555556</v>
      </c>
      <c r="H3101" s="28">
        <v>0.7631944444444444</v>
      </c>
      <c r="I3101">
        <v>0</v>
      </c>
      <c r="J3101" t="s">
        <v>146</v>
      </c>
      <c r="K3101">
        <v>1</v>
      </c>
      <c r="L3101" t="s">
        <v>147</v>
      </c>
      <c r="M3101" t="s">
        <v>8108</v>
      </c>
      <c r="N3101" t="s">
        <v>8109</v>
      </c>
      <c r="O3101" t="s">
        <v>8110</v>
      </c>
      <c r="P3101" t="s">
        <v>8111</v>
      </c>
    </row>
    <row r="3102" spans="1:16" x14ac:dyDescent="0.35">
      <c r="A3102" t="s">
        <v>103</v>
      </c>
      <c r="B3102">
        <v>1322845179</v>
      </c>
      <c r="C3102" t="s">
        <v>18</v>
      </c>
      <c r="D3102" t="s">
        <v>21</v>
      </c>
      <c r="E3102" s="29">
        <v>46205</v>
      </c>
      <c r="F3102" t="s">
        <v>4</v>
      </c>
      <c r="G3102" s="28">
        <v>0.77013888888888893</v>
      </c>
      <c r="H3102" s="28">
        <v>0.77013888888888893</v>
      </c>
      <c r="I3102">
        <v>0</v>
      </c>
      <c r="J3102" t="s">
        <v>174</v>
      </c>
      <c r="K3102">
        <v>0</v>
      </c>
      <c r="L3102" t="s">
        <v>6977</v>
      </c>
      <c r="M3102" t="s">
        <v>8145</v>
      </c>
      <c r="N3102" t="s">
        <v>8146</v>
      </c>
      <c r="O3102" t="s">
        <v>8147</v>
      </c>
      <c r="P3102" t="s">
        <v>8148</v>
      </c>
    </row>
    <row r="3103" spans="1:16" x14ac:dyDescent="0.35">
      <c r="A3103" t="s">
        <v>103</v>
      </c>
      <c r="B3103">
        <v>1322845179</v>
      </c>
      <c r="C3103" t="s">
        <v>18</v>
      </c>
      <c r="D3103" t="s">
        <v>21</v>
      </c>
      <c r="E3103" s="29">
        <v>46205</v>
      </c>
      <c r="F3103" t="s">
        <v>4</v>
      </c>
      <c r="G3103" s="28">
        <v>0.77708333333333335</v>
      </c>
      <c r="H3103" s="28">
        <v>0.77708333333333335</v>
      </c>
      <c r="I3103">
        <v>0</v>
      </c>
      <c r="J3103" t="s">
        <v>174</v>
      </c>
      <c r="K3103">
        <v>0</v>
      </c>
      <c r="L3103" t="s">
        <v>4660</v>
      </c>
      <c r="M3103" t="s">
        <v>8149</v>
      </c>
      <c r="N3103" t="s">
        <v>8150</v>
      </c>
      <c r="O3103" t="s">
        <v>8151</v>
      </c>
      <c r="P3103" t="s">
        <v>8152</v>
      </c>
    </row>
    <row r="3104" spans="1:16" x14ac:dyDescent="0.35">
      <c r="A3104" t="s">
        <v>103</v>
      </c>
      <c r="B3104">
        <v>1322845179</v>
      </c>
      <c r="C3104" t="s">
        <v>18</v>
      </c>
      <c r="D3104" t="s">
        <v>21</v>
      </c>
      <c r="E3104" s="29">
        <v>46205</v>
      </c>
      <c r="F3104" t="s">
        <v>4</v>
      </c>
      <c r="G3104" s="28">
        <v>0.78402777777777777</v>
      </c>
      <c r="H3104" s="28">
        <v>0.78402777777777777</v>
      </c>
      <c r="I3104">
        <v>0</v>
      </c>
      <c r="J3104" t="s">
        <v>174</v>
      </c>
      <c r="K3104">
        <v>0</v>
      </c>
      <c r="L3104" t="s">
        <v>883</v>
      </c>
      <c r="M3104" t="s">
        <v>8153</v>
      </c>
      <c r="N3104" t="s">
        <v>8154</v>
      </c>
      <c r="O3104" t="s">
        <v>8155</v>
      </c>
      <c r="P3104" t="s">
        <v>8156</v>
      </c>
    </row>
    <row r="3105" spans="1:16" x14ac:dyDescent="0.35">
      <c r="A3105" t="s">
        <v>103</v>
      </c>
      <c r="B3105">
        <v>1322845179</v>
      </c>
      <c r="C3105" t="s">
        <v>18</v>
      </c>
      <c r="D3105" t="s">
        <v>21</v>
      </c>
      <c r="E3105" s="29">
        <v>46205</v>
      </c>
      <c r="F3105" t="s">
        <v>4</v>
      </c>
      <c r="G3105" s="28">
        <v>0.79097222222222219</v>
      </c>
      <c r="H3105" s="28">
        <v>0.79097222222222219</v>
      </c>
      <c r="I3105">
        <v>0</v>
      </c>
      <c r="J3105" t="s">
        <v>174</v>
      </c>
      <c r="K3105">
        <v>0</v>
      </c>
      <c r="L3105" t="s">
        <v>4601</v>
      </c>
      <c r="M3105" t="s">
        <v>8157</v>
      </c>
      <c r="N3105" t="s">
        <v>8158</v>
      </c>
      <c r="O3105" t="s">
        <v>8159</v>
      </c>
      <c r="P3105" t="s">
        <v>8160</v>
      </c>
    </row>
    <row r="3106" spans="1:16" x14ac:dyDescent="0.35">
      <c r="A3106" t="s">
        <v>103</v>
      </c>
      <c r="B3106">
        <v>1322845179</v>
      </c>
      <c r="C3106" t="s">
        <v>18</v>
      </c>
      <c r="D3106" t="s">
        <v>21</v>
      </c>
      <c r="E3106" s="29">
        <v>46207</v>
      </c>
      <c r="F3106" t="s">
        <v>5</v>
      </c>
      <c r="G3106" s="28">
        <v>0.39513888888888887</v>
      </c>
      <c r="H3106" s="28">
        <v>0.39513888888888887</v>
      </c>
      <c r="I3106">
        <v>0</v>
      </c>
      <c r="J3106" t="s">
        <v>174</v>
      </c>
      <c r="K3106">
        <v>0</v>
      </c>
      <c r="L3106" t="s">
        <v>2194</v>
      </c>
      <c r="M3106" t="s">
        <v>5389</v>
      </c>
      <c r="N3106" t="s">
        <v>5413</v>
      </c>
      <c r="O3106" t="s">
        <v>5414</v>
      </c>
      <c r="P3106" t="s">
        <v>5415</v>
      </c>
    </row>
    <row r="3107" spans="1:16" x14ac:dyDescent="0.35">
      <c r="A3107" t="s">
        <v>103</v>
      </c>
      <c r="B3107">
        <v>1322845179</v>
      </c>
      <c r="C3107" t="s">
        <v>18</v>
      </c>
      <c r="D3107" t="s">
        <v>21</v>
      </c>
      <c r="E3107" s="29">
        <v>46207</v>
      </c>
      <c r="F3107" t="s">
        <v>5</v>
      </c>
      <c r="G3107" s="28">
        <v>0.40208333333333335</v>
      </c>
      <c r="H3107" s="28">
        <v>0.45069444444444445</v>
      </c>
      <c r="I3107">
        <v>1</v>
      </c>
      <c r="J3107" t="s">
        <v>146</v>
      </c>
      <c r="K3107">
        <v>4</v>
      </c>
      <c r="L3107" t="s">
        <v>147</v>
      </c>
      <c r="M3107" t="s">
        <v>5409</v>
      </c>
      <c r="N3107" t="s">
        <v>5410</v>
      </c>
      <c r="O3107" t="s">
        <v>5411</v>
      </c>
      <c r="P3107" t="s">
        <v>5412</v>
      </c>
    </row>
    <row r="3108" spans="1:16" x14ac:dyDescent="0.35">
      <c r="A3108" t="s">
        <v>103</v>
      </c>
      <c r="B3108">
        <v>1322845179</v>
      </c>
      <c r="C3108" t="s">
        <v>18</v>
      </c>
      <c r="D3108" t="s">
        <v>21</v>
      </c>
      <c r="E3108" s="29">
        <v>46207</v>
      </c>
      <c r="F3108" t="s">
        <v>5</v>
      </c>
      <c r="G3108" s="28">
        <v>0.45763888888888887</v>
      </c>
      <c r="H3108" s="28">
        <v>0.45763888888888887</v>
      </c>
      <c r="I3108">
        <v>0</v>
      </c>
      <c r="J3108" t="s">
        <v>174</v>
      </c>
      <c r="K3108">
        <v>0</v>
      </c>
      <c r="L3108" t="s">
        <v>389</v>
      </c>
      <c r="M3108" t="s">
        <v>8161</v>
      </c>
      <c r="N3108" t="s">
        <v>8162</v>
      </c>
      <c r="O3108" t="s">
        <v>8163</v>
      </c>
      <c r="P3108" t="s">
        <v>8164</v>
      </c>
    </row>
    <row r="3109" spans="1:16" x14ac:dyDescent="0.35">
      <c r="A3109" t="s">
        <v>103</v>
      </c>
      <c r="B3109">
        <v>1322845179</v>
      </c>
      <c r="C3109" t="s">
        <v>18</v>
      </c>
      <c r="D3109" t="s">
        <v>21</v>
      </c>
      <c r="E3109" s="29">
        <v>46207</v>
      </c>
      <c r="F3109" t="s">
        <v>5</v>
      </c>
      <c r="G3109" s="28">
        <v>0.46458333333333335</v>
      </c>
      <c r="H3109" s="28">
        <v>0.46458333333333335</v>
      </c>
      <c r="I3109">
        <v>0</v>
      </c>
      <c r="J3109" t="s">
        <v>174</v>
      </c>
      <c r="K3109">
        <v>0</v>
      </c>
      <c r="L3109" t="s">
        <v>6475</v>
      </c>
      <c r="M3109" t="s">
        <v>8165</v>
      </c>
      <c r="N3109" t="s">
        <v>8166</v>
      </c>
      <c r="O3109" t="s">
        <v>8167</v>
      </c>
      <c r="P3109" t="s">
        <v>8168</v>
      </c>
    </row>
    <row r="3110" spans="1:16" x14ac:dyDescent="0.35">
      <c r="A3110" t="s">
        <v>103</v>
      </c>
      <c r="B3110">
        <v>1322845179</v>
      </c>
      <c r="C3110" t="s">
        <v>18</v>
      </c>
      <c r="D3110" t="s">
        <v>21</v>
      </c>
      <c r="E3110" s="29">
        <v>46207</v>
      </c>
      <c r="F3110" t="s">
        <v>5</v>
      </c>
      <c r="G3110" s="28">
        <v>0.47152777777777777</v>
      </c>
      <c r="H3110" s="28">
        <v>0.47152777777777777</v>
      </c>
      <c r="I3110">
        <v>0</v>
      </c>
      <c r="J3110" t="s">
        <v>174</v>
      </c>
      <c r="K3110">
        <v>0</v>
      </c>
      <c r="L3110" t="s">
        <v>6475</v>
      </c>
      <c r="M3110" t="s">
        <v>8169</v>
      </c>
      <c r="N3110" t="s">
        <v>8170</v>
      </c>
      <c r="O3110" t="s">
        <v>8171</v>
      </c>
      <c r="P3110" t="s">
        <v>8172</v>
      </c>
    </row>
    <row r="3111" spans="1:16" x14ac:dyDescent="0.35">
      <c r="A3111" t="s">
        <v>103</v>
      </c>
      <c r="B3111">
        <v>1322845179</v>
      </c>
      <c r="C3111" t="s">
        <v>18</v>
      </c>
      <c r="D3111" t="s">
        <v>21</v>
      </c>
      <c r="E3111" s="29">
        <v>46207</v>
      </c>
      <c r="F3111" t="s">
        <v>5</v>
      </c>
      <c r="G3111" s="28">
        <v>0.47847222222222224</v>
      </c>
      <c r="H3111" s="28">
        <v>0.47847222222222224</v>
      </c>
      <c r="I3111">
        <v>0</v>
      </c>
      <c r="J3111" t="s">
        <v>174</v>
      </c>
      <c r="K3111">
        <v>0</v>
      </c>
      <c r="L3111" t="s">
        <v>1696</v>
      </c>
      <c r="M3111" t="s">
        <v>8165</v>
      </c>
      <c r="N3111" t="s">
        <v>8166</v>
      </c>
      <c r="O3111" t="s">
        <v>8167</v>
      </c>
      <c r="P3111" t="s">
        <v>8168</v>
      </c>
    </row>
    <row r="3112" spans="1:16" x14ac:dyDescent="0.35">
      <c r="A3112" t="s">
        <v>103</v>
      </c>
      <c r="B3112">
        <v>1322845179</v>
      </c>
      <c r="C3112" t="s">
        <v>18</v>
      </c>
      <c r="D3112" t="s">
        <v>21</v>
      </c>
      <c r="E3112" s="29">
        <v>46207</v>
      </c>
      <c r="F3112" t="s">
        <v>5</v>
      </c>
      <c r="G3112" s="28">
        <v>0.48541666666666666</v>
      </c>
      <c r="H3112" s="28">
        <v>0.52013888888888893</v>
      </c>
      <c r="I3112">
        <v>1</v>
      </c>
      <c r="J3112" t="s">
        <v>146</v>
      </c>
      <c r="K3112">
        <v>2</v>
      </c>
      <c r="L3112" t="s">
        <v>147</v>
      </c>
      <c r="M3112" t="s">
        <v>8173</v>
      </c>
      <c r="N3112" t="s">
        <v>8174</v>
      </c>
      <c r="O3112" t="s">
        <v>8175</v>
      </c>
      <c r="P3112" t="s">
        <v>8176</v>
      </c>
    </row>
    <row r="3113" spans="1:16" x14ac:dyDescent="0.35">
      <c r="A3113" t="s">
        <v>103</v>
      </c>
      <c r="B3113">
        <v>1322845179</v>
      </c>
      <c r="C3113" t="s">
        <v>18</v>
      </c>
      <c r="D3113" t="s">
        <v>21</v>
      </c>
      <c r="E3113" s="29">
        <v>46207</v>
      </c>
      <c r="F3113" t="s">
        <v>5</v>
      </c>
      <c r="G3113" s="28">
        <v>0.52708333333333335</v>
      </c>
      <c r="H3113" s="28">
        <v>0.52708333333333335</v>
      </c>
      <c r="I3113">
        <v>0</v>
      </c>
      <c r="J3113" t="s">
        <v>174</v>
      </c>
      <c r="K3113">
        <v>0</v>
      </c>
      <c r="L3113" t="s">
        <v>2095</v>
      </c>
      <c r="M3113" t="s">
        <v>8177</v>
      </c>
      <c r="N3113" t="s">
        <v>8178</v>
      </c>
      <c r="O3113" t="s">
        <v>8179</v>
      </c>
      <c r="P3113" t="s">
        <v>8180</v>
      </c>
    </row>
    <row r="3114" spans="1:16" x14ac:dyDescent="0.35">
      <c r="A3114" t="s">
        <v>103</v>
      </c>
      <c r="B3114">
        <v>1322845179</v>
      </c>
      <c r="C3114" t="s">
        <v>18</v>
      </c>
      <c r="D3114" t="s">
        <v>21</v>
      </c>
      <c r="E3114" s="29">
        <v>46207</v>
      </c>
      <c r="F3114" t="s">
        <v>5</v>
      </c>
      <c r="G3114" s="28">
        <v>0.53402777777777777</v>
      </c>
      <c r="H3114" s="28">
        <v>0.53402777777777777</v>
      </c>
      <c r="I3114">
        <v>0</v>
      </c>
      <c r="J3114" t="s">
        <v>174</v>
      </c>
      <c r="K3114">
        <v>0</v>
      </c>
      <c r="L3114" t="s">
        <v>6117</v>
      </c>
      <c r="M3114" t="s">
        <v>8181</v>
      </c>
      <c r="N3114" t="s">
        <v>8182</v>
      </c>
      <c r="O3114" t="s">
        <v>8183</v>
      </c>
      <c r="P3114" t="s">
        <v>8184</v>
      </c>
    </row>
    <row r="3115" spans="1:16" x14ac:dyDescent="0.35">
      <c r="A3115" t="s">
        <v>103</v>
      </c>
      <c r="B3115">
        <v>1322845179</v>
      </c>
      <c r="C3115" t="s">
        <v>18</v>
      </c>
      <c r="D3115" t="s">
        <v>21</v>
      </c>
      <c r="E3115" s="29">
        <v>46207</v>
      </c>
      <c r="F3115" t="s">
        <v>5</v>
      </c>
      <c r="G3115" s="28">
        <v>0.54097222222222219</v>
      </c>
      <c r="H3115" s="28">
        <v>0.54097222222222219</v>
      </c>
      <c r="I3115">
        <v>0</v>
      </c>
      <c r="J3115" t="s">
        <v>174</v>
      </c>
      <c r="K3115">
        <v>0</v>
      </c>
      <c r="L3115" t="s">
        <v>1031</v>
      </c>
      <c r="M3115" t="s">
        <v>8185</v>
      </c>
      <c r="N3115" t="s">
        <v>8186</v>
      </c>
      <c r="O3115" t="s">
        <v>8187</v>
      </c>
      <c r="P3115" t="s">
        <v>8188</v>
      </c>
    </row>
    <row r="3116" spans="1:16" x14ac:dyDescent="0.35">
      <c r="A3116" t="s">
        <v>103</v>
      </c>
      <c r="B3116">
        <v>1322845179</v>
      </c>
      <c r="C3116" t="s">
        <v>18</v>
      </c>
      <c r="D3116" t="s">
        <v>21</v>
      </c>
      <c r="E3116" s="29">
        <v>46207</v>
      </c>
      <c r="F3116" t="s">
        <v>5</v>
      </c>
      <c r="G3116" s="28">
        <v>0.54791666666666672</v>
      </c>
      <c r="H3116" s="28">
        <v>0.54791666666666672</v>
      </c>
      <c r="I3116">
        <v>0</v>
      </c>
      <c r="J3116" t="s">
        <v>174</v>
      </c>
      <c r="K3116">
        <v>0</v>
      </c>
      <c r="L3116" t="s">
        <v>1031</v>
      </c>
      <c r="M3116" t="s">
        <v>8189</v>
      </c>
      <c r="N3116" t="s">
        <v>8190</v>
      </c>
      <c r="O3116" t="s">
        <v>8191</v>
      </c>
      <c r="P3116" t="s">
        <v>8192</v>
      </c>
    </row>
    <row r="3117" spans="1:16" x14ac:dyDescent="0.35">
      <c r="A3117" t="s">
        <v>103</v>
      </c>
      <c r="B3117">
        <v>1322845179</v>
      </c>
      <c r="C3117" t="s">
        <v>18</v>
      </c>
      <c r="D3117" t="s">
        <v>21</v>
      </c>
      <c r="E3117" s="29">
        <v>46207</v>
      </c>
      <c r="F3117" t="s">
        <v>5</v>
      </c>
      <c r="G3117" s="28">
        <v>0.55486111111111114</v>
      </c>
      <c r="H3117" s="28">
        <v>0.56180555555555556</v>
      </c>
      <c r="I3117">
        <v>0</v>
      </c>
      <c r="J3117" t="s">
        <v>146</v>
      </c>
      <c r="K3117">
        <v>0</v>
      </c>
      <c r="L3117" t="s">
        <v>147</v>
      </c>
      <c r="M3117" t="s">
        <v>8185</v>
      </c>
      <c r="N3117" t="s">
        <v>8186</v>
      </c>
      <c r="O3117" t="s">
        <v>8187</v>
      </c>
      <c r="P3117" t="s">
        <v>8188</v>
      </c>
    </row>
    <row r="3118" spans="1:16" x14ac:dyDescent="0.35">
      <c r="A3118" t="s">
        <v>103</v>
      </c>
      <c r="B3118">
        <v>1322845179</v>
      </c>
      <c r="C3118" t="s">
        <v>18</v>
      </c>
      <c r="D3118" t="s">
        <v>21</v>
      </c>
      <c r="E3118" s="29">
        <v>46207</v>
      </c>
      <c r="F3118" t="s">
        <v>5</v>
      </c>
      <c r="G3118" s="28">
        <v>0.56874999999999998</v>
      </c>
      <c r="H3118" s="28">
        <v>0.56874999999999998</v>
      </c>
      <c r="I3118">
        <v>0</v>
      </c>
      <c r="J3118" t="s">
        <v>174</v>
      </c>
      <c r="K3118">
        <v>0</v>
      </c>
      <c r="L3118" t="s">
        <v>1692</v>
      </c>
      <c r="M3118" t="s">
        <v>8181</v>
      </c>
      <c r="N3118" t="s">
        <v>8182</v>
      </c>
      <c r="O3118" t="s">
        <v>8183</v>
      </c>
      <c r="P3118" t="s">
        <v>8184</v>
      </c>
    </row>
    <row r="3119" spans="1:16" x14ac:dyDescent="0.35">
      <c r="A3119" t="s">
        <v>103</v>
      </c>
      <c r="B3119">
        <v>1322845179</v>
      </c>
      <c r="C3119" t="s">
        <v>18</v>
      </c>
      <c r="D3119" t="s">
        <v>21</v>
      </c>
      <c r="E3119" s="29">
        <v>46207</v>
      </c>
      <c r="F3119" t="s">
        <v>5</v>
      </c>
      <c r="G3119" s="28">
        <v>0.5756944444444444</v>
      </c>
      <c r="H3119" s="28">
        <v>0.5756944444444444</v>
      </c>
      <c r="I3119">
        <v>0</v>
      </c>
      <c r="J3119" t="s">
        <v>174</v>
      </c>
      <c r="K3119">
        <v>0</v>
      </c>
      <c r="L3119" t="s">
        <v>1425</v>
      </c>
      <c r="M3119" t="s">
        <v>8193</v>
      </c>
      <c r="N3119" t="s">
        <v>8194</v>
      </c>
      <c r="O3119" t="s">
        <v>8195</v>
      </c>
      <c r="P3119" t="s">
        <v>8196</v>
      </c>
    </row>
    <row r="3120" spans="1:16" x14ac:dyDescent="0.35">
      <c r="A3120" t="s">
        <v>103</v>
      </c>
      <c r="B3120">
        <v>1322845179</v>
      </c>
      <c r="C3120" t="s">
        <v>18</v>
      </c>
      <c r="D3120" t="s">
        <v>21</v>
      </c>
      <c r="E3120" s="29">
        <v>46207</v>
      </c>
      <c r="F3120" t="s">
        <v>5</v>
      </c>
      <c r="G3120" s="28">
        <v>0.58263888888888893</v>
      </c>
      <c r="H3120" s="28">
        <v>0.59652777777777777</v>
      </c>
      <c r="I3120">
        <v>0</v>
      </c>
      <c r="J3120" t="s">
        <v>146</v>
      </c>
      <c r="K3120">
        <v>1</v>
      </c>
      <c r="L3120" t="s">
        <v>147</v>
      </c>
      <c r="M3120" t="s">
        <v>8197</v>
      </c>
      <c r="N3120" t="s">
        <v>8198</v>
      </c>
      <c r="O3120" t="s">
        <v>8199</v>
      </c>
      <c r="P3120" t="s">
        <v>8200</v>
      </c>
    </row>
    <row r="3121" spans="1:16" x14ac:dyDescent="0.35">
      <c r="A3121" t="s">
        <v>103</v>
      </c>
      <c r="B3121">
        <v>1322845179</v>
      </c>
      <c r="C3121" t="s">
        <v>18</v>
      </c>
      <c r="D3121" t="s">
        <v>21</v>
      </c>
      <c r="E3121" s="29">
        <v>46207</v>
      </c>
      <c r="F3121" t="s">
        <v>5</v>
      </c>
      <c r="G3121" s="28">
        <v>0.60347222222222219</v>
      </c>
      <c r="H3121" s="28">
        <v>0.60347222222222219</v>
      </c>
      <c r="I3121">
        <v>0</v>
      </c>
      <c r="J3121" t="s">
        <v>174</v>
      </c>
      <c r="K3121">
        <v>0</v>
      </c>
      <c r="L3121" t="s">
        <v>5138</v>
      </c>
      <c r="M3121" t="s">
        <v>8193</v>
      </c>
      <c r="N3121" t="s">
        <v>8201</v>
      </c>
      <c r="O3121" t="s">
        <v>8202</v>
      </c>
      <c r="P3121" t="s">
        <v>8203</v>
      </c>
    </row>
    <row r="3122" spans="1:16" x14ac:dyDescent="0.35">
      <c r="A3122" t="s">
        <v>103</v>
      </c>
      <c r="B3122">
        <v>1322845179</v>
      </c>
      <c r="C3122" t="s">
        <v>18</v>
      </c>
      <c r="D3122" t="s">
        <v>21</v>
      </c>
      <c r="E3122" s="29">
        <v>46207</v>
      </c>
      <c r="F3122" t="s">
        <v>5</v>
      </c>
      <c r="G3122" s="28">
        <v>0.61041666666666672</v>
      </c>
      <c r="H3122" s="28">
        <v>0.61041666666666672</v>
      </c>
      <c r="I3122">
        <v>0</v>
      </c>
      <c r="J3122" t="s">
        <v>174</v>
      </c>
      <c r="K3122">
        <v>0</v>
      </c>
      <c r="L3122" t="s">
        <v>332</v>
      </c>
      <c r="M3122" t="s">
        <v>8204</v>
      </c>
      <c r="N3122" t="s">
        <v>8205</v>
      </c>
      <c r="O3122" t="s">
        <v>8206</v>
      </c>
      <c r="P3122" t="s">
        <v>8207</v>
      </c>
    </row>
    <row r="3123" spans="1:16" x14ac:dyDescent="0.35">
      <c r="A3123" t="s">
        <v>103</v>
      </c>
      <c r="B3123">
        <v>1322845179</v>
      </c>
      <c r="C3123" t="s">
        <v>18</v>
      </c>
      <c r="D3123" t="s">
        <v>21</v>
      </c>
      <c r="E3123" s="29">
        <v>46207</v>
      </c>
      <c r="F3123" t="s">
        <v>5</v>
      </c>
      <c r="G3123" s="28">
        <v>0.61736111111111114</v>
      </c>
      <c r="H3123" s="28">
        <v>0.63124999999999998</v>
      </c>
      <c r="I3123">
        <v>0</v>
      </c>
      <c r="J3123" t="s">
        <v>146</v>
      </c>
      <c r="K3123">
        <v>1</v>
      </c>
      <c r="L3123" t="s">
        <v>147</v>
      </c>
      <c r="M3123" t="s">
        <v>8208</v>
      </c>
      <c r="N3123" t="s">
        <v>8198</v>
      </c>
      <c r="O3123" t="s">
        <v>8199</v>
      </c>
      <c r="P3123" t="s">
        <v>8200</v>
      </c>
    </row>
    <row r="3124" spans="1:16" x14ac:dyDescent="0.35">
      <c r="A3124" t="s">
        <v>103</v>
      </c>
      <c r="B3124">
        <v>1322845179</v>
      </c>
      <c r="C3124" t="s">
        <v>18</v>
      </c>
      <c r="D3124" t="s">
        <v>21</v>
      </c>
      <c r="E3124" s="29">
        <v>46207</v>
      </c>
      <c r="F3124" t="s">
        <v>5</v>
      </c>
      <c r="G3124" s="28">
        <v>0.6381944444444444</v>
      </c>
      <c r="H3124" s="28">
        <v>0.7006944444444444</v>
      </c>
      <c r="I3124">
        <v>2</v>
      </c>
      <c r="J3124" t="s">
        <v>146</v>
      </c>
      <c r="K3124">
        <v>4</v>
      </c>
      <c r="L3124" t="s">
        <v>147</v>
      </c>
      <c r="M3124" t="s">
        <v>8209</v>
      </c>
      <c r="N3124" t="s">
        <v>8210</v>
      </c>
      <c r="O3124" t="s">
        <v>8211</v>
      </c>
      <c r="P3124" t="s">
        <v>8212</v>
      </c>
    </row>
    <row r="3125" spans="1:16" x14ac:dyDescent="0.35">
      <c r="A3125" t="s">
        <v>103</v>
      </c>
      <c r="B3125">
        <v>1322845179</v>
      </c>
      <c r="C3125" t="s">
        <v>18</v>
      </c>
      <c r="D3125" t="s">
        <v>21</v>
      </c>
      <c r="E3125" s="29">
        <v>46207</v>
      </c>
      <c r="F3125" t="s">
        <v>5</v>
      </c>
      <c r="G3125" s="28">
        <v>0.70763888888888893</v>
      </c>
      <c r="H3125" s="28">
        <v>0.70763888888888893</v>
      </c>
      <c r="I3125">
        <v>0</v>
      </c>
      <c r="J3125" t="s">
        <v>174</v>
      </c>
      <c r="K3125">
        <v>0</v>
      </c>
      <c r="L3125" t="s">
        <v>5634</v>
      </c>
      <c r="M3125" t="s">
        <v>8204</v>
      </c>
      <c r="N3125" t="s">
        <v>8205</v>
      </c>
      <c r="O3125" t="s">
        <v>8206</v>
      </c>
      <c r="P3125" t="s">
        <v>8207</v>
      </c>
    </row>
    <row r="3126" spans="1:16" x14ac:dyDescent="0.35">
      <c r="A3126" t="s">
        <v>103</v>
      </c>
      <c r="B3126">
        <v>1322845179</v>
      </c>
      <c r="C3126" t="s">
        <v>18</v>
      </c>
      <c r="D3126" t="s">
        <v>21</v>
      </c>
      <c r="E3126" s="29">
        <v>46207</v>
      </c>
      <c r="F3126" t="s">
        <v>5</v>
      </c>
      <c r="G3126" s="28">
        <v>0.71458333333333335</v>
      </c>
      <c r="H3126" s="28">
        <v>0.71458333333333335</v>
      </c>
      <c r="I3126">
        <v>0</v>
      </c>
      <c r="J3126" t="s">
        <v>174</v>
      </c>
      <c r="K3126">
        <v>0</v>
      </c>
      <c r="L3126" t="s">
        <v>8213</v>
      </c>
      <c r="M3126" t="s">
        <v>8214</v>
      </c>
      <c r="N3126" t="s">
        <v>8215</v>
      </c>
      <c r="O3126" t="s">
        <v>8216</v>
      </c>
      <c r="P3126" t="s">
        <v>8217</v>
      </c>
    </row>
    <row r="3127" spans="1:16" x14ac:dyDescent="0.35">
      <c r="A3127" t="s">
        <v>103</v>
      </c>
      <c r="B3127">
        <v>1322845179</v>
      </c>
      <c r="C3127" t="s">
        <v>18</v>
      </c>
      <c r="D3127" t="s">
        <v>21</v>
      </c>
      <c r="E3127" s="29">
        <v>46207</v>
      </c>
      <c r="F3127" t="s">
        <v>5</v>
      </c>
      <c r="G3127" s="28">
        <v>0.72152777777777777</v>
      </c>
      <c r="H3127" s="28">
        <v>0.73541666666666672</v>
      </c>
      <c r="I3127">
        <v>0</v>
      </c>
      <c r="J3127" t="s">
        <v>146</v>
      </c>
      <c r="K3127">
        <v>1</v>
      </c>
      <c r="L3127" t="s">
        <v>147</v>
      </c>
      <c r="M3127" t="s">
        <v>8218</v>
      </c>
      <c r="N3127" t="s">
        <v>8219</v>
      </c>
      <c r="O3127" t="s">
        <v>8220</v>
      </c>
      <c r="P3127" t="s">
        <v>8221</v>
      </c>
    </row>
    <row r="3128" spans="1:16" x14ac:dyDescent="0.35">
      <c r="A3128" t="s">
        <v>103</v>
      </c>
      <c r="B3128">
        <v>1322845179</v>
      </c>
      <c r="C3128" t="s">
        <v>18</v>
      </c>
      <c r="D3128" t="s">
        <v>21</v>
      </c>
      <c r="E3128" s="29">
        <v>46207</v>
      </c>
      <c r="F3128" t="s">
        <v>5</v>
      </c>
      <c r="G3128" s="28">
        <v>0.74236111111111114</v>
      </c>
      <c r="H3128" s="28">
        <v>0.74236111111111114</v>
      </c>
      <c r="I3128">
        <v>0</v>
      </c>
      <c r="J3128" t="s">
        <v>174</v>
      </c>
      <c r="K3128">
        <v>0</v>
      </c>
      <c r="L3128" t="s">
        <v>1696</v>
      </c>
      <c r="M3128" t="s">
        <v>8193</v>
      </c>
      <c r="N3128" t="s">
        <v>8201</v>
      </c>
      <c r="O3128" t="s">
        <v>8202</v>
      </c>
      <c r="P3128" t="s">
        <v>8203</v>
      </c>
    </row>
    <row r="3129" spans="1:16" x14ac:dyDescent="0.35">
      <c r="A3129" t="s">
        <v>103</v>
      </c>
      <c r="B3129">
        <v>1322845179</v>
      </c>
      <c r="C3129" t="s">
        <v>18</v>
      </c>
      <c r="D3129" t="s">
        <v>21</v>
      </c>
      <c r="E3129" s="29">
        <v>46207</v>
      </c>
      <c r="F3129" t="s">
        <v>5</v>
      </c>
      <c r="G3129" s="28">
        <v>0.74930555555555556</v>
      </c>
      <c r="H3129" s="28">
        <v>0.74930555555555556</v>
      </c>
      <c r="I3129">
        <v>0</v>
      </c>
      <c r="J3129" t="s">
        <v>174</v>
      </c>
      <c r="K3129">
        <v>0</v>
      </c>
      <c r="L3129" t="s">
        <v>1692</v>
      </c>
      <c r="M3129" t="s">
        <v>8193</v>
      </c>
      <c r="N3129" t="s">
        <v>8194</v>
      </c>
      <c r="O3129" t="s">
        <v>8195</v>
      </c>
      <c r="P3129" t="s">
        <v>8196</v>
      </c>
    </row>
    <row r="3130" spans="1:16" x14ac:dyDescent="0.35">
      <c r="A3130" t="s">
        <v>103</v>
      </c>
      <c r="B3130">
        <v>1322845179</v>
      </c>
      <c r="C3130" t="s">
        <v>18</v>
      </c>
      <c r="D3130" t="s">
        <v>21</v>
      </c>
      <c r="E3130" s="29">
        <v>46207</v>
      </c>
      <c r="F3130" t="s">
        <v>5</v>
      </c>
      <c r="G3130" s="28">
        <v>0.75624999999999998</v>
      </c>
      <c r="H3130" s="28">
        <v>0.7631944444444444</v>
      </c>
      <c r="I3130">
        <v>0</v>
      </c>
      <c r="J3130" t="s">
        <v>146</v>
      </c>
      <c r="K3130">
        <v>0</v>
      </c>
      <c r="L3130" t="s">
        <v>147</v>
      </c>
      <c r="M3130" t="s">
        <v>8181</v>
      </c>
      <c r="N3130" t="s">
        <v>8182</v>
      </c>
      <c r="O3130" t="s">
        <v>8183</v>
      </c>
      <c r="P3130" t="s">
        <v>8184</v>
      </c>
    </row>
    <row r="3131" spans="1:16" x14ac:dyDescent="0.35">
      <c r="A3131" t="s">
        <v>103</v>
      </c>
      <c r="B3131">
        <v>1322845179</v>
      </c>
      <c r="C3131" t="s">
        <v>18</v>
      </c>
      <c r="D3131" t="s">
        <v>21</v>
      </c>
      <c r="E3131" s="29">
        <v>46207</v>
      </c>
      <c r="F3131" t="s">
        <v>5</v>
      </c>
      <c r="G3131" s="28">
        <v>0.77013888888888893</v>
      </c>
      <c r="H3131" s="28">
        <v>0.77013888888888893</v>
      </c>
      <c r="I3131">
        <v>0</v>
      </c>
      <c r="J3131" t="s">
        <v>174</v>
      </c>
      <c r="K3131">
        <v>0</v>
      </c>
      <c r="L3131" t="s">
        <v>6889</v>
      </c>
      <c r="M3131" t="s">
        <v>8177</v>
      </c>
      <c r="N3131" t="s">
        <v>8178</v>
      </c>
      <c r="O3131" t="s">
        <v>8179</v>
      </c>
      <c r="P3131" t="s">
        <v>8180</v>
      </c>
    </row>
    <row r="3132" spans="1:16" x14ac:dyDescent="0.35">
      <c r="A3132" t="s">
        <v>103</v>
      </c>
      <c r="B3132">
        <v>1322845179</v>
      </c>
      <c r="C3132" t="s">
        <v>18</v>
      </c>
      <c r="D3132" t="s">
        <v>21</v>
      </c>
      <c r="E3132" s="29">
        <v>46207</v>
      </c>
      <c r="F3132" t="s">
        <v>5</v>
      </c>
      <c r="G3132" s="28">
        <v>0.77708333333333335</v>
      </c>
      <c r="H3132" s="28">
        <v>0.77708333333333335</v>
      </c>
      <c r="I3132">
        <v>0</v>
      </c>
      <c r="J3132" t="s">
        <v>174</v>
      </c>
      <c r="K3132">
        <v>0</v>
      </c>
      <c r="L3132" t="s">
        <v>389</v>
      </c>
      <c r="M3132" t="s">
        <v>8165</v>
      </c>
      <c r="N3132" t="s">
        <v>8166</v>
      </c>
      <c r="O3132" t="s">
        <v>8167</v>
      </c>
      <c r="P3132" t="s">
        <v>8168</v>
      </c>
    </row>
    <row r="3133" spans="1:16" x14ac:dyDescent="0.35">
      <c r="A3133" t="s">
        <v>103</v>
      </c>
      <c r="B3133">
        <v>1322845179</v>
      </c>
      <c r="C3133" t="s">
        <v>18</v>
      </c>
      <c r="D3133" t="s">
        <v>21</v>
      </c>
      <c r="E3133" s="29">
        <v>46207</v>
      </c>
      <c r="F3133" t="s">
        <v>5</v>
      </c>
      <c r="G3133" s="28">
        <v>0.78402777777777777</v>
      </c>
      <c r="H3133" s="28">
        <v>0.78402777777777777</v>
      </c>
      <c r="I3133">
        <v>0</v>
      </c>
      <c r="J3133" t="s">
        <v>174</v>
      </c>
      <c r="K3133">
        <v>0</v>
      </c>
      <c r="L3133" t="s">
        <v>8222</v>
      </c>
      <c r="M3133" t="s">
        <v>5303</v>
      </c>
      <c r="N3133" t="s">
        <v>8162</v>
      </c>
      <c r="O3133" t="s">
        <v>8163</v>
      </c>
      <c r="P3133" t="s">
        <v>8164</v>
      </c>
    </row>
    <row r="3134" spans="1:16" x14ac:dyDescent="0.35">
      <c r="A3134" t="s">
        <v>103</v>
      </c>
      <c r="B3134">
        <v>1322845179</v>
      </c>
      <c r="C3134" t="s">
        <v>18</v>
      </c>
      <c r="D3134" t="s">
        <v>21</v>
      </c>
      <c r="E3134" s="29">
        <v>46207</v>
      </c>
      <c r="F3134" t="s">
        <v>5</v>
      </c>
      <c r="G3134" s="28">
        <v>0.79097222222222219</v>
      </c>
      <c r="H3134" s="28">
        <v>0.79097222222222219</v>
      </c>
      <c r="I3134">
        <v>0</v>
      </c>
      <c r="J3134" t="s">
        <v>174</v>
      </c>
      <c r="K3134">
        <v>0</v>
      </c>
      <c r="L3134" t="s">
        <v>3709</v>
      </c>
      <c r="M3134" t="s">
        <v>8223</v>
      </c>
      <c r="N3134" t="s">
        <v>8224</v>
      </c>
      <c r="O3134" t="s">
        <v>8225</v>
      </c>
      <c r="P3134" t="s">
        <v>8226</v>
      </c>
    </row>
    <row r="3135" spans="1:16" x14ac:dyDescent="0.35">
      <c r="A3135" t="s">
        <v>103</v>
      </c>
      <c r="B3135">
        <v>1322845179</v>
      </c>
      <c r="C3135" t="s">
        <v>18</v>
      </c>
      <c r="D3135" t="s">
        <v>21</v>
      </c>
      <c r="E3135" s="29">
        <v>46208</v>
      </c>
      <c r="F3135" t="s">
        <v>6</v>
      </c>
      <c r="G3135" s="28">
        <v>0.47847222222222224</v>
      </c>
      <c r="H3135" s="28">
        <v>0.47847222222222224</v>
      </c>
      <c r="I3135">
        <v>0</v>
      </c>
      <c r="J3135" t="s">
        <v>174</v>
      </c>
      <c r="K3135">
        <v>0</v>
      </c>
      <c r="L3135" t="s">
        <v>5787</v>
      </c>
      <c r="M3135" t="s">
        <v>5303</v>
      </c>
      <c r="N3135" t="s">
        <v>8227</v>
      </c>
      <c r="O3135" t="s">
        <v>8228</v>
      </c>
      <c r="P3135" t="s">
        <v>8229</v>
      </c>
    </row>
    <row r="3136" spans="1:16" x14ac:dyDescent="0.35">
      <c r="A3136" t="s">
        <v>103</v>
      </c>
      <c r="B3136">
        <v>1322845179</v>
      </c>
      <c r="C3136" t="s">
        <v>18</v>
      </c>
      <c r="D3136" t="s">
        <v>21</v>
      </c>
      <c r="E3136" s="29">
        <v>46208</v>
      </c>
      <c r="F3136" t="s">
        <v>6</v>
      </c>
      <c r="G3136" s="28">
        <v>0.48541666666666666</v>
      </c>
      <c r="H3136" s="28">
        <v>0.48541666666666666</v>
      </c>
      <c r="I3136">
        <v>0</v>
      </c>
      <c r="J3136" t="s">
        <v>174</v>
      </c>
      <c r="K3136">
        <v>0</v>
      </c>
      <c r="L3136" t="s">
        <v>5787</v>
      </c>
      <c r="M3136" t="s">
        <v>5409</v>
      </c>
      <c r="N3136" t="s">
        <v>5410</v>
      </c>
      <c r="O3136" t="s">
        <v>5411</v>
      </c>
      <c r="P3136" t="s">
        <v>5412</v>
      </c>
    </row>
    <row r="3137" spans="1:16" x14ac:dyDescent="0.35">
      <c r="A3137" t="s">
        <v>103</v>
      </c>
      <c r="B3137">
        <v>1322845179</v>
      </c>
      <c r="C3137" t="s">
        <v>18</v>
      </c>
      <c r="D3137" t="s">
        <v>21</v>
      </c>
      <c r="E3137" s="29">
        <v>46208</v>
      </c>
      <c r="F3137" t="s">
        <v>6</v>
      </c>
      <c r="G3137" s="28">
        <v>0.49236111111111114</v>
      </c>
      <c r="H3137" s="28">
        <v>0.49236111111111114</v>
      </c>
      <c r="I3137">
        <v>0</v>
      </c>
      <c r="J3137" t="s">
        <v>174</v>
      </c>
      <c r="K3137">
        <v>0</v>
      </c>
      <c r="L3137" t="s">
        <v>2208</v>
      </c>
      <c r="M3137" t="s">
        <v>5303</v>
      </c>
      <c r="N3137" t="s">
        <v>8227</v>
      </c>
      <c r="O3137" t="s">
        <v>8228</v>
      </c>
      <c r="P3137" t="s">
        <v>8229</v>
      </c>
    </row>
    <row r="3138" spans="1:16" x14ac:dyDescent="0.35">
      <c r="A3138" t="s">
        <v>103</v>
      </c>
      <c r="B3138">
        <v>1322845179</v>
      </c>
      <c r="C3138" t="s">
        <v>18</v>
      </c>
      <c r="D3138" t="s">
        <v>21</v>
      </c>
      <c r="E3138" s="29">
        <v>46208</v>
      </c>
      <c r="F3138" t="s">
        <v>6</v>
      </c>
      <c r="G3138" s="28">
        <v>0.49930555555555556</v>
      </c>
      <c r="H3138" s="28">
        <v>0.50624999999999998</v>
      </c>
      <c r="I3138">
        <v>0</v>
      </c>
      <c r="J3138" t="s">
        <v>146</v>
      </c>
      <c r="K3138">
        <v>0</v>
      </c>
      <c r="L3138" t="s">
        <v>147</v>
      </c>
      <c r="M3138" t="s">
        <v>5389</v>
      </c>
      <c r="N3138" t="s">
        <v>5413</v>
      </c>
      <c r="O3138" t="s">
        <v>5414</v>
      </c>
      <c r="P3138" t="s">
        <v>5415</v>
      </c>
    </row>
    <row r="3139" spans="1:16" x14ac:dyDescent="0.35">
      <c r="A3139" t="s">
        <v>103</v>
      </c>
      <c r="B3139">
        <v>1322845179</v>
      </c>
      <c r="C3139" t="s">
        <v>18</v>
      </c>
      <c r="D3139" t="s">
        <v>21</v>
      </c>
      <c r="E3139" s="29">
        <v>46208</v>
      </c>
      <c r="F3139" t="s">
        <v>6</v>
      </c>
      <c r="G3139" s="28">
        <v>0.5131944444444444</v>
      </c>
      <c r="H3139" s="28">
        <v>0.54097222222222219</v>
      </c>
      <c r="I3139">
        <v>1</v>
      </c>
      <c r="J3139" t="s">
        <v>146</v>
      </c>
      <c r="K3139">
        <v>2</v>
      </c>
      <c r="L3139" t="s">
        <v>147</v>
      </c>
      <c r="M3139" t="s">
        <v>5311</v>
      </c>
      <c r="N3139" t="s">
        <v>8230</v>
      </c>
      <c r="O3139" t="s">
        <v>8231</v>
      </c>
      <c r="P3139" t="s">
        <v>8232</v>
      </c>
    </row>
    <row r="3140" spans="1:16" x14ac:dyDescent="0.35">
      <c r="A3140" t="s">
        <v>103</v>
      </c>
      <c r="B3140">
        <v>1322845179</v>
      </c>
      <c r="C3140" t="s">
        <v>18</v>
      </c>
      <c r="D3140" t="s">
        <v>21</v>
      </c>
      <c r="E3140" s="29">
        <v>46208</v>
      </c>
      <c r="F3140" t="s">
        <v>6</v>
      </c>
      <c r="G3140" s="28">
        <v>0.54791666666666672</v>
      </c>
      <c r="H3140" s="28">
        <v>0.54791666666666672</v>
      </c>
      <c r="I3140">
        <v>0</v>
      </c>
      <c r="J3140" t="s">
        <v>174</v>
      </c>
      <c r="K3140">
        <v>0</v>
      </c>
      <c r="L3140" t="s">
        <v>775</v>
      </c>
      <c r="M3140" t="s">
        <v>8233</v>
      </c>
      <c r="N3140" t="s">
        <v>8234</v>
      </c>
      <c r="O3140" t="s">
        <v>8235</v>
      </c>
      <c r="P3140" t="s">
        <v>8236</v>
      </c>
    </row>
    <row r="3141" spans="1:16" x14ac:dyDescent="0.35">
      <c r="A3141" t="s">
        <v>103</v>
      </c>
      <c r="B3141">
        <v>1322845179</v>
      </c>
      <c r="C3141" t="s">
        <v>18</v>
      </c>
      <c r="D3141" t="s">
        <v>21</v>
      </c>
      <c r="E3141" s="29">
        <v>46208</v>
      </c>
      <c r="F3141" t="s">
        <v>6</v>
      </c>
      <c r="G3141" s="28">
        <v>0.55486111111111114</v>
      </c>
      <c r="H3141" s="28">
        <v>0.56874999999999998</v>
      </c>
      <c r="I3141">
        <v>0</v>
      </c>
      <c r="J3141" t="s">
        <v>146</v>
      </c>
      <c r="K3141">
        <v>1</v>
      </c>
      <c r="L3141" t="s">
        <v>147</v>
      </c>
      <c r="M3141" t="s">
        <v>5389</v>
      </c>
      <c r="N3141" t="s">
        <v>5413</v>
      </c>
      <c r="O3141" t="s">
        <v>5414</v>
      </c>
      <c r="P3141" t="s">
        <v>5415</v>
      </c>
    </row>
    <row r="3142" spans="1:16" x14ac:dyDescent="0.35">
      <c r="A3142" t="s">
        <v>103</v>
      </c>
      <c r="B3142">
        <v>1322845179</v>
      </c>
      <c r="C3142" t="s">
        <v>18</v>
      </c>
      <c r="D3142" t="s">
        <v>21</v>
      </c>
      <c r="E3142" s="29">
        <v>46208</v>
      </c>
      <c r="F3142" t="s">
        <v>6</v>
      </c>
      <c r="G3142" s="28">
        <v>0.5756944444444444</v>
      </c>
      <c r="H3142" s="28">
        <v>0.5756944444444444</v>
      </c>
      <c r="I3142">
        <v>0</v>
      </c>
      <c r="J3142" t="s">
        <v>174</v>
      </c>
      <c r="K3142">
        <v>0</v>
      </c>
      <c r="L3142" t="s">
        <v>437</v>
      </c>
      <c r="M3142" t="s">
        <v>8237</v>
      </c>
      <c r="N3142" t="s">
        <v>5422</v>
      </c>
      <c r="O3142" t="s">
        <v>5423</v>
      </c>
      <c r="P3142" t="s">
        <v>5424</v>
      </c>
    </row>
    <row r="3143" spans="1:16" x14ac:dyDescent="0.35">
      <c r="A3143" t="s">
        <v>103</v>
      </c>
      <c r="B3143">
        <v>1322845179</v>
      </c>
      <c r="C3143" t="s">
        <v>18</v>
      </c>
      <c r="D3143" t="s">
        <v>21</v>
      </c>
      <c r="E3143" s="29">
        <v>46208</v>
      </c>
      <c r="F3143" t="s">
        <v>6</v>
      </c>
      <c r="G3143" s="28">
        <v>0.58263888888888893</v>
      </c>
      <c r="H3143" s="28">
        <v>0.58263888888888893</v>
      </c>
      <c r="I3143">
        <v>0</v>
      </c>
      <c r="J3143" t="s">
        <v>174</v>
      </c>
      <c r="K3143">
        <v>0</v>
      </c>
      <c r="L3143" t="s">
        <v>222</v>
      </c>
      <c r="M3143" t="s">
        <v>8238</v>
      </c>
      <c r="N3143" t="s">
        <v>8239</v>
      </c>
      <c r="O3143" t="s">
        <v>8240</v>
      </c>
      <c r="P3143" t="s">
        <v>8241</v>
      </c>
    </row>
    <row r="3144" spans="1:16" x14ac:dyDescent="0.35">
      <c r="A3144" t="s">
        <v>103</v>
      </c>
      <c r="B3144">
        <v>1322845179</v>
      </c>
      <c r="C3144" t="s">
        <v>18</v>
      </c>
      <c r="D3144" t="s">
        <v>21</v>
      </c>
      <c r="E3144" s="29">
        <v>46208</v>
      </c>
      <c r="F3144" t="s">
        <v>6</v>
      </c>
      <c r="G3144" s="28">
        <v>0.58958333333333335</v>
      </c>
      <c r="H3144" s="28">
        <v>0.58958333333333335</v>
      </c>
      <c r="I3144">
        <v>0</v>
      </c>
      <c r="J3144" t="s">
        <v>174</v>
      </c>
      <c r="K3144">
        <v>0</v>
      </c>
      <c r="L3144" t="s">
        <v>222</v>
      </c>
      <c r="M3144" t="s">
        <v>8242</v>
      </c>
      <c r="N3144" t="s">
        <v>8243</v>
      </c>
      <c r="O3144" t="s">
        <v>8244</v>
      </c>
      <c r="P3144" t="s">
        <v>8245</v>
      </c>
    </row>
    <row r="3145" spans="1:16" x14ac:dyDescent="0.35">
      <c r="A3145" t="s">
        <v>103</v>
      </c>
      <c r="B3145">
        <v>1322845179</v>
      </c>
      <c r="C3145" t="s">
        <v>18</v>
      </c>
      <c r="D3145" t="s">
        <v>21</v>
      </c>
      <c r="E3145" s="29">
        <v>46208</v>
      </c>
      <c r="F3145" t="s">
        <v>6</v>
      </c>
      <c r="G3145" s="28">
        <v>0.59652777777777777</v>
      </c>
      <c r="H3145" s="28">
        <v>0.63124999999999998</v>
      </c>
      <c r="I3145">
        <v>1</v>
      </c>
      <c r="J3145" t="s">
        <v>146</v>
      </c>
      <c r="K3145">
        <v>2</v>
      </c>
      <c r="L3145" t="s">
        <v>147</v>
      </c>
      <c r="M3145" t="s">
        <v>8238</v>
      </c>
      <c r="N3145" t="s">
        <v>8239</v>
      </c>
      <c r="O3145" t="s">
        <v>8240</v>
      </c>
      <c r="P3145" t="s">
        <v>8241</v>
      </c>
    </row>
    <row r="3146" spans="1:16" x14ac:dyDescent="0.35">
      <c r="A3146" t="s">
        <v>103</v>
      </c>
      <c r="B3146">
        <v>1322845179</v>
      </c>
      <c r="C3146" t="s">
        <v>18</v>
      </c>
      <c r="D3146" t="s">
        <v>21</v>
      </c>
      <c r="E3146" s="29">
        <v>46208</v>
      </c>
      <c r="F3146" t="s">
        <v>6</v>
      </c>
      <c r="G3146" s="28">
        <v>0.6381944444444444</v>
      </c>
      <c r="H3146" s="28">
        <v>0.6381944444444444</v>
      </c>
      <c r="I3146">
        <v>0</v>
      </c>
      <c r="J3146" t="s">
        <v>174</v>
      </c>
      <c r="K3146">
        <v>0</v>
      </c>
      <c r="L3146" t="s">
        <v>222</v>
      </c>
      <c r="M3146" t="s">
        <v>8242</v>
      </c>
      <c r="N3146" t="s">
        <v>8243</v>
      </c>
      <c r="O3146" t="s">
        <v>8244</v>
      </c>
      <c r="P3146" t="s">
        <v>8245</v>
      </c>
    </row>
    <row r="3147" spans="1:16" x14ac:dyDescent="0.35">
      <c r="A3147" t="s">
        <v>103</v>
      </c>
      <c r="B3147">
        <v>1322845179</v>
      </c>
      <c r="C3147" t="s">
        <v>18</v>
      </c>
      <c r="D3147" t="s">
        <v>21</v>
      </c>
      <c r="E3147" s="29">
        <v>46208</v>
      </c>
      <c r="F3147" t="s">
        <v>6</v>
      </c>
      <c r="G3147" s="28">
        <v>0.64513888888888893</v>
      </c>
      <c r="H3147" s="28">
        <v>0.65208333333333335</v>
      </c>
      <c r="I3147">
        <v>0</v>
      </c>
      <c r="J3147" t="s">
        <v>146</v>
      </c>
      <c r="K3147">
        <v>0</v>
      </c>
      <c r="L3147" t="s">
        <v>147</v>
      </c>
      <c r="M3147" t="s">
        <v>8238</v>
      </c>
      <c r="N3147" t="s">
        <v>8239</v>
      </c>
      <c r="O3147" t="s">
        <v>8240</v>
      </c>
      <c r="P3147" t="s">
        <v>8241</v>
      </c>
    </row>
    <row r="3148" spans="1:16" x14ac:dyDescent="0.35">
      <c r="A3148" t="s">
        <v>103</v>
      </c>
      <c r="B3148">
        <v>1322845179</v>
      </c>
      <c r="C3148" t="s">
        <v>18</v>
      </c>
      <c r="D3148" t="s">
        <v>21</v>
      </c>
      <c r="E3148" s="29">
        <v>46208</v>
      </c>
      <c r="F3148" t="s">
        <v>6</v>
      </c>
      <c r="G3148" s="28">
        <v>0.65902777777777777</v>
      </c>
      <c r="H3148" s="28">
        <v>0.65902777777777777</v>
      </c>
      <c r="I3148">
        <v>0</v>
      </c>
      <c r="J3148" t="s">
        <v>174</v>
      </c>
      <c r="K3148">
        <v>0</v>
      </c>
      <c r="L3148" t="s">
        <v>5416</v>
      </c>
      <c r="M3148" t="s">
        <v>5409</v>
      </c>
      <c r="N3148" t="s">
        <v>5410</v>
      </c>
      <c r="O3148" t="s">
        <v>5411</v>
      </c>
      <c r="P3148" t="s">
        <v>5412</v>
      </c>
    </row>
    <row r="3149" spans="1:16" x14ac:dyDescent="0.35">
      <c r="A3149" t="s">
        <v>103</v>
      </c>
      <c r="B3149">
        <v>1322845179</v>
      </c>
      <c r="C3149" t="s">
        <v>18</v>
      </c>
      <c r="D3149" t="s">
        <v>21</v>
      </c>
      <c r="E3149" s="29">
        <v>46208</v>
      </c>
      <c r="F3149" t="s">
        <v>6</v>
      </c>
      <c r="G3149" s="28">
        <v>0.66597222222222219</v>
      </c>
      <c r="H3149" s="28">
        <v>0.66597222222222219</v>
      </c>
      <c r="I3149">
        <v>0</v>
      </c>
      <c r="J3149" t="s">
        <v>174</v>
      </c>
      <c r="K3149">
        <v>0</v>
      </c>
      <c r="L3149" t="s">
        <v>624</v>
      </c>
      <c r="M3149" t="s">
        <v>8246</v>
      </c>
      <c r="N3149" t="s">
        <v>5418</v>
      </c>
      <c r="O3149" t="s">
        <v>5419</v>
      </c>
      <c r="P3149" t="s">
        <v>5420</v>
      </c>
    </row>
    <row r="3150" spans="1:16" x14ac:dyDescent="0.35">
      <c r="A3150" t="s">
        <v>103</v>
      </c>
      <c r="B3150">
        <v>1322845179</v>
      </c>
      <c r="C3150" t="s">
        <v>18</v>
      </c>
      <c r="D3150" t="s">
        <v>21</v>
      </c>
      <c r="E3150" s="29">
        <v>46208</v>
      </c>
      <c r="F3150" t="s">
        <v>6</v>
      </c>
      <c r="G3150" s="28">
        <v>0.67291666666666672</v>
      </c>
      <c r="H3150" s="28">
        <v>0.69374999999999998</v>
      </c>
      <c r="I3150">
        <v>0</v>
      </c>
      <c r="J3150" t="s">
        <v>146</v>
      </c>
      <c r="K3150">
        <v>1</v>
      </c>
      <c r="L3150" t="s">
        <v>147</v>
      </c>
      <c r="M3150" t="s">
        <v>5389</v>
      </c>
      <c r="N3150" t="s">
        <v>5413</v>
      </c>
      <c r="O3150" t="s">
        <v>5414</v>
      </c>
      <c r="P3150" t="s">
        <v>5415</v>
      </c>
    </row>
    <row r="3151" spans="1:16" x14ac:dyDescent="0.35">
      <c r="A3151" t="s">
        <v>103</v>
      </c>
      <c r="B3151">
        <v>1322845179</v>
      </c>
      <c r="C3151" t="s">
        <v>18</v>
      </c>
      <c r="D3151" t="s">
        <v>21</v>
      </c>
      <c r="E3151" s="29">
        <v>46208</v>
      </c>
      <c r="F3151" t="s">
        <v>6</v>
      </c>
      <c r="G3151" s="28">
        <v>0.7006944444444444</v>
      </c>
      <c r="H3151" s="28">
        <v>0.7006944444444444</v>
      </c>
      <c r="I3151">
        <v>0</v>
      </c>
      <c r="J3151" t="s">
        <v>174</v>
      </c>
      <c r="K3151">
        <v>0</v>
      </c>
      <c r="L3151" t="s">
        <v>624</v>
      </c>
      <c r="M3151" t="s">
        <v>8246</v>
      </c>
      <c r="N3151" t="s">
        <v>5418</v>
      </c>
      <c r="O3151" t="s">
        <v>5419</v>
      </c>
      <c r="P3151" t="s">
        <v>5420</v>
      </c>
    </row>
    <row r="3152" spans="1:16" x14ac:dyDescent="0.35">
      <c r="A3152" t="s">
        <v>103</v>
      </c>
      <c r="B3152">
        <v>1322845179</v>
      </c>
      <c r="C3152" t="s">
        <v>18</v>
      </c>
      <c r="D3152" t="s">
        <v>21</v>
      </c>
      <c r="E3152" s="29">
        <v>46208</v>
      </c>
      <c r="F3152" t="s">
        <v>6</v>
      </c>
      <c r="G3152" s="28">
        <v>0.70763888888888893</v>
      </c>
      <c r="H3152" s="28">
        <v>0.71458333333333335</v>
      </c>
      <c r="I3152">
        <v>0</v>
      </c>
      <c r="J3152" t="s">
        <v>146</v>
      </c>
      <c r="K3152">
        <v>0</v>
      </c>
      <c r="L3152" t="s">
        <v>147</v>
      </c>
      <c r="M3152" t="s">
        <v>5389</v>
      </c>
      <c r="N3152" t="s">
        <v>5413</v>
      </c>
      <c r="O3152" t="s">
        <v>5414</v>
      </c>
      <c r="P3152" t="s">
        <v>5415</v>
      </c>
    </row>
    <row r="3153" spans="1:16" x14ac:dyDescent="0.35">
      <c r="A3153" t="s">
        <v>103</v>
      </c>
      <c r="B3153">
        <v>1322845179</v>
      </c>
      <c r="C3153" t="s">
        <v>18</v>
      </c>
      <c r="D3153" t="s">
        <v>21</v>
      </c>
      <c r="E3153" s="29">
        <v>46208</v>
      </c>
      <c r="F3153" t="s">
        <v>6</v>
      </c>
      <c r="G3153" s="28">
        <v>0.72152777777777777</v>
      </c>
      <c r="H3153" s="28">
        <v>0.72152777777777777</v>
      </c>
      <c r="I3153">
        <v>0</v>
      </c>
      <c r="J3153" t="s">
        <v>174</v>
      </c>
      <c r="K3153">
        <v>0</v>
      </c>
      <c r="L3153" t="s">
        <v>2208</v>
      </c>
      <c r="M3153" t="s">
        <v>5303</v>
      </c>
      <c r="N3153" t="s">
        <v>8227</v>
      </c>
      <c r="O3153" t="s">
        <v>8228</v>
      </c>
      <c r="P3153" t="s">
        <v>8229</v>
      </c>
    </row>
    <row r="3154" spans="1:16" x14ac:dyDescent="0.35">
      <c r="A3154" t="s">
        <v>103</v>
      </c>
      <c r="B3154">
        <v>1322845179</v>
      </c>
      <c r="C3154" t="s">
        <v>18</v>
      </c>
      <c r="D3154" t="s">
        <v>21</v>
      </c>
      <c r="E3154" s="29">
        <v>46208</v>
      </c>
      <c r="F3154" t="s">
        <v>6</v>
      </c>
      <c r="G3154" s="28">
        <v>0.72847222222222219</v>
      </c>
      <c r="H3154" s="28">
        <v>0.73541666666666672</v>
      </c>
      <c r="I3154">
        <v>0</v>
      </c>
      <c r="J3154" t="s">
        <v>146</v>
      </c>
      <c r="K3154">
        <v>1</v>
      </c>
      <c r="L3154" t="s">
        <v>147</v>
      </c>
      <c r="M3154" t="s">
        <v>5389</v>
      </c>
      <c r="N3154" t="s">
        <v>5413</v>
      </c>
      <c r="O3154" t="s">
        <v>5414</v>
      </c>
      <c r="P3154" t="s">
        <v>5415</v>
      </c>
    </row>
    <row r="3155" spans="1:16" x14ac:dyDescent="0.35">
      <c r="A3155" t="s">
        <v>103</v>
      </c>
      <c r="B3155">
        <v>1322845179</v>
      </c>
      <c r="C3155" t="s">
        <v>18</v>
      </c>
      <c r="D3155" t="s">
        <v>21</v>
      </c>
      <c r="E3155" s="29">
        <v>46208</v>
      </c>
      <c r="F3155" t="s">
        <v>6</v>
      </c>
      <c r="G3155" s="28">
        <v>0.74236111111111114</v>
      </c>
      <c r="H3155" s="28">
        <v>0.74236111111111114</v>
      </c>
      <c r="I3155">
        <v>0</v>
      </c>
      <c r="J3155" t="s">
        <v>174</v>
      </c>
      <c r="K3155">
        <v>0</v>
      </c>
      <c r="L3155" t="s">
        <v>8247</v>
      </c>
      <c r="M3155" t="s">
        <v>5397</v>
      </c>
      <c r="N3155" t="s">
        <v>5398</v>
      </c>
      <c r="O3155" t="s">
        <v>5399</v>
      </c>
      <c r="P3155" t="s">
        <v>5400</v>
      </c>
    </row>
    <row r="3156" spans="1:16" x14ac:dyDescent="0.35">
      <c r="A3156" t="s">
        <v>103</v>
      </c>
      <c r="B3156">
        <v>1322845179</v>
      </c>
      <c r="C3156" t="s">
        <v>18</v>
      </c>
      <c r="D3156" t="s">
        <v>21</v>
      </c>
      <c r="E3156" s="29">
        <v>46208</v>
      </c>
      <c r="F3156" t="s">
        <v>6</v>
      </c>
      <c r="G3156" s="28">
        <v>0.74930555555555556</v>
      </c>
      <c r="H3156" s="28">
        <v>0.75624999999999998</v>
      </c>
      <c r="I3156">
        <v>0</v>
      </c>
      <c r="J3156" t="s">
        <v>146</v>
      </c>
      <c r="K3156">
        <v>0</v>
      </c>
      <c r="L3156" t="s">
        <v>147</v>
      </c>
      <c r="M3156" t="s">
        <v>5389</v>
      </c>
      <c r="N3156" t="s">
        <v>5413</v>
      </c>
      <c r="O3156" t="s">
        <v>5414</v>
      </c>
      <c r="P3156" t="s">
        <v>5415</v>
      </c>
    </row>
    <row r="3157" spans="1:16" x14ac:dyDescent="0.35">
      <c r="A3157" t="s">
        <v>103</v>
      </c>
      <c r="B3157">
        <v>1322845179</v>
      </c>
      <c r="C3157" t="s">
        <v>18</v>
      </c>
      <c r="D3157" t="s">
        <v>21</v>
      </c>
      <c r="E3157" s="29">
        <v>46208</v>
      </c>
      <c r="F3157" t="s">
        <v>6</v>
      </c>
      <c r="G3157" s="28">
        <v>0.7631944444444444</v>
      </c>
      <c r="H3157" s="28">
        <v>0.7631944444444444</v>
      </c>
      <c r="I3157">
        <v>0</v>
      </c>
      <c r="J3157" t="s">
        <v>174</v>
      </c>
      <c r="K3157">
        <v>0</v>
      </c>
      <c r="L3157" t="s">
        <v>2208</v>
      </c>
      <c r="M3157" t="s">
        <v>5303</v>
      </c>
      <c r="N3157" t="s">
        <v>8227</v>
      </c>
      <c r="O3157" t="s">
        <v>8228</v>
      </c>
      <c r="P3157" t="s">
        <v>8229</v>
      </c>
    </row>
    <row r="3158" spans="1:16" x14ac:dyDescent="0.35">
      <c r="A3158" t="s">
        <v>103</v>
      </c>
      <c r="B3158">
        <v>1322845179</v>
      </c>
      <c r="C3158" t="s">
        <v>18</v>
      </c>
      <c r="D3158" t="s">
        <v>21</v>
      </c>
      <c r="E3158" s="29">
        <v>46208</v>
      </c>
      <c r="F3158" t="s">
        <v>6</v>
      </c>
      <c r="G3158" s="28">
        <v>0.77013888888888893</v>
      </c>
      <c r="H3158" s="28">
        <v>0.77708333333333335</v>
      </c>
      <c r="I3158">
        <v>0</v>
      </c>
      <c r="J3158" t="s">
        <v>146</v>
      </c>
      <c r="K3158">
        <v>0</v>
      </c>
      <c r="L3158" t="s">
        <v>147</v>
      </c>
      <c r="M3158" t="s">
        <v>5389</v>
      </c>
      <c r="N3158" t="s">
        <v>5413</v>
      </c>
      <c r="O3158" t="s">
        <v>5414</v>
      </c>
      <c r="P3158" t="s">
        <v>5415</v>
      </c>
    </row>
    <row r="3159" spans="1:16" x14ac:dyDescent="0.35">
      <c r="A3159" t="s">
        <v>103</v>
      </c>
      <c r="B3159">
        <v>1322845179</v>
      </c>
      <c r="C3159" t="s">
        <v>18</v>
      </c>
      <c r="D3159" t="s">
        <v>21</v>
      </c>
      <c r="E3159" s="29">
        <v>46208</v>
      </c>
      <c r="F3159" t="s">
        <v>6</v>
      </c>
      <c r="G3159" s="28">
        <v>0.78402777777777777</v>
      </c>
      <c r="H3159" s="28">
        <v>0.78402777777777777</v>
      </c>
      <c r="I3159">
        <v>0</v>
      </c>
      <c r="J3159" t="s">
        <v>174</v>
      </c>
      <c r="K3159">
        <v>0</v>
      </c>
      <c r="L3159" t="s">
        <v>5787</v>
      </c>
      <c r="M3159" t="s">
        <v>5409</v>
      </c>
      <c r="N3159" t="s">
        <v>5410</v>
      </c>
      <c r="O3159" t="s">
        <v>5411</v>
      </c>
      <c r="P3159" t="s">
        <v>5412</v>
      </c>
    </row>
    <row r="3160" spans="1:16" x14ac:dyDescent="0.35">
      <c r="A3160" t="s">
        <v>103</v>
      </c>
      <c r="B3160">
        <v>1322845179</v>
      </c>
      <c r="C3160" t="s">
        <v>18</v>
      </c>
      <c r="D3160" t="s">
        <v>21</v>
      </c>
      <c r="E3160" s="29">
        <v>46208</v>
      </c>
      <c r="F3160" t="s">
        <v>6</v>
      </c>
      <c r="G3160" s="28">
        <v>0.79097222222222219</v>
      </c>
      <c r="H3160" s="28">
        <v>0.8256944444444444</v>
      </c>
      <c r="I3160">
        <v>1</v>
      </c>
      <c r="J3160" t="s">
        <v>146</v>
      </c>
      <c r="K3160">
        <v>2</v>
      </c>
      <c r="L3160" t="s">
        <v>147</v>
      </c>
      <c r="M3160" t="s">
        <v>5303</v>
      </c>
      <c r="N3160" t="s">
        <v>8227</v>
      </c>
      <c r="O3160" t="s">
        <v>8228</v>
      </c>
      <c r="P3160" t="s">
        <v>8229</v>
      </c>
    </row>
    <row r="3161" spans="1:16" x14ac:dyDescent="0.35">
      <c r="A3161" t="s">
        <v>122</v>
      </c>
      <c r="B3161">
        <v>1701216090</v>
      </c>
      <c r="C3161" t="s">
        <v>18</v>
      </c>
      <c r="D3161" t="s">
        <v>21</v>
      </c>
      <c r="E3161" s="29">
        <v>46204</v>
      </c>
      <c r="F3161" t="s">
        <v>3</v>
      </c>
      <c r="G3161" s="28">
        <v>0.37916666666666665</v>
      </c>
      <c r="H3161" s="28">
        <v>0.37916666666666665</v>
      </c>
      <c r="I3161">
        <v>0</v>
      </c>
      <c r="J3161" t="s">
        <v>174</v>
      </c>
      <c r="K3161">
        <v>0</v>
      </c>
      <c r="L3161" t="s">
        <v>8248</v>
      </c>
      <c r="M3161" t="s">
        <v>8249</v>
      </c>
      <c r="N3161" t="s">
        <v>8250</v>
      </c>
      <c r="O3161" t="s">
        <v>8251</v>
      </c>
      <c r="P3161" t="s">
        <v>8252</v>
      </c>
    </row>
    <row r="3162" spans="1:16" x14ac:dyDescent="0.35">
      <c r="A3162" t="s">
        <v>122</v>
      </c>
      <c r="B3162">
        <v>1701216090</v>
      </c>
      <c r="C3162" t="s">
        <v>18</v>
      </c>
      <c r="D3162" t="s">
        <v>21</v>
      </c>
      <c r="E3162" s="29">
        <v>46204</v>
      </c>
      <c r="F3162" t="s">
        <v>3</v>
      </c>
      <c r="G3162" s="28">
        <v>0.38611111111111113</v>
      </c>
      <c r="H3162" s="28">
        <v>0.38611111111111113</v>
      </c>
      <c r="I3162">
        <v>0</v>
      </c>
      <c r="J3162" t="s">
        <v>174</v>
      </c>
      <c r="K3162">
        <v>0</v>
      </c>
      <c r="L3162" t="s">
        <v>8253</v>
      </c>
      <c r="M3162" t="s">
        <v>8254</v>
      </c>
      <c r="N3162" t="s">
        <v>8255</v>
      </c>
      <c r="O3162" t="s">
        <v>8256</v>
      </c>
      <c r="P3162" t="s">
        <v>8257</v>
      </c>
    </row>
    <row r="3163" spans="1:16" x14ac:dyDescent="0.35">
      <c r="A3163" t="s">
        <v>122</v>
      </c>
      <c r="B3163">
        <v>1701216090</v>
      </c>
      <c r="C3163" t="s">
        <v>18</v>
      </c>
      <c r="D3163" t="s">
        <v>21</v>
      </c>
      <c r="E3163" s="29">
        <v>46204</v>
      </c>
      <c r="F3163" t="s">
        <v>3</v>
      </c>
      <c r="G3163" s="28">
        <v>0.39305555555555555</v>
      </c>
      <c r="H3163" s="28">
        <v>0.40694444444444444</v>
      </c>
      <c r="I3163">
        <v>0</v>
      </c>
      <c r="J3163" t="s">
        <v>146</v>
      </c>
      <c r="K3163">
        <v>1</v>
      </c>
      <c r="L3163" t="s">
        <v>147</v>
      </c>
      <c r="M3163" t="s">
        <v>8258</v>
      </c>
      <c r="N3163" t="s">
        <v>8259</v>
      </c>
      <c r="O3163" t="s">
        <v>8260</v>
      </c>
      <c r="P3163" t="s">
        <v>8261</v>
      </c>
    </row>
    <row r="3164" spans="1:16" x14ac:dyDescent="0.35">
      <c r="A3164" t="s">
        <v>122</v>
      </c>
      <c r="B3164">
        <v>1701216090</v>
      </c>
      <c r="C3164" t="s">
        <v>18</v>
      </c>
      <c r="D3164" t="s">
        <v>21</v>
      </c>
      <c r="E3164" s="29">
        <v>46204</v>
      </c>
      <c r="F3164" t="s">
        <v>3</v>
      </c>
      <c r="G3164" s="28">
        <v>0.41458333333333336</v>
      </c>
      <c r="H3164" s="28">
        <v>0.41458333333333336</v>
      </c>
      <c r="I3164">
        <v>0</v>
      </c>
      <c r="J3164" t="s">
        <v>174</v>
      </c>
      <c r="K3164">
        <v>0</v>
      </c>
      <c r="L3164" t="s">
        <v>471</v>
      </c>
      <c r="M3164" t="s">
        <v>8262</v>
      </c>
      <c r="N3164" t="s">
        <v>8263</v>
      </c>
      <c r="O3164" t="s">
        <v>8264</v>
      </c>
      <c r="P3164" t="s">
        <v>8265</v>
      </c>
    </row>
    <row r="3165" spans="1:16" x14ac:dyDescent="0.35">
      <c r="A3165" t="s">
        <v>122</v>
      </c>
      <c r="B3165">
        <v>1701216090</v>
      </c>
      <c r="C3165" t="s">
        <v>18</v>
      </c>
      <c r="D3165" t="s">
        <v>21</v>
      </c>
      <c r="E3165" s="29">
        <v>46204</v>
      </c>
      <c r="F3165" t="s">
        <v>3</v>
      </c>
      <c r="G3165" s="28">
        <v>0.42152777777777778</v>
      </c>
      <c r="H3165" s="28">
        <v>0.43541666666666667</v>
      </c>
      <c r="I3165">
        <v>0</v>
      </c>
      <c r="J3165" t="s">
        <v>146</v>
      </c>
      <c r="K3165">
        <v>1</v>
      </c>
      <c r="L3165" t="s">
        <v>147</v>
      </c>
      <c r="M3165" t="s">
        <v>1869</v>
      </c>
      <c r="N3165" t="s">
        <v>1870</v>
      </c>
      <c r="O3165" t="s">
        <v>1871</v>
      </c>
      <c r="P3165" t="s">
        <v>8266</v>
      </c>
    </row>
    <row r="3166" spans="1:16" x14ac:dyDescent="0.35">
      <c r="A3166" t="s">
        <v>122</v>
      </c>
      <c r="B3166">
        <v>1701216090</v>
      </c>
      <c r="C3166" t="s">
        <v>18</v>
      </c>
      <c r="D3166" t="s">
        <v>21</v>
      </c>
      <c r="E3166" s="29">
        <v>46204</v>
      </c>
      <c r="F3166" t="s">
        <v>3</v>
      </c>
      <c r="G3166" s="28">
        <v>0.44166666666666665</v>
      </c>
      <c r="H3166" s="28">
        <v>0.44166666666666665</v>
      </c>
      <c r="I3166">
        <v>0</v>
      </c>
      <c r="J3166" t="s">
        <v>174</v>
      </c>
      <c r="K3166">
        <v>0</v>
      </c>
      <c r="L3166" t="s">
        <v>4010</v>
      </c>
      <c r="M3166" t="s">
        <v>8262</v>
      </c>
      <c r="N3166" t="s">
        <v>8263</v>
      </c>
      <c r="O3166" t="s">
        <v>8264</v>
      </c>
      <c r="P3166" t="s">
        <v>8265</v>
      </c>
    </row>
    <row r="3167" spans="1:16" x14ac:dyDescent="0.35">
      <c r="A3167" t="s">
        <v>122</v>
      </c>
      <c r="B3167">
        <v>1701216090</v>
      </c>
      <c r="C3167" t="s">
        <v>18</v>
      </c>
      <c r="D3167" t="s">
        <v>21</v>
      </c>
      <c r="E3167" s="29">
        <v>46204</v>
      </c>
      <c r="F3167" t="s">
        <v>3</v>
      </c>
      <c r="G3167" s="28">
        <v>0.44861111111111113</v>
      </c>
      <c r="H3167" s="28">
        <v>0.44861111111111113</v>
      </c>
      <c r="I3167">
        <v>0</v>
      </c>
      <c r="J3167" t="s">
        <v>174</v>
      </c>
      <c r="K3167">
        <v>0</v>
      </c>
      <c r="L3167" t="s">
        <v>1515</v>
      </c>
      <c r="M3167" t="s">
        <v>8267</v>
      </c>
      <c r="N3167" t="s">
        <v>8268</v>
      </c>
      <c r="O3167" t="s">
        <v>8269</v>
      </c>
      <c r="P3167" t="s">
        <v>8270</v>
      </c>
    </row>
    <row r="3168" spans="1:16" x14ac:dyDescent="0.35">
      <c r="A3168" t="s">
        <v>122</v>
      </c>
      <c r="B3168">
        <v>1701216090</v>
      </c>
      <c r="C3168" t="s">
        <v>18</v>
      </c>
      <c r="D3168" t="s">
        <v>21</v>
      </c>
      <c r="E3168" s="29">
        <v>46204</v>
      </c>
      <c r="F3168" t="s">
        <v>3</v>
      </c>
      <c r="G3168" s="28">
        <v>0.45555555555555555</v>
      </c>
      <c r="H3168" s="28">
        <v>0.48333333333333334</v>
      </c>
      <c r="I3168">
        <v>1</v>
      </c>
      <c r="J3168" t="s">
        <v>146</v>
      </c>
      <c r="K3168">
        <v>2</v>
      </c>
      <c r="L3168" t="s">
        <v>147</v>
      </c>
      <c r="M3168" t="s">
        <v>1843</v>
      </c>
      <c r="N3168" t="s">
        <v>1844</v>
      </c>
      <c r="O3168" t="s">
        <v>1845</v>
      </c>
      <c r="P3168" t="s">
        <v>8271</v>
      </c>
    </row>
    <row r="3169" spans="1:16" x14ac:dyDescent="0.35">
      <c r="A3169" t="s">
        <v>122</v>
      </c>
      <c r="B3169">
        <v>1701216090</v>
      </c>
      <c r="C3169" t="s">
        <v>18</v>
      </c>
      <c r="D3169" t="s">
        <v>21</v>
      </c>
      <c r="E3169" s="29">
        <v>46204</v>
      </c>
      <c r="F3169" t="s">
        <v>3</v>
      </c>
      <c r="G3169" s="28">
        <v>0.49027777777777776</v>
      </c>
      <c r="H3169" s="28">
        <v>0.49027777777777776</v>
      </c>
      <c r="I3169">
        <v>0</v>
      </c>
      <c r="J3169" t="s">
        <v>174</v>
      </c>
      <c r="K3169">
        <v>0</v>
      </c>
      <c r="L3169" t="s">
        <v>334</v>
      </c>
      <c r="M3169" t="s">
        <v>8272</v>
      </c>
      <c r="N3169" t="s">
        <v>8273</v>
      </c>
      <c r="O3169" t="s">
        <v>8274</v>
      </c>
      <c r="P3169" t="s">
        <v>8275</v>
      </c>
    </row>
    <row r="3170" spans="1:16" x14ac:dyDescent="0.35">
      <c r="A3170" t="s">
        <v>122</v>
      </c>
      <c r="B3170">
        <v>1701216090</v>
      </c>
      <c r="C3170" t="s">
        <v>18</v>
      </c>
      <c r="D3170" t="s">
        <v>21</v>
      </c>
      <c r="E3170" s="29">
        <v>46204</v>
      </c>
      <c r="F3170" t="s">
        <v>3</v>
      </c>
      <c r="G3170" s="28">
        <v>0.49722222222222223</v>
      </c>
      <c r="H3170" s="28">
        <v>0.49722222222222223</v>
      </c>
      <c r="I3170">
        <v>0</v>
      </c>
      <c r="J3170" t="s">
        <v>174</v>
      </c>
      <c r="K3170">
        <v>0</v>
      </c>
      <c r="L3170" t="s">
        <v>2762</v>
      </c>
      <c r="M3170" t="s">
        <v>8267</v>
      </c>
      <c r="N3170" t="s">
        <v>8276</v>
      </c>
      <c r="O3170" t="s">
        <v>8277</v>
      </c>
      <c r="P3170" t="s">
        <v>8278</v>
      </c>
    </row>
    <row r="3171" spans="1:16" x14ac:dyDescent="0.35">
      <c r="A3171" t="s">
        <v>122</v>
      </c>
      <c r="B3171">
        <v>1701216090</v>
      </c>
      <c r="C3171" t="s">
        <v>18</v>
      </c>
      <c r="D3171" t="s">
        <v>21</v>
      </c>
      <c r="E3171" s="29">
        <v>46204</v>
      </c>
      <c r="F3171" t="s">
        <v>3</v>
      </c>
      <c r="G3171" s="28">
        <v>0.50416666666666665</v>
      </c>
      <c r="H3171" s="28">
        <v>0.50416666666666665</v>
      </c>
      <c r="I3171">
        <v>0</v>
      </c>
      <c r="J3171" t="s">
        <v>174</v>
      </c>
      <c r="K3171">
        <v>0</v>
      </c>
      <c r="L3171" t="s">
        <v>2879</v>
      </c>
      <c r="M3171" t="s">
        <v>8279</v>
      </c>
      <c r="N3171" t="s">
        <v>8280</v>
      </c>
      <c r="O3171" t="s">
        <v>8281</v>
      </c>
      <c r="P3171" t="s">
        <v>8282</v>
      </c>
    </row>
    <row r="3172" spans="1:16" x14ac:dyDescent="0.35">
      <c r="A3172" t="s">
        <v>122</v>
      </c>
      <c r="B3172">
        <v>1701216090</v>
      </c>
      <c r="C3172" t="s">
        <v>18</v>
      </c>
      <c r="D3172" t="s">
        <v>21</v>
      </c>
      <c r="E3172" s="29">
        <v>46204</v>
      </c>
      <c r="F3172" t="s">
        <v>3</v>
      </c>
      <c r="G3172" s="28">
        <v>0.51111111111111107</v>
      </c>
      <c r="H3172" s="28">
        <v>0.51111111111111107</v>
      </c>
      <c r="I3172">
        <v>0</v>
      </c>
      <c r="J3172" t="s">
        <v>174</v>
      </c>
      <c r="K3172">
        <v>0</v>
      </c>
      <c r="L3172" t="s">
        <v>8283</v>
      </c>
      <c r="M3172" t="s">
        <v>8284</v>
      </c>
      <c r="N3172" t="s">
        <v>8285</v>
      </c>
      <c r="O3172" t="s">
        <v>8286</v>
      </c>
      <c r="P3172" t="s">
        <v>8287</v>
      </c>
    </row>
    <row r="3173" spans="1:16" x14ac:dyDescent="0.35">
      <c r="A3173" t="s">
        <v>122</v>
      </c>
      <c r="B3173">
        <v>1701216090</v>
      </c>
      <c r="C3173" t="s">
        <v>18</v>
      </c>
      <c r="D3173" t="s">
        <v>21</v>
      </c>
      <c r="E3173" s="29">
        <v>46204</v>
      </c>
      <c r="F3173" t="s">
        <v>3</v>
      </c>
      <c r="G3173" s="28">
        <v>0.5180555555555556</v>
      </c>
      <c r="H3173" s="28">
        <v>0.65694444444444444</v>
      </c>
      <c r="I3173">
        <v>3</v>
      </c>
      <c r="J3173" t="s">
        <v>146</v>
      </c>
      <c r="K3173">
        <v>10</v>
      </c>
      <c r="L3173" t="s">
        <v>147</v>
      </c>
      <c r="M3173" t="s">
        <v>1720</v>
      </c>
      <c r="N3173" t="s">
        <v>1721</v>
      </c>
      <c r="O3173" t="s">
        <v>1722</v>
      </c>
      <c r="P3173" t="s">
        <v>8288</v>
      </c>
    </row>
    <row r="3174" spans="1:16" x14ac:dyDescent="0.35">
      <c r="A3174" t="s">
        <v>122</v>
      </c>
      <c r="B3174">
        <v>1701216090</v>
      </c>
      <c r="C3174" t="s">
        <v>18</v>
      </c>
      <c r="D3174" t="s">
        <v>21</v>
      </c>
      <c r="E3174" s="29">
        <v>46204</v>
      </c>
      <c r="F3174" t="s">
        <v>3</v>
      </c>
      <c r="G3174" s="28">
        <v>0.66388888888888886</v>
      </c>
      <c r="H3174" s="28">
        <v>0.66388888888888886</v>
      </c>
      <c r="I3174">
        <v>0</v>
      </c>
      <c r="J3174" t="s">
        <v>174</v>
      </c>
      <c r="K3174">
        <v>0</v>
      </c>
      <c r="L3174" t="s">
        <v>8289</v>
      </c>
      <c r="M3174" t="s">
        <v>1716</v>
      </c>
      <c r="N3174" t="s">
        <v>1717</v>
      </c>
      <c r="O3174" t="s">
        <v>1718</v>
      </c>
      <c r="P3174" t="s">
        <v>8290</v>
      </c>
    </row>
    <row r="3175" spans="1:16" x14ac:dyDescent="0.35">
      <c r="A3175" t="s">
        <v>122</v>
      </c>
      <c r="B3175">
        <v>1701216090</v>
      </c>
      <c r="C3175" t="s">
        <v>18</v>
      </c>
      <c r="D3175" t="s">
        <v>21</v>
      </c>
      <c r="E3175" s="29">
        <v>46204</v>
      </c>
      <c r="F3175" t="s">
        <v>3</v>
      </c>
      <c r="G3175" s="28">
        <v>0.67083333333333328</v>
      </c>
      <c r="H3175" s="28">
        <v>0.67777777777777781</v>
      </c>
      <c r="I3175">
        <v>0</v>
      </c>
      <c r="J3175" t="s">
        <v>146</v>
      </c>
      <c r="K3175">
        <v>1</v>
      </c>
      <c r="L3175" t="s">
        <v>147</v>
      </c>
      <c r="M3175" t="s">
        <v>8291</v>
      </c>
      <c r="N3175" t="s">
        <v>8292</v>
      </c>
      <c r="O3175" t="s">
        <v>8293</v>
      </c>
      <c r="P3175" t="s">
        <v>8294</v>
      </c>
    </row>
    <row r="3176" spans="1:16" x14ac:dyDescent="0.35">
      <c r="A3176" t="s">
        <v>122</v>
      </c>
      <c r="B3176">
        <v>1701216090</v>
      </c>
      <c r="C3176" t="s">
        <v>18</v>
      </c>
      <c r="D3176" t="s">
        <v>21</v>
      </c>
      <c r="E3176" s="29">
        <v>46204</v>
      </c>
      <c r="F3176" t="s">
        <v>3</v>
      </c>
      <c r="G3176" s="28">
        <v>0.68472222222222223</v>
      </c>
      <c r="H3176" s="28">
        <v>0.68472222222222223</v>
      </c>
      <c r="I3176">
        <v>0</v>
      </c>
      <c r="J3176" t="s">
        <v>174</v>
      </c>
      <c r="K3176">
        <v>0</v>
      </c>
      <c r="L3176" t="s">
        <v>8295</v>
      </c>
      <c r="M3176" t="s">
        <v>8296</v>
      </c>
      <c r="N3176" t="s">
        <v>8297</v>
      </c>
      <c r="O3176" t="s">
        <v>8298</v>
      </c>
      <c r="P3176" t="s">
        <v>8299</v>
      </c>
    </row>
    <row r="3177" spans="1:16" x14ac:dyDescent="0.35">
      <c r="A3177" t="s">
        <v>122</v>
      </c>
      <c r="B3177">
        <v>1701216090</v>
      </c>
      <c r="C3177" t="s">
        <v>18</v>
      </c>
      <c r="D3177" t="s">
        <v>21</v>
      </c>
      <c r="E3177" s="29">
        <v>46204</v>
      </c>
      <c r="F3177" t="s">
        <v>3</v>
      </c>
      <c r="G3177" s="28">
        <v>0.69166666666666665</v>
      </c>
      <c r="H3177" s="28">
        <v>0.74722222222222223</v>
      </c>
      <c r="I3177">
        <v>1</v>
      </c>
      <c r="J3177" t="s">
        <v>146</v>
      </c>
      <c r="K3177">
        <v>4</v>
      </c>
      <c r="L3177" t="s">
        <v>147</v>
      </c>
      <c r="M3177" t="s">
        <v>8300</v>
      </c>
      <c r="N3177" t="s">
        <v>8301</v>
      </c>
      <c r="O3177" t="s">
        <v>8302</v>
      </c>
      <c r="P3177" t="s">
        <v>8303</v>
      </c>
    </row>
    <row r="3178" spans="1:16" x14ac:dyDescent="0.35">
      <c r="A3178" t="s">
        <v>122</v>
      </c>
      <c r="B3178">
        <v>1701216090</v>
      </c>
      <c r="C3178" t="s">
        <v>18</v>
      </c>
      <c r="D3178" t="s">
        <v>21</v>
      </c>
      <c r="E3178" s="29">
        <v>46204</v>
      </c>
      <c r="F3178" t="s">
        <v>3</v>
      </c>
      <c r="G3178" s="28">
        <v>0.75416666666666665</v>
      </c>
      <c r="H3178" s="28">
        <v>0.75416666666666665</v>
      </c>
      <c r="I3178">
        <v>0</v>
      </c>
      <c r="J3178" t="s">
        <v>174</v>
      </c>
      <c r="K3178">
        <v>0</v>
      </c>
      <c r="L3178" t="s">
        <v>8304</v>
      </c>
      <c r="M3178" t="s">
        <v>8305</v>
      </c>
      <c r="N3178" t="s">
        <v>8306</v>
      </c>
      <c r="O3178" t="s">
        <v>8307</v>
      </c>
      <c r="P3178" t="s">
        <v>8308</v>
      </c>
    </row>
    <row r="3179" spans="1:16" x14ac:dyDescent="0.35">
      <c r="A3179" t="s">
        <v>122</v>
      </c>
      <c r="B3179">
        <v>1701216090</v>
      </c>
      <c r="C3179" t="s">
        <v>18</v>
      </c>
      <c r="D3179" t="s">
        <v>21</v>
      </c>
      <c r="E3179" s="29">
        <v>46204</v>
      </c>
      <c r="F3179" t="s">
        <v>3</v>
      </c>
      <c r="G3179" s="28">
        <v>0.76111111111111107</v>
      </c>
      <c r="H3179" s="28">
        <v>0.78888888888888886</v>
      </c>
      <c r="I3179">
        <v>1</v>
      </c>
      <c r="J3179" t="s">
        <v>146</v>
      </c>
      <c r="K3179">
        <v>2</v>
      </c>
      <c r="L3179" t="s">
        <v>147</v>
      </c>
      <c r="M3179" t="s">
        <v>1869</v>
      </c>
      <c r="N3179" t="s">
        <v>1870</v>
      </c>
      <c r="O3179" t="s">
        <v>1871</v>
      </c>
      <c r="P3179" t="s">
        <v>8266</v>
      </c>
    </row>
    <row r="3180" spans="1:16" x14ac:dyDescent="0.35">
      <c r="A3180" t="s">
        <v>122</v>
      </c>
      <c r="B3180">
        <v>1701216090</v>
      </c>
      <c r="C3180" t="s">
        <v>18</v>
      </c>
      <c r="D3180" t="s">
        <v>21</v>
      </c>
      <c r="E3180" s="29">
        <v>46205</v>
      </c>
      <c r="F3180" t="s">
        <v>4</v>
      </c>
      <c r="G3180" s="28">
        <v>0.37916666666666665</v>
      </c>
      <c r="H3180" s="28">
        <v>0.37916666666666665</v>
      </c>
      <c r="I3180">
        <v>0</v>
      </c>
      <c r="J3180" t="s">
        <v>174</v>
      </c>
      <c r="K3180">
        <v>0</v>
      </c>
      <c r="L3180" t="s">
        <v>1500</v>
      </c>
      <c r="M3180" t="s">
        <v>8309</v>
      </c>
      <c r="N3180" t="s">
        <v>8310</v>
      </c>
      <c r="O3180" t="s">
        <v>8311</v>
      </c>
      <c r="P3180" t="s">
        <v>7355</v>
      </c>
    </row>
    <row r="3181" spans="1:16" x14ac:dyDescent="0.35">
      <c r="A3181" t="s">
        <v>122</v>
      </c>
      <c r="B3181">
        <v>1701216090</v>
      </c>
      <c r="C3181" t="s">
        <v>18</v>
      </c>
      <c r="D3181" t="s">
        <v>21</v>
      </c>
      <c r="E3181" s="29">
        <v>46205</v>
      </c>
      <c r="F3181" t="s">
        <v>4</v>
      </c>
      <c r="G3181" s="28">
        <v>0.38611111111111113</v>
      </c>
      <c r="H3181" s="28">
        <v>0.38611111111111113</v>
      </c>
      <c r="I3181">
        <v>0</v>
      </c>
      <c r="J3181" t="s">
        <v>174</v>
      </c>
      <c r="K3181">
        <v>0</v>
      </c>
      <c r="L3181" t="s">
        <v>8312</v>
      </c>
      <c r="M3181" t="s">
        <v>8313</v>
      </c>
      <c r="N3181" t="s">
        <v>8314</v>
      </c>
      <c r="O3181" t="s">
        <v>8315</v>
      </c>
      <c r="P3181" t="s">
        <v>8316</v>
      </c>
    </row>
    <row r="3182" spans="1:16" x14ac:dyDescent="0.35">
      <c r="A3182" t="s">
        <v>122</v>
      </c>
      <c r="B3182">
        <v>1701216090</v>
      </c>
      <c r="C3182" t="s">
        <v>18</v>
      </c>
      <c r="D3182" t="s">
        <v>21</v>
      </c>
      <c r="E3182" s="29">
        <v>46205</v>
      </c>
      <c r="F3182" t="s">
        <v>4</v>
      </c>
      <c r="G3182" s="28">
        <v>0.39305555555555555</v>
      </c>
      <c r="H3182" s="28">
        <v>0.39305555555555555</v>
      </c>
      <c r="I3182">
        <v>0</v>
      </c>
      <c r="J3182" t="s">
        <v>174</v>
      </c>
      <c r="K3182">
        <v>0</v>
      </c>
      <c r="L3182" t="s">
        <v>8317</v>
      </c>
      <c r="M3182" t="s">
        <v>8318</v>
      </c>
      <c r="N3182" t="s">
        <v>8319</v>
      </c>
      <c r="O3182" t="s">
        <v>8320</v>
      </c>
      <c r="P3182" t="s">
        <v>8321</v>
      </c>
    </row>
    <row r="3183" spans="1:16" x14ac:dyDescent="0.35">
      <c r="A3183" t="s">
        <v>122</v>
      </c>
      <c r="B3183">
        <v>1701216090</v>
      </c>
      <c r="C3183" t="s">
        <v>18</v>
      </c>
      <c r="D3183" t="s">
        <v>21</v>
      </c>
      <c r="E3183" s="29">
        <v>46205</v>
      </c>
      <c r="F3183" t="s">
        <v>4</v>
      </c>
      <c r="G3183" s="28">
        <v>0.4</v>
      </c>
      <c r="H3183" s="28">
        <v>0.4</v>
      </c>
      <c r="I3183">
        <v>0</v>
      </c>
      <c r="J3183" t="s">
        <v>174</v>
      </c>
      <c r="K3183">
        <v>0</v>
      </c>
      <c r="L3183" t="s">
        <v>8322</v>
      </c>
      <c r="M3183" t="s">
        <v>1751</v>
      </c>
      <c r="N3183" t="s">
        <v>1752</v>
      </c>
      <c r="O3183" t="s">
        <v>1753</v>
      </c>
      <c r="P3183" t="s">
        <v>8323</v>
      </c>
    </row>
    <row r="3184" spans="1:16" x14ac:dyDescent="0.35">
      <c r="A3184" t="s">
        <v>122</v>
      </c>
      <c r="B3184">
        <v>1701216090</v>
      </c>
      <c r="C3184" t="s">
        <v>18</v>
      </c>
      <c r="D3184" t="s">
        <v>21</v>
      </c>
      <c r="E3184" s="29">
        <v>46205</v>
      </c>
      <c r="F3184" t="s">
        <v>4</v>
      </c>
      <c r="G3184" s="28">
        <v>0.40555555555555556</v>
      </c>
      <c r="H3184" s="28">
        <v>0.40555555555555556</v>
      </c>
      <c r="I3184">
        <v>0</v>
      </c>
      <c r="J3184" t="s">
        <v>174</v>
      </c>
      <c r="K3184">
        <v>0</v>
      </c>
      <c r="L3184" t="s">
        <v>8324</v>
      </c>
      <c r="M3184" t="s">
        <v>8325</v>
      </c>
      <c r="N3184" t="s">
        <v>8326</v>
      </c>
      <c r="O3184" t="s">
        <v>8327</v>
      </c>
      <c r="P3184" t="s">
        <v>8328</v>
      </c>
    </row>
    <row r="3185" spans="1:16" x14ac:dyDescent="0.35">
      <c r="A3185" t="s">
        <v>122</v>
      </c>
      <c r="B3185">
        <v>1701216090</v>
      </c>
      <c r="C3185" t="s">
        <v>18</v>
      </c>
      <c r="D3185" t="s">
        <v>21</v>
      </c>
      <c r="E3185" s="29">
        <v>46205</v>
      </c>
      <c r="F3185" t="s">
        <v>4</v>
      </c>
      <c r="G3185" s="28">
        <v>0.41388888888888886</v>
      </c>
      <c r="H3185" s="28">
        <v>0.41388888888888886</v>
      </c>
      <c r="I3185">
        <v>0</v>
      </c>
      <c r="J3185" t="s">
        <v>174</v>
      </c>
      <c r="K3185">
        <v>0</v>
      </c>
      <c r="L3185" t="s">
        <v>8329</v>
      </c>
      <c r="M3185" t="s">
        <v>8330</v>
      </c>
      <c r="N3185" t="s">
        <v>8331</v>
      </c>
      <c r="O3185" t="s">
        <v>8332</v>
      </c>
      <c r="P3185" t="s">
        <v>8333</v>
      </c>
    </row>
    <row r="3186" spans="1:16" x14ac:dyDescent="0.35">
      <c r="A3186" t="s">
        <v>122</v>
      </c>
      <c r="B3186">
        <v>1701216090</v>
      </c>
      <c r="C3186" t="s">
        <v>18</v>
      </c>
      <c r="D3186" t="s">
        <v>21</v>
      </c>
      <c r="E3186" s="29">
        <v>46205</v>
      </c>
      <c r="F3186" t="s">
        <v>4</v>
      </c>
      <c r="G3186" s="28">
        <v>0.42083333333333334</v>
      </c>
      <c r="H3186" s="28">
        <v>0.42083333333333334</v>
      </c>
      <c r="I3186">
        <v>0</v>
      </c>
      <c r="J3186" t="s">
        <v>174</v>
      </c>
      <c r="K3186">
        <v>0</v>
      </c>
      <c r="L3186" t="s">
        <v>8334</v>
      </c>
      <c r="M3186" t="s">
        <v>8335</v>
      </c>
      <c r="N3186" t="s">
        <v>8336</v>
      </c>
      <c r="O3186" t="s">
        <v>8337</v>
      </c>
      <c r="P3186" t="s">
        <v>8338</v>
      </c>
    </row>
    <row r="3187" spans="1:16" x14ac:dyDescent="0.35">
      <c r="A3187" t="s">
        <v>122</v>
      </c>
      <c r="B3187">
        <v>1701216090</v>
      </c>
      <c r="C3187" t="s">
        <v>18</v>
      </c>
      <c r="D3187" t="s">
        <v>21</v>
      </c>
      <c r="E3187" s="29">
        <v>46205</v>
      </c>
      <c r="F3187" t="s">
        <v>4</v>
      </c>
      <c r="G3187" s="28">
        <v>0.42777777777777776</v>
      </c>
      <c r="H3187" s="28">
        <v>0.42777777777777776</v>
      </c>
      <c r="I3187">
        <v>0</v>
      </c>
      <c r="J3187" t="s">
        <v>174</v>
      </c>
      <c r="K3187">
        <v>0</v>
      </c>
      <c r="L3187" t="s">
        <v>2208</v>
      </c>
      <c r="M3187" t="s">
        <v>8339</v>
      </c>
      <c r="N3187" t="s">
        <v>8340</v>
      </c>
      <c r="O3187" t="s">
        <v>8341</v>
      </c>
      <c r="P3187" t="s">
        <v>8342</v>
      </c>
    </row>
    <row r="3188" spans="1:16" x14ac:dyDescent="0.35">
      <c r="A3188" t="s">
        <v>122</v>
      </c>
      <c r="B3188">
        <v>1701216090</v>
      </c>
      <c r="C3188" t="s">
        <v>18</v>
      </c>
      <c r="D3188" t="s">
        <v>21</v>
      </c>
      <c r="E3188" s="29">
        <v>46205</v>
      </c>
      <c r="F3188" t="s">
        <v>4</v>
      </c>
      <c r="G3188" s="28">
        <v>0.43472222222222223</v>
      </c>
      <c r="H3188" s="28">
        <v>0.43472222222222223</v>
      </c>
      <c r="I3188">
        <v>0</v>
      </c>
      <c r="J3188" t="s">
        <v>174</v>
      </c>
      <c r="K3188">
        <v>0</v>
      </c>
      <c r="L3188" t="s">
        <v>8343</v>
      </c>
      <c r="M3188" t="s">
        <v>8344</v>
      </c>
      <c r="N3188" t="s">
        <v>8345</v>
      </c>
      <c r="O3188" t="s">
        <v>8346</v>
      </c>
      <c r="P3188" t="s">
        <v>8347</v>
      </c>
    </row>
    <row r="3189" spans="1:16" x14ac:dyDescent="0.35">
      <c r="A3189" t="s">
        <v>122</v>
      </c>
      <c r="B3189">
        <v>1701216090</v>
      </c>
      <c r="C3189" t="s">
        <v>18</v>
      </c>
      <c r="D3189" t="s">
        <v>21</v>
      </c>
      <c r="E3189" s="29">
        <v>46205</v>
      </c>
      <c r="F3189" t="s">
        <v>4</v>
      </c>
      <c r="G3189" s="28">
        <v>0.44166666666666665</v>
      </c>
      <c r="H3189" s="28">
        <v>0.44791666666666669</v>
      </c>
      <c r="I3189">
        <v>0</v>
      </c>
      <c r="J3189" t="s">
        <v>146</v>
      </c>
      <c r="K3189">
        <v>0</v>
      </c>
      <c r="L3189" t="s">
        <v>147</v>
      </c>
      <c r="M3189" t="s">
        <v>8348</v>
      </c>
      <c r="N3189" t="s">
        <v>8349</v>
      </c>
      <c r="O3189" t="s">
        <v>8350</v>
      </c>
      <c r="P3189" t="s">
        <v>8351</v>
      </c>
    </row>
    <row r="3190" spans="1:16" x14ac:dyDescent="0.35">
      <c r="A3190" t="s">
        <v>122</v>
      </c>
      <c r="B3190">
        <v>1701216090</v>
      </c>
      <c r="C3190" t="s">
        <v>18</v>
      </c>
      <c r="D3190" t="s">
        <v>21</v>
      </c>
      <c r="E3190" s="29">
        <v>46205</v>
      </c>
      <c r="F3190" t="s">
        <v>4</v>
      </c>
      <c r="G3190" s="28">
        <v>0.4548611111111111</v>
      </c>
      <c r="H3190" s="28">
        <v>0.4548611111111111</v>
      </c>
      <c r="I3190">
        <v>0</v>
      </c>
      <c r="J3190" t="s">
        <v>174</v>
      </c>
      <c r="K3190">
        <v>0</v>
      </c>
      <c r="L3190" t="s">
        <v>8343</v>
      </c>
      <c r="M3190" t="s">
        <v>8344</v>
      </c>
      <c r="N3190" t="s">
        <v>8345</v>
      </c>
      <c r="O3190" t="s">
        <v>8346</v>
      </c>
      <c r="P3190" t="s">
        <v>8347</v>
      </c>
    </row>
    <row r="3191" spans="1:16" x14ac:dyDescent="0.35">
      <c r="A3191" t="s">
        <v>122</v>
      </c>
      <c r="B3191">
        <v>1701216090</v>
      </c>
      <c r="C3191" t="s">
        <v>18</v>
      </c>
      <c r="D3191" t="s">
        <v>21</v>
      </c>
      <c r="E3191" s="29">
        <v>46205</v>
      </c>
      <c r="F3191" t="s">
        <v>4</v>
      </c>
      <c r="G3191" s="28">
        <v>0.46250000000000002</v>
      </c>
      <c r="H3191" s="28">
        <v>0.53888888888888886</v>
      </c>
      <c r="I3191">
        <v>2</v>
      </c>
      <c r="J3191" t="s">
        <v>146</v>
      </c>
      <c r="K3191">
        <v>6</v>
      </c>
      <c r="L3191" t="s">
        <v>147</v>
      </c>
      <c r="M3191" t="s">
        <v>8348</v>
      </c>
      <c r="N3191" t="s">
        <v>8349</v>
      </c>
      <c r="O3191" t="s">
        <v>8350</v>
      </c>
      <c r="P3191" t="s">
        <v>8351</v>
      </c>
    </row>
    <row r="3192" spans="1:16" x14ac:dyDescent="0.35">
      <c r="A3192" t="s">
        <v>122</v>
      </c>
      <c r="B3192">
        <v>1701216090</v>
      </c>
      <c r="C3192" t="s">
        <v>18</v>
      </c>
      <c r="D3192" t="s">
        <v>21</v>
      </c>
      <c r="E3192" s="29">
        <v>46205</v>
      </c>
      <c r="F3192" t="s">
        <v>4</v>
      </c>
      <c r="G3192" s="28">
        <v>0.54583333333333328</v>
      </c>
      <c r="H3192" s="28">
        <v>0.56041666666666667</v>
      </c>
      <c r="I3192">
        <v>0</v>
      </c>
      <c r="J3192" t="s">
        <v>146</v>
      </c>
      <c r="K3192">
        <v>1</v>
      </c>
      <c r="L3192" t="s">
        <v>147</v>
      </c>
      <c r="M3192" t="s">
        <v>8344</v>
      </c>
      <c r="N3192" t="s">
        <v>8345</v>
      </c>
      <c r="O3192" t="s">
        <v>8346</v>
      </c>
      <c r="P3192" t="s">
        <v>8347</v>
      </c>
    </row>
    <row r="3193" spans="1:16" x14ac:dyDescent="0.35">
      <c r="A3193" t="s">
        <v>122</v>
      </c>
      <c r="B3193">
        <v>1701216090</v>
      </c>
      <c r="C3193" t="s">
        <v>18</v>
      </c>
      <c r="D3193" t="s">
        <v>21</v>
      </c>
      <c r="E3193" s="29">
        <v>46205</v>
      </c>
      <c r="F3193" t="s">
        <v>4</v>
      </c>
      <c r="G3193" s="28">
        <v>0.56666666666666665</v>
      </c>
      <c r="H3193" s="28">
        <v>0.5805555555555556</v>
      </c>
      <c r="I3193">
        <v>0</v>
      </c>
      <c r="J3193" t="s">
        <v>146</v>
      </c>
      <c r="K3193">
        <v>1</v>
      </c>
      <c r="L3193" t="s">
        <v>147</v>
      </c>
      <c r="M3193" t="s">
        <v>8352</v>
      </c>
      <c r="N3193" t="s">
        <v>8353</v>
      </c>
      <c r="O3193" t="s">
        <v>8354</v>
      </c>
      <c r="P3193" t="s">
        <v>8355</v>
      </c>
    </row>
    <row r="3194" spans="1:16" x14ac:dyDescent="0.35">
      <c r="A3194" t="s">
        <v>122</v>
      </c>
      <c r="B3194">
        <v>1701216090</v>
      </c>
      <c r="C3194" t="s">
        <v>18</v>
      </c>
      <c r="D3194" t="s">
        <v>21</v>
      </c>
      <c r="E3194" s="29">
        <v>46205</v>
      </c>
      <c r="F3194" t="s">
        <v>4</v>
      </c>
      <c r="G3194" s="28">
        <v>0.58750000000000002</v>
      </c>
      <c r="H3194" s="28">
        <v>0.58750000000000002</v>
      </c>
      <c r="I3194">
        <v>0</v>
      </c>
      <c r="J3194" t="s">
        <v>174</v>
      </c>
      <c r="K3194">
        <v>0</v>
      </c>
      <c r="L3194" t="s">
        <v>996</v>
      </c>
      <c r="M3194" t="s">
        <v>8356</v>
      </c>
      <c r="N3194" t="s">
        <v>8357</v>
      </c>
      <c r="O3194" t="s">
        <v>8358</v>
      </c>
      <c r="P3194" t="s">
        <v>8359</v>
      </c>
    </row>
    <row r="3195" spans="1:16" x14ac:dyDescent="0.35">
      <c r="A3195" t="s">
        <v>122</v>
      </c>
      <c r="B3195">
        <v>1701216090</v>
      </c>
      <c r="C3195" t="s">
        <v>18</v>
      </c>
      <c r="D3195" t="s">
        <v>21</v>
      </c>
      <c r="E3195" s="29">
        <v>46205</v>
      </c>
      <c r="F3195" t="s">
        <v>4</v>
      </c>
      <c r="G3195" s="28">
        <v>0.59513888888888888</v>
      </c>
      <c r="H3195" s="28">
        <v>0.59513888888888888</v>
      </c>
      <c r="I3195">
        <v>0</v>
      </c>
      <c r="J3195" t="s">
        <v>174</v>
      </c>
      <c r="K3195">
        <v>0</v>
      </c>
      <c r="L3195" t="s">
        <v>1886</v>
      </c>
      <c r="M3195" t="s">
        <v>8360</v>
      </c>
      <c r="N3195" t="s">
        <v>8361</v>
      </c>
      <c r="O3195" t="s">
        <v>8362</v>
      </c>
      <c r="P3195" t="s">
        <v>8363</v>
      </c>
    </row>
    <row r="3196" spans="1:16" x14ac:dyDescent="0.35">
      <c r="A3196" t="s">
        <v>122</v>
      </c>
      <c r="B3196">
        <v>1701216090</v>
      </c>
      <c r="C3196" t="s">
        <v>18</v>
      </c>
      <c r="D3196" t="s">
        <v>21</v>
      </c>
      <c r="E3196" s="29">
        <v>46205</v>
      </c>
      <c r="F3196" t="s">
        <v>4</v>
      </c>
      <c r="G3196" s="28">
        <v>0.60138888888888886</v>
      </c>
      <c r="H3196" s="28">
        <v>0.60138888888888886</v>
      </c>
      <c r="I3196">
        <v>0</v>
      </c>
      <c r="J3196" t="s">
        <v>174</v>
      </c>
      <c r="K3196">
        <v>0</v>
      </c>
      <c r="L3196" t="s">
        <v>8364</v>
      </c>
      <c r="M3196" t="s">
        <v>1760</v>
      </c>
      <c r="N3196" t="s">
        <v>1761</v>
      </c>
      <c r="O3196" t="s">
        <v>1762</v>
      </c>
      <c r="P3196" t="s">
        <v>8365</v>
      </c>
    </row>
    <row r="3197" spans="1:16" x14ac:dyDescent="0.35">
      <c r="A3197" t="s">
        <v>122</v>
      </c>
      <c r="B3197">
        <v>1701216090</v>
      </c>
      <c r="C3197" t="s">
        <v>18</v>
      </c>
      <c r="D3197" t="s">
        <v>21</v>
      </c>
      <c r="E3197" s="29">
        <v>46205</v>
      </c>
      <c r="F3197" t="s">
        <v>4</v>
      </c>
      <c r="G3197" s="28">
        <v>0.60902777777777772</v>
      </c>
      <c r="H3197" s="28">
        <v>0.60902777777777772</v>
      </c>
      <c r="I3197">
        <v>0</v>
      </c>
      <c r="J3197" t="s">
        <v>174</v>
      </c>
      <c r="K3197">
        <v>0</v>
      </c>
      <c r="L3197" t="s">
        <v>8366</v>
      </c>
      <c r="M3197" t="s">
        <v>8367</v>
      </c>
      <c r="N3197" t="s">
        <v>8368</v>
      </c>
      <c r="O3197" t="s">
        <v>8369</v>
      </c>
      <c r="P3197" t="s">
        <v>8370</v>
      </c>
    </row>
    <row r="3198" spans="1:16" x14ac:dyDescent="0.35">
      <c r="A3198" t="s">
        <v>122</v>
      </c>
      <c r="B3198">
        <v>1701216090</v>
      </c>
      <c r="C3198" t="s">
        <v>18</v>
      </c>
      <c r="D3198" t="s">
        <v>21</v>
      </c>
      <c r="E3198" s="29">
        <v>46205</v>
      </c>
      <c r="F3198" t="s">
        <v>4</v>
      </c>
      <c r="G3198" s="28">
        <v>0.61527777777777781</v>
      </c>
      <c r="H3198" s="28">
        <v>0.61527777777777781</v>
      </c>
      <c r="I3198">
        <v>0</v>
      </c>
      <c r="J3198" t="s">
        <v>174</v>
      </c>
      <c r="K3198">
        <v>0</v>
      </c>
      <c r="L3198" t="s">
        <v>8371</v>
      </c>
      <c r="M3198" t="s">
        <v>8372</v>
      </c>
      <c r="N3198" t="s">
        <v>8373</v>
      </c>
      <c r="O3198" t="s">
        <v>8374</v>
      </c>
      <c r="P3198" t="s">
        <v>8375</v>
      </c>
    </row>
    <row r="3199" spans="1:16" x14ac:dyDescent="0.35">
      <c r="A3199" t="s">
        <v>122</v>
      </c>
      <c r="B3199">
        <v>1701216090</v>
      </c>
      <c r="C3199" t="s">
        <v>18</v>
      </c>
      <c r="D3199" t="s">
        <v>21</v>
      </c>
      <c r="E3199" s="29">
        <v>46205</v>
      </c>
      <c r="F3199" t="s">
        <v>4</v>
      </c>
      <c r="G3199" s="28">
        <v>0.62222222222222223</v>
      </c>
      <c r="H3199" s="28">
        <v>0.62916666666666665</v>
      </c>
      <c r="I3199">
        <v>0</v>
      </c>
      <c r="J3199" t="s">
        <v>146</v>
      </c>
      <c r="K3199">
        <v>0</v>
      </c>
      <c r="L3199" t="s">
        <v>147</v>
      </c>
      <c r="M3199" t="s">
        <v>1751</v>
      </c>
      <c r="N3199" t="s">
        <v>1752</v>
      </c>
      <c r="O3199" t="s">
        <v>1753</v>
      </c>
      <c r="P3199" t="s">
        <v>8323</v>
      </c>
    </row>
    <row r="3200" spans="1:16" x14ac:dyDescent="0.35">
      <c r="A3200" t="s">
        <v>122</v>
      </c>
      <c r="B3200">
        <v>1701216090</v>
      </c>
      <c r="C3200" t="s">
        <v>18</v>
      </c>
      <c r="D3200" t="s">
        <v>21</v>
      </c>
      <c r="E3200" s="29">
        <v>46205</v>
      </c>
      <c r="F3200" t="s">
        <v>4</v>
      </c>
      <c r="G3200" s="28">
        <v>0.63611111111111107</v>
      </c>
      <c r="H3200" s="28">
        <v>0.63611111111111107</v>
      </c>
      <c r="I3200">
        <v>0</v>
      </c>
      <c r="J3200" t="s">
        <v>174</v>
      </c>
      <c r="K3200">
        <v>0</v>
      </c>
      <c r="L3200" t="s">
        <v>8371</v>
      </c>
      <c r="M3200" t="s">
        <v>8372</v>
      </c>
      <c r="N3200" t="s">
        <v>8373</v>
      </c>
      <c r="O3200" t="s">
        <v>8374</v>
      </c>
      <c r="P3200" t="s">
        <v>8375</v>
      </c>
    </row>
    <row r="3201" spans="1:16" x14ac:dyDescent="0.35">
      <c r="A3201" t="s">
        <v>122</v>
      </c>
      <c r="B3201">
        <v>1701216090</v>
      </c>
      <c r="C3201" t="s">
        <v>18</v>
      </c>
      <c r="D3201" t="s">
        <v>21</v>
      </c>
      <c r="E3201" s="29">
        <v>46205</v>
      </c>
      <c r="F3201" t="s">
        <v>4</v>
      </c>
      <c r="G3201" s="28">
        <v>0.6430555555555556</v>
      </c>
      <c r="H3201" s="28">
        <v>0.6430555555555556</v>
      </c>
      <c r="I3201">
        <v>0</v>
      </c>
      <c r="J3201" t="s">
        <v>174</v>
      </c>
      <c r="K3201">
        <v>0</v>
      </c>
      <c r="L3201" t="s">
        <v>2593</v>
      </c>
      <c r="M3201" t="s">
        <v>1751</v>
      </c>
      <c r="N3201" t="s">
        <v>1752</v>
      </c>
      <c r="O3201" t="s">
        <v>1753</v>
      </c>
      <c r="P3201" t="s">
        <v>8323</v>
      </c>
    </row>
    <row r="3202" spans="1:16" x14ac:dyDescent="0.35">
      <c r="A3202" t="s">
        <v>122</v>
      </c>
      <c r="B3202">
        <v>1701216090</v>
      </c>
      <c r="C3202" t="s">
        <v>18</v>
      </c>
      <c r="D3202" t="s">
        <v>21</v>
      </c>
      <c r="E3202" s="29">
        <v>46205</v>
      </c>
      <c r="F3202" t="s">
        <v>4</v>
      </c>
      <c r="G3202" s="28">
        <v>0.65</v>
      </c>
      <c r="H3202" s="28">
        <v>0.65694444444444444</v>
      </c>
      <c r="I3202">
        <v>0</v>
      </c>
      <c r="J3202" t="s">
        <v>146</v>
      </c>
      <c r="K3202">
        <v>0</v>
      </c>
      <c r="L3202" t="s">
        <v>147</v>
      </c>
      <c r="M3202" t="s">
        <v>1779</v>
      </c>
      <c r="N3202" t="s">
        <v>1780</v>
      </c>
      <c r="O3202" t="s">
        <v>1781</v>
      </c>
      <c r="P3202" t="s">
        <v>8376</v>
      </c>
    </row>
    <row r="3203" spans="1:16" x14ac:dyDescent="0.35">
      <c r="A3203" t="s">
        <v>122</v>
      </c>
      <c r="B3203">
        <v>1701216090</v>
      </c>
      <c r="C3203" t="s">
        <v>18</v>
      </c>
      <c r="D3203" t="s">
        <v>21</v>
      </c>
      <c r="E3203" s="29">
        <v>46205</v>
      </c>
      <c r="F3203" t="s">
        <v>4</v>
      </c>
      <c r="G3203" s="28">
        <v>0.66388888888888886</v>
      </c>
      <c r="H3203" s="28">
        <v>0.66388888888888886</v>
      </c>
      <c r="I3203">
        <v>0</v>
      </c>
      <c r="J3203" t="s">
        <v>174</v>
      </c>
      <c r="K3203">
        <v>0</v>
      </c>
      <c r="L3203" t="s">
        <v>3929</v>
      </c>
      <c r="M3203" t="s">
        <v>1784</v>
      </c>
      <c r="N3203" t="s">
        <v>1785</v>
      </c>
      <c r="O3203" t="s">
        <v>1786</v>
      </c>
      <c r="P3203" t="s">
        <v>8377</v>
      </c>
    </row>
    <row r="3204" spans="1:16" x14ac:dyDescent="0.35">
      <c r="A3204" t="s">
        <v>122</v>
      </c>
      <c r="B3204">
        <v>1701216090</v>
      </c>
      <c r="C3204" t="s">
        <v>18</v>
      </c>
      <c r="D3204" t="s">
        <v>21</v>
      </c>
      <c r="E3204" s="29">
        <v>46205</v>
      </c>
      <c r="F3204" t="s">
        <v>4</v>
      </c>
      <c r="G3204" s="28">
        <v>0.67083333333333328</v>
      </c>
      <c r="H3204" s="28">
        <v>0.67777777777777781</v>
      </c>
      <c r="I3204">
        <v>0</v>
      </c>
      <c r="J3204" t="s">
        <v>146</v>
      </c>
      <c r="K3204">
        <v>1</v>
      </c>
      <c r="L3204" t="s">
        <v>147</v>
      </c>
      <c r="M3204" t="s">
        <v>1793</v>
      </c>
      <c r="N3204" t="s">
        <v>1794</v>
      </c>
      <c r="O3204" t="s">
        <v>1795</v>
      </c>
      <c r="P3204" t="s">
        <v>8378</v>
      </c>
    </row>
    <row r="3205" spans="1:16" x14ac:dyDescent="0.35">
      <c r="A3205" t="s">
        <v>122</v>
      </c>
      <c r="B3205">
        <v>1701216090</v>
      </c>
      <c r="C3205" t="s">
        <v>18</v>
      </c>
      <c r="D3205" t="s">
        <v>21</v>
      </c>
      <c r="E3205" s="29">
        <v>46205</v>
      </c>
      <c r="F3205" t="s">
        <v>4</v>
      </c>
      <c r="G3205" s="28">
        <v>0.68472222222222223</v>
      </c>
      <c r="H3205" s="28">
        <v>0.69166666666666665</v>
      </c>
      <c r="I3205">
        <v>0</v>
      </c>
      <c r="J3205" t="s">
        <v>146</v>
      </c>
      <c r="K3205">
        <v>0</v>
      </c>
      <c r="L3205" t="s">
        <v>147</v>
      </c>
      <c r="M3205" t="s">
        <v>1797</v>
      </c>
      <c r="N3205" t="s">
        <v>1798</v>
      </c>
      <c r="O3205" t="s">
        <v>1799</v>
      </c>
      <c r="P3205" t="s">
        <v>8379</v>
      </c>
    </row>
    <row r="3206" spans="1:16" x14ac:dyDescent="0.35">
      <c r="A3206" t="s">
        <v>122</v>
      </c>
      <c r="B3206">
        <v>1701216090</v>
      </c>
      <c r="C3206" t="s">
        <v>18</v>
      </c>
      <c r="D3206" t="s">
        <v>21</v>
      </c>
      <c r="E3206" s="29">
        <v>46205</v>
      </c>
      <c r="F3206" t="s">
        <v>4</v>
      </c>
      <c r="G3206" s="28">
        <v>0.69861111111111107</v>
      </c>
      <c r="H3206" s="28">
        <v>0.7055555555555556</v>
      </c>
      <c r="I3206">
        <v>0</v>
      </c>
      <c r="J3206" t="s">
        <v>146</v>
      </c>
      <c r="K3206">
        <v>1</v>
      </c>
      <c r="L3206" t="s">
        <v>147</v>
      </c>
      <c r="M3206" t="s">
        <v>1806</v>
      </c>
      <c r="N3206" t="s">
        <v>1807</v>
      </c>
      <c r="O3206" t="s">
        <v>1808</v>
      </c>
      <c r="P3206" t="s">
        <v>8380</v>
      </c>
    </row>
    <row r="3207" spans="1:16" x14ac:dyDescent="0.35">
      <c r="A3207" t="s">
        <v>122</v>
      </c>
      <c r="B3207">
        <v>1701216090</v>
      </c>
      <c r="C3207" t="s">
        <v>18</v>
      </c>
      <c r="D3207" t="s">
        <v>21</v>
      </c>
      <c r="E3207" s="29">
        <v>46205</v>
      </c>
      <c r="F3207" t="s">
        <v>4</v>
      </c>
      <c r="G3207" s="28">
        <v>0.71944444444444444</v>
      </c>
      <c r="H3207" s="28">
        <v>0.71944444444444444</v>
      </c>
      <c r="I3207">
        <v>0</v>
      </c>
      <c r="J3207" t="s">
        <v>174</v>
      </c>
      <c r="K3207">
        <v>0</v>
      </c>
      <c r="L3207" t="s">
        <v>595</v>
      </c>
      <c r="M3207" t="s">
        <v>1816</v>
      </c>
      <c r="N3207" t="s">
        <v>1817</v>
      </c>
      <c r="O3207" t="s">
        <v>1818</v>
      </c>
      <c r="P3207" t="s">
        <v>8381</v>
      </c>
    </row>
    <row r="3208" spans="1:16" x14ac:dyDescent="0.35">
      <c r="A3208" t="s">
        <v>122</v>
      </c>
      <c r="B3208">
        <v>1701216090</v>
      </c>
      <c r="C3208" t="s">
        <v>18</v>
      </c>
      <c r="D3208" t="s">
        <v>21</v>
      </c>
      <c r="E3208" s="29">
        <v>46205</v>
      </c>
      <c r="F3208" t="s">
        <v>4</v>
      </c>
      <c r="G3208" s="28">
        <v>0.7270833333333333</v>
      </c>
      <c r="H3208" s="28">
        <v>0.7270833333333333</v>
      </c>
      <c r="I3208">
        <v>0</v>
      </c>
      <c r="J3208" t="s">
        <v>174</v>
      </c>
      <c r="K3208">
        <v>0</v>
      </c>
      <c r="L3208" t="s">
        <v>1466</v>
      </c>
      <c r="M3208" t="s">
        <v>1821</v>
      </c>
      <c r="N3208" t="s">
        <v>1822</v>
      </c>
      <c r="O3208" t="s">
        <v>1823</v>
      </c>
      <c r="P3208" t="s">
        <v>8382</v>
      </c>
    </row>
    <row r="3209" spans="1:16" x14ac:dyDescent="0.35">
      <c r="A3209" t="s">
        <v>122</v>
      </c>
      <c r="B3209">
        <v>1701216090</v>
      </c>
      <c r="C3209" t="s">
        <v>18</v>
      </c>
      <c r="D3209" t="s">
        <v>21</v>
      </c>
      <c r="E3209" s="29">
        <v>46205</v>
      </c>
      <c r="F3209" t="s">
        <v>4</v>
      </c>
      <c r="G3209" s="28">
        <v>0.73333333333333328</v>
      </c>
      <c r="H3209" s="28">
        <v>0.73333333333333328</v>
      </c>
      <c r="I3209">
        <v>0</v>
      </c>
      <c r="J3209" t="s">
        <v>174</v>
      </c>
      <c r="K3209">
        <v>0</v>
      </c>
      <c r="L3209" t="s">
        <v>287</v>
      </c>
      <c r="M3209" t="s">
        <v>8383</v>
      </c>
      <c r="N3209" t="s">
        <v>8384</v>
      </c>
      <c r="O3209" t="s">
        <v>8385</v>
      </c>
      <c r="P3209" t="s">
        <v>8386</v>
      </c>
    </row>
    <row r="3210" spans="1:16" x14ac:dyDescent="0.35">
      <c r="A3210" t="s">
        <v>122</v>
      </c>
      <c r="B3210">
        <v>1701216090</v>
      </c>
      <c r="C3210" t="s">
        <v>18</v>
      </c>
      <c r="D3210" t="s">
        <v>21</v>
      </c>
      <c r="E3210" s="29">
        <v>46205</v>
      </c>
      <c r="F3210" t="s">
        <v>4</v>
      </c>
      <c r="G3210" s="28">
        <v>0.74027777777777781</v>
      </c>
      <c r="H3210" s="28">
        <v>0.74027777777777781</v>
      </c>
      <c r="I3210">
        <v>0</v>
      </c>
      <c r="J3210" t="s">
        <v>174</v>
      </c>
      <c r="K3210">
        <v>0</v>
      </c>
      <c r="L3210" t="s">
        <v>8387</v>
      </c>
      <c r="M3210" t="s">
        <v>1829</v>
      </c>
      <c r="N3210" t="s">
        <v>1830</v>
      </c>
      <c r="O3210" t="s">
        <v>1831</v>
      </c>
      <c r="P3210" t="s">
        <v>8388</v>
      </c>
    </row>
    <row r="3211" spans="1:16" x14ac:dyDescent="0.35">
      <c r="A3211" t="s">
        <v>122</v>
      </c>
      <c r="B3211">
        <v>1701216090</v>
      </c>
      <c r="C3211" t="s">
        <v>18</v>
      </c>
      <c r="D3211" t="s">
        <v>21</v>
      </c>
      <c r="E3211" s="29">
        <v>46205</v>
      </c>
      <c r="F3211" t="s">
        <v>4</v>
      </c>
      <c r="G3211" s="28">
        <v>0.74722222222222223</v>
      </c>
      <c r="H3211" s="28">
        <v>0.74722222222222223</v>
      </c>
      <c r="I3211">
        <v>0</v>
      </c>
      <c r="J3211" t="s">
        <v>174</v>
      </c>
      <c r="K3211">
        <v>0</v>
      </c>
      <c r="L3211" t="s">
        <v>8387</v>
      </c>
      <c r="M3211" t="s">
        <v>1825</v>
      </c>
      <c r="N3211" t="s">
        <v>1826</v>
      </c>
      <c r="O3211" t="s">
        <v>1827</v>
      </c>
      <c r="P3211" t="s">
        <v>8389</v>
      </c>
    </row>
    <row r="3212" spans="1:16" x14ac:dyDescent="0.35">
      <c r="A3212" t="s">
        <v>122</v>
      </c>
      <c r="B3212">
        <v>1701216090</v>
      </c>
      <c r="C3212" t="s">
        <v>18</v>
      </c>
      <c r="D3212" t="s">
        <v>21</v>
      </c>
      <c r="E3212" s="29">
        <v>46205</v>
      </c>
      <c r="F3212" t="s">
        <v>4</v>
      </c>
      <c r="G3212" s="28">
        <v>0.75416666666666665</v>
      </c>
      <c r="H3212" s="28">
        <v>0.76111111111111107</v>
      </c>
      <c r="I3212">
        <v>0</v>
      </c>
      <c r="J3212" t="s">
        <v>146</v>
      </c>
      <c r="K3212">
        <v>0</v>
      </c>
      <c r="L3212" t="s">
        <v>147</v>
      </c>
      <c r="M3212" t="s">
        <v>1829</v>
      </c>
      <c r="N3212" t="s">
        <v>1830</v>
      </c>
      <c r="O3212" t="s">
        <v>1831</v>
      </c>
      <c r="P3212" t="s">
        <v>8388</v>
      </c>
    </row>
    <row r="3213" spans="1:16" x14ac:dyDescent="0.35">
      <c r="A3213" t="s">
        <v>122</v>
      </c>
      <c r="B3213">
        <v>1701216090</v>
      </c>
      <c r="C3213" t="s">
        <v>18</v>
      </c>
      <c r="D3213" t="s">
        <v>21</v>
      </c>
      <c r="E3213" s="29">
        <v>46205</v>
      </c>
      <c r="F3213" t="s">
        <v>4</v>
      </c>
      <c r="G3213" s="28">
        <v>0.7680555555555556</v>
      </c>
      <c r="H3213" s="28">
        <v>0.7680555555555556</v>
      </c>
      <c r="I3213">
        <v>0</v>
      </c>
      <c r="J3213" t="s">
        <v>174</v>
      </c>
      <c r="K3213">
        <v>0</v>
      </c>
      <c r="L3213" t="s">
        <v>8390</v>
      </c>
      <c r="M3213" t="s">
        <v>1834</v>
      </c>
      <c r="N3213" t="s">
        <v>8391</v>
      </c>
      <c r="O3213" t="s">
        <v>8392</v>
      </c>
      <c r="P3213" t="s">
        <v>1727</v>
      </c>
    </row>
    <row r="3214" spans="1:16" x14ac:dyDescent="0.35">
      <c r="A3214" t="s">
        <v>122</v>
      </c>
      <c r="B3214">
        <v>1701216090</v>
      </c>
      <c r="C3214" t="s">
        <v>18</v>
      </c>
      <c r="D3214" t="s">
        <v>21</v>
      </c>
      <c r="E3214" s="29">
        <v>46205</v>
      </c>
      <c r="F3214" t="s">
        <v>4</v>
      </c>
      <c r="G3214" s="28">
        <v>0.77500000000000002</v>
      </c>
      <c r="H3214" s="28">
        <v>0.79583333333333328</v>
      </c>
      <c r="I3214">
        <v>0</v>
      </c>
      <c r="J3214" t="s">
        <v>146</v>
      </c>
      <c r="K3214">
        <v>1</v>
      </c>
      <c r="L3214" t="s">
        <v>147</v>
      </c>
      <c r="M3214" t="s">
        <v>1834</v>
      </c>
      <c r="N3214" t="s">
        <v>1835</v>
      </c>
      <c r="O3214" t="s">
        <v>1836</v>
      </c>
      <c r="P3214" t="s">
        <v>8393</v>
      </c>
    </row>
    <row r="3215" spans="1:16" x14ac:dyDescent="0.35">
      <c r="A3215" t="s">
        <v>122</v>
      </c>
      <c r="B3215">
        <v>1701216090</v>
      </c>
      <c r="C3215" t="s">
        <v>18</v>
      </c>
      <c r="D3215" t="s">
        <v>21</v>
      </c>
      <c r="E3215" s="29">
        <v>46207</v>
      </c>
      <c r="F3215" t="s">
        <v>5</v>
      </c>
      <c r="G3215" s="28">
        <v>0.37916666666666665</v>
      </c>
      <c r="H3215" s="28">
        <v>0.37916666666666665</v>
      </c>
      <c r="I3215">
        <v>0</v>
      </c>
      <c r="J3215" t="s">
        <v>174</v>
      </c>
      <c r="K3215">
        <v>0</v>
      </c>
      <c r="L3215" t="s">
        <v>8394</v>
      </c>
      <c r="M3215" t="s">
        <v>8395</v>
      </c>
      <c r="N3215" t="s">
        <v>8396</v>
      </c>
      <c r="O3215" t="s">
        <v>8397</v>
      </c>
      <c r="P3215" t="s">
        <v>8398</v>
      </c>
    </row>
    <row r="3216" spans="1:16" x14ac:dyDescent="0.35">
      <c r="A3216" t="s">
        <v>122</v>
      </c>
      <c r="B3216">
        <v>1701216090</v>
      </c>
      <c r="C3216" t="s">
        <v>18</v>
      </c>
      <c r="D3216" t="s">
        <v>21</v>
      </c>
      <c r="E3216" s="29">
        <v>46207</v>
      </c>
      <c r="F3216" t="s">
        <v>5</v>
      </c>
      <c r="G3216" s="28">
        <v>0.38611111111111113</v>
      </c>
      <c r="H3216" s="28">
        <v>0.38611111111111113</v>
      </c>
      <c r="I3216">
        <v>0</v>
      </c>
      <c r="J3216" t="s">
        <v>174</v>
      </c>
      <c r="K3216">
        <v>0</v>
      </c>
      <c r="L3216" t="s">
        <v>8399</v>
      </c>
      <c r="M3216" t="s">
        <v>1843</v>
      </c>
      <c r="N3216" t="s">
        <v>1844</v>
      </c>
      <c r="O3216" t="s">
        <v>1845</v>
      </c>
      <c r="P3216" t="s">
        <v>8271</v>
      </c>
    </row>
    <row r="3217" spans="1:16" x14ac:dyDescent="0.35">
      <c r="A3217" t="s">
        <v>122</v>
      </c>
      <c r="B3217">
        <v>1701216090</v>
      </c>
      <c r="C3217" t="s">
        <v>18</v>
      </c>
      <c r="D3217" t="s">
        <v>21</v>
      </c>
      <c r="E3217" s="29">
        <v>46207</v>
      </c>
      <c r="F3217" t="s">
        <v>5</v>
      </c>
      <c r="G3217" s="28">
        <v>0.39305555555555555</v>
      </c>
      <c r="H3217" s="28">
        <v>0.39305555555555555</v>
      </c>
      <c r="I3217">
        <v>0</v>
      </c>
      <c r="J3217" t="s">
        <v>174</v>
      </c>
      <c r="K3217">
        <v>0</v>
      </c>
      <c r="L3217" t="s">
        <v>8399</v>
      </c>
      <c r="M3217" t="s">
        <v>8400</v>
      </c>
      <c r="N3217" t="s">
        <v>8401</v>
      </c>
      <c r="O3217" t="s">
        <v>8402</v>
      </c>
      <c r="P3217" t="s">
        <v>8403</v>
      </c>
    </row>
    <row r="3218" spans="1:16" x14ac:dyDescent="0.35">
      <c r="A3218" t="s">
        <v>122</v>
      </c>
      <c r="B3218">
        <v>1701216090</v>
      </c>
      <c r="C3218" t="s">
        <v>18</v>
      </c>
      <c r="D3218" t="s">
        <v>21</v>
      </c>
      <c r="E3218" s="29">
        <v>46207</v>
      </c>
      <c r="F3218" t="s">
        <v>5</v>
      </c>
      <c r="G3218" s="28">
        <v>0.4</v>
      </c>
      <c r="H3218" s="28">
        <v>0.4</v>
      </c>
      <c r="I3218">
        <v>0</v>
      </c>
      <c r="J3218" t="s">
        <v>174</v>
      </c>
      <c r="K3218">
        <v>0</v>
      </c>
      <c r="L3218" t="s">
        <v>471</v>
      </c>
      <c r="M3218" t="s">
        <v>1843</v>
      </c>
      <c r="N3218" t="s">
        <v>1844</v>
      </c>
      <c r="O3218" t="s">
        <v>1845</v>
      </c>
      <c r="P3218" t="s">
        <v>8271</v>
      </c>
    </row>
    <row r="3219" spans="1:16" x14ac:dyDescent="0.35">
      <c r="A3219" t="s">
        <v>122</v>
      </c>
      <c r="B3219">
        <v>1701216090</v>
      </c>
      <c r="C3219" t="s">
        <v>18</v>
      </c>
      <c r="D3219" t="s">
        <v>21</v>
      </c>
      <c r="E3219" s="29">
        <v>46207</v>
      </c>
      <c r="F3219" t="s">
        <v>5</v>
      </c>
      <c r="G3219" s="28">
        <v>0.40763888888888888</v>
      </c>
      <c r="H3219" s="28">
        <v>0.40763888888888888</v>
      </c>
      <c r="I3219">
        <v>0</v>
      </c>
      <c r="J3219" t="s">
        <v>174</v>
      </c>
      <c r="K3219">
        <v>0</v>
      </c>
      <c r="L3219" t="s">
        <v>293</v>
      </c>
      <c r="M3219" t="s">
        <v>8404</v>
      </c>
      <c r="N3219" t="s">
        <v>8405</v>
      </c>
      <c r="O3219" t="s">
        <v>8406</v>
      </c>
      <c r="P3219" t="s">
        <v>8407</v>
      </c>
    </row>
    <row r="3220" spans="1:16" x14ac:dyDescent="0.35">
      <c r="A3220" t="s">
        <v>122</v>
      </c>
      <c r="B3220">
        <v>1701216090</v>
      </c>
      <c r="C3220" t="s">
        <v>18</v>
      </c>
      <c r="D3220" t="s">
        <v>21</v>
      </c>
      <c r="E3220" s="29">
        <v>46207</v>
      </c>
      <c r="F3220" t="s">
        <v>5</v>
      </c>
      <c r="G3220" s="28">
        <v>0.41388888888888886</v>
      </c>
      <c r="H3220" s="28">
        <v>0.41388888888888886</v>
      </c>
      <c r="I3220">
        <v>0</v>
      </c>
      <c r="J3220" t="s">
        <v>174</v>
      </c>
      <c r="K3220">
        <v>0</v>
      </c>
      <c r="L3220" t="s">
        <v>8394</v>
      </c>
      <c r="M3220" t="s">
        <v>8395</v>
      </c>
      <c r="N3220" t="s">
        <v>8396</v>
      </c>
      <c r="O3220" t="s">
        <v>8397</v>
      </c>
      <c r="P3220" t="s">
        <v>8398</v>
      </c>
    </row>
    <row r="3221" spans="1:16" x14ac:dyDescent="0.35">
      <c r="A3221" t="s">
        <v>122</v>
      </c>
      <c r="B3221">
        <v>1701216090</v>
      </c>
      <c r="C3221" t="s">
        <v>18</v>
      </c>
      <c r="D3221" t="s">
        <v>21</v>
      </c>
      <c r="E3221" s="29">
        <v>46207</v>
      </c>
      <c r="F3221" t="s">
        <v>5</v>
      </c>
      <c r="G3221" s="28">
        <v>0.42083333333333334</v>
      </c>
      <c r="H3221" s="28">
        <v>0.42083333333333334</v>
      </c>
      <c r="I3221">
        <v>0</v>
      </c>
      <c r="J3221" t="s">
        <v>174</v>
      </c>
      <c r="K3221">
        <v>0</v>
      </c>
      <c r="L3221" t="s">
        <v>8394</v>
      </c>
      <c r="M3221" t="s">
        <v>1843</v>
      </c>
      <c r="N3221" t="s">
        <v>1844</v>
      </c>
      <c r="O3221" t="s">
        <v>1845</v>
      </c>
      <c r="P3221" t="s">
        <v>8271</v>
      </c>
    </row>
    <row r="3222" spans="1:16" x14ac:dyDescent="0.35">
      <c r="A3222" t="s">
        <v>122</v>
      </c>
      <c r="B3222">
        <v>1701216090</v>
      </c>
      <c r="C3222" t="s">
        <v>18</v>
      </c>
      <c r="D3222" t="s">
        <v>21</v>
      </c>
      <c r="E3222" s="29">
        <v>46207</v>
      </c>
      <c r="F3222" t="s">
        <v>5</v>
      </c>
      <c r="G3222" s="28">
        <v>0.42777777777777776</v>
      </c>
      <c r="H3222" s="28">
        <v>0.43472222222222223</v>
      </c>
      <c r="I3222">
        <v>0</v>
      </c>
      <c r="J3222" t="s">
        <v>146</v>
      </c>
      <c r="K3222">
        <v>1</v>
      </c>
      <c r="L3222" t="s">
        <v>147</v>
      </c>
      <c r="M3222" t="s">
        <v>8395</v>
      </c>
      <c r="N3222" t="s">
        <v>8396</v>
      </c>
      <c r="O3222" t="s">
        <v>8397</v>
      </c>
      <c r="P3222" t="s">
        <v>8398</v>
      </c>
    </row>
    <row r="3223" spans="1:16" x14ac:dyDescent="0.35">
      <c r="A3223" t="s">
        <v>122</v>
      </c>
      <c r="B3223">
        <v>1701216090</v>
      </c>
      <c r="C3223" t="s">
        <v>18</v>
      </c>
      <c r="D3223" t="s">
        <v>21</v>
      </c>
      <c r="E3223" s="29">
        <v>46207</v>
      </c>
      <c r="F3223" t="s">
        <v>5</v>
      </c>
      <c r="G3223" s="28">
        <v>0.44166666666666665</v>
      </c>
      <c r="H3223" s="28">
        <v>0.49722222222222223</v>
      </c>
      <c r="I3223">
        <v>1</v>
      </c>
      <c r="J3223" t="s">
        <v>146</v>
      </c>
      <c r="K3223">
        <v>4</v>
      </c>
      <c r="L3223" t="s">
        <v>147</v>
      </c>
      <c r="M3223" t="s">
        <v>1843</v>
      </c>
      <c r="N3223" t="s">
        <v>1844</v>
      </c>
      <c r="O3223" t="s">
        <v>1845</v>
      </c>
      <c r="P3223" t="s">
        <v>8271</v>
      </c>
    </row>
    <row r="3224" spans="1:16" x14ac:dyDescent="0.35">
      <c r="A3224" t="s">
        <v>122</v>
      </c>
      <c r="B3224">
        <v>1701216090</v>
      </c>
      <c r="C3224" t="s">
        <v>18</v>
      </c>
      <c r="D3224" t="s">
        <v>21</v>
      </c>
      <c r="E3224" s="29">
        <v>46207</v>
      </c>
      <c r="F3224" t="s">
        <v>5</v>
      </c>
      <c r="G3224" s="28">
        <v>0.50416666666666665</v>
      </c>
      <c r="H3224" s="28">
        <v>0.50416666666666665</v>
      </c>
      <c r="I3224">
        <v>0</v>
      </c>
      <c r="J3224" t="s">
        <v>174</v>
      </c>
      <c r="K3224">
        <v>0</v>
      </c>
      <c r="L3224" t="s">
        <v>3872</v>
      </c>
      <c r="M3224" t="s">
        <v>1892</v>
      </c>
      <c r="N3224" t="s">
        <v>1893</v>
      </c>
      <c r="O3224" t="s">
        <v>1894</v>
      </c>
      <c r="P3224" t="s">
        <v>8408</v>
      </c>
    </row>
    <row r="3225" spans="1:16" x14ac:dyDescent="0.35">
      <c r="A3225" t="s">
        <v>122</v>
      </c>
      <c r="B3225">
        <v>1701216090</v>
      </c>
      <c r="C3225" t="s">
        <v>18</v>
      </c>
      <c r="D3225" t="s">
        <v>21</v>
      </c>
      <c r="E3225" s="29">
        <v>46207</v>
      </c>
      <c r="F3225" t="s">
        <v>5</v>
      </c>
      <c r="G3225" s="28">
        <v>0.51111111111111107</v>
      </c>
      <c r="H3225" s="28">
        <v>0.54583333333333328</v>
      </c>
      <c r="I3225">
        <v>1</v>
      </c>
      <c r="J3225" t="s">
        <v>146</v>
      </c>
      <c r="K3225">
        <v>2</v>
      </c>
      <c r="L3225" t="s">
        <v>147</v>
      </c>
      <c r="M3225" t="s">
        <v>1847</v>
      </c>
      <c r="N3225" t="s">
        <v>1848</v>
      </c>
      <c r="O3225" t="s">
        <v>1849</v>
      </c>
      <c r="P3225" t="s">
        <v>8409</v>
      </c>
    </row>
    <row r="3226" spans="1:16" x14ac:dyDescent="0.35">
      <c r="A3226" t="s">
        <v>122</v>
      </c>
      <c r="B3226">
        <v>1701216090</v>
      </c>
      <c r="C3226" t="s">
        <v>18</v>
      </c>
      <c r="D3226" t="s">
        <v>21</v>
      </c>
      <c r="E3226" s="29">
        <v>46207</v>
      </c>
      <c r="F3226" t="s">
        <v>5</v>
      </c>
      <c r="G3226" s="28">
        <v>0.55277777777777781</v>
      </c>
      <c r="H3226" s="28">
        <v>0.55277777777777781</v>
      </c>
      <c r="I3226">
        <v>0</v>
      </c>
      <c r="J3226" t="s">
        <v>174</v>
      </c>
      <c r="K3226">
        <v>0</v>
      </c>
      <c r="L3226" t="s">
        <v>5450</v>
      </c>
      <c r="M3226" t="s">
        <v>8410</v>
      </c>
      <c r="N3226" t="s">
        <v>8411</v>
      </c>
      <c r="O3226" t="s">
        <v>8412</v>
      </c>
      <c r="P3226" t="s">
        <v>8413</v>
      </c>
    </row>
    <row r="3227" spans="1:16" x14ac:dyDescent="0.35">
      <c r="A3227" t="s">
        <v>122</v>
      </c>
      <c r="B3227">
        <v>1701216090</v>
      </c>
      <c r="C3227" t="s">
        <v>18</v>
      </c>
      <c r="D3227" t="s">
        <v>21</v>
      </c>
      <c r="E3227" s="29">
        <v>46207</v>
      </c>
      <c r="F3227" t="s">
        <v>5</v>
      </c>
      <c r="G3227" s="28">
        <v>0.55972222222222223</v>
      </c>
      <c r="H3227" s="28">
        <v>0.55972222222222223</v>
      </c>
      <c r="I3227">
        <v>0</v>
      </c>
      <c r="J3227" t="s">
        <v>174</v>
      </c>
      <c r="K3227">
        <v>0</v>
      </c>
      <c r="L3227" t="s">
        <v>2636</v>
      </c>
      <c r="M3227" t="s">
        <v>1838</v>
      </c>
      <c r="N3227" t="s">
        <v>1852</v>
      </c>
      <c r="O3227" t="s">
        <v>1853</v>
      </c>
      <c r="P3227" t="s">
        <v>8414</v>
      </c>
    </row>
    <row r="3228" spans="1:16" x14ac:dyDescent="0.35">
      <c r="A3228" t="s">
        <v>122</v>
      </c>
      <c r="B3228">
        <v>1701216090</v>
      </c>
      <c r="C3228" t="s">
        <v>18</v>
      </c>
      <c r="D3228" t="s">
        <v>21</v>
      </c>
      <c r="E3228" s="29">
        <v>46207</v>
      </c>
      <c r="F3228" t="s">
        <v>5</v>
      </c>
      <c r="G3228" s="28">
        <v>0.56666666666666665</v>
      </c>
      <c r="H3228" s="28">
        <v>0.56666666666666665</v>
      </c>
      <c r="I3228">
        <v>0</v>
      </c>
      <c r="J3228" t="s">
        <v>174</v>
      </c>
      <c r="K3228">
        <v>0</v>
      </c>
      <c r="L3228" t="s">
        <v>222</v>
      </c>
      <c r="M3228" t="s">
        <v>8415</v>
      </c>
      <c r="N3228" t="s">
        <v>8416</v>
      </c>
      <c r="O3228" t="s">
        <v>8417</v>
      </c>
      <c r="P3228" t="s">
        <v>8418</v>
      </c>
    </row>
    <row r="3229" spans="1:16" x14ac:dyDescent="0.35">
      <c r="A3229" t="s">
        <v>122</v>
      </c>
      <c r="B3229">
        <v>1701216090</v>
      </c>
      <c r="C3229" t="s">
        <v>18</v>
      </c>
      <c r="D3229" t="s">
        <v>21</v>
      </c>
      <c r="E3229" s="29">
        <v>46207</v>
      </c>
      <c r="F3229" t="s">
        <v>5</v>
      </c>
      <c r="G3229" s="28">
        <v>0.57361111111111107</v>
      </c>
      <c r="H3229" s="28">
        <v>0.5805555555555556</v>
      </c>
      <c r="I3229">
        <v>0</v>
      </c>
      <c r="J3229" t="s">
        <v>146</v>
      </c>
      <c r="K3229">
        <v>1</v>
      </c>
      <c r="L3229" t="s">
        <v>147</v>
      </c>
      <c r="M3229" t="s">
        <v>1860</v>
      </c>
      <c r="N3229" t="s">
        <v>1861</v>
      </c>
      <c r="O3229" t="s">
        <v>1862</v>
      </c>
      <c r="P3229" t="s">
        <v>8419</v>
      </c>
    </row>
    <row r="3230" spans="1:16" x14ac:dyDescent="0.35">
      <c r="A3230" t="s">
        <v>122</v>
      </c>
      <c r="B3230">
        <v>1701216090</v>
      </c>
      <c r="C3230" t="s">
        <v>18</v>
      </c>
      <c r="D3230" t="s">
        <v>21</v>
      </c>
      <c r="E3230" s="29">
        <v>46207</v>
      </c>
      <c r="F3230" t="s">
        <v>5</v>
      </c>
      <c r="G3230" s="28">
        <v>0.58750000000000002</v>
      </c>
      <c r="H3230" s="28">
        <v>0.63611111111111107</v>
      </c>
      <c r="I3230">
        <v>1</v>
      </c>
      <c r="J3230" t="s">
        <v>146</v>
      </c>
      <c r="K3230">
        <v>4</v>
      </c>
      <c r="L3230" t="s">
        <v>147</v>
      </c>
      <c r="M3230" t="s">
        <v>1864</v>
      </c>
      <c r="N3230" t="s">
        <v>1865</v>
      </c>
      <c r="O3230" t="s">
        <v>1866</v>
      </c>
      <c r="P3230" t="s">
        <v>8420</v>
      </c>
    </row>
    <row r="3231" spans="1:16" x14ac:dyDescent="0.35">
      <c r="A3231" t="s">
        <v>122</v>
      </c>
      <c r="B3231">
        <v>1701216090</v>
      </c>
      <c r="C3231" t="s">
        <v>18</v>
      </c>
      <c r="D3231" t="s">
        <v>21</v>
      </c>
      <c r="E3231" s="29">
        <v>46207</v>
      </c>
      <c r="F3231" t="s">
        <v>5</v>
      </c>
      <c r="G3231" s="28">
        <v>0.6430555555555556</v>
      </c>
      <c r="H3231" s="28">
        <v>0.65</v>
      </c>
      <c r="I3231">
        <v>0</v>
      </c>
      <c r="J3231" t="s">
        <v>146</v>
      </c>
      <c r="K3231">
        <v>0</v>
      </c>
      <c r="L3231" t="s">
        <v>147</v>
      </c>
      <c r="M3231" t="s">
        <v>1869</v>
      </c>
      <c r="N3231" t="s">
        <v>1870</v>
      </c>
      <c r="O3231" t="s">
        <v>1871</v>
      </c>
      <c r="P3231" t="s">
        <v>8266</v>
      </c>
    </row>
    <row r="3232" spans="1:16" x14ac:dyDescent="0.35">
      <c r="A3232" t="s">
        <v>122</v>
      </c>
      <c r="B3232">
        <v>1701216090</v>
      </c>
      <c r="C3232" t="s">
        <v>18</v>
      </c>
      <c r="D3232" t="s">
        <v>21</v>
      </c>
      <c r="E3232" s="29">
        <v>46207</v>
      </c>
      <c r="F3232" t="s">
        <v>5</v>
      </c>
      <c r="G3232" s="28">
        <v>0.65694444444444444</v>
      </c>
      <c r="H3232" s="28">
        <v>0.67083333333333328</v>
      </c>
      <c r="I3232">
        <v>0</v>
      </c>
      <c r="J3232" t="s">
        <v>146</v>
      </c>
      <c r="K3232">
        <v>1</v>
      </c>
      <c r="L3232" t="s">
        <v>147</v>
      </c>
      <c r="M3232" t="s">
        <v>8300</v>
      </c>
      <c r="N3232" t="s">
        <v>8301</v>
      </c>
      <c r="O3232" t="s">
        <v>8302</v>
      </c>
      <c r="P3232" t="s">
        <v>8303</v>
      </c>
    </row>
    <row r="3233" spans="1:16" x14ac:dyDescent="0.35">
      <c r="A3233" t="s">
        <v>122</v>
      </c>
      <c r="B3233">
        <v>1701216090</v>
      </c>
      <c r="C3233" t="s">
        <v>18</v>
      </c>
      <c r="D3233" t="s">
        <v>21</v>
      </c>
      <c r="E3233" s="29">
        <v>46207</v>
      </c>
      <c r="F3233" t="s">
        <v>5</v>
      </c>
      <c r="G3233" s="28">
        <v>0.67777777777777781</v>
      </c>
      <c r="H3233" s="28">
        <v>0.67777777777777781</v>
      </c>
      <c r="I3233">
        <v>0</v>
      </c>
      <c r="J3233" t="s">
        <v>174</v>
      </c>
      <c r="K3233">
        <v>0</v>
      </c>
      <c r="L3233" t="s">
        <v>287</v>
      </c>
      <c r="M3233" t="s">
        <v>8421</v>
      </c>
      <c r="N3233" t="s">
        <v>8422</v>
      </c>
      <c r="O3233" t="s">
        <v>8423</v>
      </c>
      <c r="P3233" t="s">
        <v>8424</v>
      </c>
    </row>
    <row r="3234" spans="1:16" x14ac:dyDescent="0.35">
      <c r="A3234" t="s">
        <v>122</v>
      </c>
      <c r="B3234">
        <v>1701216090</v>
      </c>
      <c r="C3234" t="s">
        <v>18</v>
      </c>
      <c r="D3234" t="s">
        <v>21</v>
      </c>
      <c r="E3234" s="29">
        <v>46207</v>
      </c>
      <c r="F3234" t="s">
        <v>5</v>
      </c>
      <c r="G3234" s="28">
        <v>0.68472222222222223</v>
      </c>
      <c r="H3234" s="28">
        <v>0.68472222222222223</v>
      </c>
      <c r="I3234">
        <v>0</v>
      </c>
      <c r="J3234" t="s">
        <v>174</v>
      </c>
      <c r="K3234">
        <v>0</v>
      </c>
      <c r="L3234" t="s">
        <v>1589</v>
      </c>
      <c r="M3234" t="s">
        <v>1882</v>
      </c>
      <c r="N3234" t="s">
        <v>1883</v>
      </c>
      <c r="O3234" t="s">
        <v>1884</v>
      </c>
      <c r="P3234" t="s">
        <v>8425</v>
      </c>
    </row>
    <row r="3235" spans="1:16" x14ac:dyDescent="0.35">
      <c r="A3235" t="s">
        <v>122</v>
      </c>
      <c r="B3235">
        <v>1701216090</v>
      </c>
      <c r="C3235" t="s">
        <v>18</v>
      </c>
      <c r="D3235" t="s">
        <v>21</v>
      </c>
      <c r="E3235" s="29">
        <v>46207</v>
      </c>
      <c r="F3235" t="s">
        <v>5</v>
      </c>
      <c r="G3235" s="28">
        <v>0.69166666666666665</v>
      </c>
      <c r="H3235" s="28">
        <v>0.69166666666666665</v>
      </c>
      <c r="I3235">
        <v>0</v>
      </c>
      <c r="J3235" t="s">
        <v>174</v>
      </c>
      <c r="K3235">
        <v>0</v>
      </c>
      <c r="L3235" t="s">
        <v>2194</v>
      </c>
      <c r="M3235" t="s">
        <v>1856</v>
      </c>
      <c r="N3235" t="s">
        <v>1857</v>
      </c>
      <c r="O3235" t="s">
        <v>1858</v>
      </c>
      <c r="P3235" t="s">
        <v>8426</v>
      </c>
    </row>
    <row r="3236" spans="1:16" x14ac:dyDescent="0.35">
      <c r="A3236" t="s">
        <v>122</v>
      </c>
      <c r="B3236">
        <v>1701216090</v>
      </c>
      <c r="C3236" t="s">
        <v>18</v>
      </c>
      <c r="D3236" t="s">
        <v>21</v>
      </c>
      <c r="E3236" s="29">
        <v>46207</v>
      </c>
      <c r="F3236" t="s">
        <v>5</v>
      </c>
      <c r="G3236" s="28">
        <v>0.69861111111111107</v>
      </c>
      <c r="H3236" s="28">
        <v>0.69861111111111107</v>
      </c>
      <c r="I3236">
        <v>0</v>
      </c>
      <c r="J3236" t="s">
        <v>174</v>
      </c>
      <c r="K3236">
        <v>0</v>
      </c>
      <c r="L3236" t="s">
        <v>8427</v>
      </c>
      <c r="M3236" t="s">
        <v>1869</v>
      </c>
      <c r="N3236" t="s">
        <v>1870</v>
      </c>
      <c r="O3236" t="s">
        <v>1871</v>
      </c>
      <c r="P3236" t="s">
        <v>8266</v>
      </c>
    </row>
    <row r="3237" spans="1:16" x14ac:dyDescent="0.35">
      <c r="A3237" t="s">
        <v>122</v>
      </c>
      <c r="B3237">
        <v>1701216090</v>
      </c>
      <c r="C3237" t="s">
        <v>18</v>
      </c>
      <c r="D3237" t="s">
        <v>21</v>
      </c>
      <c r="E3237" s="29">
        <v>46207</v>
      </c>
      <c r="F3237" t="s">
        <v>5</v>
      </c>
      <c r="G3237" s="28">
        <v>0.7055555555555556</v>
      </c>
      <c r="H3237" s="28">
        <v>0.71944444444444444</v>
      </c>
      <c r="I3237">
        <v>0</v>
      </c>
      <c r="J3237" t="s">
        <v>146</v>
      </c>
      <c r="K3237">
        <v>1</v>
      </c>
      <c r="L3237" t="s">
        <v>147</v>
      </c>
      <c r="M3237" t="s">
        <v>8300</v>
      </c>
      <c r="N3237" t="s">
        <v>8301</v>
      </c>
      <c r="O3237" t="s">
        <v>8302</v>
      </c>
      <c r="P3237" t="s">
        <v>8303</v>
      </c>
    </row>
    <row r="3238" spans="1:16" x14ac:dyDescent="0.35">
      <c r="A3238" t="s">
        <v>122</v>
      </c>
      <c r="B3238">
        <v>1701216090</v>
      </c>
      <c r="C3238" t="s">
        <v>18</v>
      </c>
      <c r="D3238" t="s">
        <v>21</v>
      </c>
      <c r="E3238" s="29">
        <v>46207</v>
      </c>
      <c r="F3238" t="s">
        <v>5</v>
      </c>
      <c r="G3238" s="28">
        <v>0.72638888888888886</v>
      </c>
      <c r="H3238" s="28">
        <v>0.72638888888888886</v>
      </c>
      <c r="I3238">
        <v>0</v>
      </c>
      <c r="J3238" t="s">
        <v>174</v>
      </c>
      <c r="K3238">
        <v>0</v>
      </c>
      <c r="L3238" t="s">
        <v>349</v>
      </c>
      <c r="M3238" t="s">
        <v>8305</v>
      </c>
      <c r="N3238" t="s">
        <v>8306</v>
      </c>
      <c r="O3238" t="s">
        <v>8307</v>
      </c>
      <c r="P3238" t="s">
        <v>8308</v>
      </c>
    </row>
    <row r="3239" spans="1:16" x14ac:dyDescent="0.35">
      <c r="A3239" t="s">
        <v>122</v>
      </c>
      <c r="B3239">
        <v>1701216090</v>
      </c>
      <c r="C3239" t="s">
        <v>18</v>
      </c>
      <c r="D3239" t="s">
        <v>21</v>
      </c>
      <c r="E3239" s="29">
        <v>46207</v>
      </c>
      <c r="F3239" t="s">
        <v>5</v>
      </c>
      <c r="G3239" s="28">
        <v>0.73333333333333328</v>
      </c>
      <c r="H3239" s="28">
        <v>0.73333333333333328</v>
      </c>
      <c r="I3239">
        <v>0</v>
      </c>
      <c r="J3239" t="s">
        <v>174</v>
      </c>
      <c r="K3239">
        <v>0</v>
      </c>
      <c r="L3239" t="s">
        <v>657</v>
      </c>
      <c r="M3239" t="s">
        <v>8428</v>
      </c>
      <c r="N3239" t="s">
        <v>8429</v>
      </c>
      <c r="O3239" t="s">
        <v>8430</v>
      </c>
      <c r="P3239" t="s">
        <v>8431</v>
      </c>
    </row>
    <row r="3240" spans="1:16" x14ac:dyDescent="0.35">
      <c r="A3240" t="s">
        <v>122</v>
      </c>
      <c r="B3240">
        <v>1701216090</v>
      </c>
      <c r="C3240" t="s">
        <v>18</v>
      </c>
      <c r="D3240" t="s">
        <v>21</v>
      </c>
      <c r="E3240" s="29">
        <v>46207</v>
      </c>
      <c r="F3240" t="s">
        <v>5</v>
      </c>
      <c r="G3240" s="28">
        <v>0.74027777777777781</v>
      </c>
      <c r="H3240" s="28">
        <v>0.74027777777777781</v>
      </c>
      <c r="I3240">
        <v>0</v>
      </c>
      <c r="J3240" t="s">
        <v>174</v>
      </c>
      <c r="K3240">
        <v>0</v>
      </c>
      <c r="L3240" t="s">
        <v>2208</v>
      </c>
      <c r="M3240" t="s">
        <v>8432</v>
      </c>
      <c r="N3240" t="s">
        <v>8433</v>
      </c>
      <c r="O3240" t="s">
        <v>8286</v>
      </c>
      <c r="P3240" t="s">
        <v>8434</v>
      </c>
    </row>
    <row r="3241" spans="1:16" x14ac:dyDescent="0.35">
      <c r="A3241" t="s">
        <v>122</v>
      </c>
      <c r="B3241">
        <v>1701216090</v>
      </c>
      <c r="C3241" t="s">
        <v>18</v>
      </c>
      <c r="D3241" t="s">
        <v>21</v>
      </c>
      <c r="E3241" s="29">
        <v>46207</v>
      </c>
      <c r="F3241" t="s">
        <v>5</v>
      </c>
      <c r="G3241" s="28">
        <v>0.74722222222222223</v>
      </c>
      <c r="H3241" s="28">
        <v>0.74722222222222223</v>
      </c>
      <c r="I3241">
        <v>0</v>
      </c>
      <c r="J3241" t="s">
        <v>174</v>
      </c>
      <c r="K3241">
        <v>0</v>
      </c>
      <c r="L3241" t="s">
        <v>8435</v>
      </c>
      <c r="M3241" t="s">
        <v>8436</v>
      </c>
      <c r="N3241" t="s">
        <v>8437</v>
      </c>
      <c r="O3241" t="s">
        <v>8438</v>
      </c>
      <c r="P3241" t="s">
        <v>8439</v>
      </c>
    </row>
    <row r="3242" spans="1:16" x14ac:dyDescent="0.35">
      <c r="A3242" t="s">
        <v>122</v>
      </c>
      <c r="B3242">
        <v>1701216090</v>
      </c>
      <c r="C3242" t="s">
        <v>18</v>
      </c>
      <c r="D3242" t="s">
        <v>21</v>
      </c>
      <c r="E3242" s="29">
        <v>46207</v>
      </c>
      <c r="F3242" t="s">
        <v>5</v>
      </c>
      <c r="G3242" s="28">
        <v>0.75416666666666665</v>
      </c>
      <c r="H3242" s="28">
        <v>0.83750000000000002</v>
      </c>
      <c r="I3242">
        <v>2</v>
      </c>
      <c r="J3242" t="s">
        <v>146</v>
      </c>
      <c r="K3242">
        <v>6</v>
      </c>
      <c r="L3242" t="s">
        <v>147</v>
      </c>
      <c r="M3242" t="s">
        <v>8296</v>
      </c>
      <c r="N3242" t="s">
        <v>8297</v>
      </c>
      <c r="O3242" t="s">
        <v>8298</v>
      </c>
      <c r="P3242" t="s">
        <v>8299</v>
      </c>
    </row>
    <row r="3243" spans="1:16" x14ac:dyDescent="0.35">
      <c r="A3243" t="s">
        <v>122</v>
      </c>
      <c r="B3243">
        <v>1701216090</v>
      </c>
      <c r="C3243" t="s">
        <v>18</v>
      </c>
      <c r="D3243" t="s">
        <v>21</v>
      </c>
      <c r="E3243" s="29">
        <v>46208</v>
      </c>
      <c r="F3243" t="s">
        <v>6</v>
      </c>
      <c r="G3243" s="28">
        <v>0.37916666666666665</v>
      </c>
      <c r="H3243" s="28">
        <v>0.37916666666666665</v>
      </c>
      <c r="I3243">
        <v>0</v>
      </c>
      <c r="J3243" t="s">
        <v>174</v>
      </c>
      <c r="K3243">
        <v>0</v>
      </c>
      <c r="L3243" t="s">
        <v>3250</v>
      </c>
      <c r="M3243" t="s">
        <v>8440</v>
      </c>
      <c r="N3243" t="s">
        <v>8441</v>
      </c>
      <c r="O3243" t="s">
        <v>8442</v>
      </c>
      <c r="P3243" t="s">
        <v>8443</v>
      </c>
    </row>
    <row r="3244" spans="1:16" x14ac:dyDescent="0.35">
      <c r="A3244" t="s">
        <v>122</v>
      </c>
      <c r="B3244">
        <v>1701216090</v>
      </c>
      <c r="C3244" t="s">
        <v>18</v>
      </c>
      <c r="D3244" t="s">
        <v>21</v>
      </c>
      <c r="E3244" s="29">
        <v>46208</v>
      </c>
      <c r="F3244" t="s">
        <v>6</v>
      </c>
      <c r="G3244" s="28">
        <v>0.38472222222222224</v>
      </c>
      <c r="H3244" s="28">
        <v>0.38472222222222224</v>
      </c>
      <c r="I3244">
        <v>0</v>
      </c>
      <c r="J3244" t="s">
        <v>174</v>
      </c>
      <c r="K3244">
        <v>0</v>
      </c>
      <c r="L3244" t="s">
        <v>8444</v>
      </c>
      <c r="M3244" t="s">
        <v>8445</v>
      </c>
      <c r="N3244" t="s">
        <v>8446</v>
      </c>
      <c r="O3244" t="s">
        <v>8447</v>
      </c>
      <c r="P3244" t="s">
        <v>8448</v>
      </c>
    </row>
    <row r="3245" spans="1:16" x14ac:dyDescent="0.35">
      <c r="A3245" t="s">
        <v>122</v>
      </c>
      <c r="B3245">
        <v>1701216090</v>
      </c>
      <c r="C3245" t="s">
        <v>18</v>
      </c>
      <c r="D3245" t="s">
        <v>21</v>
      </c>
      <c r="E3245" s="29">
        <v>46208</v>
      </c>
      <c r="F3245" t="s">
        <v>6</v>
      </c>
      <c r="G3245" s="28">
        <v>0.3923611111111111</v>
      </c>
      <c r="H3245" s="28">
        <v>0.3923611111111111</v>
      </c>
      <c r="I3245">
        <v>0</v>
      </c>
      <c r="J3245" t="s">
        <v>174</v>
      </c>
      <c r="K3245">
        <v>0</v>
      </c>
      <c r="L3245" t="s">
        <v>3188</v>
      </c>
      <c r="M3245" t="s">
        <v>1789</v>
      </c>
      <c r="N3245" t="s">
        <v>1790</v>
      </c>
      <c r="O3245" t="s">
        <v>1791</v>
      </c>
      <c r="P3245" t="s">
        <v>1796</v>
      </c>
    </row>
    <row r="3246" spans="1:16" x14ac:dyDescent="0.35">
      <c r="A3246" t="s">
        <v>122</v>
      </c>
      <c r="B3246">
        <v>1701216090</v>
      </c>
      <c r="C3246" t="s">
        <v>18</v>
      </c>
      <c r="D3246" t="s">
        <v>21</v>
      </c>
      <c r="E3246" s="29">
        <v>46208</v>
      </c>
      <c r="F3246" t="s">
        <v>6</v>
      </c>
      <c r="G3246" s="28">
        <v>0.4</v>
      </c>
      <c r="H3246" s="28">
        <v>0.4</v>
      </c>
      <c r="I3246">
        <v>0</v>
      </c>
      <c r="J3246" t="s">
        <v>174</v>
      </c>
      <c r="K3246">
        <v>0</v>
      </c>
      <c r="L3246" t="s">
        <v>2593</v>
      </c>
      <c r="M3246" t="s">
        <v>1779</v>
      </c>
      <c r="N3246" t="s">
        <v>1780</v>
      </c>
      <c r="O3246" t="s">
        <v>1781</v>
      </c>
      <c r="P3246" t="s">
        <v>8376</v>
      </c>
    </row>
    <row r="3247" spans="1:16" x14ac:dyDescent="0.35">
      <c r="A3247" t="s">
        <v>122</v>
      </c>
      <c r="B3247">
        <v>1701216090</v>
      </c>
      <c r="C3247" t="s">
        <v>18</v>
      </c>
      <c r="D3247" t="s">
        <v>21</v>
      </c>
      <c r="E3247" s="29">
        <v>46208</v>
      </c>
      <c r="F3247" t="s">
        <v>6</v>
      </c>
      <c r="G3247" s="28">
        <v>0.40694444444444444</v>
      </c>
      <c r="H3247" s="28">
        <v>0.40694444444444444</v>
      </c>
      <c r="I3247">
        <v>0</v>
      </c>
      <c r="J3247" t="s">
        <v>174</v>
      </c>
      <c r="K3247">
        <v>0</v>
      </c>
      <c r="L3247" t="s">
        <v>8449</v>
      </c>
      <c r="M3247" t="s">
        <v>1751</v>
      </c>
      <c r="N3247" t="s">
        <v>1752</v>
      </c>
      <c r="O3247" t="s">
        <v>1753</v>
      </c>
      <c r="P3247" t="s">
        <v>8323</v>
      </c>
    </row>
    <row r="3248" spans="1:16" x14ac:dyDescent="0.35">
      <c r="A3248" t="s">
        <v>122</v>
      </c>
      <c r="B3248">
        <v>1701216090</v>
      </c>
      <c r="C3248" t="s">
        <v>18</v>
      </c>
      <c r="D3248" t="s">
        <v>21</v>
      </c>
      <c r="E3248" s="29">
        <v>46208</v>
      </c>
      <c r="F3248" t="s">
        <v>6</v>
      </c>
      <c r="G3248" s="28">
        <v>0.41388888888888886</v>
      </c>
      <c r="H3248" s="28">
        <v>0.41388888888888886</v>
      </c>
      <c r="I3248">
        <v>0</v>
      </c>
      <c r="J3248" t="s">
        <v>174</v>
      </c>
      <c r="K3248">
        <v>0</v>
      </c>
      <c r="L3248" t="s">
        <v>8450</v>
      </c>
      <c r="M3248" t="s">
        <v>1760</v>
      </c>
      <c r="N3248" t="s">
        <v>1761</v>
      </c>
      <c r="O3248" t="s">
        <v>1762</v>
      </c>
      <c r="P3248" t="s">
        <v>8365</v>
      </c>
    </row>
    <row r="3249" spans="1:16" x14ac:dyDescent="0.35">
      <c r="A3249" t="s">
        <v>122</v>
      </c>
      <c r="B3249">
        <v>1701216090</v>
      </c>
      <c r="C3249" t="s">
        <v>18</v>
      </c>
      <c r="D3249" t="s">
        <v>21</v>
      </c>
      <c r="E3249" s="29">
        <v>46208</v>
      </c>
      <c r="F3249" t="s">
        <v>6</v>
      </c>
      <c r="G3249" s="28">
        <v>0.42083333333333334</v>
      </c>
      <c r="H3249" s="28">
        <v>0.42083333333333334</v>
      </c>
      <c r="I3249">
        <v>0</v>
      </c>
      <c r="J3249" t="s">
        <v>174</v>
      </c>
      <c r="K3249">
        <v>0</v>
      </c>
      <c r="L3249" t="s">
        <v>883</v>
      </c>
      <c r="M3249" t="s">
        <v>8451</v>
      </c>
      <c r="N3249" t="s">
        <v>8452</v>
      </c>
      <c r="O3249" t="s">
        <v>8453</v>
      </c>
      <c r="P3249" t="s">
        <v>8454</v>
      </c>
    </row>
    <row r="3250" spans="1:16" x14ac:dyDescent="0.35">
      <c r="A3250" t="s">
        <v>122</v>
      </c>
      <c r="B3250">
        <v>1701216090</v>
      </c>
      <c r="C3250" t="s">
        <v>18</v>
      </c>
      <c r="D3250" t="s">
        <v>21</v>
      </c>
      <c r="E3250" s="29">
        <v>46208</v>
      </c>
      <c r="F3250" t="s">
        <v>6</v>
      </c>
      <c r="G3250" s="28">
        <v>0.42777777777777776</v>
      </c>
      <c r="H3250" s="28">
        <v>0.42777777777777776</v>
      </c>
      <c r="I3250">
        <v>0</v>
      </c>
      <c r="J3250" t="s">
        <v>174</v>
      </c>
      <c r="K3250">
        <v>0</v>
      </c>
      <c r="L3250" t="s">
        <v>8455</v>
      </c>
      <c r="M3250" t="s">
        <v>8456</v>
      </c>
      <c r="N3250" t="s">
        <v>8457</v>
      </c>
      <c r="O3250" t="s">
        <v>8458</v>
      </c>
      <c r="P3250" t="s">
        <v>8459</v>
      </c>
    </row>
    <row r="3251" spans="1:16" x14ac:dyDescent="0.35">
      <c r="A3251" t="s">
        <v>122</v>
      </c>
      <c r="B3251">
        <v>1701216090</v>
      </c>
      <c r="C3251" t="s">
        <v>18</v>
      </c>
      <c r="D3251" t="s">
        <v>21</v>
      </c>
      <c r="E3251" s="29">
        <v>46208</v>
      </c>
      <c r="F3251" t="s">
        <v>6</v>
      </c>
      <c r="G3251" s="28">
        <v>0.43472222222222223</v>
      </c>
      <c r="H3251" s="28">
        <v>0.43472222222222223</v>
      </c>
      <c r="I3251">
        <v>0</v>
      </c>
      <c r="J3251" t="s">
        <v>174</v>
      </c>
      <c r="K3251">
        <v>0</v>
      </c>
      <c r="L3251" t="s">
        <v>1481</v>
      </c>
      <c r="M3251" t="s">
        <v>8460</v>
      </c>
      <c r="N3251" t="s">
        <v>8461</v>
      </c>
      <c r="O3251" t="s">
        <v>8462</v>
      </c>
      <c r="P3251" t="s">
        <v>8463</v>
      </c>
    </row>
    <row r="3252" spans="1:16" x14ac:dyDescent="0.35">
      <c r="A3252" t="s">
        <v>122</v>
      </c>
      <c r="B3252">
        <v>1701216090</v>
      </c>
      <c r="C3252" t="s">
        <v>18</v>
      </c>
      <c r="D3252" t="s">
        <v>21</v>
      </c>
      <c r="E3252" s="29">
        <v>46208</v>
      </c>
      <c r="F3252" t="s">
        <v>6</v>
      </c>
      <c r="G3252" s="28">
        <v>0.44166666666666665</v>
      </c>
      <c r="H3252" s="28">
        <v>0.44166666666666665</v>
      </c>
      <c r="I3252">
        <v>0</v>
      </c>
      <c r="J3252" t="s">
        <v>174</v>
      </c>
      <c r="K3252">
        <v>0</v>
      </c>
      <c r="L3252" t="s">
        <v>8464</v>
      </c>
      <c r="M3252" t="s">
        <v>8465</v>
      </c>
      <c r="N3252" t="s">
        <v>8466</v>
      </c>
      <c r="O3252" t="s">
        <v>8467</v>
      </c>
      <c r="P3252" t="s">
        <v>8468</v>
      </c>
    </row>
    <row r="3253" spans="1:16" x14ac:dyDescent="0.35">
      <c r="A3253" t="s">
        <v>122</v>
      </c>
      <c r="B3253">
        <v>1701216090</v>
      </c>
      <c r="C3253" t="s">
        <v>18</v>
      </c>
      <c r="D3253" t="s">
        <v>21</v>
      </c>
      <c r="E3253" s="29">
        <v>46208</v>
      </c>
      <c r="F3253" t="s">
        <v>6</v>
      </c>
      <c r="G3253" s="28">
        <v>0.44861111111111113</v>
      </c>
      <c r="H3253" s="28">
        <v>0.44861111111111113</v>
      </c>
      <c r="I3253">
        <v>0</v>
      </c>
      <c r="J3253" t="s">
        <v>174</v>
      </c>
      <c r="K3253">
        <v>0</v>
      </c>
      <c r="L3253" t="s">
        <v>8469</v>
      </c>
      <c r="M3253" t="s">
        <v>8470</v>
      </c>
      <c r="N3253" t="s">
        <v>8471</v>
      </c>
      <c r="O3253" t="s">
        <v>8472</v>
      </c>
      <c r="P3253" t="s">
        <v>8473</v>
      </c>
    </row>
    <row r="3254" spans="1:16" x14ac:dyDescent="0.35">
      <c r="A3254" t="s">
        <v>122</v>
      </c>
      <c r="B3254">
        <v>1701216090</v>
      </c>
      <c r="C3254" t="s">
        <v>18</v>
      </c>
      <c r="D3254" t="s">
        <v>21</v>
      </c>
      <c r="E3254" s="29">
        <v>46208</v>
      </c>
      <c r="F3254" t="s">
        <v>6</v>
      </c>
      <c r="G3254" s="28">
        <v>0.45555555555555555</v>
      </c>
      <c r="H3254" s="28">
        <v>0.45555555555555555</v>
      </c>
      <c r="I3254">
        <v>0</v>
      </c>
      <c r="J3254" t="s">
        <v>174</v>
      </c>
      <c r="K3254">
        <v>0</v>
      </c>
      <c r="L3254" t="s">
        <v>1395</v>
      </c>
      <c r="M3254" t="s">
        <v>922</v>
      </c>
      <c r="N3254" t="s">
        <v>6312</v>
      </c>
      <c r="O3254" t="s">
        <v>6313</v>
      </c>
      <c r="P3254" t="s">
        <v>6314</v>
      </c>
    </row>
    <row r="3255" spans="1:16" x14ac:dyDescent="0.35">
      <c r="A3255" t="s">
        <v>122</v>
      </c>
      <c r="B3255">
        <v>1701216090</v>
      </c>
      <c r="C3255" t="s">
        <v>18</v>
      </c>
      <c r="D3255" t="s">
        <v>21</v>
      </c>
      <c r="E3255" s="29">
        <v>46208</v>
      </c>
      <c r="F3255" t="s">
        <v>6</v>
      </c>
      <c r="G3255" s="28">
        <v>0.46250000000000002</v>
      </c>
      <c r="H3255" s="28">
        <v>0.46250000000000002</v>
      </c>
      <c r="I3255">
        <v>0</v>
      </c>
      <c r="J3255" t="s">
        <v>174</v>
      </c>
      <c r="K3255">
        <v>0</v>
      </c>
      <c r="L3255" t="s">
        <v>4824</v>
      </c>
      <c r="M3255" t="s">
        <v>8474</v>
      </c>
      <c r="N3255" t="s">
        <v>8475</v>
      </c>
      <c r="O3255" t="s">
        <v>8476</v>
      </c>
      <c r="P3255" t="s">
        <v>8477</v>
      </c>
    </row>
    <row r="3256" spans="1:16" x14ac:dyDescent="0.35">
      <c r="A3256" t="s">
        <v>122</v>
      </c>
      <c r="B3256">
        <v>1701216090</v>
      </c>
      <c r="C3256" t="s">
        <v>18</v>
      </c>
      <c r="D3256" t="s">
        <v>21</v>
      </c>
      <c r="E3256" s="29">
        <v>46208</v>
      </c>
      <c r="F3256" t="s">
        <v>6</v>
      </c>
      <c r="G3256" s="28">
        <v>0.46944444444444444</v>
      </c>
      <c r="H3256" s="28">
        <v>0.46944444444444444</v>
      </c>
      <c r="I3256">
        <v>0</v>
      </c>
      <c r="J3256" t="s">
        <v>174</v>
      </c>
      <c r="K3256">
        <v>0</v>
      </c>
      <c r="L3256" t="s">
        <v>8478</v>
      </c>
      <c r="M3256" t="s">
        <v>8479</v>
      </c>
      <c r="N3256" t="s">
        <v>8480</v>
      </c>
      <c r="O3256" t="s">
        <v>8481</v>
      </c>
      <c r="P3256" t="s">
        <v>8482</v>
      </c>
    </row>
    <row r="3257" spans="1:16" x14ac:dyDescent="0.35">
      <c r="A3257" t="s">
        <v>122</v>
      </c>
      <c r="B3257">
        <v>1701216090</v>
      </c>
      <c r="C3257" t="s">
        <v>18</v>
      </c>
      <c r="D3257" t="s">
        <v>21</v>
      </c>
      <c r="E3257" s="29">
        <v>46208</v>
      </c>
      <c r="F3257" t="s">
        <v>6</v>
      </c>
      <c r="G3257" s="28">
        <v>0.47638888888888886</v>
      </c>
      <c r="H3257" s="28">
        <v>0.47638888888888886</v>
      </c>
      <c r="I3257">
        <v>0</v>
      </c>
      <c r="J3257" t="s">
        <v>174</v>
      </c>
      <c r="K3257">
        <v>0</v>
      </c>
      <c r="L3257" t="s">
        <v>6008</v>
      </c>
      <c r="M3257" t="s">
        <v>8483</v>
      </c>
      <c r="N3257" t="s">
        <v>8484</v>
      </c>
      <c r="O3257" t="s">
        <v>8485</v>
      </c>
      <c r="P3257" t="s">
        <v>7698</v>
      </c>
    </row>
    <row r="3258" spans="1:16" x14ac:dyDescent="0.35">
      <c r="A3258" t="s">
        <v>122</v>
      </c>
      <c r="B3258">
        <v>1701216090</v>
      </c>
      <c r="C3258" t="s">
        <v>18</v>
      </c>
      <c r="D3258" t="s">
        <v>21</v>
      </c>
      <c r="E3258" s="29">
        <v>46208</v>
      </c>
      <c r="F3258" t="s">
        <v>6</v>
      </c>
      <c r="G3258" s="28">
        <v>0.48333333333333334</v>
      </c>
      <c r="H3258" s="28">
        <v>0.48333333333333334</v>
      </c>
      <c r="I3258">
        <v>0</v>
      </c>
      <c r="J3258" t="s">
        <v>174</v>
      </c>
      <c r="K3258">
        <v>0</v>
      </c>
      <c r="L3258" t="s">
        <v>3325</v>
      </c>
      <c r="M3258" t="s">
        <v>913</v>
      </c>
      <c r="N3258" t="s">
        <v>914</v>
      </c>
      <c r="O3258" t="s">
        <v>915</v>
      </c>
      <c r="P3258" t="s">
        <v>916</v>
      </c>
    </row>
    <row r="3259" spans="1:16" x14ac:dyDescent="0.35">
      <c r="A3259" t="s">
        <v>122</v>
      </c>
      <c r="B3259">
        <v>1701216090</v>
      </c>
      <c r="C3259" t="s">
        <v>18</v>
      </c>
      <c r="D3259" t="s">
        <v>21</v>
      </c>
      <c r="E3259" s="29">
        <v>46208</v>
      </c>
      <c r="F3259" t="s">
        <v>6</v>
      </c>
      <c r="G3259" s="28">
        <v>0.49027777777777776</v>
      </c>
      <c r="H3259" s="28">
        <v>0.49027777777777776</v>
      </c>
      <c r="I3259">
        <v>0</v>
      </c>
      <c r="J3259" t="s">
        <v>174</v>
      </c>
      <c r="K3259">
        <v>0</v>
      </c>
      <c r="L3259" t="s">
        <v>3472</v>
      </c>
      <c r="M3259" t="s">
        <v>6299</v>
      </c>
      <c r="N3259" t="s">
        <v>8486</v>
      </c>
      <c r="O3259" t="s">
        <v>8487</v>
      </c>
      <c r="P3259" t="s">
        <v>8488</v>
      </c>
    </row>
    <row r="3260" spans="1:16" x14ac:dyDescent="0.35">
      <c r="A3260" t="s">
        <v>122</v>
      </c>
      <c r="B3260">
        <v>1701216090</v>
      </c>
      <c r="C3260" t="s">
        <v>18</v>
      </c>
      <c r="D3260" t="s">
        <v>21</v>
      </c>
      <c r="E3260" s="29">
        <v>46208</v>
      </c>
      <c r="F3260" t="s">
        <v>6</v>
      </c>
      <c r="G3260" s="28">
        <v>0.49722222222222223</v>
      </c>
      <c r="H3260" s="28">
        <v>0.49722222222222223</v>
      </c>
      <c r="I3260">
        <v>0</v>
      </c>
      <c r="J3260" t="s">
        <v>174</v>
      </c>
      <c r="K3260">
        <v>0</v>
      </c>
      <c r="L3260" t="s">
        <v>8489</v>
      </c>
      <c r="M3260" t="s">
        <v>8490</v>
      </c>
      <c r="N3260" t="s">
        <v>8491</v>
      </c>
      <c r="O3260" t="s">
        <v>8492</v>
      </c>
      <c r="P3260" t="s">
        <v>8493</v>
      </c>
    </row>
    <row r="3261" spans="1:16" x14ac:dyDescent="0.35">
      <c r="A3261" t="s">
        <v>122</v>
      </c>
      <c r="B3261">
        <v>1701216090</v>
      </c>
      <c r="C3261" t="s">
        <v>18</v>
      </c>
      <c r="D3261" t="s">
        <v>21</v>
      </c>
      <c r="E3261" s="29">
        <v>46208</v>
      </c>
      <c r="F3261" t="s">
        <v>6</v>
      </c>
      <c r="G3261" s="28">
        <v>0.50416666666666665</v>
      </c>
      <c r="H3261" s="28">
        <v>0.50416666666666665</v>
      </c>
      <c r="I3261">
        <v>0</v>
      </c>
      <c r="J3261" t="s">
        <v>174</v>
      </c>
      <c r="K3261">
        <v>0</v>
      </c>
      <c r="L3261" t="s">
        <v>8494</v>
      </c>
      <c r="M3261" t="s">
        <v>8495</v>
      </c>
      <c r="N3261" t="s">
        <v>8496</v>
      </c>
      <c r="O3261" t="s">
        <v>8497</v>
      </c>
      <c r="P3261" t="s">
        <v>3273</v>
      </c>
    </row>
    <row r="3262" spans="1:16" x14ac:dyDescent="0.35">
      <c r="A3262" t="s">
        <v>122</v>
      </c>
      <c r="B3262">
        <v>1701216090</v>
      </c>
      <c r="C3262" t="s">
        <v>18</v>
      </c>
      <c r="D3262" t="s">
        <v>21</v>
      </c>
      <c r="E3262" s="29">
        <v>46208</v>
      </c>
      <c r="F3262" t="s">
        <v>6</v>
      </c>
      <c r="G3262" s="28">
        <v>0.51111111111111107</v>
      </c>
      <c r="H3262" s="28">
        <v>0.51111111111111107</v>
      </c>
      <c r="I3262">
        <v>0</v>
      </c>
      <c r="J3262" t="s">
        <v>174</v>
      </c>
      <c r="K3262">
        <v>0</v>
      </c>
      <c r="L3262" t="s">
        <v>3067</v>
      </c>
      <c r="M3262" t="s">
        <v>8498</v>
      </c>
      <c r="N3262" t="s">
        <v>8499</v>
      </c>
      <c r="O3262" t="s">
        <v>8500</v>
      </c>
      <c r="P3262" t="s">
        <v>8501</v>
      </c>
    </row>
    <row r="3263" spans="1:16" x14ac:dyDescent="0.35">
      <c r="A3263" t="s">
        <v>122</v>
      </c>
      <c r="B3263">
        <v>1701216090</v>
      </c>
      <c r="C3263" t="s">
        <v>18</v>
      </c>
      <c r="D3263" t="s">
        <v>21</v>
      </c>
      <c r="E3263" s="29">
        <v>46208</v>
      </c>
      <c r="F3263" t="s">
        <v>6</v>
      </c>
      <c r="G3263" s="28">
        <v>0.5180555555555556</v>
      </c>
      <c r="H3263" s="28">
        <v>0.5180555555555556</v>
      </c>
      <c r="I3263">
        <v>0</v>
      </c>
      <c r="J3263" t="s">
        <v>174</v>
      </c>
      <c r="K3263">
        <v>0</v>
      </c>
      <c r="L3263" t="s">
        <v>1415</v>
      </c>
      <c r="M3263" t="s">
        <v>8502</v>
      </c>
      <c r="N3263" t="s">
        <v>8503</v>
      </c>
      <c r="O3263" t="s">
        <v>8504</v>
      </c>
      <c r="P3263" t="s">
        <v>8505</v>
      </c>
    </row>
    <row r="3264" spans="1:16" x14ac:dyDescent="0.35">
      <c r="A3264" t="s">
        <v>122</v>
      </c>
      <c r="B3264">
        <v>1701216090</v>
      </c>
      <c r="C3264" t="s">
        <v>18</v>
      </c>
      <c r="D3264" t="s">
        <v>21</v>
      </c>
      <c r="E3264" s="29">
        <v>46208</v>
      </c>
      <c r="F3264" t="s">
        <v>6</v>
      </c>
      <c r="G3264" s="28">
        <v>0.52500000000000002</v>
      </c>
      <c r="H3264" s="28">
        <v>0.52500000000000002</v>
      </c>
      <c r="I3264">
        <v>0</v>
      </c>
      <c r="J3264" t="s">
        <v>174</v>
      </c>
      <c r="K3264">
        <v>0</v>
      </c>
      <c r="L3264" t="s">
        <v>8506</v>
      </c>
      <c r="M3264" t="s">
        <v>8507</v>
      </c>
      <c r="N3264" t="s">
        <v>8508</v>
      </c>
      <c r="O3264" t="s">
        <v>8509</v>
      </c>
      <c r="P3264" t="s">
        <v>6344</v>
      </c>
    </row>
    <row r="3265" spans="1:16" x14ac:dyDescent="0.35">
      <c r="A3265" t="s">
        <v>122</v>
      </c>
      <c r="B3265">
        <v>1701216090</v>
      </c>
      <c r="C3265" t="s">
        <v>18</v>
      </c>
      <c r="D3265" t="s">
        <v>21</v>
      </c>
      <c r="E3265" s="29">
        <v>46208</v>
      </c>
      <c r="F3265" t="s">
        <v>6</v>
      </c>
      <c r="G3265" s="28">
        <v>0.53194444444444444</v>
      </c>
      <c r="H3265" s="28">
        <v>0.53194444444444444</v>
      </c>
      <c r="I3265">
        <v>0</v>
      </c>
      <c r="J3265" t="s">
        <v>174</v>
      </c>
      <c r="K3265">
        <v>0</v>
      </c>
      <c r="L3265" t="s">
        <v>4316</v>
      </c>
      <c r="M3265" t="s">
        <v>8510</v>
      </c>
      <c r="N3265" t="s">
        <v>8511</v>
      </c>
      <c r="O3265" t="s">
        <v>8512</v>
      </c>
      <c r="P3265" t="s">
        <v>8513</v>
      </c>
    </row>
    <row r="3266" spans="1:16" x14ac:dyDescent="0.35">
      <c r="A3266" t="s">
        <v>122</v>
      </c>
      <c r="B3266">
        <v>1701216090</v>
      </c>
      <c r="C3266" t="s">
        <v>18</v>
      </c>
      <c r="D3266" t="s">
        <v>21</v>
      </c>
      <c r="E3266" s="29">
        <v>46208</v>
      </c>
      <c r="F3266" t="s">
        <v>6</v>
      </c>
      <c r="G3266" s="28">
        <v>0.53888888888888886</v>
      </c>
      <c r="H3266" s="28">
        <v>0.56666666666666665</v>
      </c>
      <c r="I3266">
        <v>1</v>
      </c>
      <c r="J3266" t="s">
        <v>146</v>
      </c>
      <c r="K3266">
        <v>2</v>
      </c>
      <c r="L3266" t="s">
        <v>147</v>
      </c>
      <c r="M3266" t="s">
        <v>8514</v>
      </c>
      <c r="N3266" t="s">
        <v>8515</v>
      </c>
      <c r="O3266" t="s">
        <v>8516</v>
      </c>
      <c r="P3266" t="s">
        <v>8517</v>
      </c>
    </row>
    <row r="3267" spans="1:16" x14ac:dyDescent="0.35">
      <c r="A3267" t="s">
        <v>122</v>
      </c>
      <c r="B3267">
        <v>1701216090</v>
      </c>
      <c r="C3267" t="s">
        <v>18</v>
      </c>
      <c r="D3267" t="s">
        <v>21</v>
      </c>
      <c r="E3267" s="29">
        <v>46208</v>
      </c>
      <c r="F3267" t="s">
        <v>6</v>
      </c>
      <c r="G3267" s="28">
        <v>0.57361111111111107</v>
      </c>
      <c r="H3267" s="28">
        <v>0.57361111111111107</v>
      </c>
      <c r="I3267">
        <v>0</v>
      </c>
      <c r="J3267" t="s">
        <v>174</v>
      </c>
      <c r="K3267">
        <v>0</v>
      </c>
      <c r="L3267" t="s">
        <v>8518</v>
      </c>
      <c r="M3267" t="s">
        <v>8519</v>
      </c>
      <c r="N3267" t="s">
        <v>8520</v>
      </c>
      <c r="O3267" t="s">
        <v>8521</v>
      </c>
      <c r="P3267" t="s">
        <v>8522</v>
      </c>
    </row>
    <row r="3268" spans="1:16" x14ac:dyDescent="0.35">
      <c r="A3268" t="s">
        <v>122</v>
      </c>
      <c r="B3268">
        <v>1701216090</v>
      </c>
      <c r="C3268" t="s">
        <v>18</v>
      </c>
      <c r="D3268" t="s">
        <v>21</v>
      </c>
      <c r="E3268" s="29">
        <v>46208</v>
      </c>
      <c r="F3268" t="s">
        <v>6</v>
      </c>
      <c r="G3268" s="28">
        <v>0.5805555555555556</v>
      </c>
      <c r="H3268" s="28">
        <v>0.58750000000000002</v>
      </c>
      <c r="I3268">
        <v>0</v>
      </c>
      <c r="J3268" t="s">
        <v>146</v>
      </c>
      <c r="K3268">
        <v>0</v>
      </c>
      <c r="L3268" t="s">
        <v>147</v>
      </c>
      <c r="M3268" t="s">
        <v>8514</v>
      </c>
      <c r="N3268" t="s">
        <v>8515</v>
      </c>
      <c r="O3268" t="s">
        <v>8516</v>
      </c>
      <c r="P3268" t="s">
        <v>8517</v>
      </c>
    </row>
    <row r="3269" spans="1:16" x14ac:dyDescent="0.35">
      <c r="A3269" t="s">
        <v>122</v>
      </c>
      <c r="B3269">
        <v>1701216090</v>
      </c>
      <c r="C3269" t="s">
        <v>18</v>
      </c>
      <c r="D3269" t="s">
        <v>21</v>
      </c>
      <c r="E3269" s="29">
        <v>46208</v>
      </c>
      <c r="F3269" t="s">
        <v>6</v>
      </c>
      <c r="G3269" s="28">
        <v>0.59444444444444444</v>
      </c>
      <c r="H3269" s="28">
        <v>0.60833333333333328</v>
      </c>
      <c r="I3269">
        <v>0</v>
      </c>
      <c r="J3269" t="s">
        <v>146</v>
      </c>
      <c r="K3269">
        <v>1</v>
      </c>
      <c r="L3269" t="s">
        <v>147</v>
      </c>
      <c r="M3269" t="s">
        <v>8519</v>
      </c>
      <c r="N3269" t="s">
        <v>8520</v>
      </c>
      <c r="O3269" t="s">
        <v>8521</v>
      </c>
      <c r="P3269" t="s">
        <v>8522</v>
      </c>
    </row>
    <row r="3270" spans="1:16" x14ac:dyDescent="0.35">
      <c r="A3270" t="s">
        <v>122</v>
      </c>
      <c r="B3270">
        <v>1701216090</v>
      </c>
      <c r="C3270" t="s">
        <v>18</v>
      </c>
      <c r="D3270" t="s">
        <v>21</v>
      </c>
      <c r="E3270" s="29">
        <v>46208</v>
      </c>
      <c r="F3270" t="s">
        <v>6</v>
      </c>
      <c r="G3270" s="28">
        <v>0.61527777777777781</v>
      </c>
      <c r="H3270" s="28">
        <v>0.61527777777777781</v>
      </c>
      <c r="I3270">
        <v>0</v>
      </c>
      <c r="J3270" t="s">
        <v>174</v>
      </c>
      <c r="K3270">
        <v>0</v>
      </c>
      <c r="L3270" t="s">
        <v>1965</v>
      </c>
      <c r="M3270" t="s">
        <v>8523</v>
      </c>
      <c r="N3270" t="s">
        <v>8524</v>
      </c>
      <c r="O3270" t="s">
        <v>8525</v>
      </c>
      <c r="P3270" t="s">
        <v>8526</v>
      </c>
    </row>
    <row r="3271" spans="1:16" x14ac:dyDescent="0.35">
      <c r="A3271" t="s">
        <v>122</v>
      </c>
      <c r="B3271">
        <v>1701216090</v>
      </c>
      <c r="C3271" t="s">
        <v>18</v>
      </c>
      <c r="D3271" t="s">
        <v>21</v>
      </c>
      <c r="E3271" s="29">
        <v>46208</v>
      </c>
      <c r="F3271" t="s">
        <v>6</v>
      </c>
      <c r="G3271" s="28">
        <v>0.62222222222222223</v>
      </c>
      <c r="H3271" s="28">
        <v>0.62916666666666665</v>
      </c>
      <c r="I3271">
        <v>0</v>
      </c>
      <c r="J3271" t="s">
        <v>146</v>
      </c>
      <c r="K3271">
        <v>0</v>
      </c>
      <c r="L3271" t="s">
        <v>147</v>
      </c>
      <c r="M3271" t="s">
        <v>8527</v>
      </c>
      <c r="N3271" t="s">
        <v>8528</v>
      </c>
      <c r="O3271" t="s">
        <v>8529</v>
      </c>
      <c r="P3271" t="s">
        <v>8530</v>
      </c>
    </row>
    <row r="3272" spans="1:16" x14ac:dyDescent="0.35">
      <c r="A3272" t="s">
        <v>122</v>
      </c>
      <c r="B3272">
        <v>1701216090</v>
      </c>
      <c r="C3272" t="s">
        <v>18</v>
      </c>
      <c r="D3272" t="s">
        <v>21</v>
      </c>
      <c r="E3272" s="29">
        <v>46208</v>
      </c>
      <c r="F3272" t="s">
        <v>6</v>
      </c>
      <c r="G3272" s="28">
        <v>0.63611111111111107</v>
      </c>
      <c r="H3272" s="28">
        <v>0.63611111111111107</v>
      </c>
      <c r="I3272">
        <v>0</v>
      </c>
      <c r="J3272" t="s">
        <v>174</v>
      </c>
      <c r="K3272">
        <v>0</v>
      </c>
      <c r="L3272" t="s">
        <v>3997</v>
      </c>
      <c r="M3272" t="s">
        <v>8531</v>
      </c>
      <c r="N3272" t="s">
        <v>8532</v>
      </c>
      <c r="O3272" t="s">
        <v>8533</v>
      </c>
      <c r="P3272" t="s">
        <v>8534</v>
      </c>
    </row>
    <row r="3273" spans="1:16" x14ac:dyDescent="0.35">
      <c r="A3273" t="s">
        <v>122</v>
      </c>
      <c r="B3273">
        <v>1701216090</v>
      </c>
      <c r="C3273" t="s">
        <v>18</v>
      </c>
      <c r="D3273" t="s">
        <v>21</v>
      </c>
      <c r="E3273" s="29">
        <v>46208</v>
      </c>
      <c r="F3273" t="s">
        <v>6</v>
      </c>
      <c r="G3273" s="28">
        <v>0.6430555555555556</v>
      </c>
      <c r="H3273" s="28">
        <v>0.6430555555555556</v>
      </c>
      <c r="I3273">
        <v>0</v>
      </c>
      <c r="J3273" t="s">
        <v>174</v>
      </c>
      <c r="K3273">
        <v>0</v>
      </c>
      <c r="L3273" t="s">
        <v>1164</v>
      </c>
      <c r="M3273" t="s">
        <v>8535</v>
      </c>
      <c r="N3273" t="s">
        <v>8536</v>
      </c>
      <c r="O3273" t="s">
        <v>8537</v>
      </c>
      <c r="P3273" t="s">
        <v>8538</v>
      </c>
    </row>
    <row r="3274" spans="1:16" x14ac:dyDescent="0.35">
      <c r="A3274" t="s">
        <v>122</v>
      </c>
      <c r="B3274">
        <v>1701216090</v>
      </c>
      <c r="C3274" t="s">
        <v>18</v>
      </c>
      <c r="D3274" t="s">
        <v>21</v>
      </c>
      <c r="E3274" s="29">
        <v>46208</v>
      </c>
      <c r="F3274" t="s">
        <v>6</v>
      </c>
      <c r="G3274" s="28">
        <v>0.65</v>
      </c>
      <c r="H3274" s="28">
        <v>0.65</v>
      </c>
      <c r="I3274">
        <v>0</v>
      </c>
      <c r="J3274" t="s">
        <v>174</v>
      </c>
      <c r="K3274">
        <v>0</v>
      </c>
      <c r="L3274" t="s">
        <v>1164</v>
      </c>
      <c r="M3274" t="s">
        <v>8539</v>
      </c>
      <c r="N3274" t="s">
        <v>8540</v>
      </c>
      <c r="O3274" t="s">
        <v>8541</v>
      </c>
      <c r="P3274" t="s">
        <v>8542</v>
      </c>
    </row>
    <row r="3275" spans="1:16" x14ac:dyDescent="0.35">
      <c r="A3275" t="s">
        <v>122</v>
      </c>
      <c r="B3275">
        <v>1701216090</v>
      </c>
      <c r="C3275" t="s">
        <v>18</v>
      </c>
      <c r="D3275" t="s">
        <v>21</v>
      </c>
      <c r="E3275" s="29">
        <v>46208</v>
      </c>
      <c r="F3275" t="s">
        <v>6</v>
      </c>
      <c r="G3275" s="28">
        <v>0.65694444444444444</v>
      </c>
      <c r="H3275" s="28">
        <v>0.65694444444444444</v>
      </c>
      <c r="I3275">
        <v>0</v>
      </c>
      <c r="J3275" t="s">
        <v>174</v>
      </c>
      <c r="K3275">
        <v>0</v>
      </c>
      <c r="L3275" t="s">
        <v>1164</v>
      </c>
      <c r="M3275" t="s">
        <v>8535</v>
      </c>
      <c r="N3275" t="s">
        <v>8536</v>
      </c>
      <c r="O3275" t="s">
        <v>8537</v>
      </c>
      <c r="P3275" t="s">
        <v>8538</v>
      </c>
    </row>
    <row r="3276" spans="1:16" x14ac:dyDescent="0.35">
      <c r="A3276" t="s">
        <v>122</v>
      </c>
      <c r="B3276">
        <v>1701216090</v>
      </c>
      <c r="C3276" t="s">
        <v>18</v>
      </c>
      <c r="D3276" t="s">
        <v>21</v>
      </c>
      <c r="E3276" s="29">
        <v>46208</v>
      </c>
      <c r="F3276" t="s">
        <v>6</v>
      </c>
      <c r="G3276" s="28">
        <v>0.66388888888888886</v>
      </c>
      <c r="H3276" s="28">
        <v>0.68472222222222223</v>
      </c>
      <c r="I3276">
        <v>1</v>
      </c>
      <c r="J3276" t="s">
        <v>146</v>
      </c>
      <c r="K3276">
        <v>2</v>
      </c>
      <c r="L3276" t="s">
        <v>147</v>
      </c>
      <c r="M3276" t="s">
        <v>8539</v>
      </c>
      <c r="N3276" t="s">
        <v>8540</v>
      </c>
      <c r="O3276" t="s">
        <v>8541</v>
      </c>
      <c r="P3276" t="s">
        <v>8542</v>
      </c>
    </row>
    <row r="3277" spans="1:16" x14ac:dyDescent="0.35">
      <c r="A3277" t="s">
        <v>122</v>
      </c>
      <c r="B3277">
        <v>1701216090</v>
      </c>
      <c r="C3277" t="s">
        <v>18</v>
      </c>
      <c r="D3277" t="s">
        <v>21</v>
      </c>
      <c r="E3277" s="29">
        <v>46208</v>
      </c>
      <c r="F3277" t="s">
        <v>6</v>
      </c>
      <c r="G3277" s="28">
        <v>0.69166666666666665</v>
      </c>
      <c r="H3277" s="28">
        <v>0.69166666666666665</v>
      </c>
      <c r="I3277">
        <v>0</v>
      </c>
      <c r="J3277" t="s">
        <v>174</v>
      </c>
      <c r="K3277">
        <v>0</v>
      </c>
      <c r="L3277" t="s">
        <v>1084</v>
      </c>
      <c r="M3277" t="s">
        <v>8543</v>
      </c>
      <c r="N3277" t="s">
        <v>8544</v>
      </c>
      <c r="O3277" t="s">
        <v>8545</v>
      </c>
      <c r="P3277" t="s">
        <v>8546</v>
      </c>
    </row>
    <row r="3278" spans="1:16" x14ac:dyDescent="0.35">
      <c r="A3278" t="s">
        <v>122</v>
      </c>
      <c r="B3278">
        <v>1701216090</v>
      </c>
      <c r="C3278" t="s">
        <v>18</v>
      </c>
      <c r="D3278" t="s">
        <v>21</v>
      </c>
      <c r="E3278" s="29">
        <v>46208</v>
      </c>
      <c r="F3278" t="s">
        <v>6</v>
      </c>
      <c r="G3278" s="28">
        <v>0.69861111111111107</v>
      </c>
      <c r="H3278" s="28">
        <v>0.69861111111111107</v>
      </c>
      <c r="I3278">
        <v>0</v>
      </c>
      <c r="J3278" t="s">
        <v>174</v>
      </c>
      <c r="K3278">
        <v>0</v>
      </c>
      <c r="L3278" t="s">
        <v>442</v>
      </c>
      <c r="M3278" t="s">
        <v>8547</v>
      </c>
      <c r="N3278" t="s">
        <v>8548</v>
      </c>
      <c r="O3278" t="s">
        <v>8549</v>
      </c>
      <c r="P3278" t="s">
        <v>8550</v>
      </c>
    </row>
    <row r="3279" spans="1:16" x14ac:dyDescent="0.35">
      <c r="A3279" t="s">
        <v>122</v>
      </c>
      <c r="B3279">
        <v>1701216090</v>
      </c>
      <c r="C3279" t="s">
        <v>18</v>
      </c>
      <c r="D3279" t="s">
        <v>21</v>
      </c>
      <c r="E3279" s="29">
        <v>46208</v>
      </c>
      <c r="F3279" t="s">
        <v>6</v>
      </c>
      <c r="G3279" s="28">
        <v>0.7055555555555556</v>
      </c>
      <c r="H3279" s="28">
        <v>0.7055555555555556</v>
      </c>
      <c r="I3279">
        <v>0</v>
      </c>
      <c r="J3279" t="s">
        <v>174</v>
      </c>
      <c r="K3279">
        <v>0</v>
      </c>
      <c r="L3279" t="s">
        <v>442</v>
      </c>
      <c r="M3279" t="s">
        <v>8551</v>
      </c>
      <c r="N3279" t="s">
        <v>8552</v>
      </c>
      <c r="O3279" t="s">
        <v>8553</v>
      </c>
      <c r="P3279" t="s">
        <v>8554</v>
      </c>
    </row>
    <row r="3280" spans="1:16" x14ac:dyDescent="0.35">
      <c r="A3280" t="s">
        <v>122</v>
      </c>
      <c r="B3280">
        <v>1701216090</v>
      </c>
      <c r="C3280" t="s">
        <v>18</v>
      </c>
      <c r="D3280" t="s">
        <v>21</v>
      </c>
      <c r="E3280" s="29">
        <v>46208</v>
      </c>
      <c r="F3280" t="s">
        <v>6</v>
      </c>
      <c r="G3280" s="28">
        <v>0.71250000000000002</v>
      </c>
      <c r="H3280" s="28">
        <v>0.71250000000000002</v>
      </c>
      <c r="I3280">
        <v>0</v>
      </c>
      <c r="J3280" t="s">
        <v>174</v>
      </c>
      <c r="K3280">
        <v>0</v>
      </c>
      <c r="L3280" t="s">
        <v>2109</v>
      </c>
      <c r="M3280" t="s">
        <v>8547</v>
      </c>
      <c r="N3280" t="s">
        <v>8548</v>
      </c>
      <c r="O3280" t="s">
        <v>8549</v>
      </c>
      <c r="P3280" t="s">
        <v>8550</v>
      </c>
    </row>
    <row r="3281" spans="1:16" x14ac:dyDescent="0.35">
      <c r="A3281" t="s">
        <v>122</v>
      </c>
      <c r="B3281">
        <v>1701216090</v>
      </c>
      <c r="C3281" t="s">
        <v>18</v>
      </c>
      <c r="D3281" t="s">
        <v>21</v>
      </c>
      <c r="E3281" s="29">
        <v>46208</v>
      </c>
      <c r="F3281" t="s">
        <v>6</v>
      </c>
      <c r="G3281" s="28">
        <v>0.71944444444444444</v>
      </c>
      <c r="H3281" s="28">
        <v>0.71944444444444444</v>
      </c>
      <c r="I3281">
        <v>0</v>
      </c>
      <c r="J3281" t="s">
        <v>174</v>
      </c>
      <c r="K3281">
        <v>0</v>
      </c>
      <c r="L3281" t="s">
        <v>6546</v>
      </c>
      <c r="M3281" t="s">
        <v>8555</v>
      </c>
      <c r="N3281" t="s">
        <v>8556</v>
      </c>
      <c r="O3281" t="s">
        <v>8557</v>
      </c>
      <c r="P3281" t="s">
        <v>8558</v>
      </c>
    </row>
    <row r="3282" spans="1:16" x14ac:dyDescent="0.35">
      <c r="A3282" t="s">
        <v>122</v>
      </c>
      <c r="B3282">
        <v>1701216090</v>
      </c>
      <c r="C3282" t="s">
        <v>18</v>
      </c>
      <c r="D3282" t="s">
        <v>21</v>
      </c>
      <c r="E3282" s="29">
        <v>46208</v>
      </c>
      <c r="F3282" t="s">
        <v>6</v>
      </c>
      <c r="G3282" s="28">
        <v>0.72638888888888886</v>
      </c>
      <c r="H3282" s="28">
        <v>0.72638888888888886</v>
      </c>
      <c r="I3282">
        <v>0</v>
      </c>
      <c r="J3282" t="s">
        <v>174</v>
      </c>
      <c r="K3282">
        <v>0</v>
      </c>
      <c r="L3282" t="s">
        <v>1188</v>
      </c>
      <c r="M3282" t="s">
        <v>8559</v>
      </c>
      <c r="N3282" t="s">
        <v>8560</v>
      </c>
      <c r="O3282" t="s">
        <v>8561</v>
      </c>
      <c r="P3282" t="s">
        <v>8562</v>
      </c>
    </row>
    <row r="3283" spans="1:16" x14ac:dyDescent="0.35">
      <c r="A3283" t="s">
        <v>122</v>
      </c>
      <c r="B3283">
        <v>1701216090</v>
      </c>
      <c r="C3283" t="s">
        <v>18</v>
      </c>
      <c r="D3283" t="s">
        <v>21</v>
      </c>
      <c r="E3283" s="29">
        <v>46208</v>
      </c>
      <c r="F3283" t="s">
        <v>6</v>
      </c>
      <c r="G3283" s="28">
        <v>0.73333333333333328</v>
      </c>
      <c r="H3283" s="28">
        <v>0.73333333333333328</v>
      </c>
      <c r="I3283">
        <v>0</v>
      </c>
      <c r="J3283" t="s">
        <v>174</v>
      </c>
      <c r="K3283">
        <v>0</v>
      </c>
      <c r="L3283" t="s">
        <v>1188</v>
      </c>
      <c r="M3283" t="s">
        <v>8563</v>
      </c>
      <c r="N3283" t="s">
        <v>8564</v>
      </c>
      <c r="O3283" t="s">
        <v>8565</v>
      </c>
      <c r="P3283" t="s">
        <v>8566</v>
      </c>
    </row>
    <row r="3284" spans="1:16" x14ac:dyDescent="0.35">
      <c r="A3284" t="s">
        <v>122</v>
      </c>
      <c r="B3284">
        <v>1701216090</v>
      </c>
      <c r="C3284" t="s">
        <v>18</v>
      </c>
      <c r="D3284" t="s">
        <v>21</v>
      </c>
      <c r="E3284" s="29">
        <v>46208</v>
      </c>
      <c r="F3284" t="s">
        <v>6</v>
      </c>
      <c r="G3284" s="28">
        <v>0.74027777777777781</v>
      </c>
      <c r="H3284" s="28">
        <v>0.7680555555555556</v>
      </c>
      <c r="I3284">
        <v>1</v>
      </c>
      <c r="J3284" t="s">
        <v>146</v>
      </c>
      <c r="K3284">
        <v>2</v>
      </c>
      <c r="L3284" t="s">
        <v>147</v>
      </c>
      <c r="M3284" t="s">
        <v>8559</v>
      </c>
      <c r="N3284" t="s">
        <v>8560</v>
      </c>
      <c r="O3284" t="s">
        <v>8561</v>
      </c>
      <c r="P3284" t="s">
        <v>8562</v>
      </c>
    </row>
    <row r="3285" spans="1:16" x14ac:dyDescent="0.35">
      <c r="A3285" t="s">
        <v>122</v>
      </c>
      <c r="B3285">
        <v>1701216090</v>
      </c>
      <c r="C3285" t="s">
        <v>18</v>
      </c>
      <c r="D3285" t="s">
        <v>21</v>
      </c>
      <c r="E3285" s="29">
        <v>46208</v>
      </c>
      <c r="F3285" t="s">
        <v>6</v>
      </c>
      <c r="G3285" s="28">
        <v>0.77500000000000002</v>
      </c>
      <c r="H3285" s="28">
        <v>0.77500000000000002</v>
      </c>
      <c r="I3285">
        <v>0</v>
      </c>
      <c r="J3285" t="s">
        <v>174</v>
      </c>
      <c r="K3285">
        <v>0</v>
      </c>
      <c r="L3285" t="s">
        <v>8567</v>
      </c>
      <c r="M3285" t="s">
        <v>8568</v>
      </c>
      <c r="N3285" t="s">
        <v>8569</v>
      </c>
      <c r="O3285" t="s">
        <v>8570</v>
      </c>
      <c r="P3285" t="s">
        <v>4756</v>
      </c>
    </row>
    <row r="3286" spans="1:16" x14ac:dyDescent="0.35">
      <c r="A3286" t="s">
        <v>122</v>
      </c>
      <c r="B3286">
        <v>1701216090</v>
      </c>
      <c r="C3286" t="s">
        <v>18</v>
      </c>
      <c r="D3286" t="s">
        <v>21</v>
      </c>
      <c r="E3286" s="29">
        <v>46208</v>
      </c>
      <c r="F3286" t="s">
        <v>6</v>
      </c>
      <c r="G3286" s="28">
        <v>0.78194444444444444</v>
      </c>
      <c r="H3286" s="28">
        <v>0.78194444444444444</v>
      </c>
      <c r="I3286">
        <v>0</v>
      </c>
      <c r="J3286" t="s">
        <v>174</v>
      </c>
      <c r="K3286">
        <v>0</v>
      </c>
      <c r="L3286" t="s">
        <v>8567</v>
      </c>
      <c r="M3286" t="s">
        <v>8563</v>
      </c>
      <c r="N3286" t="s">
        <v>8564</v>
      </c>
      <c r="O3286" t="s">
        <v>8565</v>
      </c>
      <c r="P3286" t="s">
        <v>8566</v>
      </c>
    </row>
    <row r="3287" spans="1:16" x14ac:dyDescent="0.35">
      <c r="A3287" t="s">
        <v>122</v>
      </c>
      <c r="B3287">
        <v>1701216090</v>
      </c>
      <c r="C3287" t="s">
        <v>18</v>
      </c>
      <c r="D3287" t="s">
        <v>21</v>
      </c>
      <c r="E3287" s="29">
        <v>46208</v>
      </c>
      <c r="F3287" t="s">
        <v>6</v>
      </c>
      <c r="G3287" s="28">
        <v>0.78888888888888886</v>
      </c>
      <c r="H3287" s="28">
        <v>0.78888888888888886</v>
      </c>
      <c r="I3287">
        <v>0</v>
      </c>
      <c r="J3287" t="s">
        <v>174</v>
      </c>
      <c r="K3287">
        <v>0</v>
      </c>
      <c r="L3287" t="s">
        <v>7430</v>
      </c>
      <c r="M3287" t="s">
        <v>8568</v>
      </c>
      <c r="N3287" t="s">
        <v>8569</v>
      </c>
      <c r="O3287" t="s">
        <v>8570</v>
      </c>
      <c r="P3287" t="s">
        <v>4756</v>
      </c>
    </row>
    <row r="3288" spans="1:16" x14ac:dyDescent="0.35">
      <c r="A3288" t="s">
        <v>91</v>
      </c>
      <c r="B3288">
        <v>1313762456</v>
      </c>
      <c r="C3288" t="s">
        <v>18</v>
      </c>
      <c r="D3288" t="s">
        <v>20</v>
      </c>
      <c r="E3288" s="29">
        <v>46204</v>
      </c>
      <c r="F3288" t="s">
        <v>3</v>
      </c>
      <c r="G3288" s="28">
        <v>0.37777777777777777</v>
      </c>
      <c r="H3288" s="28">
        <v>0.37777777777777777</v>
      </c>
      <c r="I3288">
        <v>0</v>
      </c>
      <c r="J3288" t="s">
        <v>174</v>
      </c>
      <c r="K3288">
        <v>0</v>
      </c>
      <c r="L3288" t="s">
        <v>3836</v>
      </c>
      <c r="M3288" t="s">
        <v>2654</v>
      </c>
      <c r="N3288" t="s">
        <v>2655</v>
      </c>
      <c r="O3288" t="s">
        <v>2656</v>
      </c>
      <c r="P3288" t="s">
        <v>8571</v>
      </c>
    </row>
    <row r="3289" spans="1:16" x14ac:dyDescent="0.35">
      <c r="A3289" t="s">
        <v>91</v>
      </c>
      <c r="B3289">
        <v>1313762456</v>
      </c>
      <c r="C3289" t="s">
        <v>18</v>
      </c>
      <c r="D3289" t="s">
        <v>20</v>
      </c>
      <c r="E3289" s="29">
        <v>46204</v>
      </c>
      <c r="F3289" t="s">
        <v>3</v>
      </c>
      <c r="G3289" s="28">
        <v>0.38472222222222224</v>
      </c>
      <c r="H3289" s="28">
        <v>0.40555555555555556</v>
      </c>
      <c r="I3289">
        <v>0</v>
      </c>
      <c r="J3289" t="s">
        <v>146</v>
      </c>
      <c r="K3289">
        <v>2</v>
      </c>
      <c r="L3289" t="s">
        <v>147</v>
      </c>
      <c r="M3289" t="s">
        <v>2663</v>
      </c>
      <c r="N3289" t="s">
        <v>2664</v>
      </c>
      <c r="O3289" t="s">
        <v>2665</v>
      </c>
      <c r="P3289" t="s">
        <v>8572</v>
      </c>
    </row>
    <row r="3290" spans="1:16" x14ac:dyDescent="0.35">
      <c r="A3290" t="s">
        <v>91</v>
      </c>
      <c r="B3290">
        <v>1313762456</v>
      </c>
      <c r="C3290" t="s">
        <v>18</v>
      </c>
      <c r="D3290" t="s">
        <v>20</v>
      </c>
      <c r="E3290" s="29">
        <v>46204</v>
      </c>
      <c r="F3290" t="s">
        <v>3</v>
      </c>
      <c r="G3290" s="28">
        <v>0.41249999999999998</v>
      </c>
      <c r="H3290" s="28">
        <v>0.41249999999999998</v>
      </c>
      <c r="I3290">
        <v>0</v>
      </c>
      <c r="J3290" t="s">
        <v>174</v>
      </c>
      <c r="K3290">
        <v>0</v>
      </c>
      <c r="L3290" t="s">
        <v>8573</v>
      </c>
      <c r="M3290" t="s">
        <v>8574</v>
      </c>
      <c r="N3290" t="s">
        <v>8575</v>
      </c>
      <c r="O3290" t="s">
        <v>8576</v>
      </c>
      <c r="P3290" t="s">
        <v>8577</v>
      </c>
    </row>
    <row r="3291" spans="1:16" x14ac:dyDescent="0.35">
      <c r="A3291" t="s">
        <v>91</v>
      </c>
      <c r="B3291">
        <v>1313762456</v>
      </c>
      <c r="C3291" t="s">
        <v>18</v>
      </c>
      <c r="D3291" t="s">
        <v>20</v>
      </c>
      <c r="E3291" s="29">
        <v>46204</v>
      </c>
      <c r="F3291" t="s">
        <v>3</v>
      </c>
      <c r="G3291" s="28">
        <v>0.41944444444444445</v>
      </c>
      <c r="H3291" s="28">
        <v>0.41944444444444445</v>
      </c>
      <c r="I3291">
        <v>0</v>
      </c>
      <c r="J3291" t="s">
        <v>174</v>
      </c>
      <c r="K3291">
        <v>0</v>
      </c>
      <c r="L3291" t="s">
        <v>8573</v>
      </c>
      <c r="M3291" t="s">
        <v>2663</v>
      </c>
      <c r="N3291" t="s">
        <v>2664</v>
      </c>
      <c r="O3291" t="s">
        <v>2665</v>
      </c>
      <c r="P3291" t="s">
        <v>8572</v>
      </c>
    </row>
    <row r="3292" spans="1:16" x14ac:dyDescent="0.35">
      <c r="A3292" t="s">
        <v>91</v>
      </c>
      <c r="B3292">
        <v>1313762456</v>
      </c>
      <c r="C3292" t="s">
        <v>18</v>
      </c>
      <c r="D3292" t="s">
        <v>20</v>
      </c>
      <c r="E3292" s="29">
        <v>46204</v>
      </c>
      <c r="F3292" t="s">
        <v>3</v>
      </c>
      <c r="G3292" s="28">
        <v>0.42638888888888887</v>
      </c>
      <c r="H3292" s="28">
        <v>0.42638888888888887</v>
      </c>
      <c r="I3292">
        <v>0</v>
      </c>
      <c r="J3292" t="s">
        <v>174</v>
      </c>
      <c r="K3292">
        <v>0</v>
      </c>
      <c r="L3292" t="s">
        <v>8573</v>
      </c>
      <c r="M3292" t="s">
        <v>8574</v>
      </c>
      <c r="N3292" t="s">
        <v>8575</v>
      </c>
      <c r="O3292" t="s">
        <v>8576</v>
      </c>
      <c r="P3292" t="s">
        <v>8577</v>
      </c>
    </row>
    <row r="3293" spans="1:16" x14ac:dyDescent="0.35">
      <c r="A3293" t="s">
        <v>91</v>
      </c>
      <c r="B3293">
        <v>1313762456</v>
      </c>
      <c r="C3293" t="s">
        <v>18</v>
      </c>
      <c r="D3293" t="s">
        <v>20</v>
      </c>
      <c r="E3293" s="29">
        <v>46204</v>
      </c>
      <c r="F3293" t="s">
        <v>3</v>
      </c>
      <c r="G3293" s="28">
        <v>0.43333333333333335</v>
      </c>
      <c r="H3293" s="28">
        <v>0.46805555555555556</v>
      </c>
      <c r="I3293">
        <v>1</v>
      </c>
      <c r="J3293" t="s">
        <v>146</v>
      </c>
      <c r="K3293">
        <v>2</v>
      </c>
      <c r="L3293" t="s">
        <v>147</v>
      </c>
      <c r="M3293" t="s">
        <v>2663</v>
      </c>
      <c r="N3293" t="s">
        <v>2664</v>
      </c>
      <c r="O3293" t="s">
        <v>2665</v>
      </c>
      <c r="P3293" t="s">
        <v>8572</v>
      </c>
    </row>
    <row r="3294" spans="1:16" x14ac:dyDescent="0.35">
      <c r="A3294" t="s">
        <v>91</v>
      </c>
      <c r="B3294">
        <v>1313762456</v>
      </c>
      <c r="C3294" t="s">
        <v>18</v>
      </c>
      <c r="D3294" t="s">
        <v>20</v>
      </c>
      <c r="E3294" s="29">
        <v>46204</v>
      </c>
      <c r="F3294" t="s">
        <v>3</v>
      </c>
      <c r="G3294" s="28">
        <v>0.47499999999999998</v>
      </c>
      <c r="H3294" s="28">
        <v>0.47499999999999998</v>
      </c>
      <c r="I3294">
        <v>0</v>
      </c>
      <c r="J3294" t="s">
        <v>174</v>
      </c>
      <c r="K3294">
        <v>0</v>
      </c>
      <c r="L3294" t="s">
        <v>8578</v>
      </c>
      <c r="M3294" t="s">
        <v>2708</v>
      </c>
      <c r="N3294" t="s">
        <v>2709</v>
      </c>
      <c r="O3294" t="s">
        <v>2710</v>
      </c>
      <c r="P3294" t="s">
        <v>8579</v>
      </c>
    </row>
    <row r="3295" spans="1:16" x14ac:dyDescent="0.35">
      <c r="A3295" t="s">
        <v>91</v>
      </c>
      <c r="B3295">
        <v>1313762456</v>
      </c>
      <c r="C3295" t="s">
        <v>18</v>
      </c>
      <c r="D3295" t="s">
        <v>20</v>
      </c>
      <c r="E3295" s="29">
        <v>46204</v>
      </c>
      <c r="F3295" t="s">
        <v>3</v>
      </c>
      <c r="G3295" s="28">
        <v>0.48194444444444445</v>
      </c>
      <c r="H3295" s="28">
        <v>0.48194444444444445</v>
      </c>
      <c r="I3295">
        <v>0</v>
      </c>
      <c r="J3295" t="s">
        <v>174</v>
      </c>
      <c r="K3295">
        <v>0</v>
      </c>
      <c r="L3295" t="s">
        <v>685</v>
      </c>
      <c r="M3295" t="s">
        <v>8580</v>
      </c>
      <c r="N3295" t="s">
        <v>8581</v>
      </c>
      <c r="O3295" t="s">
        <v>8582</v>
      </c>
      <c r="P3295" t="s">
        <v>8583</v>
      </c>
    </row>
    <row r="3296" spans="1:16" x14ac:dyDescent="0.35">
      <c r="A3296" t="s">
        <v>91</v>
      </c>
      <c r="B3296">
        <v>1313762456</v>
      </c>
      <c r="C3296" t="s">
        <v>18</v>
      </c>
      <c r="D3296" t="s">
        <v>20</v>
      </c>
      <c r="E3296" s="29">
        <v>46204</v>
      </c>
      <c r="F3296" t="s">
        <v>3</v>
      </c>
      <c r="G3296" s="28">
        <v>0.48888888888888887</v>
      </c>
      <c r="H3296" s="28">
        <v>0.49583333333333335</v>
      </c>
      <c r="I3296">
        <v>0</v>
      </c>
      <c r="J3296" t="s">
        <v>146</v>
      </c>
      <c r="K3296">
        <v>1</v>
      </c>
      <c r="L3296" t="s">
        <v>147</v>
      </c>
      <c r="M3296" t="s">
        <v>2642</v>
      </c>
      <c r="N3296" t="s">
        <v>2643</v>
      </c>
      <c r="O3296" t="s">
        <v>2644</v>
      </c>
      <c r="P3296" t="s">
        <v>8584</v>
      </c>
    </row>
    <row r="3297" spans="1:16" x14ac:dyDescent="0.35">
      <c r="A3297" t="s">
        <v>91</v>
      </c>
      <c r="B3297">
        <v>1313762456</v>
      </c>
      <c r="C3297" t="s">
        <v>18</v>
      </c>
      <c r="D3297" t="s">
        <v>20</v>
      </c>
      <c r="E3297" s="29">
        <v>46204</v>
      </c>
      <c r="F3297" t="s">
        <v>3</v>
      </c>
      <c r="G3297" s="28">
        <v>0.50277777777777777</v>
      </c>
      <c r="H3297" s="28">
        <v>0.53055555555555556</v>
      </c>
      <c r="I3297">
        <v>1</v>
      </c>
      <c r="J3297" t="s">
        <v>146</v>
      </c>
      <c r="K3297">
        <v>2</v>
      </c>
      <c r="L3297" t="s">
        <v>147</v>
      </c>
      <c r="M3297" t="s">
        <v>2790</v>
      </c>
      <c r="N3297" t="s">
        <v>2791</v>
      </c>
      <c r="O3297" t="s">
        <v>2792</v>
      </c>
      <c r="P3297" t="s">
        <v>8585</v>
      </c>
    </row>
    <row r="3298" spans="1:16" x14ac:dyDescent="0.35">
      <c r="A3298" t="s">
        <v>91</v>
      </c>
      <c r="B3298">
        <v>1313762456</v>
      </c>
      <c r="C3298" t="s">
        <v>18</v>
      </c>
      <c r="D3298" t="s">
        <v>20</v>
      </c>
      <c r="E3298" s="29">
        <v>46204</v>
      </c>
      <c r="F3298" t="s">
        <v>3</v>
      </c>
      <c r="G3298" s="28">
        <v>0.53749999999999998</v>
      </c>
      <c r="H3298" s="28">
        <v>0.53749999999999998</v>
      </c>
      <c r="I3298">
        <v>0</v>
      </c>
      <c r="J3298" t="s">
        <v>174</v>
      </c>
      <c r="K3298">
        <v>0</v>
      </c>
      <c r="L3298" t="s">
        <v>8586</v>
      </c>
      <c r="M3298" t="s">
        <v>2717</v>
      </c>
      <c r="N3298" t="s">
        <v>2718</v>
      </c>
      <c r="O3298" t="s">
        <v>2719</v>
      </c>
      <c r="P3298" t="s">
        <v>8587</v>
      </c>
    </row>
    <row r="3299" spans="1:16" x14ac:dyDescent="0.35">
      <c r="A3299" t="s">
        <v>91</v>
      </c>
      <c r="B3299">
        <v>1313762456</v>
      </c>
      <c r="C3299" t="s">
        <v>18</v>
      </c>
      <c r="D3299" t="s">
        <v>20</v>
      </c>
      <c r="E3299" s="29">
        <v>46204</v>
      </c>
      <c r="F3299" t="s">
        <v>3</v>
      </c>
      <c r="G3299" s="28">
        <v>0.5444444444444444</v>
      </c>
      <c r="H3299" s="28">
        <v>0.55138888888888893</v>
      </c>
      <c r="I3299">
        <v>0</v>
      </c>
      <c r="J3299" t="s">
        <v>146</v>
      </c>
      <c r="K3299">
        <v>1</v>
      </c>
      <c r="L3299" t="s">
        <v>147</v>
      </c>
      <c r="M3299" t="s">
        <v>2790</v>
      </c>
      <c r="N3299" t="s">
        <v>2791</v>
      </c>
      <c r="O3299" t="s">
        <v>2792</v>
      </c>
      <c r="P3299" t="s">
        <v>8585</v>
      </c>
    </row>
    <row r="3300" spans="1:16" x14ac:dyDescent="0.35">
      <c r="A3300" t="s">
        <v>91</v>
      </c>
      <c r="B3300">
        <v>1313762456</v>
      </c>
      <c r="C3300" t="s">
        <v>18</v>
      </c>
      <c r="D3300" t="s">
        <v>20</v>
      </c>
      <c r="E3300" s="29">
        <v>46204</v>
      </c>
      <c r="F3300" t="s">
        <v>3</v>
      </c>
      <c r="G3300" s="28">
        <v>0.55833333333333335</v>
      </c>
      <c r="H3300" s="28">
        <v>0.57222222222222219</v>
      </c>
      <c r="I3300">
        <v>0</v>
      </c>
      <c r="J3300" t="s">
        <v>146</v>
      </c>
      <c r="K3300">
        <v>1</v>
      </c>
      <c r="L3300" t="s">
        <v>147</v>
      </c>
      <c r="M3300" t="s">
        <v>8588</v>
      </c>
      <c r="N3300" t="s">
        <v>8589</v>
      </c>
      <c r="O3300" t="s">
        <v>8590</v>
      </c>
      <c r="P3300" t="s">
        <v>8591</v>
      </c>
    </row>
    <row r="3301" spans="1:16" x14ac:dyDescent="0.35">
      <c r="A3301" t="s">
        <v>91</v>
      </c>
      <c r="B3301">
        <v>1313762456</v>
      </c>
      <c r="C3301" t="s">
        <v>18</v>
      </c>
      <c r="D3301" t="s">
        <v>20</v>
      </c>
      <c r="E3301" s="29">
        <v>46204</v>
      </c>
      <c r="F3301" t="s">
        <v>3</v>
      </c>
      <c r="G3301" s="28">
        <v>0.57916666666666672</v>
      </c>
      <c r="H3301" s="28">
        <v>0.6</v>
      </c>
      <c r="I3301">
        <v>0</v>
      </c>
      <c r="J3301" t="s">
        <v>146</v>
      </c>
      <c r="K3301">
        <v>1</v>
      </c>
      <c r="L3301" t="s">
        <v>147</v>
      </c>
      <c r="M3301" t="s">
        <v>2790</v>
      </c>
      <c r="N3301" t="s">
        <v>2791</v>
      </c>
      <c r="O3301" t="s">
        <v>2792</v>
      </c>
      <c r="P3301" t="s">
        <v>8585</v>
      </c>
    </row>
    <row r="3302" spans="1:16" x14ac:dyDescent="0.35">
      <c r="A3302" t="s">
        <v>91</v>
      </c>
      <c r="B3302">
        <v>1313762456</v>
      </c>
      <c r="C3302" t="s">
        <v>18</v>
      </c>
      <c r="D3302" t="s">
        <v>20</v>
      </c>
      <c r="E3302" s="29">
        <v>46204</v>
      </c>
      <c r="F3302" t="s">
        <v>3</v>
      </c>
      <c r="G3302" s="28">
        <v>0.6069444444444444</v>
      </c>
      <c r="H3302" s="28">
        <v>0.6069444444444444</v>
      </c>
      <c r="I3302">
        <v>0</v>
      </c>
      <c r="J3302" t="s">
        <v>174</v>
      </c>
      <c r="K3302">
        <v>0</v>
      </c>
      <c r="L3302" t="s">
        <v>8586</v>
      </c>
      <c r="M3302" t="s">
        <v>2717</v>
      </c>
      <c r="N3302" t="s">
        <v>2718</v>
      </c>
      <c r="O3302" t="s">
        <v>2719</v>
      </c>
      <c r="P3302" t="s">
        <v>8587</v>
      </c>
    </row>
    <row r="3303" spans="1:16" x14ac:dyDescent="0.35">
      <c r="A3303" t="s">
        <v>91</v>
      </c>
      <c r="B3303">
        <v>1313762456</v>
      </c>
      <c r="C3303" t="s">
        <v>18</v>
      </c>
      <c r="D3303" t="s">
        <v>20</v>
      </c>
      <c r="E3303" s="29">
        <v>46204</v>
      </c>
      <c r="F3303" t="s">
        <v>3</v>
      </c>
      <c r="G3303" s="28">
        <v>0.61388888888888893</v>
      </c>
      <c r="H3303" s="28">
        <v>0.62083333333333335</v>
      </c>
      <c r="I3303">
        <v>0</v>
      </c>
      <c r="J3303" t="s">
        <v>146</v>
      </c>
      <c r="K3303">
        <v>0</v>
      </c>
      <c r="L3303" t="s">
        <v>147</v>
      </c>
      <c r="M3303" t="s">
        <v>2790</v>
      </c>
      <c r="N3303" t="s">
        <v>2791</v>
      </c>
      <c r="O3303" t="s">
        <v>2792</v>
      </c>
      <c r="P3303" t="s">
        <v>8585</v>
      </c>
    </row>
    <row r="3304" spans="1:16" x14ac:dyDescent="0.35">
      <c r="A3304" t="s">
        <v>91</v>
      </c>
      <c r="B3304">
        <v>1313762456</v>
      </c>
      <c r="C3304" t="s">
        <v>18</v>
      </c>
      <c r="D3304" t="s">
        <v>20</v>
      </c>
      <c r="E3304" s="29">
        <v>46204</v>
      </c>
      <c r="F3304" t="s">
        <v>3</v>
      </c>
      <c r="G3304" s="28">
        <v>0.62777777777777777</v>
      </c>
      <c r="H3304" s="28">
        <v>0.62777777777777777</v>
      </c>
      <c r="I3304">
        <v>0</v>
      </c>
      <c r="J3304" t="s">
        <v>174</v>
      </c>
      <c r="K3304">
        <v>0</v>
      </c>
      <c r="L3304" t="s">
        <v>8586</v>
      </c>
      <c r="M3304" t="s">
        <v>2717</v>
      </c>
      <c r="N3304" t="s">
        <v>2718</v>
      </c>
      <c r="O3304" t="s">
        <v>2719</v>
      </c>
      <c r="P3304" t="s">
        <v>8587</v>
      </c>
    </row>
    <row r="3305" spans="1:16" x14ac:dyDescent="0.35">
      <c r="A3305" t="s">
        <v>91</v>
      </c>
      <c r="B3305">
        <v>1313762456</v>
      </c>
      <c r="C3305" t="s">
        <v>18</v>
      </c>
      <c r="D3305" t="s">
        <v>20</v>
      </c>
      <c r="E3305" s="29">
        <v>46204</v>
      </c>
      <c r="F3305" t="s">
        <v>3</v>
      </c>
      <c r="G3305" s="28">
        <v>0.63472222222222219</v>
      </c>
      <c r="H3305" s="28">
        <v>0.63472222222222219</v>
      </c>
      <c r="I3305">
        <v>0</v>
      </c>
      <c r="J3305" t="s">
        <v>174</v>
      </c>
      <c r="K3305">
        <v>0</v>
      </c>
      <c r="L3305" t="s">
        <v>8586</v>
      </c>
      <c r="M3305" t="s">
        <v>2790</v>
      </c>
      <c r="N3305" t="s">
        <v>2791</v>
      </c>
      <c r="O3305" t="s">
        <v>2792</v>
      </c>
      <c r="P3305" t="s">
        <v>8585</v>
      </c>
    </row>
    <row r="3306" spans="1:16" x14ac:dyDescent="0.35">
      <c r="A3306" t="s">
        <v>91</v>
      </c>
      <c r="B3306">
        <v>1313762456</v>
      </c>
      <c r="C3306" t="s">
        <v>18</v>
      </c>
      <c r="D3306" t="s">
        <v>20</v>
      </c>
      <c r="E3306" s="29">
        <v>46204</v>
      </c>
      <c r="F3306" t="s">
        <v>3</v>
      </c>
      <c r="G3306" s="28">
        <v>0.64166666666666672</v>
      </c>
      <c r="H3306" s="28">
        <v>0.64166666666666672</v>
      </c>
      <c r="I3306">
        <v>0</v>
      </c>
      <c r="J3306" t="s">
        <v>174</v>
      </c>
      <c r="K3306">
        <v>0</v>
      </c>
      <c r="L3306" t="s">
        <v>8586</v>
      </c>
      <c r="M3306" t="s">
        <v>2717</v>
      </c>
      <c r="N3306" t="s">
        <v>2718</v>
      </c>
      <c r="O3306" t="s">
        <v>2719</v>
      </c>
      <c r="P3306" t="s">
        <v>8587</v>
      </c>
    </row>
    <row r="3307" spans="1:16" x14ac:dyDescent="0.35">
      <c r="A3307" t="s">
        <v>91</v>
      </c>
      <c r="B3307">
        <v>1313762456</v>
      </c>
      <c r="C3307" t="s">
        <v>18</v>
      </c>
      <c r="D3307" t="s">
        <v>20</v>
      </c>
      <c r="E3307" s="29">
        <v>46204</v>
      </c>
      <c r="F3307" t="s">
        <v>3</v>
      </c>
      <c r="G3307" s="28">
        <v>0.64861111111111114</v>
      </c>
      <c r="H3307" s="28">
        <v>0.64861111111111114</v>
      </c>
      <c r="I3307">
        <v>0</v>
      </c>
      <c r="J3307" t="s">
        <v>174</v>
      </c>
      <c r="K3307">
        <v>0</v>
      </c>
      <c r="L3307" t="s">
        <v>8592</v>
      </c>
      <c r="M3307" t="s">
        <v>2790</v>
      </c>
      <c r="N3307" t="s">
        <v>2791</v>
      </c>
      <c r="O3307" t="s">
        <v>2792</v>
      </c>
      <c r="P3307" t="s">
        <v>8585</v>
      </c>
    </row>
    <row r="3308" spans="1:16" x14ac:dyDescent="0.35">
      <c r="A3308" t="s">
        <v>91</v>
      </c>
      <c r="B3308">
        <v>1313762456</v>
      </c>
      <c r="C3308" t="s">
        <v>18</v>
      </c>
      <c r="D3308" t="s">
        <v>20</v>
      </c>
      <c r="E3308" s="29">
        <v>46204</v>
      </c>
      <c r="F3308" t="s">
        <v>3</v>
      </c>
      <c r="G3308" s="28">
        <v>0.65555555555555556</v>
      </c>
      <c r="H3308" s="28">
        <v>0.65555555555555556</v>
      </c>
      <c r="I3308">
        <v>0</v>
      </c>
      <c r="J3308" t="s">
        <v>174</v>
      </c>
      <c r="K3308">
        <v>0</v>
      </c>
      <c r="L3308" t="s">
        <v>8592</v>
      </c>
      <c r="M3308" t="s">
        <v>8588</v>
      </c>
      <c r="N3308" t="s">
        <v>8589</v>
      </c>
      <c r="O3308" t="s">
        <v>8590</v>
      </c>
      <c r="P3308" t="s">
        <v>8591</v>
      </c>
    </row>
    <row r="3309" spans="1:16" x14ac:dyDescent="0.35">
      <c r="A3309" t="s">
        <v>91</v>
      </c>
      <c r="B3309">
        <v>1313762456</v>
      </c>
      <c r="C3309" t="s">
        <v>18</v>
      </c>
      <c r="D3309" t="s">
        <v>20</v>
      </c>
      <c r="E3309" s="29">
        <v>46204</v>
      </c>
      <c r="F3309" t="s">
        <v>3</v>
      </c>
      <c r="G3309" s="28">
        <v>0.66249999999999998</v>
      </c>
      <c r="H3309" s="28">
        <v>0.67638888888888893</v>
      </c>
      <c r="I3309">
        <v>0</v>
      </c>
      <c r="J3309" t="s">
        <v>146</v>
      </c>
      <c r="K3309">
        <v>1</v>
      </c>
      <c r="L3309" t="s">
        <v>147</v>
      </c>
      <c r="M3309" t="s">
        <v>2790</v>
      </c>
      <c r="N3309" t="s">
        <v>2791</v>
      </c>
      <c r="O3309" t="s">
        <v>2792</v>
      </c>
      <c r="P3309" t="s">
        <v>8585</v>
      </c>
    </row>
    <row r="3310" spans="1:16" x14ac:dyDescent="0.35">
      <c r="A3310" t="s">
        <v>91</v>
      </c>
      <c r="B3310">
        <v>1313762456</v>
      </c>
      <c r="C3310" t="s">
        <v>18</v>
      </c>
      <c r="D3310" t="s">
        <v>20</v>
      </c>
      <c r="E3310" s="29">
        <v>46204</v>
      </c>
      <c r="F3310" t="s">
        <v>3</v>
      </c>
      <c r="G3310" s="28">
        <v>0.68333333333333335</v>
      </c>
      <c r="H3310" s="28">
        <v>0.69027777777777777</v>
      </c>
      <c r="I3310">
        <v>0</v>
      </c>
      <c r="J3310" t="s">
        <v>146</v>
      </c>
      <c r="K3310">
        <v>0</v>
      </c>
      <c r="L3310" t="s">
        <v>147</v>
      </c>
      <c r="M3310" t="s">
        <v>2717</v>
      </c>
      <c r="N3310" t="s">
        <v>2718</v>
      </c>
      <c r="O3310" t="s">
        <v>2719</v>
      </c>
      <c r="P3310" t="s">
        <v>8587</v>
      </c>
    </row>
    <row r="3311" spans="1:16" x14ac:dyDescent="0.35">
      <c r="A3311" t="s">
        <v>91</v>
      </c>
      <c r="B3311">
        <v>1313762456</v>
      </c>
      <c r="C3311" t="s">
        <v>18</v>
      </c>
      <c r="D3311" t="s">
        <v>20</v>
      </c>
      <c r="E3311" s="29">
        <v>46204</v>
      </c>
      <c r="F3311" t="s">
        <v>3</v>
      </c>
      <c r="G3311" s="28">
        <v>0.69722222222222219</v>
      </c>
      <c r="H3311" s="28">
        <v>0.69722222222222219</v>
      </c>
      <c r="I3311">
        <v>0</v>
      </c>
      <c r="J3311" t="s">
        <v>174</v>
      </c>
      <c r="K3311">
        <v>0</v>
      </c>
      <c r="L3311" t="s">
        <v>8592</v>
      </c>
      <c r="M3311" t="s">
        <v>8588</v>
      </c>
      <c r="N3311" t="s">
        <v>8589</v>
      </c>
      <c r="O3311" t="s">
        <v>8590</v>
      </c>
      <c r="P3311" t="s">
        <v>8591</v>
      </c>
    </row>
    <row r="3312" spans="1:16" x14ac:dyDescent="0.35">
      <c r="A3312" t="s">
        <v>91</v>
      </c>
      <c r="B3312">
        <v>1313762456</v>
      </c>
      <c r="C3312" t="s">
        <v>18</v>
      </c>
      <c r="D3312" t="s">
        <v>20</v>
      </c>
      <c r="E3312" s="29">
        <v>46204</v>
      </c>
      <c r="F3312" t="s">
        <v>3</v>
      </c>
      <c r="G3312" s="28">
        <v>0.70416666666666672</v>
      </c>
      <c r="H3312" s="28">
        <v>0.70416666666666672</v>
      </c>
      <c r="I3312">
        <v>0</v>
      </c>
      <c r="J3312" t="s">
        <v>174</v>
      </c>
      <c r="K3312">
        <v>0</v>
      </c>
      <c r="L3312" t="s">
        <v>8593</v>
      </c>
      <c r="M3312" t="s">
        <v>2790</v>
      </c>
      <c r="N3312" t="s">
        <v>2791</v>
      </c>
      <c r="O3312" t="s">
        <v>2792</v>
      </c>
      <c r="P3312" t="s">
        <v>8585</v>
      </c>
    </row>
    <row r="3313" spans="1:16" x14ac:dyDescent="0.35">
      <c r="A3313" t="s">
        <v>91</v>
      </c>
      <c r="B3313">
        <v>1313762456</v>
      </c>
      <c r="C3313" t="s">
        <v>18</v>
      </c>
      <c r="D3313" t="s">
        <v>20</v>
      </c>
      <c r="E3313" s="29">
        <v>46204</v>
      </c>
      <c r="F3313" t="s">
        <v>3</v>
      </c>
      <c r="G3313" s="28">
        <v>0.71111111111111114</v>
      </c>
      <c r="H3313" s="28">
        <v>0.71805555555555556</v>
      </c>
      <c r="I3313">
        <v>0</v>
      </c>
      <c r="J3313" t="s">
        <v>146</v>
      </c>
      <c r="K3313">
        <v>0</v>
      </c>
      <c r="L3313" t="s">
        <v>147</v>
      </c>
      <c r="M3313" t="s">
        <v>2642</v>
      </c>
      <c r="N3313" t="s">
        <v>2643</v>
      </c>
      <c r="O3313" t="s">
        <v>2644</v>
      </c>
      <c r="P3313" t="s">
        <v>8584</v>
      </c>
    </row>
    <row r="3314" spans="1:16" x14ac:dyDescent="0.35">
      <c r="A3314" t="s">
        <v>91</v>
      </c>
      <c r="B3314">
        <v>1313762456</v>
      </c>
      <c r="C3314" t="s">
        <v>18</v>
      </c>
      <c r="D3314" t="s">
        <v>20</v>
      </c>
      <c r="E3314" s="29">
        <v>46204</v>
      </c>
      <c r="F3314" t="s">
        <v>3</v>
      </c>
      <c r="G3314" s="28">
        <v>0.72499999999999998</v>
      </c>
      <c r="H3314" s="28">
        <v>0.73263888888888884</v>
      </c>
      <c r="I3314">
        <v>0</v>
      </c>
      <c r="J3314" t="s">
        <v>146</v>
      </c>
      <c r="K3314">
        <v>1</v>
      </c>
      <c r="L3314" t="s">
        <v>147</v>
      </c>
      <c r="M3314" t="s">
        <v>2790</v>
      </c>
      <c r="N3314" t="s">
        <v>2791</v>
      </c>
      <c r="O3314" t="s">
        <v>2792</v>
      </c>
      <c r="P3314" t="s">
        <v>8585</v>
      </c>
    </row>
    <row r="3315" spans="1:16" x14ac:dyDescent="0.35">
      <c r="A3315" t="s">
        <v>91</v>
      </c>
      <c r="B3315">
        <v>1313762456</v>
      </c>
      <c r="C3315" t="s">
        <v>18</v>
      </c>
      <c r="D3315" t="s">
        <v>20</v>
      </c>
      <c r="E3315" s="29">
        <v>46204</v>
      </c>
      <c r="F3315" t="s">
        <v>3</v>
      </c>
      <c r="G3315" s="28">
        <v>0.73888888888888893</v>
      </c>
      <c r="H3315" s="28">
        <v>0.74583333333333335</v>
      </c>
      <c r="I3315">
        <v>0</v>
      </c>
      <c r="J3315" t="s">
        <v>146</v>
      </c>
      <c r="K3315">
        <v>0</v>
      </c>
      <c r="L3315" t="s">
        <v>147</v>
      </c>
      <c r="M3315" t="s">
        <v>2717</v>
      </c>
      <c r="N3315" t="s">
        <v>2718</v>
      </c>
      <c r="O3315" t="s">
        <v>2719</v>
      </c>
      <c r="P3315" t="s">
        <v>8587</v>
      </c>
    </row>
    <row r="3316" spans="1:16" x14ac:dyDescent="0.35">
      <c r="A3316" t="s">
        <v>91</v>
      </c>
      <c r="B3316">
        <v>1313762456</v>
      </c>
      <c r="C3316" t="s">
        <v>18</v>
      </c>
      <c r="D3316" t="s">
        <v>20</v>
      </c>
      <c r="E3316" s="29">
        <v>46204</v>
      </c>
      <c r="F3316" t="s">
        <v>3</v>
      </c>
      <c r="G3316" s="28">
        <v>0.75277777777777777</v>
      </c>
      <c r="H3316" s="28">
        <v>0.75277777777777777</v>
      </c>
      <c r="I3316">
        <v>0</v>
      </c>
      <c r="J3316" t="s">
        <v>174</v>
      </c>
      <c r="K3316">
        <v>0</v>
      </c>
      <c r="L3316" t="s">
        <v>8586</v>
      </c>
      <c r="M3316" t="s">
        <v>2790</v>
      </c>
      <c r="N3316" t="s">
        <v>2791</v>
      </c>
      <c r="O3316" t="s">
        <v>2792</v>
      </c>
      <c r="P3316" t="s">
        <v>8585</v>
      </c>
    </row>
    <row r="3317" spans="1:16" x14ac:dyDescent="0.35">
      <c r="A3317" t="s">
        <v>91</v>
      </c>
      <c r="B3317">
        <v>1313762456</v>
      </c>
      <c r="C3317" t="s">
        <v>18</v>
      </c>
      <c r="D3317" t="s">
        <v>20</v>
      </c>
      <c r="E3317" s="29">
        <v>46204</v>
      </c>
      <c r="F3317" t="s">
        <v>3</v>
      </c>
      <c r="G3317" s="28">
        <v>0.75972222222222219</v>
      </c>
      <c r="H3317" s="28">
        <v>0.75972222222222219</v>
      </c>
      <c r="I3317">
        <v>0</v>
      </c>
      <c r="J3317" t="s">
        <v>174</v>
      </c>
      <c r="K3317">
        <v>0</v>
      </c>
      <c r="L3317" t="s">
        <v>8594</v>
      </c>
      <c r="M3317" t="s">
        <v>2717</v>
      </c>
      <c r="N3317" t="s">
        <v>2718</v>
      </c>
      <c r="O3317" t="s">
        <v>2719</v>
      </c>
      <c r="P3317" t="s">
        <v>8587</v>
      </c>
    </row>
    <row r="3318" spans="1:16" x14ac:dyDescent="0.35">
      <c r="A3318" t="s">
        <v>91</v>
      </c>
      <c r="B3318">
        <v>1313762456</v>
      </c>
      <c r="C3318" t="s">
        <v>18</v>
      </c>
      <c r="D3318" t="s">
        <v>20</v>
      </c>
      <c r="E3318" s="29">
        <v>46204</v>
      </c>
      <c r="F3318" t="s">
        <v>3</v>
      </c>
      <c r="G3318" s="28">
        <v>0.76666666666666672</v>
      </c>
      <c r="H3318" s="28">
        <v>0.76666666666666672</v>
      </c>
      <c r="I3318">
        <v>0</v>
      </c>
      <c r="J3318" t="s">
        <v>174</v>
      </c>
      <c r="K3318">
        <v>0</v>
      </c>
      <c r="L3318" t="s">
        <v>8595</v>
      </c>
      <c r="M3318" t="s">
        <v>2642</v>
      </c>
      <c r="N3318" t="s">
        <v>2643</v>
      </c>
      <c r="O3318" t="s">
        <v>2644</v>
      </c>
      <c r="P3318" t="s">
        <v>8584</v>
      </c>
    </row>
    <row r="3319" spans="1:16" x14ac:dyDescent="0.35">
      <c r="A3319" t="s">
        <v>91</v>
      </c>
      <c r="B3319">
        <v>1313762456</v>
      </c>
      <c r="C3319" t="s">
        <v>18</v>
      </c>
      <c r="D3319" t="s">
        <v>20</v>
      </c>
      <c r="E3319" s="29">
        <v>46204</v>
      </c>
      <c r="F3319" t="s">
        <v>3</v>
      </c>
      <c r="G3319" s="28">
        <v>0.77361111111111114</v>
      </c>
      <c r="H3319" s="28">
        <v>0.77361111111111114</v>
      </c>
      <c r="I3319">
        <v>0</v>
      </c>
      <c r="J3319" t="s">
        <v>174</v>
      </c>
      <c r="K3319">
        <v>0</v>
      </c>
      <c r="L3319" t="s">
        <v>8596</v>
      </c>
      <c r="M3319" t="s">
        <v>524</v>
      </c>
      <c r="N3319" t="s">
        <v>525</v>
      </c>
      <c r="O3319" t="s">
        <v>526</v>
      </c>
      <c r="P3319" t="s">
        <v>8597</v>
      </c>
    </row>
    <row r="3320" spans="1:16" x14ac:dyDescent="0.35">
      <c r="A3320" t="s">
        <v>91</v>
      </c>
      <c r="B3320">
        <v>1313762456</v>
      </c>
      <c r="C3320" t="s">
        <v>18</v>
      </c>
      <c r="D3320" t="s">
        <v>20</v>
      </c>
      <c r="E3320" s="29">
        <v>46204</v>
      </c>
      <c r="F3320" t="s">
        <v>3</v>
      </c>
      <c r="G3320" s="28">
        <v>0.78055555555555556</v>
      </c>
      <c r="H3320" s="28">
        <v>0.78055555555555556</v>
      </c>
      <c r="I3320">
        <v>0</v>
      </c>
      <c r="J3320" t="s">
        <v>174</v>
      </c>
      <c r="K3320">
        <v>0</v>
      </c>
      <c r="L3320" t="s">
        <v>8598</v>
      </c>
      <c r="M3320" t="s">
        <v>8599</v>
      </c>
      <c r="N3320" t="s">
        <v>8600</v>
      </c>
      <c r="O3320" t="s">
        <v>8601</v>
      </c>
      <c r="P3320" t="s">
        <v>8602</v>
      </c>
    </row>
    <row r="3321" spans="1:16" x14ac:dyDescent="0.35">
      <c r="A3321" t="s">
        <v>91</v>
      </c>
      <c r="B3321">
        <v>1313762456</v>
      </c>
      <c r="C3321" t="s">
        <v>18</v>
      </c>
      <c r="D3321" t="s">
        <v>20</v>
      </c>
      <c r="E3321" s="29">
        <v>46204</v>
      </c>
      <c r="F3321" t="s">
        <v>3</v>
      </c>
      <c r="G3321" s="28">
        <v>0.78749999999999998</v>
      </c>
      <c r="H3321" s="28">
        <v>0.78749999999999998</v>
      </c>
      <c r="I3321">
        <v>0</v>
      </c>
      <c r="J3321" t="s">
        <v>174</v>
      </c>
      <c r="K3321">
        <v>0</v>
      </c>
      <c r="L3321" t="s">
        <v>624</v>
      </c>
      <c r="M3321" t="s">
        <v>8603</v>
      </c>
      <c r="N3321" t="s">
        <v>8604</v>
      </c>
      <c r="O3321" t="s">
        <v>8605</v>
      </c>
      <c r="P3321" t="s">
        <v>8606</v>
      </c>
    </row>
    <row r="3322" spans="1:16" x14ac:dyDescent="0.35">
      <c r="A3322" t="s">
        <v>91</v>
      </c>
      <c r="B3322">
        <v>1313762456</v>
      </c>
      <c r="C3322" t="s">
        <v>18</v>
      </c>
      <c r="D3322" t="s">
        <v>20</v>
      </c>
      <c r="E3322" s="29">
        <v>46205</v>
      </c>
      <c r="F3322" t="s">
        <v>4</v>
      </c>
      <c r="G3322" s="28">
        <v>0.37777777777777777</v>
      </c>
      <c r="H3322" s="28">
        <v>0.37777777777777777</v>
      </c>
      <c r="I3322">
        <v>0</v>
      </c>
      <c r="J3322" t="s">
        <v>174</v>
      </c>
      <c r="K3322">
        <v>0</v>
      </c>
      <c r="L3322" t="s">
        <v>8607</v>
      </c>
      <c r="M3322" t="s">
        <v>8608</v>
      </c>
      <c r="N3322" t="s">
        <v>8609</v>
      </c>
      <c r="O3322" t="s">
        <v>8610</v>
      </c>
      <c r="P3322" t="s">
        <v>8611</v>
      </c>
    </row>
    <row r="3323" spans="1:16" x14ac:dyDescent="0.35">
      <c r="A3323" t="s">
        <v>91</v>
      </c>
      <c r="B3323">
        <v>1313762456</v>
      </c>
      <c r="C3323" t="s">
        <v>18</v>
      </c>
      <c r="D3323" t="s">
        <v>20</v>
      </c>
      <c r="E3323" s="29">
        <v>46205</v>
      </c>
      <c r="F3323" t="s">
        <v>4</v>
      </c>
      <c r="G3323" s="28">
        <v>0.38472222222222224</v>
      </c>
      <c r="H3323" s="28">
        <v>0.42638888888888887</v>
      </c>
      <c r="I3323">
        <v>1</v>
      </c>
      <c r="J3323" t="s">
        <v>146</v>
      </c>
      <c r="K3323">
        <v>3</v>
      </c>
      <c r="L3323" t="s">
        <v>147</v>
      </c>
      <c r="M3323" t="s">
        <v>8612</v>
      </c>
      <c r="N3323" t="s">
        <v>8613</v>
      </c>
      <c r="O3323" t="s">
        <v>8614</v>
      </c>
      <c r="P3323" t="s">
        <v>8615</v>
      </c>
    </row>
    <row r="3324" spans="1:16" x14ac:dyDescent="0.35">
      <c r="A3324" t="s">
        <v>91</v>
      </c>
      <c r="B3324">
        <v>1313762456</v>
      </c>
      <c r="C3324" t="s">
        <v>18</v>
      </c>
      <c r="D3324" t="s">
        <v>20</v>
      </c>
      <c r="E3324" s="29">
        <v>46205</v>
      </c>
      <c r="F3324" t="s">
        <v>4</v>
      </c>
      <c r="G3324" s="28">
        <v>0.43333333333333335</v>
      </c>
      <c r="H3324" s="28">
        <v>0.43333333333333335</v>
      </c>
      <c r="I3324">
        <v>0</v>
      </c>
      <c r="J3324" t="s">
        <v>174</v>
      </c>
      <c r="K3324">
        <v>0</v>
      </c>
      <c r="L3324" t="s">
        <v>6474</v>
      </c>
      <c r="M3324" t="s">
        <v>529</v>
      </c>
      <c r="N3324" t="s">
        <v>530</v>
      </c>
      <c r="O3324" t="s">
        <v>531</v>
      </c>
      <c r="P3324" t="s">
        <v>2433</v>
      </c>
    </row>
    <row r="3325" spans="1:16" x14ac:dyDescent="0.35">
      <c r="A3325" t="s">
        <v>91</v>
      </c>
      <c r="B3325">
        <v>1313762456</v>
      </c>
      <c r="C3325" t="s">
        <v>18</v>
      </c>
      <c r="D3325" t="s">
        <v>20</v>
      </c>
      <c r="E3325" s="29">
        <v>46205</v>
      </c>
      <c r="F3325" t="s">
        <v>4</v>
      </c>
      <c r="G3325" s="28">
        <v>0.44027777777777777</v>
      </c>
      <c r="H3325" s="28">
        <v>0.44027777777777777</v>
      </c>
      <c r="I3325">
        <v>0</v>
      </c>
      <c r="J3325" t="s">
        <v>174</v>
      </c>
      <c r="K3325">
        <v>0</v>
      </c>
      <c r="L3325" t="s">
        <v>8616</v>
      </c>
      <c r="M3325" t="s">
        <v>2819</v>
      </c>
      <c r="N3325" t="s">
        <v>2820</v>
      </c>
      <c r="O3325" t="s">
        <v>2811</v>
      </c>
      <c r="P3325" t="s">
        <v>8617</v>
      </c>
    </row>
    <row r="3326" spans="1:16" x14ac:dyDescent="0.35">
      <c r="A3326" t="s">
        <v>91</v>
      </c>
      <c r="B3326">
        <v>1313762456</v>
      </c>
      <c r="C3326" t="s">
        <v>18</v>
      </c>
      <c r="D3326" t="s">
        <v>20</v>
      </c>
      <c r="E3326" s="29">
        <v>46205</v>
      </c>
      <c r="F3326" t="s">
        <v>4</v>
      </c>
      <c r="G3326" s="28">
        <v>0.44722222222222224</v>
      </c>
      <c r="H3326" s="28">
        <v>0.44722222222222224</v>
      </c>
      <c r="I3326">
        <v>0</v>
      </c>
      <c r="J3326" t="s">
        <v>174</v>
      </c>
      <c r="K3326">
        <v>0</v>
      </c>
      <c r="L3326" t="s">
        <v>8616</v>
      </c>
      <c r="M3326" t="s">
        <v>2799</v>
      </c>
      <c r="N3326" t="s">
        <v>2800</v>
      </c>
      <c r="O3326" t="s">
        <v>2801</v>
      </c>
      <c r="P3326" t="s">
        <v>2798</v>
      </c>
    </row>
    <row r="3327" spans="1:16" x14ac:dyDescent="0.35">
      <c r="A3327" t="s">
        <v>91</v>
      </c>
      <c r="B3327">
        <v>1313762456</v>
      </c>
      <c r="C3327" t="s">
        <v>18</v>
      </c>
      <c r="D3327" t="s">
        <v>20</v>
      </c>
      <c r="E3327" s="29">
        <v>46205</v>
      </c>
      <c r="F3327" t="s">
        <v>4</v>
      </c>
      <c r="G3327" s="28">
        <v>0.45416666666666666</v>
      </c>
      <c r="H3327" s="28">
        <v>0.48194444444444445</v>
      </c>
      <c r="I3327">
        <v>1</v>
      </c>
      <c r="J3327" t="s">
        <v>146</v>
      </c>
      <c r="K3327">
        <v>2</v>
      </c>
      <c r="L3327" t="s">
        <v>147</v>
      </c>
      <c r="M3327" t="s">
        <v>2819</v>
      </c>
      <c r="N3327" t="s">
        <v>2820</v>
      </c>
      <c r="O3327" t="s">
        <v>2811</v>
      </c>
      <c r="P3327" t="s">
        <v>8617</v>
      </c>
    </row>
    <row r="3328" spans="1:16" x14ac:dyDescent="0.35">
      <c r="A3328" t="s">
        <v>91</v>
      </c>
      <c r="B3328">
        <v>1313762456</v>
      </c>
      <c r="C3328" t="s">
        <v>18</v>
      </c>
      <c r="D3328" t="s">
        <v>20</v>
      </c>
      <c r="E3328" s="29">
        <v>46205</v>
      </c>
      <c r="F3328" t="s">
        <v>4</v>
      </c>
      <c r="G3328" s="28">
        <v>0.48888888888888887</v>
      </c>
      <c r="H3328" s="28">
        <v>0.48888888888888887</v>
      </c>
      <c r="I3328">
        <v>0</v>
      </c>
      <c r="J3328" t="s">
        <v>174</v>
      </c>
      <c r="K3328">
        <v>0</v>
      </c>
      <c r="L3328" t="s">
        <v>8618</v>
      </c>
      <c r="M3328" t="s">
        <v>2814</v>
      </c>
      <c r="N3328" t="s">
        <v>2815</v>
      </c>
      <c r="O3328" t="s">
        <v>2816</v>
      </c>
      <c r="P3328" t="s">
        <v>8619</v>
      </c>
    </row>
    <row r="3329" spans="1:16" x14ac:dyDescent="0.35">
      <c r="A3329" t="s">
        <v>91</v>
      </c>
      <c r="B3329">
        <v>1313762456</v>
      </c>
      <c r="C3329" t="s">
        <v>18</v>
      </c>
      <c r="D3329" t="s">
        <v>20</v>
      </c>
      <c r="E3329" s="29">
        <v>46205</v>
      </c>
      <c r="F3329" t="s">
        <v>4</v>
      </c>
      <c r="G3329" s="28">
        <v>0.49583333333333335</v>
      </c>
      <c r="H3329" s="28">
        <v>0.49583333333333335</v>
      </c>
      <c r="I3329">
        <v>0</v>
      </c>
      <c r="J3329" t="s">
        <v>174</v>
      </c>
      <c r="K3329">
        <v>0</v>
      </c>
      <c r="L3329" t="s">
        <v>8620</v>
      </c>
      <c r="M3329" t="s">
        <v>8621</v>
      </c>
      <c r="N3329" t="s">
        <v>8622</v>
      </c>
      <c r="O3329" t="s">
        <v>8623</v>
      </c>
      <c r="P3329" t="s">
        <v>8624</v>
      </c>
    </row>
    <row r="3330" spans="1:16" x14ac:dyDescent="0.35">
      <c r="A3330" t="s">
        <v>91</v>
      </c>
      <c r="B3330">
        <v>1313762456</v>
      </c>
      <c r="C3330" t="s">
        <v>18</v>
      </c>
      <c r="D3330" t="s">
        <v>20</v>
      </c>
      <c r="E3330" s="29">
        <v>46205</v>
      </c>
      <c r="F3330" t="s">
        <v>4</v>
      </c>
      <c r="G3330" s="28">
        <v>0.50277777777777777</v>
      </c>
      <c r="H3330" s="28">
        <v>0.50277777777777777</v>
      </c>
      <c r="I3330">
        <v>0</v>
      </c>
      <c r="J3330" t="s">
        <v>174</v>
      </c>
      <c r="K3330">
        <v>0</v>
      </c>
      <c r="L3330" t="s">
        <v>2813</v>
      </c>
      <c r="M3330" t="s">
        <v>2819</v>
      </c>
      <c r="N3330" t="s">
        <v>2820</v>
      </c>
      <c r="O3330" t="s">
        <v>2811</v>
      </c>
      <c r="P3330" t="s">
        <v>8617</v>
      </c>
    </row>
    <row r="3331" spans="1:16" x14ac:dyDescent="0.35">
      <c r="A3331" t="s">
        <v>91</v>
      </c>
      <c r="B3331">
        <v>1313762456</v>
      </c>
      <c r="C3331" t="s">
        <v>18</v>
      </c>
      <c r="D3331" t="s">
        <v>20</v>
      </c>
      <c r="E3331" s="29">
        <v>46205</v>
      </c>
      <c r="F3331" t="s">
        <v>4</v>
      </c>
      <c r="G3331" s="28">
        <v>0.50972222222222219</v>
      </c>
      <c r="H3331" s="28">
        <v>0.50972222222222219</v>
      </c>
      <c r="I3331">
        <v>0</v>
      </c>
      <c r="J3331" t="s">
        <v>174</v>
      </c>
      <c r="K3331">
        <v>0</v>
      </c>
      <c r="L3331" t="s">
        <v>2813</v>
      </c>
      <c r="M3331" t="s">
        <v>2814</v>
      </c>
      <c r="N3331" t="s">
        <v>2815</v>
      </c>
      <c r="O3331" t="s">
        <v>2816</v>
      </c>
      <c r="P3331" t="s">
        <v>8619</v>
      </c>
    </row>
    <row r="3332" spans="1:16" x14ac:dyDescent="0.35">
      <c r="A3332" t="s">
        <v>91</v>
      </c>
      <c r="B3332">
        <v>1313762456</v>
      </c>
      <c r="C3332" t="s">
        <v>18</v>
      </c>
      <c r="D3332" t="s">
        <v>20</v>
      </c>
      <c r="E3332" s="29">
        <v>46205</v>
      </c>
      <c r="F3332" t="s">
        <v>4</v>
      </c>
      <c r="G3332" s="28">
        <v>0.51666666666666672</v>
      </c>
      <c r="H3332" s="28">
        <v>0.51666666666666672</v>
      </c>
      <c r="I3332">
        <v>0</v>
      </c>
      <c r="J3332" t="s">
        <v>174</v>
      </c>
      <c r="K3332">
        <v>0</v>
      </c>
      <c r="L3332" t="s">
        <v>2813</v>
      </c>
      <c r="M3332" t="s">
        <v>2819</v>
      </c>
      <c r="N3332" t="s">
        <v>2820</v>
      </c>
      <c r="O3332" t="s">
        <v>2811</v>
      </c>
      <c r="P3332" t="s">
        <v>8617</v>
      </c>
    </row>
    <row r="3333" spans="1:16" x14ac:dyDescent="0.35">
      <c r="A3333" t="s">
        <v>91</v>
      </c>
      <c r="B3333">
        <v>1313762456</v>
      </c>
      <c r="C3333" t="s">
        <v>18</v>
      </c>
      <c r="D3333" t="s">
        <v>20</v>
      </c>
      <c r="E3333" s="29">
        <v>46205</v>
      </c>
      <c r="F3333" t="s">
        <v>4</v>
      </c>
      <c r="G3333" s="28">
        <v>0.52361111111111114</v>
      </c>
      <c r="H3333" s="28">
        <v>0.52361111111111114</v>
      </c>
      <c r="I3333">
        <v>0</v>
      </c>
      <c r="J3333" t="s">
        <v>174</v>
      </c>
      <c r="K3333">
        <v>0</v>
      </c>
      <c r="L3333" t="s">
        <v>2813</v>
      </c>
      <c r="M3333" t="s">
        <v>2814</v>
      </c>
      <c r="N3333" t="s">
        <v>2815</v>
      </c>
      <c r="O3333" t="s">
        <v>2816</v>
      </c>
      <c r="P3333" t="s">
        <v>8619</v>
      </c>
    </row>
    <row r="3334" spans="1:16" x14ac:dyDescent="0.35">
      <c r="A3334" t="s">
        <v>91</v>
      </c>
      <c r="B3334">
        <v>1313762456</v>
      </c>
      <c r="C3334" t="s">
        <v>18</v>
      </c>
      <c r="D3334" t="s">
        <v>20</v>
      </c>
      <c r="E3334" s="29">
        <v>46205</v>
      </c>
      <c r="F3334" t="s">
        <v>4</v>
      </c>
      <c r="G3334" s="28">
        <v>0.53055555555555556</v>
      </c>
      <c r="H3334" s="28">
        <v>0.53055555555555556</v>
      </c>
      <c r="I3334">
        <v>0</v>
      </c>
      <c r="J3334" t="s">
        <v>174</v>
      </c>
      <c r="K3334">
        <v>0</v>
      </c>
      <c r="L3334" t="s">
        <v>8616</v>
      </c>
      <c r="M3334" t="s">
        <v>2819</v>
      </c>
      <c r="N3334" t="s">
        <v>2820</v>
      </c>
      <c r="O3334" t="s">
        <v>2811</v>
      </c>
      <c r="P3334" t="s">
        <v>8617</v>
      </c>
    </row>
    <row r="3335" spans="1:16" x14ac:dyDescent="0.35">
      <c r="A3335" t="s">
        <v>91</v>
      </c>
      <c r="B3335">
        <v>1313762456</v>
      </c>
      <c r="C3335" t="s">
        <v>18</v>
      </c>
      <c r="D3335" t="s">
        <v>20</v>
      </c>
      <c r="E3335" s="29">
        <v>46205</v>
      </c>
      <c r="F3335" t="s">
        <v>4</v>
      </c>
      <c r="G3335" s="28">
        <v>0.53749999999999998</v>
      </c>
      <c r="H3335" s="28">
        <v>0.59305555555555556</v>
      </c>
      <c r="I3335">
        <v>1</v>
      </c>
      <c r="J3335" t="s">
        <v>146</v>
      </c>
      <c r="K3335">
        <v>4</v>
      </c>
      <c r="L3335" t="s">
        <v>147</v>
      </c>
      <c r="M3335" t="s">
        <v>2799</v>
      </c>
      <c r="N3335" t="s">
        <v>2800</v>
      </c>
      <c r="O3335" t="s">
        <v>2801</v>
      </c>
      <c r="P3335" t="s">
        <v>2798</v>
      </c>
    </row>
    <row r="3336" spans="1:16" x14ac:dyDescent="0.35">
      <c r="A3336" t="s">
        <v>91</v>
      </c>
      <c r="B3336">
        <v>1313762456</v>
      </c>
      <c r="C3336" t="s">
        <v>18</v>
      </c>
      <c r="D3336" t="s">
        <v>20</v>
      </c>
      <c r="E3336" s="29">
        <v>46205</v>
      </c>
      <c r="F3336" t="s">
        <v>4</v>
      </c>
      <c r="G3336" s="28">
        <v>0.6</v>
      </c>
      <c r="H3336" s="28">
        <v>0.6</v>
      </c>
      <c r="I3336">
        <v>0</v>
      </c>
      <c r="J3336" t="s">
        <v>174</v>
      </c>
      <c r="K3336">
        <v>0</v>
      </c>
      <c r="L3336" t="s">
        <v>8625</v>
      </c>
      <c r="M3336" t="s">
        <v>8626</v>
      </c>
      <c r="N3336" t="s">
        <v>8627</v>
      </c>
      <c r="O3336" t="s">
        <v>8628</v>
      </c>
      <c r="P3336" t="s">
        <v>8629</v>
      </c>
    </row>
    <row r="3337" spans="1:16" x14ac:dyDescent="0.35">
      <c r="A3337" t="s">
        <v>91</v>
      </c>
      <c r="B3337">
        <v>1313762456</v>
      </c>
      <c r="C3337" t="s">
        <v>18</v>
      </c>
      <c r="D3337" t="s">
        <v>20</v>
      </c>
      <c r="E3337" s="29">
        <v>46205</v>
      </c>
      <c r="F3337" t="s">
        <v>4</v>
      </c>
      <c r="G3337" s="28">
        <v>0.6069444444444444</v>
      </c>
      <c r="H3337" s="28">
        <v>0.61388888888888893</v>
      </c>
      <c r="I3337">
        <v>0</v>
      </c>
      <c r="J3337" t="s">
        <v>146</v>
      </c>
      <c r="K3337">
        <v>1</v>
      </c>
      <c r="L3337" t="s">
        <v>147</v>
      </c>
      <c r="M3337" t="s">
        <v>8630</v>
      </c>
      <c r="N3337" t="s">
        <v>8631</v>
      </c>
      <c r="O3337" t="s">
        <v>8632</v>
      </c>
      <c r="P3337" t="s">
        <v>8633</v>
      </c>
    </row>
    <row r="3338" spans="1:16" x14ac:dyDescent="0.35">
      <c r="A3338" t="s">
        <v>91</v>
      </c>
      <c r="B3338">
        <v>1313762456</v>
      </c>
      <c r="C3338" t="s">
        <v>18</v>
      </c>
      <c r="D3338" t="s">
        <v>20</v>
      </c>
      <c r="E3338" s="29">
        <v>46205</v>
      </c>
      <c r="F3338" t="s">
        <v>4</v>
      </c>
      <c r="G3338" s="28">
        <v>0.62083333333333335</v>
      </c>
      <c r="H3338" s="28">
        <v>0.62083333333333335</v>
      </c>
      <c r="I3338">
        <v>0</v>
      </c>
      <c r="J3338" t="s">
        <v>174</v>
      </c>
      <c r="K3338">
        <v>0</v>
      </c>
      <c r="L3338" t="s">
        <v>8634</v>
      </c>
      <c r="M3338" t="s">
        <v>8635</v>
      </c>
      <c r="N3338" t="s">
        <v>8636</v>
      </c>
      <c r="O3338" t="s">
        <v>8637</v>
      </c>
      <c r="P3338" t="s">
        <v>8638</v>
      </c>
    </row>
    <row r="3339" spans="1:16" x14ac:dyDescent="0.35">
      <c r="A3339" t="s">
        <v>91</v>
      </c>
      <c r="B3339">
        <v>1313762456</v>
      </c>
      <c r="C3339" t="s">
        <v>18</v>
      </c>
      <c r="D3339" t="s">
        <v>20</v>
      </c>
      <c r="E3339" s="29">
        <v>46205</v>
      </c>
      <c r="F3339" t="s">
        <v>4</v>
      </c>
      <c r="G3339" s="28">
        <v>0.62777777777777777</v>
      </c>
      <c r="H3339" s="28">
        <v>0.62777777777777777</v>
      </c>
      <c r="I3339">
        <v>0</v>
      </c>
      <c r="J3339" t="s">
        <v>174</v>
      </c>
      <c r="K3339">
        <v>0</v>
      </c>
      <c r="L3339" t="s">
        <v>2745</v>
      </c>
      <c r="M3339" t="s">
        <v>8639</v>
      </c>
      <c r="N3339" t="s">
        <v>8640</v>
      </c>
      <c r="O3339" t="s">
        <v>8641</v>
      </c>
      <c r="P3339" t="s">
        <v>2653</v>
      </c>
    </row>
    <row r="3340" spans="1:16" x14ac:dyDescent="0.35">
      <c r="A3340" t="s">
        <v>91</v>
      </c>
      <c r="B3340">
        <v>1313762456</v>
      </c>
      <c r="C3340" t="s">
        <v>18</v>
      </c>
      <c r="D3340" t="s">
        <v>20</v>
      </c>
      <c r="E3340" s="29">
        <v>46205</v>
      </c>
      <c r="F3340" t="s">
        <v>4</v>
      </c>
      <c r="G3340" s="28">
        <v>0.63472222222222219</v>
      </c>
      <c r="H3340" s="28">
        <v>0.63472222222222219</v>
      </c>
      <c r="I3340">
        <v>0</v>
      </c>
      <c r="J3340" t="s">
        <v>174</v>
      </c>
      <c r="K3340">
        <v>0</v>
      </c>
      <c r="L3340" t="s">
        <v>8642</v>
      </c>
      <c r="M3340" t="s">
        <v>8643</v>
      </c>
      <c r="N3340" t="s">
        <v>8644</v>
      </c>
      <c r="O3340" t="s">
        <v>8645</v>
      </c>
      <c r="P3340" t="s">
        <v>8646</v>
      </c>
    </row>
    <row r="3341" spans="1:16" x14ac:dyDescent="0.35">
      <c r="A3341" t="s">
        <v>91</v>
      </c>
      <c r="B3341">
        <v>1313762456</v>
      </c>
      <c r="C3341" t="s">
        <v>18</v>
      </c>
      <c r="D3341" t="s">
        <v>20</v>
      </c>
      <c r="E3341" s="29">
        <v>46205</v>
      </c>
      <c r="F3341" t="s">
        <v>4</v>
      </c>
      <c r="G3341" s="28">
        <v>0.64861111111111114</v>
      </c>
      <c r="H3341" s="28">
        <v>0.65555555555555556</v>
      </c>
      <c r="I3341">
        <v>0</v>
      </c>
      <c r="J3341" t="s">
        <v>146</v>
      </c>
      <c r="K3341">
        <v>0</v>
      </c>
      <c r="L3341" t="s">
        <v>147</v>
      </c>
      <c r="M3341" t="s">
        <v>8647</v>
      </c>
      <c r="N3341" t="s">
        <v>8648</v>
      </c>
      <c r="O3341" t="s">
        <v>8649</v>
      </c>
      <c r="P3341" t="s">
        <v>8650</v>
      </c>
    </row>
    <row r="3342" spans="1:16" x14ac:dyDescent="0.35">
      <c r="A3342" t="s">
        <v>91</v>
      </c>
      <c r="B3342">
        <v>1313762456</v>
      </c>
      <c r="C3342" t="s">
        <v>18</v>
      </c>
      <c r="D3342" t="s">
        <v>20</v>
      </c>
      <c r="E3342" s="29">
        <v>46205</v>
      </c>
      <c r="F3342" t="s">
        <v>4</v>
      </c>
      <c r="G3342" s="28">
        <v>0.66249999999999998</v>
      </c>
      <c r="H3342" s="28">
        <v>0.66249999999999998</v>
      </c>
      <c r="I3342">
        <v>0</v>
      </c>
      <c r="J3342" t="s">
        <v>174</v>
      </c>
      <c r="K3342">
        <v>0</v>
      </c>
      <c r="L3342" t="s">
        <v>8651</v>
      </c>
      <c r="M3342" t="s">
        <v>2901</v>
      </c>
      <c r="N3342" t="s">
        <v>2902</v>
      </c>
      <c r="O3342" t="s">
        <v>2903</v>
      </c>
      <c r="P3342" t="s">
        <v>2720</v>
      </c>
    </row>
    <row r="3343" spans="1:16" x14ac:dyDescent="0.35">
      <c r="A3343" t="s">
        <v>91</v>
      </c>
      <c r="B3343">
        <v>1313762456</v>
      </c>
      <c r="C3343" t="s">
        <v>18</v>
      </c>
      <c r="D3343" t="s">
        <v>20</v>
      </c>
      <c r="E3343" s="29">
        <v>46205</v>
      </c>
      <c r="F3343" t="s">
        <v>4</v>
      </c>
      <c r="G3343" s="28">
        <v>0.68333333333333335</v>
      </c>
      <c r="H3343" s="28">
        <v>0.68333333333333335</v>
      </c>
      <c r="I3343">
        <v>0</v>
      </c>
      <c r="J3343" t="s">
        <v>174</v>
      </c>
      <c r="K3343">
        <v>0</v>
      </c>
      <c r="L3343" t="s">
        <v>8651</v>
      </c>
      <c r="M3343" t="s">
        <v>8647</v>
      </c>
      <c r="N3343" t="s">
        <v>8648</v>
      </c>
      <c r="O3343" t="s">
        <v>8649</v>
      </c>
      <c r="P3343" t="s">
        <v>8650</v>
      </c>
    </row>
    <row r="3344" spans="1:16" x14ac:dyDescent="0.35">
      <c r="A3344" t="s">
        <v>91</v>
      </c>
      <c r="B3344">
        <v>1313762456</v>
      </c>
      <c r="C3344" t="s">
        <v>18</v>
      </c>
      <c r="D3344" t="s">
        <v>20</v>
      </c>
      <c r="E3344" s="29">
        <v>46205</v>
      </c>
      <c r="F3344" t="s">
        <v>4</v>
      </c>
      <c r="G3344" s="28">
        <v>0.69027777777777777</v>
      </c>
      <c r="H3344" s="28">
        <v>0.69027777777777777</v>
      </c>
      <c r="I3344">
        <v>0</v>
      </c>
      <c r="J3344" t="s">
        <v>174</v>
      </c>
      <c r="K3344">
        <v>0</v>
      </c>
      <c r="L3344" t="s">
        <v>8651</v>
      </c>
      <c r="M3344" t="s">
        <v>2901</v>
      </c>
      <c r="N3344" t="s">
        <v>2902</v>
      </c>
      <c r="O3344" t="s">
        <v>2903</v>
      </c>
      <c r="P3344" t="s">
        <v>2720</v>
      </c>
    </row>
    <row r="3345" spans="1:16" x14ac:dyDescent="0.35">
      <c r="A3345" t="s">
        <v>91</v>
      </c>
      <c r="B3345">
        <v>1313762456</v>
      </c>
      <c r="C3345" t="s">
        <v>18</v>
      </c>
      <c r="D3345" t="s">
        <v>20</v>
      </c>
      <c r="E3345" s="29">
        <v>46205</v>
      </c>
      <c r="F3345" t="s">
        <v>4</v>
      </c>
      <c r="G3345" s="28">
        <v>0.69722222222222219</v>
      </c>
      <c r="H3345" s="28">
        <v>0.70486111111111116</v>
      </c>
      <c r="I3345">
        <v>0</v>
      </c>
      <c r="J3345" t="s">
        <v>146</v>
      </c>
      <c r="K3345">
        <v>1</v>
      </c>
      <c r="L3345" t="s">
        <v>147</v>
      </c>
      <c r="M3345" t="s">
        <v>8647</v>
      </c>
      <c r="N3345" t="s">
        <v>8648</v>
      </c>
      <c r="O3345" t="s">
        <v>8649</v>
      </c>
      <c r="P3345" t="s">
        <v>8650</v>
      </c>
    </row>
    <row r="3346" spans="1:16" x14ac:dyDescent="0.35">
      <c r="A3346" t="s">
        <v>91</v>
      </c>
      <c r="B3346">
        <v>1313762456</v>
      </c>
      <c r="C3346" t="s">
        <v>18</v>
      </c>
      <c r="D3346" t="s">
        <v>20</v>
      </c>
      <c r="E3346" s="29">
        <v>46205</v>
      </c>
      <c r="F3346" t="s">
        <v>4</v>
      </c>
      <c r="G3346" s="28">
        <v>0.71111111111111114</v>
      </c>
      <c r="H3346" s="28">
        <v>0.72499999999999998</v>
      </c>
      <c r="I3346">
        <v>0</v>
      </c>
      <c r="J3346" t="s">
        <v>146</v>
      </c>
      <c r="K3346">
        <v>1</v>
      </c>
      <c r="L3346" t="s">
        <v>147</v>
      </c>
      <c r="M3346" t="s">
        <v>8652</v>
      </c>
      <c r="N3346" t="s">
        <v>8653</v>
      </c>
      <c r="O3346" t="s">
        <v>8654</v>
      </c>
      <c r="P3346" t="s">
        <v>8655</v>
      </c>
    </row>
    <row r="3347" spans="1:16" x14ac:dyDescent="0.35">
      <c r="A3347" t="s">
        <v>91</v>
      </c>
      <c r="B3347">
        <v>1313762456</v>
      </c>
      <c r="C3347" t="s">
        <v>18</v>
      </c>
      <c r="D3347" t="s">
        <v>20</v>
      </c>
      <c r="E3347" s="29">
        <v>46205</v>
      </c>
      <c r="F3347" t="s">
        <v>4</v>
      </c>
      <c r="G3347" s="28">
        <v>0.7319444444444444</v>
      </c>
      <c r="H3347" s="28">
        <v>0.7319444444444444</v>
      </c>
      <c r="I3347">
        <v>0</v>
      </c>
      <c r="J3347" t="s">
        <v>174</v>
      </c>
      <c r="K3347">
        <v>0</v>
      </c>
      <c r="L3347" t="s">
        <v>8656</v>
      </c>
      <c r="M3347" t="s">
        <v>8657</v>
      </c>
      <c r="N3347" t="s">
        <v>8658</v>
      </c>
      <c r="O3347" t="s">
        <v>8659</v>
      </c>
      <c r="P3347" t="s">
        <v>8660</v>
      </c>
    </row>
    <row r="3348" spans="1:16" x14ac:dyDescent="0.35">
      <c r="A3348" t="s">
        <v>91</v>
      </c>
      <c r="B3348">
        <v>1313762456</v>
      </c>
      <c r="C3348" t="s">
        <v>18</v>
      </c>
      <c r="D3348" t="s">
        <v>20</v>
      </c>
      <c r="E3348" s="29">
        <v>46205</v>
      </c>
      <c r="F3348" t="s">
        <v>4</v>
      </c>
      <c r="G3348" s="28">
        <v>0.73888888888888893</v>
      </c>
      <c r="H3348" s="28">
        <v>0.77361111111111114</v>
      </c>
      <c r="I3348">
        <v>1</v>
      </c>
      <c r="J3348" t="s">
        <v>146</v>
      </c>
      <c r="K3348">
        <v>2</v>
      </c>
      <c r="L3348" t="s">
        <v>147</v>
      </c>
      <c r="M3348" t="s">
        <v>8661</v>
      </c>
      <c r="N3348" t="s">
        <v>8662</v>
      </c>
      <c r="O3348" t="s">
        <v>8663</v>
      </c>
      <c r="P3348" t="s">
        <v>8664</v>
      </c>
    </row>
    <row r="3349" spans="1:16" x14ac:dyDescent="0.35">
      <c r="A3349" t="s">
        <v>91</v>
      </c>
      <c r="B3349">
        <v>1313762456</v>
      </c>
      <c r="C3349" t="s">
        <v>18</v>
      </c>
      <c r="D3349" t="s">
        <v>20</v>
      </c>
      <c r="E3349" s="29">
        <v>46205</v>
      </c>
      <c r="F3349" t="s">
        <v>4</v>
      </c>
      <c r="G3349" s="28">
        <v>0.78055555555555556</v>
      </c>
      <c r="H3349" s="28">
        <v>0.78055555555555556</v>
      </c>
      <c r="I3349">
        <v>0</v>
      </c>
      <c r="J3349" t="s">
        <v>174</v>
      </c>
      <c r="K3349">
        <v>0</v>
      </c>
      <c r="L3349" t="s">
        <v>3371</v>
      </c>
      <c r="M3349" t="s">
        <v>2768</v>
      </c>
      <c r="N3349" t="s">
        <v>2769</v>
      </c>
      <c r="O3349" t="s">
        <v>2770</v>
      </c>
      <c r="P3349" t="s">
        <v>8665</v>
      </c>
    </row>
    <row r="3350" spans="1:16" x14ac:dyDescent="0.35">
      <c r="A3350" t="s">
        <v>91</v>
      </c>
      <c r="B3350">
        <v>1313762456</v>
      </c>
      <c r="C3350" t="s">
        <v>18</v>
      </c>
      <c r="D3350" t="s">
        <v>20</v>
      </c>
      <c r="E3350" s="29">
        <v>46205</v>
      </c>
      <c r="F3350" t="s">
        <v>4</v>
      </c>
      <c r="G3350" s="28">
        <v>0.78749999999999998</v>
      </c>
      <c r="H3350" s="28">
        <v>0.78749999999999998</v>
      </c>
      <c r="I3350">
        <v>0</v>
      </c>
      <c r="J3350" t="s">
        <v>174</v>
      </c>
      <c r="K3350">
        <v>0</v>
      </c>
      <c r="L3350" t="s">
        <v>8666</v>
      </c>
      <c r="M3350" t="s">
        <v>8667</v>
      </c>
      <c r="N3350" t="s">
        <v>8668</v>
      </c>
      <c r="O3350" t="s">
        <v>8669</v>
      </c>
      <c r="P3350" t="s">
        <v>8670</v>
      </c>
    </row>
    <row r="3351" spans="1:16" x14ac:dyDescent="0.35">
      <c r="A3351" t="s">
        <v>91</v>
      </c>
      <c r="B3351">
        <v>1313762456</v>
      </c>
      <c r="C3351" t="s">
        <v>18</v>
      </c>
      <c r="D3351" t="s">
        <v>20</v>
      </c>
      <c r="E3351" s="29">
        <v>46207</v>
      </c>
      <c r="F3351" t="s">
        <v>5</v>
      </c>
      <c r="G3351" s="28">
        <v>0.38472222222222224</v>
      </c>
      <c r="H3351" s="28">
        <v>0.38472222222222224</v>
      </c>
      <c r="I3351">
        <v>0</v>
      </c>
      <c r="J3351" t="s">
        <v>174</v>
      </c>
      <c r="K3351">
        <v>0</v>
      </c>
      <c r="L3351" t="s">
        <v>3836</v>
      </c>
      <c r="M3351" t="s">
        <v>2654</v>
      </c>
      <c r="N3351" t="s">
        <v>2655</v>
      </c>
      <c r="O3351" t="s">
        <v>2656</v>
      </c>
      <c r="P3351" t="s">
        <v>8571</v>
      </c>
    </row>
    <row r="3352" spans="1:16" x14ac:dyDescent="0.35">
      <c r="A3352" t="s">
        <v>91</v>
      </c>
      <c r="B3352">
        <v>1313762456</v>
      </c>
      <c r="C3352" t="s">
        <v>18</v>
      </c>
      <c r="D3352" t="s">
        <v>20</v>
      </c>
      <c r="E3352" s="29">
        <v>46207</v>
      </c>
      <c r="F3352" t="s">
        <v>5</v>
      </c>
      <c r="G3352" s="28">
        <v>0.39166666666666666</v>
      </c>
      <c r="H3352" s="28">
        <v>0.39166666666666666</v>
      </c>
      <c r="I3352">
        <v>0</v>
      </c>
      <c r="J3352" t="s">
        <v>174</v>
      </c>
      <c r="K3352">
        <v>0</v>
      </c>
      <c r="L3352" t="s">
        <v>8573</v>
      </c>
      <c r="M3352" t="s">
        <v>2663</v>
      </c>
      <c r="N3352" t="s">
        <v>2664</v>
      </c>
      <c r="O3352" t="s">
        <v>2665</v>
      </c>
      <c r="P3352" t="s">
        <v>8572</v>
      </c>
    </row>
    <row r="3353" spans="1:16" x14ac:dyDescent="0.35">
      <c r="A3353" t="s">
        <v>91</v>
      </c>
      <c r="B3353">
        <v>1313762456</v>
      </c>
      <c r="C3353" t="s">
        <v>18</v>
      </c>
      <c r="D3353" t="s">
        <v>20</v>
      </c>
      <c r="E3353" s="29">
        <v>46207</v>
      </c>
      <c r="F3353" t="s">
        <v>5</v>
      </c>
      <c r="G3353" s="28">
        <v>0.39861111111111114</v>
      </c>
      <c r="H3353" s="28">
        <v>0.40555555555555556</v>
      </c>
      <c r="I3353">
        <v>0</v>
      </c>
      <c r="J3353" t="s">
        <v>146</v>
      </c>
      <c r="K3353">
        <v>0</v>
      </c>
      <c r="L3353" t="s">
        <v>147</v>
      </c>
      <c r="M3353" t="s">
        <v>8574</v>
      </c>
      <c r="N3353" t="s">
        <v>8575</v>
      </c>
      <c r="O3353" t="s">
        <v>8576</v>
      </c>
      <c r="P3353" t="s">
        <v>8577</v>
      </c>
    </row>
    <row r="3354" spans="1:16" x14ac:dyDescent="0.35">
      <c r="A3354" t="s">
        <v>91</v>
      </c>
      <c r="B3354">
        <v>1313762456</v>
      </c>
      <c r="C3354" t="s">
        <v>18</v>
      </c>
      <c r="D3354" t="s">
        <v>20</v>
      </c>
      <c r="E3354" s="29">
        <v>46207</v>
      </c>
      <c r="F3354" t="s">
        <v>5</v>
      </c>
      <c r="G3354" s="28">
        <v>0.41249999999999998</v>
      </c>
      <c r="H3354" s="28">
        <v>0.46111111111111114</v>
      </c>
      <c r="I3354">
        <v>1</v>
      </c>
      <c r="J3354" t="s">
        <v>146</v>
      </c>
      <c r="K3354">
        <v>4</v>
      </c>
      <c r="L3354" t="s">
        <v>147</v>
      </c>
      <c r="M3354" t="s">
        <v>2663</v>
      </c>
      <c r="N3354" t="s">
        <v>2664</v>
      </c>
      <c r="O3354" t="s">
        <v>2665</v>
      </c>
      <c r="P3354" t="s">
        <v>8572</v>
      </c>
    </row>
    <row r="3355" spans="1:16" x14ac:dyDescent="0.35">
      <c r="A3355" t="s">
        <v>91</v>
      </c>
      <c r="B3355">
        <v>1313762456</v>
      </c>
      <c r="C3355" t="s">
        <v>18</v>
      </c>
      <c r="D3355" t="s">
        <v>20</v>
      </c>
      <c r="E3355" s="29">
        <v>46207</v>
      </c>
      <c r="F3355" t="s">
        <v>5</v>
      </c>
      <c r="G3355" s="28">
        <v>0.46805555555555556</v>
      </c>
      <c r="H3355" s="28">
        <v>0.46805555555555556</v>
      </c>
      <c r="I3355">
        <v>0</v>
      </c>
      <c r="J3355" t="s">
        <v>174</v>
      </c>
      <c r="K3355">
        <v>0</v>
      </c>
      <c r="L3355" t="s">
        <v>7826</v>
      </c>
      <c r="M3355" t="s">
        <v>8671</v>
      </c>
      <c r="N3355" t="s">
        <v>8672</v>
      </c>
      <c r="O3355" t="s">
        <v>8673</v>
      </c>
      <c r="P3355" t="s">
        <v>8674</v>
      </c>
    </row>
    <row r="3356" spans="1:16" x14ac:dyDescent="0.35">
      <c r="A3356" t="s">
        <v>91</v>
      </c>
      <c r="B3356">
        <v>1313762456</v>
      </c>
      <c r="C3356" t="s">
        <v>18</v>
      </c>
      <c r="D3356" t="s">
        <v>20</v>
      </c>
      <c r="E3356" s="29">
        <v>46207</v>
      </c>
      <c r="F3356" t="s">
        <v>5</v>
      </c>
      <c r="G3356" s="28">
        <v>0.47499999999999998</v>
      </c>
      <c r="H3356" s="28">
        <v>0.47499999999999998</v>
      </c>
      <c r="I3356">
        <v>0</v>
      </c>
      <c r="J3356" t="s">
        <v>174</v>
      </c>
      <c r="K3356">
        <v>0</v>
      </c>
      <c r="L3356" t="s">
        <v>8675</v>
      </c>
      <c r="M3356" t="s">
        <v>8676</v>
      </c>
      <c r="N3356" t="s">
        <v>8677</v>
      </c>
      <c r="O3356" t="s">
        <v>8678</v>
      </c>
      <c r="P3356" t="s">
        <v>8679</v>
      </c>
    </row>
    <row r="3357" spans="1:16" x14ac:dyDescent="0.35">
      <c r="A3357" t="s">
        <v>91</v>
      </c>
      <c r="B3357">
        <v>1313762456</v>
      </c>
      <c r="C3357" t="s">
        <v>18</v>
      </c>
      <c r="D3357" t="s">
        <v>20</v>
      </c>
      <c r="E3357" s="29">
        <v>46207</v>
      </c>
      <c r="F3357" t="s">
        <v>5</v>
      </c>
      <c r="G3357" s="28">
        <v>0.48194444444444445</v>
      </c>
      <c r="H3357" s="28">
        <v>0.48194444444444445</v>
      </c>
      <c r="I3357">
        <v>0</v>
      </c>
      <c r="J3357" t="s">
        <v>174</v>
      </c>
      <c r="K3357">
        <v>0</v>
      </c>
      <c r="L3357" t="s">
        <v>8680</v>
      </c>
      <c r="M3357" t="s">
        <v>8681</v>
      </c>
      <c r="N3357" t="s">
        <v>8682</v>
      </c>
      <c r="O3357" t="s">
        <v>8683</v>
      </c>
      <c r="P3357" t="s">
        <v>8684</v>
      </c>
    </row>
    <row r="3358" spans="1:16" x14ac:dyDescent="0.35">
      <c r="A3358" t="s">
        <v>91</v>
      </c>
      <c r="B3358">
        <v>1313762456</v>
      </c>
      <c r="C3358" t="s">
        <v>18</v>
      </c>
      <c r="D3358" t="s">
        <v>20</v>
      </c>
      <c r="E3358" s="29">
        <v>46207</v>
      </c>
      <c r="F3358" t="s">
        <v>5</v>
      </c>
      <c r="G3358" s="28">
        <v>0.48888888888888887</v>
      </c>
      <c r="H3358" s="28">
        <v>0.48888888888888887</v>
      </c>
      <c r="I3358">
        <v>0</v>
      </c>
      <c r="J3358" t="s">
        <v>174</v>
      </c>
      <c r="K3358">
        <v>0</v>
      </c>
      <c r="L3358" t="s">
        <v>1658</v>
      </c>
      <c r="M3358" t="s">
        <v>8685</v>
      </c>
      <c r="N3358" t="s">
        <v>8686</v>
      </c>
      <c r="O3358" t="s">
        <v>8687</v>
      </c>
      <c r="P3358" t="s">
        <v>8688</v>
      </c>
    </row>
    <row r="3359" spans="1:16" x14ac:dyDescent="0.35">
      <c r="A3359" t="s">
        <v>91</v>
      </c>
      <c r="B3359">
        <v>1313762456</v>
      </c>
      <c r="C3359" t="s">
        <v>18</v>
      </c>
      <c r="D3359" t="s">
        <v>20</v>
      </c>
      <c r="E3359" s="29">
        <v>46207</v>
      </c>
      <c r="F3359" t="s">
        <v>5</v>
      </c>
      <c r="G3359" s="28">
        <v>0.49583333333333335</v>
      </c>
      <c r="H3359" s="28">
        <v>0.49583333333333335</v>
      </c>
      <c r="I3359">
        <v>0</v>
      </c>
      <c r="J3359" t="s">
        <v>174</v>
      </c>
      <c r="K3359">
        <v>0</v>
      </c>
      <c r="L3359" t="s">
        <v>614</v>
      </c>
      <c r="M3359" t="s">
        <v>8689</v>
      </c>
      <c r="N3359" t="s">
        <v>8690</v>
      </c>
      <c r="O3359" t="s">
        <v>8691</v>
      </c>
      <c r="P3359" t="s">
        <v>8692</v>
      </c>
    </row>
    <row r="3360" spans="1:16" x14ac:dyDescent="0.35">
      <c r="A3360" t="s">
        <v>91</v>
      </c>
      <c r="B3360">
        <v>1313762456</v>
      </c>
      <c r="C3360" t="s">
        <v>18</v>
      </c>
      <c r="D3360" t="s">
        <v>20</v>
      </c>
      <c r="E3360" s="29">
        <v>46207</v>
      </c>
      <c r="F3360" t="s">
        <v>5</v>
      </c>
      <c r="G3360" s="28">
        <v>0.50277777777777777</v>
      </c>
      <c r="H3360" s="28">
        <v>0.50277777777777777</v>
      </c>
      <c r="I3360">
        <v>0</v>
      </c>
      <c r="J3360" t="s">
        <v>174</v>
      </c>
      <c r="K3360">
        <v>0</v>
      </c>
      <c r="L3360" t="s">
        <v>1159</v>
      </c>
      <c r="M3360" t="s">
        <v>8693</v>
      </c>
      <c r="N3360" t="s">
        <v>8694</v>
      </c>
      <c r="O3360" t="s">
        <v>8695</v>
      </c>
      <c r="P3360" t="s">
        <v>8696</v>
      </c>
    </row>
    <row r="3361" spans="1:16" x14ac:dyDescent="0.35">
      <c r="A3361" t="s">
        <v>91</v>
      </c>
      <c r="B3361">
        <v>1313762456</v>
      </c>
      <c r="C3361" t="s">
        <v>18</v>
      </c>
      <c r="D3361" t="s">
        <v>20</v>
      </c>
      <c r="E3361" s="29">
        <v>46207</v>
      </c>
      <c r="F3361" t="s">
        <v>5</v>
      </c>
      <c r="G3361" s="28">
        <v>0.50972222222222219</v>
      </c>
      <c r="H3361" s="28">
        <v>0.63472222222222219</v>
      </c>
      <c r="I3361">
        <v>3</v>
      </c>
      <c r="J3361" t="s">
        <v>146</v>
      </c>
      <c r="K3361">
        <v>9</v>
      </c>
      <c r="L3361" t="s">
        <v>147</v>
      </c>
      <c r="M3361" t="s">
        <v>8697</v>
      </c>
      <c r="N3361" t="s">
        <v>8698</v>
      </c>
      <c r="O3361" t="s">
        <v>8699</v>
      </c>
      <c r="P3361" t="s">
        <v>8700</v>
      </c>
    </row>
    <row r="3362" spans="1:16" x14ac:dyDescent="0.35">
      <c r="A3362" t="s">
        <v>91</v>
      </c>
      <c r="B3362">
        <v>1313762456</v>
      </c>
      <c r="C3362" t="s">
        <v>18</v>
      </c>
      <c r="D3362" t="s">
        <v>20</v>
      </c>
      <c r="E3362" s="29">
        <v>46207</v>
      </c>
      <c r="F3362" t="s">
        <v>5</v>
      </c>
      <c r="G3362" s="28">
        <v>0.64166666666666672</v>
      </c>
      <c r="H3362" s="28">
        <v>0.64166666666666672</v>
      </c>
      <c r="I3362">
        <v>0</v>
      </c>
      <c r="J3362" t="s">
        <v>174</v>
      </c>
      <c r="K3362">
        <v>0</v>
      </c>
      <c r="L3362" t="s">
        <v>3297</v>
      </c>
      <c r="M3362" t="s">
        <v>8701</v>
      </c>
      <c r="N3362" t="s">
        <v>8702</v>
      </c>
      <c r="O3362" t="s">
        <v>8703</v>
      </c>
      <c r="P3362" t="s">
        <v>7773</v>
      </c>
    </row>
    <row r="3363" spans="1:16" x14ac:dyDescent="0.35">
      <c r="A3363" t="s">
        <v>91</v>
      </c>
      <c r="B3363">
        <v>1313762456</v>
      </c>
      <c r="C3363" t="s">
        <v>18</v>
      </c>
      <c r="D3363" t="s">
        <v>20</v>
      </c>
      <c r="E3363" s="29">
        <v>46207</v>
      </c>
      <c r="F3363" t="s">
        <v>5</v>
      </c>
      <c r="G3363" s="28">
        <v>0.64861111111111114</v>
      </c>
      <c r="H3363" s="28">
        <v>0.64861111111111114</v>
      </c>
      <c r="I3363">
        <v>0</v>
      </c>
      <c r="J3363" t="s">
        <v>174</v>
      </c>
      <c r="K3363">
        <v>0</v>
      </c>
      <c r="L3363" t="s">
        <v>8704</v>
      </c>
      <c r="M3363" t="s">
        <v>8705</v>
      </c>
      <c r="N3363" t="s">
        <v>8706</v>
      </c>
      <c r="O3363" t="s">
        <v>8707</v>
      </c>
      <c r="P3363" t="s">
        <v>8708</v>
      </c>
    </row>
    <row r="3364" spans="1:16" x14ac:dyDescent="0.35">
      <c r="A3364" t="s">
        <v>91</v>
      </c>
      <c r="B3364">
        <v>1313762456</v>
      </c>
      <c r="C3364" t="s">
        <v>18</v>
      </c>
      <c r="D3364" t="s">
        <v>20</v>
      </c>
      <c r="E3364" s="29">
        <v>46207</v>
      </c>
      <c r="F3364" t="s">
        <v>5</v>
      </c>
      <c r="G3364" s="28">
        <v>0.65555555555555556</v>
      </c>
      <c r="H3364" s="28">
        <v>0.69027777777777777</v>
      </c>
      <c r="I3364">
        <v>1</v>
      </c>
      <c r="J3364" t="s">
        <v>146</v>
      </c>
      <c r="K3364">
        <v>2</v>
      </c>
      <c r="L3364" t="s">
        <v>147</v>
      </c>
      <c r="M3364" t="s">
        <v>8689</v>
      </c>
      <c r="N3364" t="s">
        <v>8690</v>
      </c>
      <c r="O3364" t="s">
        <v>8691</v>
      </c>
      <c r="P3364" t="s">
        <v>8692</v>
      </c>
    </row>
    <row r="3365" spans="1:16" x14ac:dyDescent="0.35">
      <c r="A3365" t="s">
        <v>91</v>
      </c>
      <c r="B3365">
        <v>1313762456</v>
      </c>
      <c r="C3365" t="s">
        <v>18</v>
      </c>
      <c r="D3365" t="s">
        <v>20</v>
      </c>
      <c r="E3365" s="29">
        <v>46207</v>
      </c>
      <c r="F3365" t="s">
        <v>5</v>
      </c>
      <c r="G3365" s="28">
        <v>0.69722222222222219</v>
      </c>
      <c r="H3365" s="28">
        <v>0.69722222222222219</v>
      </c>
      <c r="I3365">
        <v>0</v>
      </c>
      <c r="J3365" t="s">
        <v>174</v>
      </c>
      <c r="K3365">
        <v>0</v>
      </c>
      <c r="L3365" t="s">
        <v>293</v>
      </c>
      <c r="M3365" t="s">
        <v>8709</v>
      </c>
      <c r="N3365" t="s">
        <v>8710</v>
      </c>
      <c r="O3365" t="s">
        <v>8711</v>
      </c>
      <c r="P3365" t="s">
        <v>8712</v>
      </c>
    </row>
    <row r="3366" spans="1:16" x14ac:dyDescent="0.35">
      <c r="A3366" t="s">
        <v>91</v>
      </c>
      <c r="B3366">
        <v>1313762456</v>
      </c>
      <c r="C3366" t="s">
        <v>18</v>
      </c>
      <c r="D3366" t="s">
        <v>20</v>
      </c>
      <c r="E3366" s="29">
        <v>46207</v>
      </c>
      <c r="F3366" t="s">
        <v>5</v>
      </c>
      <c r="G3366" s="28">
        <v>0.70416666666666672</v>
      </c>
      <c r="H3366" s="28">
        <v>0.70416666666666672</v>
      </c>
      <c r="I3366">
        <v>0</v>
      </c>
      <c r="J3366" t="s">
        <v>174</v>
      </c>
      <c r="K3366">
        <v>0</v>
      </c>
      <c r="L3366" t="s">
        <v>278</v>
      </c>
      <c r="M3366" t="s">
        <v>8713</v>
      </c>
      <c r="N3366" t="s">
        <v>8714</v>
      </c>
      <c r="O3366" t="s">
        <v>8715</v>
      </c>
      <c r="P3366" t="s">
        <v>8716</v>
      </c>
    </row>
    <row r="3367" spans="1:16" x14ac:dyDescent="0.35">
      <c r="A3367" t="s">
        <v>91</v>
      </c>
      <c r="B3367">
        <v>1313762456</v>
      </c>
      <c r="C3367" t="s">
        <v>18</v>
      </c>
      <c r="D3367" t="s">
        <v>20</v>
      </c>
      <c r="E3367" s="29">
        <v>46207</v>
      </c>
      <c r="F3367" t="s">
        <v>5</v>
      </c>
      <c r="G3367" s="28">
        <v>0.71111111111111114</v>
      </c>
      <c r="H3367" s="28">
        <v>0.71111111111111114</v>
      </c>
      <c r="I3367">
        <v>0</v>
      </c>
      <c r="J3367" t="s">
        <v>174</v>
      </c>
      <c r="K3367">
        <v>0</v>
      </c>
      <c r="L3367" t="s">
        <v>8717</v>
      </c>
      <c r="M3367" t="s">
        <v>8718</v>
      </c>
      <c r="N3367" t="s">
        <v>8719</v>
      </c>
      <c r="O3367" t="s">
        <v>8720</v>
      </c>
      <c r="P3367" t="s">
        <v>8721</v>
      </c>
    </row>
    <row r="3368" spans="1:16" x14ac:dyDescent="0.35">
      <c r="A3368" t="s">
        <v>91</v>
      </c>
      <c r="B3368">
        <v>1313762456</v>
      </c>
      <c r="C3368" t="s">
        <v>18</v>
      </c>
      <c r="D3368" t="s">
        <v>20</v>
      </c>
      <c r="E3368" s="29">
        <v>46207</v>
      </c>
      <c r="F3368" t="s">
        <v>5</v>
      </c>
      <c r="G3368" s="28">
        <v>0.71805555555555556</v>
      </c>
      <c r="H3368" s="28">
        <v>0.71805555555555556</v>
      </c>
      <c r="I3368">
        <v>0</v>
      </c>
      <c r="J3368" t="s">
        <v>174</v>
      </c>
      <c r="K3368">
        <v>0</v>
      </c>
      <c r="L3368" t="s">
        <v>4711</v>
      </c>
      <c r="M3368" t="s">
        <v>8722</v>
      </c>
      <c r="N3368" t="s">
        <v>8723</v>
      </c>
      <c r="O3368" t="s">
        <v>8724</v>
      </c>
      <c r="P3368" t="s">
        <v>2385</v>
      </c>
    </row>
    <row r="3369" spans="1:16" x14ac:dyDescent="0.35">
      <c r="A3369" t="s">
        <v>91</v>
      </c>
      <c r="B3369">
        <v>1313762456</v>
      </c>
      <c r="C3369" t="s">
        <v>18</v>
      </c>
      <c r="D3369" t="s">
        <v>20</v>
      </c>
      <c r="E3369" s="29">
        <v>46207</v>
      </c>
      <c r="F3369" t="s">
        <v>5</v>
      </c>
      <c r="G3369" s="28">
        <v>0.72499999999999998</v>
      </c>
      <c r="H3369" s="28">
        <v>0.75972222222222219</v>
      </c>
      <c r="I3369">
        <v>1</v>
      </c>
      <c r="J3369" t="s">
        <v>146</v>
      </c>
      <c r="K3369">
        <v>2</v>
      </c>
      <c r="L3369" t="s">
        <v>147</v>
      </c>
      <c r="M3369" t="s">
        <v>2663</v>
      </c>
      <c r="N3369" t="s">
        <v>2664</v>
      </c>
      <c r="O3369" t="s">
        <v>2665</v>
      </c>
      <c r="P3369" t="s">
        <v>8572</v>
      </c>
    </row>
    <row r="3370" spans="1:16" x14ac:dyDescent="0.35">
      <c r="A3370" t="s">
        <v>91</v>
      </c>
      <c r="B3370">
        <v>1313762456</v>
      </c>
      <c r="C3370" t="s">
        <v>18</v>
      </c>
      <c r="D3370" t="s">
        <v>20</v>
      </c>
      <c r="E3370" s="29">
        <v>46207</v>
      </c>
      <c r="F3370" t="s">
        <v>5</v>
      </c>
      <c r="G3370" s="28">
        <v>0.76666666666666672</v>
      </c>
      <c r="H3370" s="28">
        <v>0.76666666666666672</v>
      </c>
      <c r="I3370">
        <v>0</v>
      </c>
      <c r="J3370" t="s">
        <v>174</v>
      </c>
      <c r="K3370">
        <v>0</v>
      </c>
      <c r="L3370" t="s">
        <v>663</v>
      </c>
      <c r="M3370" t="s">
        <v>2654</v>
      </c>
      <c r="N3370" t="s">
        <v>2655</v>
      </c>
      <c r="O3370" t="s">
        <v>2656</v>
      </c>
      <c r="P3370" t="s">
        <v>8571</v>
      </c>
    </row>
    <row r="3371" spans="1:16" x14ac:dyDescent="0.35">
      <c r="A3371" t="s">
        <v>91</v>
      </c>
      <c r="B3371">
        <v>1313762456</v>
      </c>
      <c r="C3371" t="s">
        <v>18</v>
      </c>
      <c r="D3371" t="s">
        <v>20</v>
      </c>
      <c r="E3371" s="29">
        <v>46207</v>
      </c>
      <c r="F3371" t="s">
        <v>5</v>
      </c>
      <c r="G3371" s="28">
        <v>0.77361111111111114</v>
      </c>
      <c r="H3371" s="28">
        <v>0.78055555555555556</v>
      </c>
      <c r="I3371">
        <v>0</v>
      </c>
      <c r="J3371" t="s">
        <v>146</v>
      </c>
      <c r="K3371">
        <v>0</v>
      </c>
      <c r="L3371" t="s">
        <v>147</v>
      </c>
      <c r="M3371" t="s">
        <v>8725</v>
      </c>
      <c r="N3371" t="s">
        <v>8726</v>
      </c>
      <c r="O3371" t="s">
        <v>8727</v>
      </c>
      <c r="P3371" t="s">
        <v>8728</v>
      </c>
    </row>
    <row r="3372" spans="1:16" x14ac:dyDescent="0.35">
      <c r="A3372" t="s">
        <v>91</v>
      </c>
      <c r="B3372">
        <v>1313762456</v>
      </c>
      <c r="C3372" t="s">
        <v>18</v>
      </c>
      <c r="D3372" t="s">
        <v>20</v>
      </c>
      <c r="E3372" s="29">
        <v>46207</v>
      </c>
      <c r="F3372" t="s">
        <v>5</v>
      </c>
      <c r="G3372" s="28">
        <v>0.78749999999999998</v>
      </c>
      <c r="H3372" s="28">
        <v>0.78749999999999998</v>
      </c>
      <c r="I3372">
        <v>0</v>
      </c>
      <c r="J3372" t="s">
        <v>174</v>
      </c>
      <c r="K3372">
        <v>0</v>
      </c>
      <c r="L3372" t="s">
        <v>8729</v>
      </c>
      <c r="M3372" t="s">
        <v>8730</v>
      </c>
      <c r="N3372" t="s">
        <v>8731</v>
      </c>
      <c r="O3372" t="s">
        <v>8732</v>
      </c>
      <c r="P3372" t="s">
        <v>8733</v>
      </c>
    </row>
    <row r="3373" spans="1:16" x14ac:dyDescent="0.35">
      <c r="A3373" t="s">
        <v>91</v>
      </c>
      <c r="B3373">
        <v>1313762456</v>
      </c>
      <c r="C3373" t="s">
        <v>18</v>
      </c>
      <c r="D3373" t="s">
        <v>20</v>
      </c>
      <c r="E3373" s="29">
        <v>46208</v>
      </c>
      <c r="F3373" t="s">
        <v>6</v>
      </c>
      <c r="G3373" s="28">
        <v>0.43333333333333335</v>
      </c>
      <c r="H3373" s="28">
        <v>0.43333333333333335</v>
      </c>
      <c r="I3373">
        <v>0</v>
      </c>
      <c r="J3373" t="s">
        <v>174</v>
      </c>
      <c r="K3373">
        <v>0</v>
      </c>
      <c r="L3373" t="s">
        <v>8729</v>
      </c>
      <c r="M3373" t="s">
        <v>8730</v>
      </c>
      <c r="N3373" t="s">
        <v>8731</v>
      </c>
      <c r="O3373" t="s">
        <v>8732</v>
      </c>
      <c r="P3373" t="s">
        <v>8733</v>
      </c>
    </row>
    <row r="3374" spans="1:16" x14ac:dyDescent="0.35">
      <c r="A3374" t="s">
        <v>91</v>
      </c>
      <c r="B3374">
        <v>1313762456</v>
      </c>
      <c r="C3374" t="s">
        <v>18</v>
      </c>
      <c r="D3374" t="s">
        <v>20</v>
      </c>
      <c r="E3374" s="29">
        <v>46208</v>
      </c>
      <c r="F3374" t="s">
        <v>6</v>
      </c>
      <c r="G3374" s="28">
        <v>0.44027777777777777</v>
      </c>
      <c r="H3374" s="28">
        <v>0.44027777777777777</v>
      </c>
      <c r="I3374">
        <v>0</v>
      </c>
      <c r="J3374" t="s">
        <v>174</v>
      </c>
      <c r="K3374">
        <v>0</v>
      </c>
      <c r="L3374" t="s">
        <v>8734</v>
      </c>
      <c r="M3374" t="s">
        <v>8725</v>
      </c>
      <c r="N3374" t="s">
        <v>8726</v>
      </c>
      <c r="O3374" t="s">
        <v>8727</v>
      </c>
      <c r="P3374" t="s">
        <v>8728</v>
      </c>
    </row>
    <row r="3375" spans="1:16" x14ac:dyDescent="0.35">
      <c r="A3375" t="s">
        <v>91</v>
      </c>
      <c r="B3375">
        <v>1313762456</v>
      </c>
      <c r="C3375" t="s">
        <v>18</v>
      </c>
      <c r="D3375" t="s">
        <v>20</v>
      </c>
      <c r="E3375" s="29">
        <v>46208</v>
      </c>
      <c r="F3375" t="s">
        <v>6</v>
      </c>
      <c r="G3375" s="28">
        <v>0.44722222222222224</v>
      </c>
      <c r="H3375" s="28">
        <v>0.44722222222222224</v>
      </c>
      <c r="I3375">
        <v>0</v>
      </c>
      <c r="J3375" t="s">
        <v>174</v>
      </c>
      <c r="K3375">
        <v>0</v>
      </c>
      <c r="L3375" t="s">
        <v>1466</v>
      </c>
      <c r="M3375" t="s">
        <v>8735</v>
      </c>
      <c r="N3375" t="s">
        <v>8736</v>
      </c>
      <c r="O3375" t="s">
        <v>8737</v>
      </c>
      <c r="P3375" t="s">
        <v>2524</v>
      </c>
    </row>
    <row r="3376" spans="1:16" x14ac:dyDescent="0.35">
      <c r="A3376" t="s">
        <v>91</v>
      </c>
      <c r="B3376">
        <v>1313762456</v>
      </c>
      <c r="C3376" t="s">
        <v>18</v>
      </c>
      <c r="D3376" t="s">
        <v>20</v>
      </c>
      <c r="E3376" s="29">
        <v>46208</v>
      </c>
      <c r="F3376" t="s">
        <v>6</v>
      </c>
      <c r="G3376" s="28">
        <v>0.45416666666666666</v>
      </c>
      <c r="H3376" s="28">
        <v>0.46111111111111114</v>
      </c>
      <c r="I3376">
        <v>0</v>
      </c>
      <c r="J3376" t="s">
        <v>146</v>
      </c>
      <c r="K3376">
        <v>1</v>
      </c>
      <c r="L3376" t="s">
        <v>147</v>
      </c>
      <c r="M3376" t="s">
        <v>8738</v>
      </c>
      <c r="N3376" t="s">
        <v>8739</v>
      </c>
      <c r="O3376" t="s">
        <v>8740</v>
      </c>
      <c r="P3376" t="s">
        <v>2500</v>
      </c>
    </row>
    <row r="3377" spans="1:16" x14ac:dyDescent="0.35">
      <c r="A3377" t="s">
        <v>91</v>
      </c>
      <c r="B3377">
        <v>1313762456</v>
      </c>
      <c r="C3377" t="s">
        <v>18</v>
      </c>
      <c r="D3377" t="s">
        <v>20</v>
      </c>
      <c r="E3377" s="29">
        <v>46208</v>
      </c>
      <c r="F3377" t="s">
        <v>6</v>
      </c>
      <c r="G3377" s="28">
        <v>0.46805555555555556</v>
      </c>
      <c r="H3377" s="28">
        <v>0.46805555555555556</v>
      </c>
      <c r="I3377">
        <v>0</v>
      </c>
      <c r="J3377" t="s">
        <v>174</v>
      </c>
      <c r="K3377">
        <v>0</v>
      </c>
      <c r="L3377" t="s">
        <v>8741</v>
      </c>
      <c r="M3377" t="s">
        <v>8612</v>
      </c>
      <c r="N3377" t="s">
        <v>8613</v>
      </c>
      <c r="O3377" t="s">
        <v>8614</v>
      </c>
      <c r="P3377" t="s">
        <v>8615</v>
      </c>
    </row>
    <row r="3378" spans="1:16" x14ac:dyDescent="0.35">
      <c r="A3378" t="s">
        <v>91</v>
      </c>
      <c r="B3378">
        <v>1313762456</v>
      </c>
      <c r="C3378" t="s">
        <v>18</v>
      </c>
      <c r="D3378" t="s">
        <v>20</v>
      </c>
      <c r="E3378" s="29">
        <v>46208</v>
      </c>
      <c r="F3378" t="s">
        <v>6</v>
      </c>
      <c r="G3378" s="28">
        <v>0.47499999999999998</v>
      </c>
      <c r="H3378" s="28">
        <v>0.48888888888888887</v>
      </c>
      <c r="I3378">
        <v>0</v>
      </c>
      <c r="J3378" t="s">
        <v>146</v>
      </c>
      <c r="K3378">
        <v>1</v>
      </c>
      <c r="L3378" t="s">
        <v>147</v>
      </c>
      <c r="M3378" t="s">
        <v>8738</v>
      </c>
      <c r="N3378" t="s">
        <v>8739</v>
      </c>
      <c r="O3378" t="s">
        <v>8740</v>
      </c>
      <c r="P3378" t="s">
        <v>2500</v>
      </c>
    </row>
    <row r="3379" spans="1:16" x14ac:dyDescent="0.35">
      <c r="A3379" t="s">
        <v>91</v>
      </c>
      <c r="B3379">
        <v>1313762456</v>
      </c>
      <c r="C3379" t="s">
        <v>18</v>
      </c>
      <c r="D3379" t="s">
        <v>20</v>
      </c>
      <c r="E3379" s="29">
        <v>46208</v>
      </c>
      <c r="F3379" t="s">
        <v>6</v>
      </c>
      <c r="G3379" s="28">
        <v>0.49583333333333335</v>
      </c>
      <c r="H3379" s="28">
        <v>0.50972222222222219</v>
      </c>
      <c r="I3379">
        <v>0</v>
      </c>
      <c r="J3379" t="s">
        <v>146</v>
      </c>
      <c r="K3379">
        <v>1</v>
      </c>
      <c r="L3379" t="s">
        <v>147</v>
      </c>
      <c r="M3379" t="s">
        <v>8742</v>
      </c>
      <c r="N3379" t="s">
        <v>8743</v>
      </c>
      <c r="O3379" t="s">
        <v>8744</v>
      </c>
      <c r="P3379" t="s">
        <v>8745</v>
      </c>
    </row>
    <row r="3380" spans="1:16" x14ac:dyDescent="0.35">
      <c r="A3380" t="s">
        <v>91</v>
      </c>
      <c r="B3380">
        <v>1313762456</v>
      </c>
      <c r="C3380" t="s">
        <v>18</v>
      </c>
      <c r="D3380" t="s">
        <v>20</v>
      </c>
      <c r="E3380" s="29">
        <v>46208</v>
      </c>
      <c r="F3380" t="s">
        <v>6</v>
      </c>
      <c r="G3380" s="28">
        <v>0.51666666666666672</v>
      </c>
      <c r="H3380" s="28">
        <v>0.51666666666666672</v>
      </c>
      <c r="I3380">
        <v>0</v>
      </c>
      <c r="J3380" t="s">
        <v>174</v>
      </c>
      <c r="K3380">
        <v>0</v>
      </c>
      <c r="L3380" t="s">
        <v>8734</v>
      </c>
      <c r="M3380" t="s">
        <v>8735</v>
      </c>
      <c r="N3380" t="s">
        <v>8736</v>
      </c>
      <c r="O3380" t="s">
        <v>8737</v>
      </c>
      <c r="P3380" t="s">
        <v>2524</v>
      </c>
    </row>
    <row r="3381" spans="1:16" x14ac:dyDescent="0.35">
      <c r="A3381" t="s">
        <v>91</v>
      </c>
      <c r="B3381">
        <v>1313762456</v>
      </c>
      <c r="C3381" t="s">
        <v>18</v>
      </c>
      <c r="D3381" t="s">
        <v>20</v>
      </c>
      <c r="E3381" s="29">
        <v>46208</v>
      </c>
      <c r="F3381" t="s">
        <v>6</v>
      </c>
      <c r="G3381" s="28">
        <v>0.52361111111111114</v>
      </c>
      <c r="H3381" s="28">
        <v>0.53749999999999998</v>
      </c>
      <c r="I3381">
        <v>0</v>
      </c>
      <c r="J3381" t="s">
        <v>146</v>
      </c>
      <c r="K3381">
        <v>1</v>
      </c>
      <c r="L3381" t="s">
        <v>147</v>
      </c>
      <c r="M3381" t="s">
        <v>8725</v>
      </c>
      <c r="N3381" t="s">
        <v>8726</v>
      </c>
      <c r="O3381" t="s">
        <v>8727</v>
      </c>
      <c r="P3381" t="s">
        <v>8728</v>
      </c>
    </row>
    <row r="3382" spans="1:16" x14ac:dyDescent="0.35">
      <c r="A3382" t="s">
        <v>91</v>
      </c>
      <c r="B3382">
        <v>1313762456</v>
      </c>
      <c r="C3382" t="s">
        <v>18</v>
      </c>
      <c r="D3382" t="s">
        <v>20</v>
      </c>
      <c r="E3382" s="29">
        <v>46208</v>
      </c>
      <c r="F3382" t="s">
        <v>6</v>
      </c>
      <c r="G3382" s="28">
        <v>0.5444444444444444</v>
      </c>
      <c r="H3382" s="28">
        <v>0.5444444444444444</v>
      </c>
      <c r="I3382">
        <v>0</v>
      </c>
      <c r="J3382" t="s">
        <v>174</v>
      </c>
      <c r="K3382">
        <v>0</v>
      </c>
      <c r="L3382" t="s">
        <v>4083</v>
      </c>
      <c r="M3382" t="s">
        <v>8746</v>
      </c>
      <c r="N3382" t="s">
        <v>8747</v>
      </c>
      <c r="O3382" t="s">
        <v>8748</v>
      </c>
      <c r="P3382" t="s">
        <v>2504</v>
      </c>
    </row>
    <row r="3383" spans="1:16" x14ac:dyDescent="0.35">
      <c r="A3383" t="s">
        <v>91</v>
      </c>
      <c r="B3383">
        <v>1313762456</v>
      </c>
      <c r="C3383" t="s">
        <v>18</v>
      </c>
      <c r="D3383" t="s">
        <v>20</v>
      </c>
      <c r="E3383" s="29">
        <v>46208</v>
      </c>
      <c r="F3383" t="s">
        <v>6</v>
      </c>
      <c r="G3383" s="28">
        <v>0.55138888888888893</v>
      </c>
      <c r="H3383" s="28">
        <v>0.55138888888888893</v>
      </c>
      <c r="I3383">
        <v>0</v>
      </c>
      <c r="J3383" t="s">
        <v>174</v>
      </c>
      <c r="K3383">
        <v>0</v>
      </c>
      <c r="L3383" t="s">
        <v>8729</v>
      </c>
      <c r="M3383" t="s">
        <v>8730</v>
      </c>
      <c r="N3383" t="s">
        <v>8731</v>
      </c>
      <c r="O3383" t="s">
        <v>8732</v>
      </c>
      <c r="P3383" t="s">
        <v>8733</v>
      </c>
    </row>
    <row r="3384" spans="1:16" x14ac:dyDescent="0.35">
      <c r="A3384" t="s">
        <v>91</v>
      </c>
      <c r="B3384">
        <v>1313762456</v>
      </c>
      <c r="C3384" t="s">
        <v>18</v>
      </c>
      <c r="D3384" t="s">
        <v>20</v>
      </c>
      <c r="E3384" s="29">
        <v>46208</v>
      </c>
      <c r="F3384" t="s">
        <v>6</v>
      </c>
      <c r="G3384" s="28">
        <v>0.55833333333333335</v>
      </c>
      <c r="H3384" s="28">
        <v>0.55833333333333335</v>
      </c>
      <c r="I3384">
        <v>0</v>
      </c>
      <c r="J3384" t="s">
        <v>174</v>
      </c>
      <c r="K3384">
        <v>0</v>
      </c>
      <c r="L3384" t="s">
        <v>4439</v>
      </c>
      <c r="M3384" t="s">
        <v>8725</v>
      </c>
      <c r="N3384" t="s">
        <v>8726</v>
      </c>
      <c r="O3384" t="s">
        <v>8727</v>
      </c>
      <c r="P3384" t="s">
        <v>8728</v>
      </c>
    </row>
    <row r="3385" spans="1:16" x14ac:dyDescent="0.35">
      <c r="A3385" t="s">
        <v>91</v>
      </c>
      <c r="B3385">
        <v>1313762456</v>
      </c>
      <c r="C3385" t="s">
        <v>18</v>
      </c>
      <c r="D3385" t="s">
        <v>20</v>
      </c>
      <c r="E3385" s="29">
        <v>46208</v>
      </c>
      <c r="F3385" t="s">
        <v>6</v>
      </c>
      <c r="G3385" s="28">
        <v>0.56527777777777777</v>
      </c>
      <c r="H3385" s="28">
        <v>0.56527777777777777</v>
      </c>
      <c r="I3385">
        <v>0</v>
      </c>
      <c r="J3385" t="s">
        <v>174</v>
      </c>
      <c r="K3385">
        <v>0</v>
      </c>
      <c r="L3385" t="s">
        <v>2671</v>
      </c>
      <c r="M3385" t="s">
        <v>2663</v>
      </c>
      <c r="N3385" t="s">
        <v>2664</v>
      </c>
      <c r="O3385" t="s">
        <v>2665</v>
      </c>
      <c r="P3385" t="s">
        <v>8572</v>
      </c>
    </row>
    <row r="3386" spans="1:16" x14ac:dyDescent="0.35">
      <c r="A3386" t="s">
        <v>91</v>
      </c>
      <c r="B3386">
        <v>1313762456</v>
      </c>
      <c r="C3386" t="s">
        <v>18</v>
      </c>
      <c r="D3386" t="s">
        <v>20</v>
      </c>
      <c r="E3386" s="29">
        <v>46208</v>
      </c>
      <c r="F3386" t="s">
        <v>6</v>
      </c>
      <c r="G3386" s="28">
        <v>0.57222222222222219</v>
      </c>
      <c r="H3386" s="28">
        <v>0.58611111111111114</v>
      </c>
      <c r="I3386">
        <v>0</v>
      </c>
      <c r="J3386" t="s">
        <v>146</v>
      </c>
      <c r="K3386">
        <v>1</v>
      </c>
      <c r="L3386" t="s">
        <v>147</v>
      </c>
      <c r="M3386" t="s">
        <v>2658</v>
      </c>
      <c r="N3386" t="s">
        <v>2659</v>
      </c>
      <c r="O3386" t="s">
        <v>2660</v>
      </c>
      <c r="P3386" t="s">
        <v>8749</v>
      </c>
    </row>
    <row r="3387" spans="1:16" x14ac:dyDescent="0.35">
      <c r="A3387" t="s">
        <v>91</v>
      </c>
      <c r="B3387">
        <v>1313762456</v>
      </c>
      <c r="C3387" t="s">
        <v>18</v>
      </c>
      <c r="D3387" t="s">
        <v>20</v>
      </c>
      <c r="E3387" s="29">
        <v>46208</v>
      </c>
      <c r="F3387" t="s">
        <v>6</v>
      </c>
      <c r="G3387" s="28">
        <v>0.59305555555555556</v>
      </c>
      <c r="H3387" s="28">
        <v>0.6</v>
      </c>
      <c r="I3387">
        <v>0</v>
      </c>
      <c r="J3387" t="s">
        <v>146</v>
      </c>
      <c r="K3387">
        <v>0</v>
      </c>
      <c r="L3387" t="s">
        <v>147</v>
      </c>
      <c r="M3387" t="s">
        <v>2663</v>
      </c>
      <c r="N3387" t="s">
        <v>2664</v>
      </c>
      <c r="O3387" t="s">
        <v>2665</v>
      </c>
      <c r="P3387" t="s">
        <v>8572</v>
      </c>
    </row>
    <row r="3388" spans="1:16" x14ac:dyDescent="0.35">
      <c r="A3388" t="s">
        <v>91</v>
      </c>
      <c r="B3388">
        <v>1313762456</v>
      </c>
      <c r="C3388" t="s">
        <v>18</v>
      </c>
      <c r="D3388" t="s">
        <v>20</v>
      </c>
      <c r="E3388" s="29">
        <v>46208</v>
      </c>
      <c r="F3388" t="s">
        <v>6</v>
      </c>
      <c r="G3388" s="28">
        <v>0.6069444444444444</v>
      </c>
      <c r="H3388" s="28">
        <v>0.6069444444444444</v>
      </c>
      <c r="I3388">
        <v>0</v>
      </c>
      <c r="J3388" t="s">
        <v>174</v>
      </c>
      <c r="K3388">
        <v>0</v>
      </c>
      <c r="L3388" t="s">
        <v>8729</v>
      </c>
      <c r="M3388" t="s">
        <v>8725</v>
      </c>
      <c r="N3388" t="s">
        <v>8726</v>
      </c>
      <c r="O3388" t="s">
        <v>8727</v>
      </c>
      <c r="P3388" t="s">
        <v>8728</v>
      </c>
    </row>
    <row r="3389" spans="1:16" x14ac:dyDescent="0.35">
      <c r="A3389" t="s">
        <v>91</v>
      </c>
      <c r="B3389">
        <v>1313762456</v>
      </c>
      <c r="C3389" t="s">
        <v>18</v>
      </c>
      <c r="D3389" t="s">
        <v>20</v>
      </c>
      <c r="E3389" s="29">
        <v>46208</v>
      </c>
      <c r="F3389" t="s">
        <v>6</v>
      </c>
      <c r="G3389" s="28">
        <v>0.61388888888888893</v>
      </c>
      <c r="H3389" s="28">
        <v>0.73888888888888893</v>
      </c>
      <c r="I3389">
        <v>3</v>
      </c>
      <c r="J3389" t="s">
        <v>146</v>
      </c>
      <c r="K3389">
        <v>9</v>
      </c>
      <c r="L3389" t="s">
        <v>147</v>
      </c>
      <c r="M3389" t="s">
        <v>8730</v>
      </c>
      <c r="N3389" t="s">
        <v>8731</v>
      </c>
      <c r="O3389" t="s">
        <v>8732</v>
      </c>
      <c r="P3389" t="s">
        <v>8733</v>
      </c>
    </row>
    <row r="3390" spans="1:16" x14ac:dyDescent="0.35">
      <c r="A3390" t="s">
        <v>91</v>
      </c>
      <c r="B3390">
        <v>1313762456</v>
      </c>
      <c r="C3390" t="s">
        <v>18</v>
      </c>
      <c r="D3390" t="s">
        <v>20</v>
      </c>
      <c r="E3390" s="29">
        <v>46208</v>
      </c>
      <c r="F3390" t="s">
        <v>6</v>
      </c>
      <c r="G3390" s="28">
        <v>0.74583333333333335</v>
      </c>
      <c r="H3390" s="28">
        <v>0.75277777777777777</v>
      </c>
      <c r="I3390">
        <v>0</v>
      </c>
      <c r="J3390" t="s">
        <v>146</v>
      </c>
      <c r="K3390">
        <v>0</v>
      </c>
      <c r="L3390" t="s">
        <v>147</v>
      </c>
      <c r="M3390" t="s">
        <v>8612</v>
      </c>
      <c r="N3390" t="s">
        <v>8613</v>
      </c>
      <c r="O3390" t="s">
        <v>8614</v>
      </c>
      <c r="P3390" t="s">
        <v>8615</v>
      </c>
    </row>
    <row r="3391" spans="1:16" x14ac:dyDescent="0.35">
      <c r="A3391" t="s">
        <v>91</v>
      </c>
      <c r="B3391">
        <v>1313762456</v>
      </c>
      <c r="C3391" t="s">
        <v>18</v>
      </c>
      <c r="D3391" t="s">
        <v>20</v>
      </c>
      <c r="E3391" s="29">
        <v>46208</v>
      </c>
      <c r="F3391" t="s">
        <v>6</v>
      </c>
      <c r="G3391" s="28">
        <v>0.75972222222222219</v>
      </c>
      <c r="H3391" s="28">
        <v>0.75972222222222219</v>
      </c>
      <c r="I3391">
        <v>0</v>
      </c>
      <c r="J3391" t="s">
        <v>174</v>
      </c>
      <c r="K3391">
        <v>0</v>
      </c>
      <c r="L3391" t="s">
        <v>8750</v>
      </c>
      <c r="M3391" t="s">
        <v>8608</v>
      </c>
      <c r="N3391" t="s">
        <v>8609</v>
      </c>
      <c r="O3391" t="s">
        <v>8610</v>
      </c>
      <c r="P3391" t="s">
        <v>8611</v>
      </c>
    </row>
    <row r="3392" spans="1:16" x14ac:dyDescent="0.35">
      <c r="A3392" t="s">
        <v>91</v>
      </c>
      <c r="B3392">
        <v>1313762456</v>
      </c>
      <c r="C3392" t="s">
        <v>18</v>
      </c>
      <c r="D3392" t="s">
        <v>20</v>
      </c>
      <c r="E3392" s="29">
        <v>46208</v>
      </c>
      <c r="F3392" t="s">
        <v>6</v>
      </c>
      <c r="G3392" s="28">
        <v>0.76666666666666672</v>
      </c>
      <c r="H3392" s="28">
        <v>0.76666666666666672</v>
      </c>
      <c r="I3392">
        <v>0</v>
      </c>
      <c r="J3392" t="s">
        <v>174</v>
      </c>
      <c r="K3392">
        <v>0</v>
      </c>
      <c r="L3392" t="s">
        <v>600</v>
      </c>
      <c r="M3392" t="s">
        <v>8738</v>
      </c>
      <c r="N3392" t="s">
        <v>8739</v>
      </c>
      <c r="O3392" t="s">
        <v>8740</v>
      </c>
      <c r="P3392" t="s">
        <v>2500</v>
      </c>
    </row>
    <row r="3393" spans="1:16" x14ac:dyDescent="0.35">
      <c r="A3393" t="s">
        <v>91</v>
      </c>
      <c r="B3393">
        <v>1313762456</v>
      </c>
      <c r="C3393" t="s">
        <v>18</v>
      </c>
      <c r="D3393" t="s">
        <v>20</v>
      </c>
      <c r="E3393" s="29">
        <v>46208</v>
      </c>
      <c r="F3393" t="s">
        <v>6</v>
      </c>
      <c r="G3393" s="28">
        <v>0.77361111111111114</v>
      </c>
      <c r="H3393" s="28">
        <v>0.77361111111111114</v>
      </c>
      <c r="I3393">
        <v>0</v>
      </c>
      <c r="J3393" t="s">
        <v>174</v>
      </c>
      <c r="K3393">
        <v>0</v>
      </c>
      <c r="L3393" t="s">
        <v>4504</v>
      </c>
      <c r="M3393" t="s">
        <v>8751</v>
      </c>
      <c r="N3393" t="s">
        <v>8752</v>
      </c>
      <c r="O3393" t="s">
        <v>8753</v>
      </c>
      <c r="P3393" t="s">
        <v>8754</v>
      </c>
    </row>
    <row r="3394" spans="1:16" x14ac:dyDescent="0.35">
      <c r="A3394" t="s">
        <v>91</v>
      </c>
      <c r="B3394">
        <v>1313762456</v>
      </c>
      <c r="C3394" t="s">
        <v>18</v>
      </c>
      <c r="D3394" t="s">
        <v>20</v>
      </c>
      <c r="E3394" s="29">
        <v>46208</v>
      </c>
      <c r="F3394" t="s">
        <v>6</v>
      </c>
      <c r="G3394" s="28">
        <v>0.78055555555555556</v>
      </c>
      <c r="H3394" s="28">
        <v>0.78055555555555556</v>
      </c>
      <c r="I3394">
        <v>0</v>
      </c>
      <c r="J3394" t="s">
        <v>174</v>
      </c>
      <c r="K3394">
        <v>0</v>
      </c>
      <c r="L3394" t="s">
        <v>8755</v>
      </c>
      <c r="M3394" t="s">
        <v>524</v>
      </c>
      <c r="N3394" t="s">
        <v>525</v>
      </c>
      <c r="O3394" t="s">
        <v>526</v>
      </c>
      <c r="P3394" t="s">
        <v>8597</v>
      </c>
    </row>
    <row r="3395" spans="1:16" x14ac:dyDescent="0.35">
      <c r="A3395" t="s">
        <v>91</v>
      </c>
      <c r="B3395">
        <v>1313762456</v>
      </c>
      <c r="C3395" t="s">
        <v>18</v>
      </c>
      <c r="D3395" t="s">
        <v>20</v>
      </c>
      <c r="E3395" s="29">
        <v>46208</v>
      </c>
      <c r="F3395" t="s">
        <v>6</v>
      </c>
      <c r="G3395" s="28">
        <v>0.78749999999999998</v>
      </c>
      <c r="H3395" s="28">
        <v>0.78749999999999998</v>
      </c>
      <c r="I3395">
        <v>0</v>
      </c>
      <c r="J3395" t="s">
        <v>174</v>
      </c>
      <c r="K3395">
        <v>0</v>
      </c>
      <c r="L3395" t="s">
        <v>8756</v>
      </c>
      <c r="M3395" t="s">
        <v>529</v>
      </c>
      <c r="N3395" t="s">
        <v>530</v>
      </c>
      <c r="O3395" t="s">
        <v>531</v>
      </c>
      <c r="P3395" t="s">
        <v>2433</v>
      </c>
    </row>
    <row r="3396" spans="1:16" x14ac:dyDescent="0.35">
      <c r="A3396" t="s">
        <v>92</v>
      </c>
      <c r="B3396">
        <v>1313762582</v>
      </c>
      <c r="C3396" t="s">
        <v>18</v>
      </c>
      <c r="D3396" t="s">
        <v>20</v>
      </c>
      <c r="E3396" s="29">
        <v>46204</v>
      </c>
      <c r="F3396" t="s">
        <v>3</v>
      </c>
      <c r="G3396" s="28">
        <v>0.38055555555555554</v>
      </c>
      <c r="H3396" s="28">
        <v>0.38055555555555554</v>
      </c>
      <c r="I3396">
        <v>0</v>
      </c>
      <c r="J3396" t="s">
        <v>174</v>
      </c>
      <c r="K3396">
        <v>0</v>
      </c>
      <c r="L3396" t="s">
        <v>8757</v>
      </c>
      <c r="M3396" t="s">
        <v>8758</v>
      </c>
      <c r="N3396" t="s">
        <v>8759</v>
      </c>
      <c r="O3396" t="s">
        <v>8760</v>
      </c>
      <c r="P3396" t="s">
        <v>8761</v>
      </c>
    </row>
    <row r="3397" spans="1:16" x14ac:dyDescent="0.35">
      <c r="A3397" t="s">
        <v>92</v>
      </c>
      <c r="B3397">
        <v>1313762582</v>
      </c>
      <c r="C3397" t="s">
        <v>18</v>
      </c>
      <c r="D3397" t="s">
        <v>20</v>
      </c>
      <c r="E3397" s="29">
        <v>46204</v>
      </c>
      <c r="F3397" t="s">
        <v>3</v>
      </c>
      <c r="G3397" s="28">
        <v>0.38750000000000001</v>
      </c>
      <c r="H3397" s="28">
        <v>0.38750000000000001</v>
      </c>
      <c r="I3397">
        <v>0</v>
      </c>
      <c r="J3397" t="s">
        <v>174</v>
      </c>
      <c r="K3397">
        <v>0</v>
      </c>
      <c r="L3397" t="s">
        <v>2918</v>
      </c>
      <c r="M3397" t="s">
        <v>8762</v>
      </c>
      <c r="N3397" t="s">
        <v>8763</v>
      </c>
      <c r="O3397" t="s">
        <v>8764</v>
      </c>
      <c r="P3397" t="s">
        <v>8765</v>
      </c>
    </row>
    <row r="3398" spans="1:16" x14ac:dyDescent="0.35">
      <c r="A3398" t="s">
        <v>92</v>
      </c>
      <c r="B3398">
        <v>1313762582</v>
      </c>
      <c r="C3398" t="s">
        <v>18</v>
      </c>
      <c r="D3398" t="s">
        <v>20</v>
      </c>
      <c r="E3398" s="29">
        <v>46204</v>
      </c>
      <c r="F3398" t="s">
        <v>3</v>
      </c>
      <c r="G3398" s="28">
        <v>0.39444444444444443</v>
      </c>
      <c r="H3398" s="28">
        <v>0.39444444444444443</v>
      </c>
      <c r="I3398">
        <v>0</v>
      </c>
      <c r="J3398" t="s">
        <v>174</v>
      </c>
      <c r="K3398">
        <v>0</v>
      </c>
      <c r="L3398" t="s">
        <v>8766</v>
      </c>
      <c r="M3398" t="s">
        <v>8767</v>
      </c>
      <c r="N3398" t="s">
        <v>8768</v>
      </c>
      <c r="O3398" t="s">
        <v>8769</v>
      </c>
      <c r="P3398" t="s">
        <v>8770</v>
      </c>
    </row>
    <row r="3399" spans="1:16" x14ac:dyDescent="0.35">
      <c r="A3399" t="s">
        <v>92</v>
      </c>
      <c r="B3399">
        <v>1313762582</v>
      </c>
      <c r="C3399" t="s">
        <v>18</v>
      </c>
      <c r="D3399" t="s">
        <v>20</v>
      </c>
      <c r="E3399" s="29">
        <v>46204</v>
      </c>
      <c r="F3399" t="s">
        <v>3</v>
      </c>
      <c r="G3399" s="28">
        <v>0.40138888888888891</v>
      </c>
      <c r="H3399" s="28">
        <v>0.40138888888888891</v>
      </c>
      <c r="I3399">
        <v>0</v>
      </c>
      <c r="J3399" t="s">
        <v>174</v>
      </c>
      <c r="K3399">
        <v>0</v>
      </c>
      <c r="L3399" t="s">
        <v>8771</v>
      </c>
      <c r="M3399" t="s">
        <v>8772</v>
      </c>
      <c r="N3399" t="s">
        <v>8773</v>
      </c>
      <c r="O3399" t="s">
        <v>8774</v>
      </c>
      <c r="P3399" t="s">
        <v>8775</v>
      </c>
    </row>
    <row r="3400" spans="1:16" x14ac:dyDescent="0.35">
      <c r="A3400" t="s">
        <v>92</v>
      </c>
      <c r="B3400">
        <v>1313762582</v>
      </c>
      <c r="C3400" t="s">
        <v>18</v>
      </c>
      <c r="D3400" t="s">
        <v>20</v>
      </c>
      <c r="E3400" s="29">
        <v>46204</v>
      </c>
      <c r="F3400" t="s">
        <v>3</v>
      </c>
      <c r="G3400" s="28">
        <v>0.40833333333333333</v>
      </c>
      <c r="H3400" s="28">
        <v>0.40833333333333333</v>
      </c>
      <c r="I3400">
        <v>0</v>
      </c>
      <c r="J3400" t="s">
        <v>174</v>
      </c>
      <c r="K3400">
        <v>0</v>
      </c>
      <c r="L3400" t="s">
        <v>7181</v>
      </c>
      <c r="M3400" t="s">
        <v>3198</v>
      </c>
      <c r="N3400" t="s">
        <v>8776</v>
      </c>
      <c r="O3400" t="s">
        <v>8777</v>
      </c>
      <c r="P3400" t="s">
        <v>8778</v>
      </c>
    </row>
    <row r="3401" spans="1:16" x14ac:dyDescent="0.35">
      <c r="A3401" t="s">
        <v>92</v>
      </c>
      <c r="B3401">
        <v>1313762582</v>
      </c>
      <c r="C3401" t="s">
        <v>18</v>
      </c>
      <c r="D3401" t="s">
        <v>20</v>
      </c>
      <c r="E3401" s="29">
        <v>46204</v>
      </c>
      <c r="F3401" t="s">
        <v>3</v>
      </c>
      <c r="G3401" s="28">
        <v>0.41597222222222224</v>
      </c>
      <c r="H3401" s="28">
        <v>0.41597222222222224</v>
      </c>
      <c r="I3401">
        <v>0</v>
      </c>
      <c r="J3401" t="s">
        <v>174</v>
      </c>
      <c r="K3401">
        <v>0</v>
      </c>
      <c r="L3401" t="s">
        <v>6288</v>
      </c>
      <c r="M3401" t="s">
        <v>3087</v>
      </c>
      <c r="N3401" t="s">
        <v>3088</v>
      </c>
      <c r="O3401" t="s">
        <v>3089</v>
      </c>
      <c r="P3401" t="s">
        <v>3090</v>
      </c>
    </row>
    <row r="3402" spans="1:16" x14ac:dyDescent="0.35">
      <c r="A3402" t="s">
        <v>92</v>
      </c>
      <c r="B3402">
        <v>1313762582</v>
      </c>
      <c r="C3402" t="s">
        <v>18</v>
      </c>
      <c r="D3402" t="s">
        <v>20</v>
      </c>
      <c r="E3402" s="29">
        <v>46204</v>
      </c>
      <c r="F3402" t="s">
        <v>3</v>
      </c>
      <c r="G3402" s="28">
        <v>0.42291666666666666</v>
      </c>
      <c r="H3402" s="28">
        <v>0.42916666666666664</v>
      </c>
      <c r="I3402">
        <v>0</v>
      </c>
      <c r="J3402" t="s">
        <v>146</v>
      </c>
      <c r="K3402">
        <v>0</v>
      </c>
      <c r="L3402" t="s">
        <v>147</v>
      </c>
      <c r="M3402" t="s">
        <v>3055</v>
      </c>
      <c r="N3402" t="s">
        <v>8779</v>
      </c>
      <c r="O3402" t="s">
        <v>8780</v>
      </c>
      <c r="P3402" t="s">
        <v>8781</v>
      </c>
    </row>
    <row r="3403" spans="1:16" x14ac:dyDescent="0.35">
      <c r="A3403" t="s">
        <v>92</v>
      </c>
      <c r="B3403">
        <v>1313762582</v>
      </c>
      <c r="C3403" t="s">
        <v>18</v>
      </c>
      <c r="D3403" t="s">
        <v>20</v>
      </c>
      <c r="E3403" s="29">
        <v>46204</v>
      </c>
      <c r="F3403" t="s">
        <v>3</v>
      </c>
      <c r="G3403" s="28">
        <v>0.43680555555555556</v>
      </c>
      <c r="H3403" s="28">
        <v>0.43680555555555556</v>
      </c>
      <c r="I3403">
        <v>0</v>
      </c>
      <c r="J3403" t="s">
        <v>174</v>
      </c>
      <c r="K3403">
        <v>0</v>
      </c>
      <c r="L3403" t="s">
        <v>1937</v>
      </c>
      <c r="M3403" t="s">
        <v>8782</v>
      </c>
      <c r="N3403" t="s">
        <v>8783</v>
      </c>
      <c r="O3403" t="s">
        <v>8784</v>
      </c>
      <c r="P3403" t="s">
        <v>8785</v>
      </c>
    </row>
    <row r="3404" spans="1:16" x14ac:dyDescent="0.35">
      <c r="A3404" t="s">
        <v>92</v>
      </c>
      <c r="B3404">
        <v>1313762582</v>
      </c>
      <c r="C3404" t="s">
        <v>18</v>
      </c>
      <c r="D3404" t="s">
        <v>20</v>
      </c>
      <c r="E3404" s="29">
        <v>46204</v>
      </c>
      <c r="F3404" t="s">
        <v>3</v>
      </c>
      <c r="G3404" s="28">
        <v>0.44305555555555554</v>
      </c>
      <c r="H3404" s="28">
        <v>0.44305555555555554</v>
      </c>
      <c r="I3404">
        <v>0</v>
      </c>
      <c r="J3404" t="s">
        <v>174</v>
      </c>
      <c r="K3404">
        <v>0</v>
      </c>
      <c r="L3404" t="s">
        <v>8786</v>
      </c>
      <c r="M3404" t="s">
        <v>8787</v>
      </c>
      <c r="N3404" t="s">
        <v>8788</v>
      </c>
      <c r="O3404" t="s">
        <v>8789</v>
      </c>
      <c r="P3404" t="s">
        <v>8790</v>
      </c>
    </row>
    <row r="3405" spans="1:16" x14ac:dyDescent="0.35">
      <c r="A3405" t="s">
        <v>92</v>
      </c>
      <c r="B3405">
        <v>1313762582</v>
      </c>
      <c r="C3405" t="s">
        <v>18</v>
      </c>
      <c r="D3405" t="s">
        <v>20</v>
      </c>
      <c r="E3405" s="29">
        <v>46204</v>
      </c>
      <c r="F3405" t="s">
        <v>3</v>
      </c>
      <c r="G3405" s="28">
        <v>0.44930555555555557</v>
      </c>
      <c r="H3405" s="28">
        <v>0.44930555555555557</v>
      </c>
      <c r="I3405">
        <v>0</v>
      </c>
      <c r="J3405" t="s">
        <v>174</v>
      </c>
      <c r="K3405">
        <v>0</v>
      </c>
      <c r="L3405" t="s">
        <v>8791</v>
      </c>
      <c r="M3405" t="s">
        <v>8792</v>
      </c>
      <c r="N3405" t="s">
        <v>8793</v>
      </c>
      <c r="O3405" t="s">
        <v>8794</v>
      </c>
      <c r="P3405" t="s">
        <v>8795</v>
      </c>
    </row>
    <row r="3406" spans="1:16" x14ac:dyDescent="0.35">
      <c r="A3406" t="s">
        <v>92</v>
      </c>
      <c r="B3406">
        <v>1313762582</v>
      </c>
      <c r="C3406" t="s">
        <v>18</v>
      </c>
      <c r="D3406" t="s">
        <v>20</v>
      </c>
      <c r="E3406" s="29">
        <v>46204</v>
      </c>
      <c r="F3406" t="s">
        <v>3</v>
      </c>
      <c r="G3406" s="28">
        <v>0.45694444444444443</v>
      </c>
      <c r="H3406" s="28">
        <v>0.45694444444444443</v>
      </c>
      <c r="I3406">
        <v>0</v>
      </c>
      <c r="J3406" t="s">
        <v>174</v>
      </c>
      <c r="K3406">
        <v>0</v>
      </c>
      <c r="L3406" t="s">
        <v>8796</v>
      </c>
      <c r="M3406" t="s">
        <v>8797</v>
      </c>
      <c r="N3406" t="s">
        <v>8798</v>
      </c>
      <c r="O3406" t="s">
        <v>8799</v>
      </c>
      <c r="P3406" t="s">
        <v>8800</v>
      </c>
    </row>
    <row r="3407" spans="1:16" x14ac:dyDescent="0.35">
      <c r="A3407" t="s">
        <v>92</v>
      </c>
      <c r="B3407">
        <v>1313762582</v>
      </c>
      <c r="C3407" t="s">
        <v>18</v>
      </c>
      <c r="D3407" t="s">
        <v>20</v>
      </c>
      <c r="E3407" s="29">
        <v>46204</v>
      </c>
      <c r="F3407" t="s">
        <v>3</v>
      </c>
      <c r="G3407" s="28">
        <v>0.46388888888888891</v>
      </c>
      <c r="H3407" s="28">
        <v>0.48472222222222222</v>
      </c>
      <c r="I3407">
        <v>0</v>
      </c>
      <c r="J3407" t="s">
        <v>146</v>
      </c>
      <c r="K3407">
        <v>2</v>
      </c>
      <c r="L3407" t="s">
        <v>147</v>
      </c>
      <c r="M3407" t="s">
        <v>8801</v>
      </c>
      <c r="N3407" t="s">
        <v>8802</v>
      </c>
      <c r="O3407" t="s">
        <v>8803</v>
      </c>
      <c r="P3407" t="s">
        <v>8804</v>
      </c>
    </row>
    <row r="3408" spans="1:16" x14ac:dyDescent="0.35">
      <c r="A3408" t="s">
        <v>92</v>
      </c>
      <c r="B3408">
        <v>1313762582</v>
      </c>
      <c r="C3408" t="s">
        <v>18</v>
      </c>
      <c r="D3408" t="s">
        <v>20</v>
      </c>
      <c r="E3408" s="29">
        <v>46204</v>
      </c>
      <c r="F3408" t="s">
        <v>3</v>
      </c>
      <c r="G3408" s="28">
        <v>0.49236111111111114</v>
      </c>
      <c r="H3408" s="28">
        <v>0.49236111111111114</v>
      </c>
      <c r="I3408">
        <v>0</v>
      </c>
      <c r="J3408" t="s">
        <v>174</v>
      </c>
      <c r="K3408">
        <v>0</v>
      </c>
      <c r="L3408" t="s">
        <v>2918</v>
      </c>
      <c r="M3408" t="s">
        <v>8805</v>
      </c>
      <c r="N3408" t="s">
        <v>8806</v>
      </c>
      <c r="O3408" t="s">
        <v>8807</v>
      </c>
      <c r="P3408" t="s">
        <v>8808</v>
      </c>
    </row>
    <row r="3409" spans="1:16" x14ac:dyDescent="0.35">
      <c r="A3409" t="s">
        <v>92</v>
      </c>
      <c r="B3409">
        <v>1313762582</v>
      </c>
      <c r="C3409" t="s">
        <v>18</v>
      </c>
      <c r="D3409" t="s">
        <v>20</v>
      </c>
      <c r="E3409" s="29">
        <v>46204</v>
      </c>
      <c r="F3409" t="s">
        <v>3</v>
      </c>
      <c r="G3409" s="28">
        <v>0.49791666666666667</v>
      </c>
      <c r="H3409" s="28">
        <v>0.49791666666666667</v>
      </c>
      <c r="I3409">
        <v>0</v>
      </c>
      <c r="J3409" t="s">
        <v>174</v>
      </c>
      <c r="K3409">
        <v>0</v>
      </c>
      <c r="L3409" t="s">
        <v>369</v>
      </c>
      <c r="M3409" t="s">
        <v>8797</v>
      </c>
      <c r="N3409" t="s">
        <v>8798</v>
      </c>
      <c r="O3409" t="s">
        <v>8799</v>
      </c>
      <c r="P3409" t="s">
        <v>8800</v>
      </c>
    </row>
    <row r="3410" spans="1:16" x14ac:dyDescent="0.35">
      <c r="A3410" t="s">
        <v>92</v>
      </c>
      <c r="B3410">
        <v>1313762582</v>
      </c>
      <c r="C3410" t="s">
        <v>18</v>
      </c>
      <c r="D3410" t="s">
        <v>20</v>
      </c>
      <c r="E3410" s="29">
        <v>46204</v>
      </c>
      <c r="F3410" t="s">
        <v>3</v>
      </c>
      <c r="G3410" s="28">
        <v>0.50555555555555554</v>
      </c>
      <c r="H3410" s="28">
        <v>0.51249999999999996</v>
      </c>
      <c r="I3410">
        <v>0</v>
      </c>
      <c r="J3410" t="s">
        <v>146</v>
      </c>
      <c r="K3410">
        <v>0</v>
      </c>
      <c r="L3410" t="s">
        <v>147</v>
      </c>
      <c r="M3410" t="s">
        <v>8809</v>
      </c>
      <c r="N3410" t="s">
        <v>8810</v>
      </c>
      <c r="O3410" t="s">
        <v>8811</v>
      </c>
      <c r="P3410" t="s">
        <v>8812</v>
      </c>
    </row>
    <row r="3411" spans="1:16" x14ac:dyDescent="0.35">
      <c r="A3411" t="s">
        <v>92</v>
      </c>
      <c r="B3411">
        <v>1313762582</v>
      </c>
      <c r="C3411" t="s">
        <v>18</v>
      </c>
      <c r="D3411" t="s">
        <v>20</v>
      </c>
      <c r="E3411" s="29">
        <v>46204</v>
      </c>
      <c r="F3411" t="s">
        <v>3</v>
      </c>
      <c r="G3411" s="28">
        <v>0.51944444444444449</v>
      </c>
      <c r="H3411" s="28">
        <v>0.51944444444444449</v>
      </c>
      <c r="I3411">
        <v>0</v>
      </c>
      <c r="J3411" t="s">
        <v>174</v>
      </c>
      <c r="K3411">
        <v>0</v>
      </c>
      <c r="L3411" t="s">
        <v>1302</v>
      </c>
      <c r="M3411" t="s">
        <v>8813</v>
      </c>
      <c r="N3411" t="s">
        <v>8814</v>
      </c>
      <c r="O3411" t="s">
        <v>8815</v>
      </c>
      <c r="P3411" t="s">
        <v>8816</v>
      </c>
    </row>
    <row r="3412" spans="1:16" x14ac:dyDescent="0.35">
      <c r="A3412" t="s">
        <v>92</v>
      </c>
      <c r="B3412">
        <v>1313762582</v>
      </c>
      <c r="C3412" t="s">
        <v>18</v>
      </c>
      <c r="D3412" t="s">
        <v>20</v>
      </c>
      <c r="E3412" s="29">
        <v>46204</v>
      </c>
      <c r="F3412" t="s">
        <v>3</v>
      </c>
      <c r="G3412" s="28">
        <v>0.52638888888888891</v>
      </c>
      <c r="H3412" s="28">
        <v>0.52638888888888891</v>
      </c>
      <c r="I3412">
        <v>0</v>
      </c>
      <c r="J3412" t="s">
        <v>174</v>
      </c>
      <c r="K3412">
        <v>0</v>
      </c>
      <c r="L3412" t="s">
        <v>1855</v>
      </c>
      <c r="M3412" t="s">
        <v>8817</v>
      </c>
      <c r="N3412" t="s">
        <v>8818</v>
      </c>
      <c r="O3412" t="s">
        <v>8819</v>
      </c>
      <c r="P3412" t="s">
        <v>8820</v>
      </c>
    </row>
    <row r="3413" spans="1:16" x14ac:dyDescent="0.35">
      <c r="A3413" t="s">
        <v>92</v>
      </c>
      <c r="B3413">
        <v>1313762582</v>
      </c>
      <c r="C3413" t="s">
        <v>18</v>
      </c>
      <c r="D3413" t="s">
        <v>20</v>
      </c>
      <c r="E3413" s="29">
        <v>46204</v>
      </c>
      <c r="F3413" t="s">
        <v>3</v>
      </c>
      <c r="G3413" s="28">
        <v>0.53333333333333333</v>
      </c>
      <c r="H3413" s="28">
        <v>0.54027777777777775</v>
      </c>
      <c r="I3413">
        <v>0</v>
      </c>
      <c r="J3413" t="s">
        <v>146</v>
      </c>
      <c r="K3413">
        <v>0</v>
      </c>
      <c r="L3413" t="s">
        <v>147</v>
      </c>
      <c r="M3413" t="s">
        <v>2993</v>
      </c>
      <c r="N3413" t="s">
        <v>8821</v>
      </c>
      <c r="O3413" t="s">
        <v>8822</v>
      </c>
      <c r="P3413" t="s">
        <v>8823</v>
      </c>
    </row>
    <row r="3414" spans="1:16" x14ac:dyDescent="0.35">
      <c r="A3414" t="s">
        <v>92</v>
      </c>
      <c r="B3414">
        <v>1313762582</v>
      </c>
      <c r="C3414" t="s">
        <v>18</v>
      </c>
      <c r="D3414" t="s">
        <v>20</v>
      </c>
      <c r="E3414" s="29">
        <v>46204</v>
      </c>
      <c r="F3414" t="s">
        <v>3</v>
      </c>
      <c r="G3414" s="28">
        <v>0.54722222222222228</v>
      </c>
      <c r="H3414" s="28">
        <v>0.5541666666666667</v>
      </c>
      <c r="I3414">
        <v>0</v>
      </c>
      <c r="J3414" t="s">
        <v>146</v>
      </c>
      <c r="K3414">
        <v>0</v>
      </c>
      <c r="L3414" t="s">
        <v>147</v>
      </c>
      <c r="M3414" t="s">
        <v>2985</v>
      </c>
      <c r="N3414" t="s">
        <v>2986</v>
      </c>
      <c r="O3414" t="s">
        <v>2987</v>
      </c>
      <c r="P3414" t="s">
        <v>2988</v>
      </c>
    </row>
    <row r="3415" spans="1:16" x14ac:dyDescent="0.35">
      <c r="A3415" t="s">
        <v>92</v>
      </c>
      <c r="B3415">
        <v>1313762582</v>
      </c>
      <c r="C3415" t="s">
        <v>18</v>
      </c>
      <c r="D3415" t="s">
        <v>20</v>
      </c>
      <c r="E3415" s="29">
        <v>46204</v>
      </c>
      <c r="F3415" t="s">
        <v>3</v>
      </c>
      <c r="G3415" s="28">
        <v>0.56111111111111112</v>
      </c>
      <c r="H3415" s="28">
        <v>0.56111111111111112</v>
      </c>
      <c r="I3415">
        <v>0</v>
      </c>
      <c r="J3415" t="s">
        <v>174</v>
      </c>
      <c r="K3415">
        <v>0</v>
      </c>
      <c r="L3415" t="s">
        <v>8824</v>
      </c>
      <c r="M3415" t="s">
        <v>8825</v>
      </c>
      <c r="N3415" t="s">
        <v>8826</v>
      </c>
      <c r="O3415" t="s">
        <v>8827</v>
      </c>
      <c r="P3415" t="s">
        <v>8828</v>
      </c>
    </row>
    <row r="3416" spans="1:16" x14ac:dyDescent="0.35">
      <c r="A3416" t="s">
        <v>92</v>
      </c>
      <c r="B3416">
        <v>1313762582</v>
      </c>
      <c r="C3416" t="s">
        <v>18</v>
      </c>
      <c r="D3416" t="s">
        <v>20</v>
      </c>
      <c r="E3416" s="29">
        <v>46204</v>
      </c>
      <c r="F3416" t="s">
        <v>3</v>
      </c>
      <c r="G3416" s="28">
        <v>0.56805555555555554</v>
      </c>
      <c r="H3416" s="28">
        <v>0.56805555555555554</v>
      </c>
      <c r="I3416">
        <v>0</v>
      </c>
      <c r="J3416" t="s">
        <v>174</v>
      </c>
      <c r="K3416">
        <v>0</v>
      </c>
      <c r="L3416" t="s">
        <v>8829</v>
      </c>
      <c r="M3416" t="s">
        <v>2976</v>
      </c>
      <c r="N3416" t="s">
        <v>8830</v>
      </c>
      <c r="O3416" t="s">
        <v>8831</v>
      </c>
      <c r="P3416" t="s">
        <v>8832</v>
      </c>
    </row>
    <row r="3417" spans="1:16" x14ac:dyDescent="0.35">
      <c r="A3417" t="s">
        <v>92</v>
      </c>
      <c r="B3417">
        <v>1313762582</v>
      </c>
      <c r="C3417" t="s">
        <v>18</v>
      </c>
      <c r="D3417" t="s">
        <v>20</v>
      </c>
      <c r="E3417" s="29">
        <v>46204</v>
      </c>
      <c r="F3417" t="s">
        <v>3</v>
      </c>
      <c r="G3417" s="28">
        <v>0.57499999999999996</v>
      </c>
      <c r="H3417" s="28">
        <v>0.58194444444444449</v>
      </c>
      <c r="I3417">
        <v>0</v>
      </c>
      <c r="J3417" t="s">
        <v>146</v>
      </c>
      <c r="K3417">
        <v>1</v>
      </c>
      <c r="L3417" t="s">
        <v>147</v>
      </c>
      <c r="M3417" t="s">
        <v>2985</v>
      </c>
      <c r="N3417" t="s">
        <v>2986</v>
      </c>
      <c r="O3417" t="s">
        <v>2987</v>
      </c>
      <c r="P3417" t="s">
        <v>2988</v>
      </c>
    </row>
    <row r="3418" spans="1:16" x14ac:dyDescent="0.35">
      <c r="A3418" t="s">
        <v>92</v>
      </c>
      <c r="B3418">
        <v>1313762582</v>
      </c>
      <c r="C3418" t="s">
        <v>18</v>
      </c>
      <c r="D3418" t="s">
        <v>20</v>
      </c>
      <c r="E3418" s="29">
        <v>46204</v>
      </c>
      <c r="F3418" t="s">
        <v>3</v>
      </c>
      <c r="G3418" s="28">
        <v>0.58819444444444446</v>
      </c>
      <c r="H3418" s="28">
        <v>0.58819444444444446</v>
      </c>
      <c r="I3418">
        <v>0</v>
      </c>
      <c r="J3418" t="s">
        <v>174</v>
      </c>
      <c r="K3418">
        <v>0</v>
      </c>
      <c r="L3418" t="s">
        <v>8833</v>
      </c>
      <c r="M3418" t="s">
        <v>8825</v>
      </c>
      <c r="N3418" t="s">
        <v>8826</v>
      </c>
      <c r="O3418" t="s">
        <v>8827</v>
      </c>
      <c r="P3418" t="s">
        <v>8828</v>
      </c>
    </row>
    <row r="3419" spans="1:16" x14ac:dyDescent="0.35">
      <c r="A3419" t="s">
        <v>92</v>
      </c>
      <c r="B3419">
        <v>1313762582</v>
      </c>
      <c r="C3419" t="s">
        <v>18</v>
      </c>
      <c r="D3419" t="s">
        <v>20</v>
      </c>
      <c r="E3419" s="29">
        <v>46204</v>
      </c>
      <c r="F3419" t="s">
        <v>3</v>
      </c>
      <c r="G3419" s="28">
        <v>0.59583333333333333</v>
      </c>
      <c r="H3419" s="28">
        <v>0.59583333333333333</v>
      </c>
      <c r="I3419">
        <v>0</v>
      </c>
      <c r="J3419" t="s">
        <v>174</v>
      </c>
      <c r="K3419">
        <v>0</v>
      </c>
      <c r="L3419" t="s">
        <v>8834</v>
      </c>
      <c r="M3419" t="s">
        <v>8835</v>
      </c>
      <c r="N3419" t="s">
        <v>8836</v>
      </c>
      <c r="O3419" t="s">
        <v>8837</v>
      </c>
      <c r="P3419" t="s">
        <v>8838</v>
      </c>
    </row>
    <row r="3420" spans="1:16" x14ac:dyDescent="0.35">
      <c r="A3420" t="s">
        <v>92</v>
      </c>
      <c r="B3420">
        <v>1313762582</v>
      </c>
      <c r="C3420" t="s">
        <v>18</v>
      </c>
      <c r="D3420" t="s">
        <v>20</v>
      </c>
      <c r="E3420" s="29">
        <v>46204</v>
      </c>
      <c r="F3420" t="s">
        <v>3</v>
      </c>
      <c r="G3420" s="28">
        <v>0.60277777777777775</v>
      </c>
      <c r="H3420" s="28">
        <v>0.60972222222222228</v>
      </c>
      <c r="I3420">
        <v>0</v>
      </c>
      <c r="J3420" t="s">
        <v>146</v>
      </c>
      <c r="K3420">
        <v>1</v>
      </c>
      <c r="L3420" t="s">
        <v>147</v>
      </c>
      <c r="M3420" t="s">
        <v>2998</v>
      </c>
      <c r="N3420" t="s">
        <v>8839</v>
      </c>
      <c r="O3420" t="s">
        <v>8840</v>
      </c>
      <c r="P3420" t="s">
        <v>8841</v>
      </c>
    </row>
    <row r="3421" spans="1:16" x14ac:dyDescent="0.35">
      <c r="A3421" t="s">
        <v>92</v>
      </c>
      <c r="B3421">
        <v>1313762582</v>
      </c>
      <c r="C3421" t="s">
        <v>18</v>
      </c>
      <c r="D3421" t="s">
        <v>20</v>
      </c>
      <c r="E3421" s="29">
        <v>46204</v>
      </c>
      <c r="F3421" t="s">
        <v>3</v>
      </c>
      <c r="G3421" s="28">
        <v>0.6166666666666667</v>
      </c>
      <c r="H3421" s="28">
        <v>0.69305555555555554</v>
      </c>
      <c r="I3421">
        <v>2</v>
      </c>
      <c r="J3421" t="s">
        <v>146</v>
      </c>
      <c r="K3421">
        <v>6</v>
      </c>
      <c r="L3421" t="s">
        <v>147</v>
      </c>
      <c r="M3421" t="s">
        <v>8835</v>
      </c>
      <c r="N3421" t="s">
        <v>8836</v>
      </c>
      <c r="O3421" t="s">
        <v>8837</v>
      </c>
      <c r="P3421" t="s">
        <v>8838</v>
      </c>
    </row>
    <row r="3422" spans="1:16" x14ac:dyDescent="0.35">
      <c r="A3422" t="s">
        <v>92</v>
      </c>
      <c r="B3422">
        <v>1313762582</v>
      </c>
      <c r="C3422" t="s">
        <v>18</v>
      </c>
      <c r="D3422" t="s">
        <v>20</v>
      </c>
      <c r="E3422" s="29">
        <v>46204</v>
      </c>
      <c r="F3422" t="s">
        <v>3</v>
      </c>
      <c r="G3422" s="28">
        <v>0.7</v>
      </c>
      <c r="H3422" s="28">
        <v>0.7</v>
      </c>
      <c r="I3422">
        <v>0</v>
      </c>
      <c r="J3422" t="s">
        <v>174</v>
      </c>
      <c r="K3422">
        <v>0</v>
      </c>
      <c r="L3422" t="s">
        <v>8834</v>
      </c>
      <c r="M3422" t="s">
        <v>2998</v>
      </c>
      <c r="N3422" t="s">
        <v>8839</v>
      </c>
      <c r="O3422" t="s">
        <v>8840</v>
      </c>
      <c r="P3422" t="s">
        <v>8841</v>
      </c>
    </row>
    <row r="3423" spans="1:16" x14ac:dyDescent="0.35">
      <c r="A3423" t="s">
        <v>92</v>
      </c>
      <c r="B3423">
        <v>1313762582</v>
      </c>
      <c r="C3423" t="s">
        <v>18</v>
      </c>
      <c r="D3423" t="s">
        <v>20</v>
      </c>
      <c r="E3423" s="29">
        <v>46204</v>
      </c>
      <c r="F3423" t="s">
        <v>3</v>
      </c>
      <c r="G3423" s="28">
        <v>0.70694444444444449</v>
      </c>
      <c r="H3423" s="28">
        <v>0.72083333333333333</v>
      </c>
      <c r="I3423">
        <v>0</v>
      </c>
      <c r="J3423" t="s">
        <v>146</v>
      </c>
      <c r="K3423">
        <v>1</v>
      </c>
      <c r="L3423" t="s">
        <v>147</v>
      </c>
      <c r="M3423" t="s">
        <v>8835</v>
      </c>
      <c r="N3423" t="s">
        <v>8836</v>
      </c>
      <c r="O3423" t="s">
        <v>8837</v>
      </c>
      <c r="P3423" t="s">
        <v>8838</v>
      </c>
    </row>
    <row r="3424" spans="1:16" x14ac:dyDescent="0.35">
      <c r="A3424" t="s">
        <v>92</v>
      </c>
      <c r="B3424">
        <v>1313762582</v>
      </c>
      <c r="C3424" t="s">
        <v>18</v>
      </c>
      <c r="D3424" t="s">
        <v>20</v>
      </c>
      <c r="E3424" s="29">
        <v>46204</v>
      </c>
      <c r="F3424" t="s">
        <v>3</v>
      </c>
      <c r="G3424" s="28">
        <v>0.72777777777777775</v>
      </c>
      <c r="H3424" s="28">
        <v>0.72777777777777775</v>
      </c>
      <c r="I3424">
        <v>0</v>
      </c>
      <c r="J3424" t="s">
        <v>174</v>
      </c>
      <c r="K3424">
        <v>0</v>
      </c>
      <c r="L3424" t="s">
        <v>4245</v>
      </c>
      <c r="M3424" t="s">
        <v>2998</v>
      </c>
      <c r="N3424" t="s">
        <v>8839</v>
      </c>
      <c r="O3424" t="s">
        <v>8840</v>
      </c>
      <c r="P3424" t="s">
        <v>8841</v>
      </c>
    </row>
    <row r="3425" spans="1:16" x14ac:dyDescent="0.35">
      <c r="A3425" t="s">
        <v>92</v>
      </c>
      <c r="B3425">
        <v>1313762582</v>
      </c>
      <c r="C3425" t="s">
        <v>18</v>
      </c>
      <c r="D3425" t="s">
        <v>20</v>
      </c>
      <c r="E3425" s="29">
        <v>46204</v>
      </c>
      <c r="F3425" t="s">
        <v>3</v>
      </c>
      <c r="G3425" s="28">
        <v>0.73472222222222228</v>
      </c>
      <c r="H3425" s="28">
        <v>0.7416666666666667</v>
      </c>
      <c r="I3425">
        <v>0</v>
      </c>
      <c r="J3425" t="s">
        <v>146</v>
      </c>
      <c r="K3425">
        <v>0</v>
      </c>
      <c r="L3425" t="s">
        <v>147</v>
      </c>
      <c r="M3425" t="s">
        <v>8797</v>
      </c>
      <c r="N3425" t="s">
        <v>8842</v>
      </c>
      <c r="O3425" t="s">
        <v>8843</v>
      </c>
      <c r="P3425" t="s">
        <v>2961</v>
      </c>
    </row>
    <row r="3426" spans="1:16" x14ac:dyDescent="0.35">
      <c r="A3426" t="s">
        <v>92</v>
      </c>
      <c r="B3426">
        <v>1313762582</v>
      </c>
      <c r="C3426" t="s">
        <v>18</v>
      </c>
      <c r="D3426" t="s">
        <v>20</v>
      </c>
      <c r="E3426" s="29">
        <v>46204</v>
      </c>
      <c r="F3426" t="s">
        <v>3</v>
      </c>
      <c r="G3426" s="28">
        <v>0.74861111111111112</v>
      </c>
      <c r="H3426" s="28">
        <v>0.74861111111111112</v>
      </c>
      <c r="I3426">
        <v>0</v>
      </c>
      <c r="J3426" t="s">
        <v>174</v>
      </c>
      <c r="K3426">
        <v>0</v>
      </c>
      <c r="L3426" t="s">
        <v>8844</v>
      </c>
      <c r="M3426" t="s">
        <v>2989</v>
      </c>
      <c r="N3426" t="s">
        <v>8845</v>
      </c>
      <c r="O3426" t="s">
        <v>8846</v>
      </c>
      <c r="P3426" t="s">
        <v>8847</v>
      </c>
    </row>
    <row r="3427" spans="1:16" x14ac:dyDescent="0.35">
      <c r="A3427" t="s">
        <v>92</v>
      </c>
      <c r="B3427">
        <v>1313762582</v>
      </c>
      <c r="C3427" t="s">
        <v>18</v>
      </c>
      <c r="D3427" t="s">
        <v>20</v>
      </c>
      <c r="E3427" s="29">
        <v>46204</v>
      </c>
      <c r="F3427" t="s">
        <v>3</v>
      </c>
      <c r="G3427" s="28">
        <v>0.75555555555555554</v>
      </c>
      <c r="H3427" s="28">
        <v>0.75555555555555554</v>
      </c>
      <c r="I3427">
        <v>0</v>
      </c>
      <c r="J3427" t="s">
        <v>174</v>
      </c>
      <c r="K3427">
        <v>0</v>
      </c>
      <c r="L3427" t="s">
        <v>4954</v>
      </c>
      <c r="M3427" t="s">
        <v>8848</v>
      </c>
      <c r="N3427" t="s">
        <v>8849</v>
      </c>
      <c r="O3427" t="s">
        <v>8850</v>
      </c>
      <c r="P3427" t="s">
        <v>8851</v>
      </c>
    </row>
    <row r="3428" spans="1:16" x14ac:dyDescent="0.35">
      <c r="A3428" t="s">
        <v>92</v>
      </c>
      <c r="B3428">
        <v>1313762582</v>
      </c>
      <c r="C3428" t="s">
        <v>18</v>
      </c>
      <c r="D3428" t="s">
        <v>20</v>
      </c>
      <c r="E3428" s="29">
        <v>46204</v>
      </c>
      <c r="F3428" t="s">
        <v>3</v>
      </c>
      <c r="G3428" s="28">
        <v>0.76249999999999996</v>
      </c>
      <c r="H3428" s="28">
        <v>0.76249999999999996</v>
      </c>
      <c r="I3428">
        <v>0</v>
      </c>
      <c r="J3428" t="s">
        <v>174</v>
      </c>
      <c r="K3428">
        <v>0</v>
      </c>
      <c r="L3428" t="s">
        <v>8852</v>
      </c>
      <c r="M3428" t="s">
        <v>8853</v>
      </c>
      <c r="N3428" t="s">
        <v>8854</v>
      </c>
      <c r="O3428" t="s">
        <v>8855</v>
      </c>
      <c r="P3428" t="s">
        <v>8856</v>
      </c>
    </row>
    <row r="3429" spans="1:16" x14ac:dyDescent="0.35">
      <c r="A3429" t="s">
        <v>92</v>
      </c>
      <c r="B3429">
        <v>1313762582</v>
      </c>
      <c r="C3429" t="s">
        <v>18</v>
      </c>
      <c r="D3429" t="s">
        <v>20</v>
      </c>
      <c r="E3429" s="29">
        <v>46204</v>
      </c>
      <c r="F3429" t="s">
        <v>3</v>
      </c>
      <c r="G3429" s="28">
        <v>0.76944444444444449</v>
      </c>
      <c r="H3429" s="28">
        <v>0.76944444444444449</v>
      </c>
      <c r="I3429">
        <v>0</v>
      </c>
      <c r="J3429" t="s">
        <v>174</v>
      </c>
      <c r="K3429">
        <v>0</v>
      </c>
      <c r="L3429" t="s">
        <v>1677</v>
      </c>
      <c r="M3429" t="s">
        <v>3038</v>
      </c>
      <c r="N3429" t="s">
        <v>8857</v>
      </c>
      <c r="O3429" t="s">
        <v>8858</v>
      </c>
      <c r="P3429" t="s">
        <v>8859</v>
      </c>
    </row>
    <row r="3430" spans="1:16" x14ac:dyDescent="0.35">
      <c r="A3430" t="s">
        <v>92</v>
      </c>
      <c r="B3430">
        <v>1313762582</v>
      </c>
      <c r="C3430" t="s">
        <v>18</v>
      </c>
      <c r="D3430" t="s">
        <v>20</v>
      </c>
      <c r="E3430" s="29">
        <v>46204</v>
      </c>
      <c r="F3430" t="s">
        <v>3</v>
      </c>
      <c r="G3430" s="28">
        <v>0.77638888888888891</v>
      </c>
      <c r="H3430" s="28">
        <v>0.77638888888888891</v>
      </c>
      <c r="I3430">
        <v>0</v>
      </c>
      <c r="J3430" t="s">
        <v>174</v>
      </c>
      <c r="K3430">
        <v>0</v>
      </c>
      <c r="L3430" t="s">
        <v>2300</v>
      </c>
      <c r="M3430" t="s">
        <v>8860</v>
      </c>
      <c r="N3430" t="s">
        <v>8861</v>
      </c>
      <c r="O3430" t="s">
        <v>3085</v>
      </c>
      <c r="P3430" t="s">
        <v>8862</v>
      </c>
    </row>
    <row r="3431" spans="1:16" x14ac:dyDescent="0.35">
      <c r="A3431" t="s">
        <v>92</v>
      </c>
      <c r="B3431">
        <v>1313762582</v>
      </c>
      <c r="C3431" t="s">
        <v>18</v>
      </c>
      <c r="D3431" t="s">
        <v>20</v>
      </c>
      <c r="E3431" s="29">
        <v>46204</v>
      </c>
      <c r="F3431" t="s">
        <v>3</v>
      </c>
      <c r="G3431" s="28">
        <v>0.78333333333333333</v>
      </c>
      <c r="H3431" s="28">
        <v>0.78333333333333333</v>
      </c>
      <c r="I3431">
        <v>0</v>
      </c>
      <c r="J3431" t="s">
        <v>174</v>
      </c>
      <c r="K3431">
        <v>0</v>
      </c>
      <c r="L3431" t="s">
        <v>6533</v>
      </c>
      <c r="M3431" t="s">
        <v>3087</v>
      </c>
      <c r="N3431" t="s">
        <v>3088</v>
      </c>
      <c r="O3431" t="s">
        <v>3089</v>
      </c>
      <c r="P3431" t="s">
        <v>3090</v>
      </c>
    </row>
    <row r="3432" spans="1:16" x14ac:dyDescent="0.35">
      <c r="A3432" t="s">
        <v>92</v>
      </c>
      <c r="B3432">
        <v>1313762582</v>
      </c>
      <c r="C3432" t="s">
        <v>18</v>
      </c>
      <c r="D3432" t="s">
        <v>20</v>
      </c>
      <c r="E3432" s="29">
        <v>46204</v>
      </c>
      <c r="F3432" t="s">
        <v>3</v>
      </c>
      <c r="G3432" s="28">
        <v>0.79027777777777775</v>
      </c>
      <c r="H3432" s="28">
        <v>0.79027777777777775</v>
      </c>
      <c r="I3432">
        <v>0</v>
      </c>
      <c r="J3432" t="s">
        <v>174</v>
      </c>
      <c r="K3432">
        <v>0</v>
      </c>
      <c r="L3432" t="s">
        <v>6133</v>
      </c>
      <c r="M3432" t="s">
        <v>8863</v>
      </c>
      <c r="N3432" t="s">
        <v>8864</v>
      </c>
      <c r="O3432" t="s">
        <v>8865</v>
      </c>
      <c r="P3432" t="s">
        <v>8866</v>
      </c>
    </row>
    <row r="3433" spans="1:16" x14ac:dyDescent="0.35">
      <c r="A3433" t="s">
        <v>92</v>
      </c>
      <c r="B3433">
        <v>1313762582</v>
      </c>
      <c r="C3433" t="s">
        <v>18</v>
      </c>
      <c r="D3433" t="s">
        <v>20</v>
      </c>
      <c r="E3433" s="29">
        <v>46205</v>
      </c>
      <c r="F3433" t="s">
        <v>4</v>
      </c>
      <c r="G3433" s="28">
        <v>0.39374999999999999</v>
      </c>
      <c r="H3433" s="28">
        <v>0.39374999999999999</v>
      </c>
      <c r="I3433">
        <v>0</v>
      </c>
      <c r="J3433" t="s">
        <v>174</v>
      </c>
      <c r="K3433">
        <v>0</v>
      </c>
      <c r="L3433" t="s">
        <v>1440</v>
      </c>
      <c r="M3433" t="s">
        <v>8867</v>
      </c>
      <c r="N3433" t="s">
        <v>8868</v>
      </c>
      <c r="O3433" t="s">
        <v>8869</v>
      </c>
      <c r="P3433" t="s">
        <v>8870</v>
      </c>
    </row>
    <row r="3434" spans="1:16" x14ac:dyDescent="0.35">
      <c r="A3434" t="s">
        <v>92</v>
      </c>
      <c r="B3434">
        <v>1313762582</v>
      </c>
      <c r="C3434" t="s">
        <v>18</v>
      </c>
      <c r="D3434" t="s">
        <v>20</v>
      </c>
      <c r="E3434" s="29">
        <v>46205</v>
      </c>
      <c r="F3434" t="s">
        <v>4</v>
      </c>
      <c r="G3434" s="28">
        <v>0.40138888888888891</v>
      </c>
      <c r="H3434" s="28">
        <v>0.40138888888888891</v>
      </c>
      <c r="I3434">
        <v>0</v>
      </c>
      <c r="J3434" t="s">
        <v>174</v>
      </c>
      <c r="K3434">
        <v>0</v>
      </c>
      <c r="L3434" t="s">
        <v>579</v>
      </c>
      <c r="M3434" t="s">
        <v>8871</v>
      </c>
      <c r="N3434" t="s">
        <v>8872</v>
      </c>
      <c r="O3434" t="s">
        <v>8873</v>
      </c>
      <c r="P3434" t="s">
        <v>8874</v>
      </c>
    </row>
    <row r="3435" spans="1:16" x14ac:dyDescent="0.35">
      <c r="A3435" t="s">
        <v>92</v>
      </c>
      <c r="B3435">
        <v>1313762582</v>
      </c>
      <c r="C3435" t="s">
        <v>18</v>
      </c>
      <c r="D3435" t="s">
        <v>20</v>
      </c>
      <c r="E3435" s="29">
        <v>46205</v>
      </c>
      <c r="F3435" t="s">
        <v>4</v>
      </c>
      <c r="G3435" s="28">
        <v>0.40833333333333333</v>
      </c>
      <c r="H3435" s="28">
        <v>0.40833333333333333</v>
      </c>
      <c r="I3435">
        <v>0</v>
      </c>
      <c r="J3435" t="s">
        <v>174</v>
      </c>
      <c r="K3435">
        <v>0</v>
      </c>
      <c r="L3435" t="s">
        <v>579</v>
      </c>
      <c r="M3435" t="s">
        <v>8875</v>
      </c>
      <c r="N3435" t="s">
        <v>8876</v>
      </c>
      <c r="O3435" t="s">
        <v>8877</v>
      </c>
      <c r="P3435" t="s">
        <v>8878</v>
      </c>
    </row>
    <row r="3436" spans="1:16" x14ac:dyDescent="0.35">
      <c r="A3436" t="s">
        <v>92</v>
      </c>
      <c r="B3436">
        <v>1313762582</v>
      </c>
      <c r="C3436" t="s">
        <v>18</v>
      </c>
      <c r="D3436" t="s">
        <v>20</v>
      </c>
      <c r="E3436" s="29">
        <v>46205</v>
      </c>
      <c r="F3436" t="s">
        <v>4</v>
      </c>
      <c r="G3436" s="28">
        <v>0.4152777777777778</v>
      </c>
      <c r="H3436" s="28">
        <v>0.4152777777777778</v>
      </c>
      <c r="I3436">
        <v>0</v>
      </c>
      <c r="J3436" t="s">
        <v>174</v>
      </c>
      <c r="K3436">
        <v>0</v>
      </c>
      <c r="L3436" t="s">
        <v>2218</v>
      </c>
      <c r="M3436" t="s">
        <v>8871</v>
      </c>
      <c r="N3436" t="s">
        <v>8872</v>
      </c>
      <c r="O3436" t="s">
        <v>8873</v>
      </c>
      <c r="P3436" t="s">
        <v>8874</v>
      </c>
    </row>
    <row r="3437" spans="1:16" x14ac:dyDescent="0.35">
      <c r="A3437" t="s">
        <v>92</v>
      </c>
      <c r="B3437">
        <v>1313762582</v>
      </c>
      <c r="C3437" t="s">
        <v>18</v>
      </c>
      <c r="D3437" t="s">
        <v>20</v>
      </c>
      <c r="E3437" s="29">
        <v>46205</v>
      </c>
      <c r="F3437" t="s">
        <v>4</v>
      </c>
      <c r="G3437" s="28">
        <v>0.42222222222222222</v>
      </c>
      <c r="H3437" s="28">
        <v>0.42916666666666664</v>
      </c>
      <c r="I3437">
        <v>0</v>
      </c>
      <c r="J3437" t="s">
        <v>146</v>
      </c>
      <c r="K3437">
        <v>0</v>
      </c>
      <c r="L3437" t="s">
        <v>147</v>
      </c>
      <c r="M3437" t="s">
        <v>8879</v>
      </c>
      <c r="N3437" t="s">
        <v>8880</v>
      </c>
      <c r="O3437" t="s">
        <v>8881</v>
      </c>
      <c r="P3437" t="s">
        <v>8882</v>
      </c>
    </row>
    <row r="3438" spans="1:16" x14ac:dyDescent="0.35">
      <c r="A3438" t="s">
        <v>92</v>
      </c>
      <c r="B3438">
        <v>1313762582</v>
      </c>
      <c r="C3438" t="s">
        <v>18</v>
      </c>
      <c r="D3438" t="s">
        <v>20</v>
      </c>
      <c r="E3438" s="29">
        <v>46205</v>
      </c>
      <c r="F3438" t="s">
        <v>4</v>
      </c>
      <c r="G3438" s="28">
        <v>0.43611111111111112</v>
      </c>
      <c r="H3438" s="28">
        <v>0.43611111111111112</v>
      </c>
      <c r="I3438">
        <v>0</v>
      </c>
      <c r="J3438" t="s">
        <v>174</v>
      </c>
      <c r="K3438">
        <v>0</v>
      </c>
      <c r="L3438" t="s">
        <v>2412</v>
      </c>
      <c r="M3438" t="s">
        <v>8883</v>
      </c>
      <c r="N3438" t="s">
        <v>8884</v>
      </c>
      <c r="O3438" t="s">
        <v>8885</v>
      </c>
      <c r="P3438" t="s">
        <v>8886</v>
      </c>
    </row>
    <row r="3439" spans="1:16" x14ac:dyDescent="0.35">
      <c r="A3439" t="s">
        <v>92</v>
      </c>
      <c r="B3439">
        <v>1313762582</v>
      </c>
      <c r="C3439" t="s">
        <v>18</v>
      </c>
      <c r="D3439" t="s">
        <v>20</v>
      </c>
      <c r="E3439" s="29">
        <v>46205</v>
      </c>
      <c r="F3439" t="s">
        <v>4</v>
      </c>
      <c r="G3439" s="28">
        <v>0.44305555555555554</v>
      </c>
      <c r="H3439" s="28">
        <v>0.44305555555555554</v>
      </c>
      <c r="I3439">
        <v>0</v>
      </c>
      <c r="J3439" t="s">
        <v>174</v>
      </c>
      <c r="K3439">
        <v>0</v>
      </c>
      <c r="L3439" t="s">
        <v>4630</v>
      </c>
      <c r="M3439" t="s">
        <v>8758</v>
      </c>
      <c r="N3439" t="s">
        <v>8759</v>
      </c>
      <c r="O3439" t="s">
        <v>8760</v>
      </c>
      <c r="P3439" t="s">
        <v>8761</v>
      </c>
    </row>
    <row r="3440" spans="1:16" x14ac:dyDescent="0.35">
      <c r="A3440" t="s">
        <v>92</v>
      </c>
      <c r="B3440">
        <v>1313762582</v>
      </c>
      <c r="C3440" t="s">
        <v>18</v>
      </c>
      <c r="D3440" t="s">
        <v>20</v>
      </c>
      <c r="E3440" s="29">
        <v>46205</v>
      </c>
      <c r="F3440" t="s">
        <v>4</v>
      </c>
      <c r="G3440" s="28">
        <v>0.45</v>
      </c>
      <c r="H3440" s="28">
        <v>0.45</v>
      </c>
      <c r="I3440">
        <v>0</v>
      </c>
      <c r="J3440" t="s">
        <v>174</v>
      </c>
      <c r="K3440">
        <v>0</v>
      </c>
      <c r="L3440" t="s">
        <v>8887</v>
      </c>
      <c r="M3440" t="s">
        <v>8888</v>
      </c>
      <c r="N3440" t="s">
        <v>8889</v>
      </c>
      <c r="O3440" t="s">
        <v>8890</v>
      </c>
      <c r="P3440" t="s">
        <v>8891</v>
      </c>
    </row>
    <row r="3441" spans="1:16" x14ac:dyDescent="0.35">
      <c r="A3441" t="s">
        <v>92</v>
      </c>
      <c r="B3441">
        <v>1313762582</v>
      </c>
      <c r="C3441" t="s">
        <v>18</v>
      </c>
      <c r="D3441" t="s">
        <v>20</v>
      </c>
      <c r="E3441" s="29">
        <v>46205</v>
      </c>
      <c r="F3441" t="s">
        <v>4</v>
      </c>
      <c r="G3441" s="28">
        <v>0.45694444444444443</v>
      </c>
      <c r="H3441" s="28">
        <v>0.46388888888888891</v>
      </c>
      <c r="I3441">
        <v>0</v>
      </c>
      <c r="J3441" t="s">
        <v>146</v>
      </c>
      <c r="K3441">
        <v>1</v>
      </c>
      <c r="L3441" t="s">
        <v>147</v>
      </c>
      <c r="M3441" t="s">
        <v>8892</v>
      </c>
      <c r="N3441" t="s">
        <v>8893</v>
      </c>
      <c r="O3441" t="s">
        <v>8894</v>
      </c>
      <c r="P3441" t="s">
        <v>3287</v>
      </c>
    </row>
    <row r="3442" spans="1:16" x14ac:dyDescent="0.35">
      <c r="A3442" t="s">
        <v>92</v>
      </c>
      <c r="B3442">
        <v>1313762582</v>
      </c>
      <c r="C3442" t="s">
        <v>18</v>
      </c>
      <c r="D3442" t="s">
        <v>20</v>
      </c>
      <c r="E3442" s="29">
        <v>46205</v>
      </c>
      <c r="F3442" t="s">
        <v>4</v>
      </c>
      <c r="G3442" s="28">
        <v>0.47083333333333333</v>
      </c>
      <c r="H3442" s="28">
        <v>0.47083333333333333</v>
      </c>
      <c r="I3442">
        <v>0</v>
      </c>
      <c r="J3442" t="s">
        <v>174</v>
      </c>
      <c r="K3442">
        <v>0</v>
      </c>
      <c r="L3442" t="s">
        <v>1491</v>
      </c>
      <c r="M3442" t="s">
        <v>8762</v>
      </c>
      <c r="N3442" t="s">
        <v>8763</v>
      </c>
      <c r="O3442" t="s">
        <v>8764</v>
      </c>
      <c r="P3442" t="s">
        <v>8765</v>
      </c>
    </row>
    <row r="3443" spans="1:16" x14ac:dyDescent="0.35">
      <c r="A3443" t="s">
        <v>92</v>
      </c>
      <c r="B3443">
        <v>1313762582</v>
      </c>
      <c r="C3443" t="s">
        <v>18</v>
      </c>
      <c r="D3443" t="s">
        <v>20</v>
      </c>
      <c r="E3443" s="29">
        <v>46205</v>
      </c>
      <c r="F3443" t="s">
        <v>4</v>
      </c>
      <c r="G3443" s="28">
        <v>0.4777777777777778</v>
      </c>
      <c r="H3443" s="28">
        <v>0.4777777777777778</v>
      </c>
      <c r="I3443">
        <v>0</v>
      </c>
      <c r="J3443" t="s">
        <v>174</v>
      </c>
      <c r="K3443">
        <v>0</v>
      </c>
      <c r="L3443" t="s">
        <v>8895</v>
      </c>
      <c r="M3443" t="s">
        <v>8896</v>
      </c>
      <c r="N3443" t="s">
        <v>8897</v>
      </c>
      <c r="O3443" t="s">
        <v>8898</v>
      </c>
      <c r="P3443" t="s">
        <v>8899</v>
      </c>
    </row>
    <row r="3444" spans="1:16" x14ac:dyDescent="0.35">
      <c r="A3444" t="s">
        <v>92</v>
      </c>
      <c r="B3444">
        <v>1313762582</v>
      </c>
      <c r="C3444" t="s">
        <v>18</v>
      </c>
      <c r="D3444" t="s">
        <v>20</v>
      </c>
      <c r="E3444" s="29">
        <v>46205</v>
      </c>
      <c r="F3444" t="s">
        <v>4</v>
      </c>
      <c r="G3444" s="28">
        <v>0.48541666666666666</v>
      </c>
      <c r="H3444" s="28">
        <v>0.53333333333333333</v>
      </c>
      <c r="I3444">
        <v>1</v>
      </c>
      <c r="J3444" t="s">
        <v>146</v>
      </c>
      <c r="K3444">
        <v>3</v>
      </c>
      <c r="L3444" t="s">
        <v>147</v>
      </c>
      <c r="M3444" t="s">
        <v>8900</v>
      </c>
      <c r="N3444" t="s">
        <v>8901</v>
      </c>
      <c r="O3444" t="s">
        <v>8902</v>
      </c>
      <c r="P3444" t="s">
        <v>8903</v>
      </c>
    </row>
    <row r="3445" spans="1:16" x14ac:dyDescent="0.35">
      <c r="A3445" t="s">
        <v>92</v>
      </c>
      <c r="B3445">
        <v>1313762582</v>
      </c>
      <c r="C3445" t="s">
        <v>18</v>
      </c>
      <c r="D3445" t="s">
        <v>20</v>
      </c>
      <c r="E3445" s="29">
        <v>46205</v>
      </c>
      <c r="F3445" t="s">
        <v>4</v>
      </c>
      <c r="G3445" s="28">
        <v>0.54027777777777775</v>
      </c>
      <c r="H3445" s="28">
        <v>0.54652777777777772</v>
      </c>
      <c r="I3445">
        <v>0</v>
      </c>
      <c r="J3445" t="s">
        <v>146</v>
      </c>
      <c r="K3445">
        <v>0</v>
      </c>
      <c r="L3445" t="s">
        <v>147</v>
      </c>
      <c r="M3445" t="s">
        <v>3102</v>
      </c>
      <c r="N3445" t="s">
        <v>3103</v>
      </c>
      <c r="O3445" t="s">
        <v>3104</v>
      </c>
      <c r="P3445" t="s">
        <v>3105</v>
      </c>
    </row>
    <row r="3446" spans="1:16" x14ac:dyDescent="0.35">
      <c r="A3446" t="s">
        <v>92</v>
      </c>
      <c r="B3446">
        <v>1313762582</v>
      </c>
      <c r="C3446" t="s">
        <v>18</v>
      </c>
      <c r="D3446" t="s">
        <v>20</v>
      </c>
      <c r="E3446" s="29">
        <v>46205</v>
      </c>
      <c r="F3446" t="s">
        <v>4</v>
      </c>
      <c r="G3446" s="28">
        <v>0.55486111111111114</v>
      </c>
      <c r="H3446" s="28">
        <v>0.55486111111111114</v>
      </c>
      <c r="I3446">
        <v>0</v>
      </c>
      <c r="J3446" t="s">
        <v>174</v>
      </c>
      <c r="K3446">
        <v>0</v>
      </c>
      <c r="L3446" t="s">
        <v>8904</v>
      </c>
      <c r="M3446" t="s">
        <v>8900</v>
      </c>
      <c r="N3446" t="s">
        <v>8901</v>
      </c>
      <c r="O3446" t="s">
        <v>8902</v>
      </c>
      <c r="P3446" t="s">
        <v>8903</v>
      </c>
    </row>
    <row r="3447" spans="1:16" x14ac:dyDescent="0.35">
      <c r="A3447" t="s">
        <v>92</v>
      </c>
      <c r="B3447">
        <v>1313762582</v>
      </c>
      <c r="C3447" t="s">
        <v>18</v>
      </c>
      <c r="D3447" t="s">
        <v>20</v>
      </c>
      <c r="E3447" s="29">
        <v>46205</v>
      </c>
      <c r="F3447" t="s">
        <v>4</v>
      </c>
      <c r="G3447" s="28">
        <v>0.56111111111111112</v>
      </c>
      <c r="H3447" s="28">
        <v>0.56111111111111112</v>
      </c>
      <c r="I3447">
        <v>0</v>
      </c>
      <c r="J3447" t="s">
        <v>174</v>
      </c>
      <c r="K3447">
        <v>0</v>
      </c>
      <c r="L3447" t="s">
        <v>3518</v>
      </c>
      <c r="M3447" t="s">
        <v>8905</v>
      </c>
      <c r="N3447" t="s">
        <v>8906</v>
      </c>
      <c r="O3447" t="s">
        <v>8907</v>
      </c>
      <c r="P3447" t="s">
        <v>8908</v>
      </c>
    </row>
    <row r="3448" spans="1:16" x14ac:dyDescent="0.35">
      <c r="A3448" t="s">
        <v>92</v>
      </c>
      <c r="B3448">
        <v>1313762582</v>
      </c>
      <c r="C3448" t="s">
        <v>18</v>
      </c>
      <c r="D3448" t="s">
        <v>20</v>
      </c>
      <c r="E3448" s="29">
        <v>46205</v>
      </c>
      <c r="F3448" t="s">
        <v>4</v>
      </c>
      <c r="G3448" s="28">
        <v>0.56805555555555554</v>
      </c>
      <c r="H3448" s="28">
        <v>0.57499999999999996</v>
      </c>
      <c r="I3448">
        <v>0</v>
      </c>
      <c r="J3448" t="s">
        <v>146</v>
      </c>
      <c r="K3448">
        <v>0</v>
      </c>
      <c r="L3448" t="s">
        <v>147</v>
      </c>
      <c r="M3448" t="s">
        <v>8883</v>
      </c>
      <c r="N3448" t="s">
        <v>8884</v>
      </c>
      <c r="O3448" t="s">
        <v>8885</v>
      </c>
      <c r="P3448" t="s">
        <v>8886</v>
      </c>
    </row>
    <row r="3449" spans="1:16" x14ac:dyDescent="0.35">
      <c r="A3449" t="s">
        <v>92</v>
      </c>
      <c r="B3449">
        <v>1313762582</v>
      </c>
      <c r="C3449" t="s">
        <v>18</v>
      </c>
      <c r="D3449" t="s">
        <v>20</v>
      </c>
      <c r="E3449" s="29">
        <v>46205</v>
      </c>
      <c r="F3449" t="s">
        <v>4</v>
      </c>
      <c r="G3449" s="28">
        <v>0.58194444444444449</v>
      </c>
      <c r="H3449" s="28">
        <v>0.6166666666666667</v>
      </c>
      <c r="I3449">
        <v>1</v>
      </c>
      <c r="J3449" t="s">
        <v>146</v>
      </c>
      <c r="K3449">
        <v>2</v>
      </c>
      <c r="L3449" t="s">
        <v>147</v>
      </c>
      <c r="M3449" t="s">
        <v>8871</v>
      </c>
      <c r="N3449" t="s">
        <v>8872</v>
      </c>
      <c r="O3449" t="s">
        <v>8873</v>
      </c>
      <c r="P3449" t="s">
        <v>8874</v>
      </c>
    </row>
    <row r="3450" spans="1:16" x14ac:dyDescent="0.35">
      <c r="A3450" t="s">
        <v>92</v>
      </c>
      <c r="B3450">
        <v>1313762582</v>
      </c>
      <c r="C3450" t="s">
        <v>18</v>
      </c>
      <c r="D3450" t="s">
        <v>20</v>
      </c>
      <c r="E3450" s="29">
        <v>46205</v>
      </c>
      <c r="F3450" t="s">
        <v>4</v>
      </c>
      <c r="G3450" s="28">
        <v>0.62361111111111112</v>
      </c>
      <c r="H3450" s="28">
        <v>0.62361111111111112</v>
      </c>
      <c r="I3450">
        <v>0</v>
      </c>
      <c r="J3450" t="s">
        <v>174</v>
      </c>
      <c r="K3450">
        <v>0</v>
      </c>
      <c r="L3450" t="s">
        <v>3311</v>
      </c>
      <c r="M3450" t="s">
        <v>8909</v>
      </c>
      <c r="N3450" t="s">
        <v>8910</v>
      </c>
      <c r="O3450" t="s">
        <v>8911</v>
      </c>
      <c r="P3450" t="s">
        <v>8912</v>
      </c>
    </row>
    <row r="3451" spans="1:16" x14ac:dyDescent="0.35">
      <c r="A3451" t="s">
        <v>92</v>
      </c>
      <c r="B3451">
        <v>1313762582</v>
      </c>
      <c r="C3451" t="s">
        <v>18</v>
      </c>
      <c r="D3451" t="s">
        <v>20</v>
      </c>
      <c r="E3451" s="29">
        <v>46205</v>
      </c>
      <c r="F3451" t="s">
        <v>4</v>
      </c>
      <c r="G3451" s="28">
        <v>0.63055555555555554</v>
      </c>
      <c r="H3451" s="28">
        <v>0.63055555555555554</v>
      </c>
      <c r="I3451">
        <v>0</v>
      </c>
      <c r="J3451" t="s">
        <v>174</v>
      </c>
      <c r="K3451">
        <v>0</v>
      </c>
      <c r="L3451" t="s">
        <v>8913</v>
      </c>
      <c r="M3451" t="s">
        <v>8892</v>
      </c>
      <c r="N3451" t="s">
        <v>8893</v>
      </c>
      <c r="O3451" t="s">
        <v>8894</v>
      </c>
      <c r="P3451" t="s">
        <v>3287</v>
      </c>
    </row>
    <row r="3452" spans="1:16" x14ac:dyDescent="0.35">
      <c r="A3452" t="s">
        <v>92</v>
      </c>
      <c r="B3452">
        <v>1313762582</v>
      </c>
      <c r="C3452" t="s">
        <v>18</v>
      </c>
      <c r="D3452" t="s">
        <v>20</v>
      </c>
      <c r="E3452" s="29">
        <v>46205</v>
      </c>
      <c r="F3452" t="s">
        <v>4</v>
      </c>
      <c r="G3452" s="28">
        <v>0.63680555555555551</v>
      </c>
      <c r="H3452" s="28">
        <v>0.63680555555555551</v>
      </c>
      <c r="I3452">
        <v>0</v>
      </c>
      <c r="J3452" t="s">
        <v>174</v>
      </c>
      <c r="K3452">
        <v>0</v>
      </c>
      <c r="L3452" t="s">
        <v>710</v>
      </c>
      <c r="M3452" t="s">
        <v>8914</v>
      </c>
      <c r="N3452" t="s">
        <v>8915</v>
      </c>
      <c r="O3452" t="s">
        <v>8916</v>
      </c>
      <c r="P3452" t="s">
        <v>8917</v>
      </c>
    </row>
    <row r="3453" spans="1:16" x14ac:dyDescent="0.35">
      <c r="A3453" t="s">
        <v>92</v>
      </c>
      <c r="B3453">
        <v>1313762582</v>
      </c>
      <c r="C3453" t="s">
        <v>18</v>
      </c>
      <c r="D3453" t="s">
        <v>20</v>
      </c>
      <c r="E3453" s="29">
        <v>46205</v>
      </c>
      <c r="F3453" t="s">
        <v>4</v>
      </c>
      <c r="G3453" s="28">
        <v>0.64444444444444449</v>
      </c>
      <c r="H3453" s="28">
        <v>0.64444444444444449</v>
      </c>
      <c r="I3453">
        <v>0</v>
      </c>
      <c r="J3453" t="s">
        <v>174</v>
      </c>
      <c r="K3453">
        <v>0</v>
      </c>
      <c r="L3453" t="s">
        <v>4954</v>
      </c>
      <c r="M3453" t="s">
        <v>3102</v>
      </c>
      <c r="N3453" t="s">
        <v>3103</v>
      </c>
      <c r="O3453" t="s">
        <v>3104</v>
      </c>
      <c r="P3453" t="s">
        <v>3105</v>
      </c>
    </row>
    <row r="3454" spans="1:16" x14ac:dyDescent="0.35">
      <c r="A3454" t="s">
        <v>92</v>
      </c>
      <c r="B3454">
        <v>1313762582</v>
      </c>
      <c r="C3454" t="s">
        <v>18</v>
      </c>
      <c r="D3454" t="s">
        <v>20</v>
      </c>
      <c r="E3454" s="29">
        <v>46205</v>
      </c>
      <c r="F3454" t="s">
        <v>4</v>
      </c>
      <c r="G3454" s="28">
        <v>0.65138888888888891</v>
      </c>
      <c r="H3454" s="28">
        <v>0.65138888888888891</v>
      </c>
      <c r="I3454">
        <v>0</v>
      </c>
      <c r="J3454" t="s">
        <v>174</v>
      </c>
      <c r="K3454">
        <v>0</v>
      </c>
      <c r="L3454" t="s">
        <v>186</v>
      </c>
      <c r="M3454" t="s">
        <v>8918</v>
      </c>
      <c r="N3454" t="s">
        <v>8919</v>
      </c>
      <c r="O3454" t="s">
        <v>8920</v>
      </c>
      <c r="P3454" t="s">
        <v>8921</v>
      </c>
    </row>
    <row r="3455" spans="1:16" x14ac:dyDescent="0.35">
      <c r="A3455" t="s">
        <v>92</v>
      </c>
      <c r="B3455">
        <v>1313762582</v>
      </c>
      <c r="C3455" t="s">
        <v>18</v>
      </c>
      <c r="D3455" t="s">
        <v>20</v>
      </c>
      <c r="E3455" s="29">
        <v>46205</v>
      </c>
      <c r="F3455" t="s">
        <v>4</v>
      </c>
      <c r="G3455" s="28">
        <v>0.65833333333333333</v>
      </c>
      <c r="H3455" s="28">
        <v>0.65833333333333333</v>
      </c>
      <c r="I3455">
        <v>0</v>
      </c>
      <c r="J3455" t="s">
        <v>174</v>
      </c>
      <c r="K3455">
        <v>0</v>
      </c>
      <c r="L3455" t="s">
        <v>614</v>
      </c>
      <c r="M3455" t="s">
        <v>8922</v>
      </c>
      <c r="N3455" t="s">
        <v>8923</v>
      </c>
      <c r="O3455" t="s">
        <v>8924</v>
      </c>
      <c r="P3455" t="s">
        <v>8925</v>
      </c>
    </row>
    <row r="3456" spans="1:16" x14ac:dyDescent="0.35">
      <c r="A3456" t="s">
        <v>92</v>
      </c>
      <c r="B3456">
        <v>1313762582</v>
      </c>
      <c r="C3456" t="s">
        <v>18</v>
      </c>
      <c r="D3456" t="s">
        <v>20</v>
      </c>
      <c r="E3456" s="29">
        <v>46205</v>
      </c>
      <c r="F3456" t="s">
        <v>4</v>
      </c>
      <c r="G3456" s="28">
        <v>0.66527777777777775</v>
      </c>
      <c r="H3456" s="28">
        <v>0.66527777777777775</v>
      </c>
      <c r="I3456">
        <v>0</v>
      </c>
      <c r="J3456" t="s">
        <v>174</v>
      </c>
      <c r="K3456">
        <v>0</v>
      </c>
      <c r="L3456" t="s">
        <v>8926</v>
      </c>
      <c r="M3456" t="s">
        <v>8927</v>
      </c>
      <c r="N3456" t="s">
        <v>8928</v>
      </c>
      <c r="O3456" t="s">
        <v>8929</v>
      </c>
      <c r="P3456" t="s">
        <v>8930</v>
      </c>
    </row>
    <row r="3457" spans="1:16" x14ac:dyDescent="0.35">
      <c r="A3457" t="s">
        <v>92</v>
      </c>
      <c r="B3457">
        <v>1313762582</v>
      </c>
      <c r="C3457" t="s">
        <v>18</v>
      </c>
      <c r="D3457" t="s">
        <v>20</v>
      </c>
      <c r="E3457" s="29">
        <v>46205</v>
      </c>
      <c r="F3457" t="s">
        <v>4</v>
      </c>
      <c r="G3457" s="28">
        <v>0.67222222222222228</v>
      </c>
      <c r="H3457" s="28">
        <v>0.67222222222222228</v>
      </c>
      <c r="I3457">
        <v>0</v>
      </c>
      <c r="J3457" t="s">
        <v>174</v>
      </c>
      <c r="K3457">
        <v>0</v>
      </c>
      <c r="L3457" t="s">
        <v>8926</v>
      </c>
      <c r="M3457" t="s">
        <v>8931</v>
      </c>
      <c r="N3457" t="s">
        <v>8932</v>
      </c>
      <c r="O3457" t="s">
        <v>8933</v>
      </c>
      <c r="P3457" t="s">
        <v>3218</v>
      </c>
    </row>
    <row r="3458" spans="1:16" x14ac:dyDescent="0.35">
      <c r="A3458" t="s">
        <v>92</v>
      </c>
      <c r="B3458">
        <v>1313762582</v>
      </c>
      <c r="C3458" t="s">
        <v>18</v>
      </c>
      <c r="D3458" t="s">
        <v>20</v>
      </c>
      <c r="E3458" s="29">
        <v>46205</v>
      </c>
      <c r="F3458" t="s">
        <v>4</v>
      </c>
      <c r="G3458" s="28">
        <v>0.6791666666666667</v>
      </c>
      <c r="H3458" s="28">
        <v>0.68611111111111112</v>
      </c>
      <c r="I3458">
        <v>0</v>
      </c>
      <c r="J3458" t="s">
        <v>146</v>
      </c>
      <c r="K3458">
        <v>0</v>
      </c>
      <c r="L3458" t="s">
        <v>147</v>
      </c>
      <c r="M3458" t="s">
        <v>8927</v>
      </c>
      <c r="N3458" t="s">
        <v>8928</v>
      </c>
      <c r="O3458" t="s">
        <v>8929</v>
      </c>
      <c r="P3458" t="s">
        <v>8930</v>
      </c>
    </row>
    <row r="3459" spans="1:16" x14ac:dyDescent="0.35">
      <c r="A3459" t="s">
        <v>92</v>
      </c>
      <c r="B3459">
        <v>1313762582</v>
      </c>
      <c r="C3459" t="s">
        <v>18</v>
      </c>
      <c r="D3459" t="s">
        <v>20</v>
      </c>
      <c r="E3459" s="29">
        <v>46205</v>
      </c>
      <c r="F3459" t="s">
        <v>4</v>
      </c>
      <c r="G3459" s="28">
        <v>0.69305555555555554</v>
      </c>
      <c r="H3459" s="28">
        <v>0.69305555555555554</v>
      </c>
      <c r="I3459">
        <v>0</v>
      </c>
      <c r="J3459" t="s">
        <v>174</v>
      </c>
      <c r="K3459">
        <v>0</v>
      </c>
      <c r="L3459" t="s">
        <v>685</v>
      </c>
      <c r="M3459" t="s">
        <v>8934</v>
      </c>
      <c r="N3459" t="s">
        <v>8935</v>
      </c>
      <c r="O3459" t="s">
        <v>8936</v>
      </c>
      <c r="P3459" t="s">
        <v>3227</v>
      </c>
    </row>
    <row r="3460" spans="1:16" x14ac:dyDescent="0.35">
      <c r="A3460" t="s">
        <v>92</v>
      </c>
      <c r="B3460">
        <v>1313762582</v>
      </c>
      <c r="C3460" t="s">
        <v>18</v>
      </c>
      <c r="D3460" t="s">
        <v>20</v>
      </c>
      <c r="E3460" s="29">
        <v>46205</v>
      </c>
      <c r="F3460" t="s">
        <v>4</v>
      </c>
      <c r="G3460" s="28">
        <v>0.7</v>
      </c>
      <c r="H3460" s="28">
        <v>0.83194444444444449</v>
      </c>
      <c r="I3460">
        <v>3</v>
      </c>
      <c r="J3460" t="s">
        <v>146</v>
      </c>
      <c r="K3460">
        <v>10</v>
      </c>
      <c r="L3460" t="s">
        <v>147</v>
      </c>
      <c r="M3460" t="s">
        <v>8937</v>
      </c>
      <c r="N3460" t="s">
        <v>8938</v>
      </c>
      <c r="O3460" t="s">
        <v>8939</v>
      </c>
      <c r="P3460" t="s">
        <v>8940</v>
      </c>
    </row>
    <row r="3461" spans="1:16" x14ac:dyDescent="0.35">
      <c r="A3461" t="s">
        <v>92</v>
      </c>
      <c r="B3461">
        <v>1313762582</v>
      </c>
      <c r="C3461" t="s">
        <v>18</v>
      </c>
      <c r="D3461" t="s">
        <v>20</v>
      </c>
      <c r="E3461" s="29">
        <v>46207</v>
      </c>
      <c r="F3461" t="s">
        <v>5</v>
      </c>
      <c r="G3461" s="28">
        <v>0.38055555555555554</v>
      </c>
      <c r="H3461" s="28">
        <v>0.38055555555555554</v>
      </c>
      <c r="I3461">
        <v>0</v>
      </c>
      <c r="J3461" t="s">
        <v>174</v>
      </c>
      <c r="K3461">
        <v>0</v>
      </c>
      <c r="L3461" t="s">
        <v>6307</v>
      </c>
      <c r="M3461" t="s">
        <v>3189</v>
      </c>
      <c r="N3461" t="s">
        <v>3190</v>
      </c>
      <c r="O3461" t="s">
        <v>3191</v>
      </c>
      <c r="P3461" t="s">
        <v>3192</v>
      </c>
    </row>
    <row r="3462" spans="1:16" x14ac:dyDescent="0.35">
      <c r="A3462" t="s">
        <v>92</v>
      </c>
      <c r="B3462">
        <v>1313762582</v>
      </c>
      <c r="C3462" t="s">
        <v>18</v>
      </c>
      <c r="D3462" t="s">
        <v>20</v>
      </c>
      <c r="E3462" s="29">
        <v>46207</v>
      </c>
      <c r="F3462" t="s">
        <v>5</v>
      </c>
      <c r="G3462" s="28">
        <v>0.38750000000000001</v>
      </c>
      <c r="H3462" s="28">
        <v>0.38750000000000001</v>
      </c>
      <c r="I3462">
        <v>0</v>
      </c>
      <c r="J3462" t="s">
        <v>174</v>
      </c>
      <c r="K3462">
        <v>0</v>
      </c>
      <c r="L3462" t="s">
        <v>8717</v>
      </c>
      <c r="M3462" t="s">
        <v>3092</v>
      </c>
      <c r="N3462" t="s">
        <v>8941</v>
      </c>
      <c r="O3462" t="s">
        <v>8942</v>
      </c>
      <c r="P3462" t="s">
        <v>8943</v>
      </c>
    </row>
    <row r="3463" spans="1:16" x14ac:dyDescent="0.35">
      <c r="A3463" t="s">
        <v>92</v>
      </c>
      <c r="B3463">
        <v>1313762582</v>
      </c>
      <c r="C3463" t="s">
        <v>18</v>
      </c>
      <c r="D3463" t="s">
        <v>20</v>
      </c>
      <c r="E3463" s="29">
        <v>46207</v>
      </c>
      <c r="F3463" t="s">
        <v>5</v>
      </c>
      <c r="G3463" s="28">
        <v>0.39444444444444443</v>
      </c>
      <c r="H3463" s="28">
        <v>0.39444444444444443</v>
      </c>
      <c r="I3463">
        <v>0</v>
      </c>
      <c r="J3463" t="s">
        <v>174</v>
      </c>
      <c r="K3463">
        <v>0</v>
      </c>
      <c r="L3463" t="s">
        <v>8944</v>
      </c>
      <c r="M3463" t="s">
        <v>8863</v>
      </c>
      <c r="N3463" t="s">
        <v>8864</v>
      </c>
      <c r="O3463" t="s">
        <v>8865</v>
      </c>
      <c r="P3463" t="s">
        <v>8866</v>
      </c>
    </row>
    <row r="3464" spans="1:16" x14ac:dyDescent="0.35">
      <c r="A3464" t="s">
        <v>92</v>
      </c>
      <c r="B3464">
        <v>1313762582</v>
      </c>
      <c r="C3464" t="s">
        <v>18</v>
      </c>
      <c r="D3464" t="s">
        <v>20</v>
      </c>
      <c r="E3464" s="29">
        <v>46207</v>
      </c>
      <c r="F3464" t="s">
        <v>5</v>
      </c>
      <c r="G3464" s="28">
        <v>0.40138888888888891</v>
      </c>
      <c r="H3464" s="28">
        <v>0.40138888888888891</v>
      </c>
      <c r="I3464">
        <v>0</v>
      </c>
      <c r="J3464" t="s">
        <v>174</v>
      </c>
      <c r="K3464">
        <v>0</v>
      </c>
      <c r="L3464" t="s">
        <v>5580</v>
      </c>
      <c r="M3464" t="s">
        <v>8945</v>
      </c>
      <c r="N3464" t="s">
        <v>8946</v>
      </c>
      <c r="O3464" t="s">
        <v>8947</v>
      </c>
      <c r="P3464" t="s">
        <v>8948</v>
      </c>
    </row>
    <row r="3465" spans="1:16" x14ac:dyDescent="0.35">
      <c r="A3465" t="s">
        <v>92</v>
      </c>
      <c r="B3465">
        <v>1313762582</v>
      </c>
      <c r="C3465" t="s">
        <v>18</v>
      </c>
      <c r="D3465" t="s">
        <v>20</v>
      </c>
      <c r="E3465" s="29">
        <v>46207</v>
      </c>
      <c r="F3465" t="s">
        <v>5</v>
      </c>
      <c r="G3465" s="28">
        <v>0.40833333333333333</v>
      </c>
      <c r="H3465" s="28">
        <v>0.43611111111111112</v>
      </c>
      <c r="I3465">
        <v>1</v>
      </c>
      <c r="J3465" t="s">
        <v>146</v>
      </c>
      <c r="K3465">
        <v>2</v>
      </c>
      <c r="L3465" t="s">
        <v>147</v>
      </c>
      <c r="M3465" t="s">
        <v>3055</v>
      </c>
      <c r="N3465" t="s">
        <v>8779</v>
      </c>
      <c r="O3465" t="s">
        <v>8780</v>
      </c>
      <c r="P3465" t="s">
        <v>8781</v>
      </c>
    </row>
    <row r="3466" spans="1:16" x14ac:dyDescent="0.35">
      <c r="A3466" t="s">
        <v>92</v>
      </c>
      <c r="B3466">
        <v>1313762582</v>
      </c>
      <c r="C3466" t="s">
        <v>18</v>
      </c>
      <c r="D3466" t="s">
        <v>20</v>
      </c>
      <c r="E3466" s="29">
        <v>46207</v>
      </c>
      <c r="F3466" t="s">
        <v>5</v>
      </c>
      <c r="G3466" s="28">
        <v>0.44305555555555554</v>
      </c>
      <c r="H3466" s="28">
        <v>0.51249999999999996</v>
      </c>
      <c r="I3466">
        <v>2</v>
      </c>
      <c r="J3466" t="s">
        <v>146</v>
      </c>
      <c r="K3466">
        <v>5</v>
      </c>
      <c r="L3466" t="s">
        <v>147</v>
      </c>
      <c r="M3466" t="s">
        <v>3059</v>
      </c>
      <c r="N3466" t="s">
        <v>8949</v>
      </c>
      <c r="O3466" t="s">
        <v>8950</v>
      </c>
      <c r="P3466" t="s">
        <v>8951</v>
      </c>
    </row>
    <row r="3467" spans="1:16" x14ac:dyDescent="0.35">
      <c r="A3467" t="s">
        <v>92</v>
      </c>
      <c r="B3467">
        <v>1313762582</v>
      </c>
      <c r="C3467" t="s">
        <v>18</v>
      </c>
      <c r="D3467" t="s">
        <v>20</v>
      </c>
      <c r="E3467" s="29">
        <v>46207</v>
      </c>
      <c r="F3467" t="s">
        <v>5</v>
      </c>
      <c r="G3467" s="28">
        <v>0.51944444444444449</v>
      </c>
      <c r="H3467" s="28">
        <v>0.51944444444444449</v>
      </c>
      <c r="I3467">
        <v>0</v>
      </c>
      <c r="J3467" t="s">
        <v>174</v>
      </c>
      <c r="K3467">
        <v>0</v>
      </c>
      <c r="L3467" t="s">
        <v>262</v>
      </c>
      <c r="M3467" t="s">
        <v>8952</v>
      </c>
      <c r="N3467" t="s">
        <v>8953</v>
      </c>
      <c r="O3467" t="s">
        <v>8954</v>
      </c>
      <c r="P3467" t="s">
        <v>8955</v>
      </c>
    </row>
    <row r="3468" spans="1:16" x14ac:dyDescent="0.35">
      <c r="A3468" t="s">
        <v>92</v>
      </c>
      <c r="B3468">
        <v>1313762582</v>
      </c>
      <c r="C3468" t="s">
        <v>18</v>
      </c>
      <c r="D3468" t="s">
        <v>20</v>
      </c>
      <c r="E3468" s="29">
        <v>46207</v>
      </c>
      <c r="F3468" t="s">
        <v>5</v>
      </c>
      <c r="G3468" s="28">
        <v>0.52638888888888891</v>
      </c>
      <c r="H3468" s="28">
        <v>0.53125</v>
      </c>
      <c r="I3468">
        <v>0</v>
      </c>
      <c r="J3468" t="s">
        <v>146</v>
      </c>
      <c r="K3468">
        <v>0</v>
      </c>
      <c r="L3468" t="s">
        <v>147</v>
      </c>
      <c r="M3468" t="s">
        <v>3059</v>
      </c>
      <c r="N3468" t="s">
        <v>8949</v>
      </c>
      <c r="O3468" t="s">
        <v>8950</v>
      </c>
      <c r="P3468" t="s">
        <v>8951</v>
      </c>
    </row>
    <row r="3469" spans="1:16" x14ac:dyDescent="0.35">
      <c r="A3469" t="s">
        <v>92</v>
      </c>
      <c r="B3469">
        <v>1313762582</v>
      </c>
      <c r="C3469" t="s">
        <v>18</v>
      </c>
      <c r="D3469" t="s">
        <v>20</v>
      </c>
      <c r="E3469" s="29">
        <v>46207</v>
      </c>
      <c r="F3469" t="s">
        <v>5</v>
      </c>
      <c r="G3469" s="28">
        <v>0.54027777777777775</v>
      </c>
      <c r="H3469" s="28">
        <v>0.54027777777777775</v>
      </c>
      <c r="I3469">
        <v>0</v>
      </c>
      <c r="J3469" t="s">
        <v>174</v>
      </c>
      <c r="K3469">
        <v>0</v>
      </c>
      <c r="L3469" t="s">
        <v>1769</v>
      </c>
      <c r="M3469" t="s">
        <v>8956</v>
      </c>
      <c r="N3469" t="s">
        <v>8957</v>
      </c>
      <c r="O3469" t="s">
        <v>8958</v>
      </c>
      <c r="P3469" t="s">
        <v>8959</v>
      </c>
    </row>
    <row r="3470" spans="1:16" x14ac:dyDescent="0.35">
      <c r="A3470" t="s">
        <v>92</v>
      </c>
      <c r="B3470">
        <v>1313762582</v>
      </c>
      <c r="C3470" t="s">
        <v>18</v>
      </c>
      <c r="D3470" t="s">
        <v>20</v>
      </c>
      <c r="E3470" s="29">
        <v>46207</v>
      </c>
      <c r="F3470" t="s">
        <v>5</v>
      </c>
      <c r="G3470" s="28">
        <v>0.54722222222222228</v>
      </c>
      <c r="H3470" s="28">
        <v>0.54722222222222228</v>
      </c>
      <c r="I3470">
        <v>0</v>
      </c>
      <c r="J3470" t="s">
        <v>174</v>
      </c>
      <c r="K3470">
        <v>0</v>
      </c>
      <c r="L3470" t="s">
        <v>1769</v>
      </c>
      <c r="M3470" t="s">
        <v>8960</v>
      </c>
      <c r="N3470" t="s">
        <v>8961</v>
      </c>
      <c r="O3470" t="s">
        <v>8962</v>
      </c>
      <c r="P3470" t="s">
        <v>8963</v>
      </c>
    </row>
    <row r="3471" spans="1:16" x14ac:dyDescent="0.35">
      <c r="A3471" t="s">
        <v>92</v>
      </c>
      <c r="B3471">
        <v>1313762582</v>
      </c>
      <c r="C3471" t="s">
        <v>18</v>
      </c>
      <c r="D3471" t="s">
        <v>20</v>
      </c>
      <c r="E3471" s="29">
        <v>46207</v>
      </c>
      <c r="F3471" t="s">
        <v>5</v>
      </c>
      <c r="G3471" s="28">
        <v>0.5541666666666667</v>
      </c>
      <c r="H3471" s="28">
        <v>0.5541666666666667</v>
      </c>
      <c r="I3471">
        <v>0</v>
      </c>
      <c r="J3471" t="s">
        <v>174</v>
      </c>
      <c r="K3471">
        <v>0</v>
      </c>
      <c r="L3471" t="s">
        <v>8964</v>
      </c>
      <c r="M3471" t="s">
        <v>8956</v>
      </c>
      <c r="N3471" t="s">
        <v>8957</v>
      </c>
      <c r="O3471" t="s">
        <v>8958</v>
      </c>
      <c r="P3471" t="s">
        <v>8959</v>
      </c>
    </row>
    <row r="3472" spans="1:16" x14ac:dyDescent="0.35">
      <c r="A3472" t="s">
        <v>92</v>
      </c>
      <c r="B3472">
        <v>1313762582</v>
      </c>
      <c r="C3472" t="s">
        <v>18</v>
      </c>
      <c r="D3472" t="s">
        <v>20</v>
      </c>
      <c r="E3472" s="29">
        <v>46207</v>
      </c>
      <c r="F3472" t="s">
        <v>5</v>
      </c>
      <c r="G3472" s="28">
        <v>0.56111111111111112</v>
      </c>
      <c r="H3472" s="28">
        <v>0.56805555555555554</v>
      </c>
      <c r="I3472">
        <v>0</v>
      </c>
      <c r="J3472" t="s">
        <v>146</v>
      </c>
      <c r="K3472">
        <v>0</v>
      </c>
      <c r="L3472" t="s">
        <v>147</v>
      </c>
      <c r="M3472" t="s">
        <v>8965</v>
      </c>
      <c r="N3472" t="s">
        <v>8966</v>
      </c>
      <c r="O3472" t="s">
        <v>8967</v>
      </c>
      <c r="P3472" t="s">
        <v>8968</v>
      </c>
    </row>
    <row r="3473" spans="1:16" x14ac:dyDescent="0.35">
      <c r="A3473" t="s">
        <v>92</v>
      </c>
      <c r="B3473">
        <v>1313762582</v>
      </c>
      <c r="C3473" t="s">
        <v>18</v>
      </c>
      <c r="D3473" t="s">
        <v>20</v>
      </c>
      <c r="E3473" s="29">
        <v>46207</v>
      </c>
      <c r="F3473" t="s">
        <v>5</v>
      </c>
      <c r="G3473" s="28">
        <v>0.57499999999999996</v>
      </c>
      <c r="H3473" s="28">
        <v>0.57499999999999996</v>
      </c>
      <c r="I3473">
        <v>0</v>
      </c>
      <c r="J3473" t="s">
        <v>174</v>
      </c>
      <c r="K3473">
        <v>0</v>
      </c>
      <c r="L3473" t="s">
        <v>903</v>
      </c>
      <c r="M3473" t="s">
        <v>8969</v>
      </c>
      <c r="N3473" t="s">
        <v>8970</v>
      </c>
      <c r="O3473" t="s">
        <v>8971</v>
      </c>
      <c r="P3473" t="s">
        <v>8972</v>
      </c>
    </row>
    <row r="3474" spans="1:16" x14ac:dyDescent="0.35">
      <c r="A3474" t="s">
        <v>92</v>
      </c>
      <c r="B3474">
        <v>1313762582</v>
      </c>
      <c r="C3474" t="s">
        <v>18</v>
      </c>
      <c r="D3474" t="s">
        <v>20</v>
      </c>
      <c r="E3474" s="29">
        <v>46207</v>
      </c>
      <c r="F3474" t="s">
        <v>5</v>
      </c>
      <c r="G3474" s="28">
        <v>0.58194444444444449</v>
      </c>
      <c r="H3474" s="28">
        <v>0.58194444444444449</v>
      </c>
      <c r="I3474">
        <v>0</v>
      </c>
      <c r="J3474" t="s">
        <v>174</v>
      </c>
      <c r="K3474">
        <v>0</v>
      </c>
      <c r="L3474" t="s">
        <v>724</v>
      </c>
      <c r="M3474" t="s">
        <v>3054</v>
      </c>
      <c r="N3474" t="s">
        <v>3047</v>
      </c>
      <c r="O3474" t="s">
        <v>3048</v>
      </c>
      <c r="P3474" t="s">
        <v>3049</v>
      </c>
    </row>
    <row r="3475" spans="1:16" x14ac:dyDescent="0.35">
      <c r="A3475" t="s">
        <v>92</v>
      </c>
      <c r="B3475">
        <v>1313762582</v>
      </c>
      <c r="C3475" t="s">
        <v>18</v>
      </c>
      <c r="D3475" t="s">
        <v>20</v>
      </c>
      <c r="E3475" s="29">
        <v>46207</v>
      </c>
      <c r="F3475" t="s">
        <v>5</v>
      </c>
      <c r="G3475" s="28">
        <v>0.58888888888888891</v>
      </c>
      <c r="H3475" s="28">
        <v>0.58888888888888891</v>
      </c>
      <c r="I3475">
        <v>0</v>
      </c>
      <c r="J3475" t="s">
        <v>174</v>
      </c>
      <c r="K3475">
        <v>0</v>
      </c>
      <c r="L3475" t="s">
        <v>8973</v>
      </c>
      <c r="M3475" t="s">
        <v>8792</v>
      </c>
      <c r="N3475" t="s">
        <v>8793</v>
      </c>
      <c r="O3475" t="s">
        <v>8794</v>
      </c>
      <c r="P3475" t="s">
        <v>8795</v>
      </c>
    </row>
    <row r="3476" spans="1:16" x14ac:dyDescent="0.35">
      <c r="A3476" t="s">
        <v>92</v>
      </c>
      <c r="B3476">
        <v>1313762582</v>
      </c>
      <c r="C3476" t="s">
        <v>18</v>
      </c>
      <c r="D3476" t="s">
        <v>20</v>
      </c>
      <c r="E3476" s="29">
        <v>46207</v>
      </c>
      <c r="F3476" t="s">
        <v>5</v>
      </c>
      <c r="G3476" s="28">
        <v>0.59583333333333333</v>
      </c>
      <c r="H3476" s="28">
        <v>0.59583333333333333</v>
      </c>
      <c r="I3476">
        <v>0</v>
      </c>
      <c r="J3476" t="s">
        <v>174</v>
      </c>
      <c r="K3476">
        <v>0</v>
      </c>
      <c r="L3476" t="s">
        <v>8796</v>
      </c>
      <c r="M3476" t="s">
        <v>2998</v>
      </c>
      <c r="N3476" t="s">
        <v>8974</v>
      </c>
      <c r="O3476" t="s">
        <v>8975</v>
      </c>
      <c r="P3476" t="s">
        <v>8976</v>
      </c>
    </row>
    <row r="3477" spans="1:16" x14ac:dyDescent="0.35">
      <c r="A3477" t="s">
        <v>92</v>
      </c>
      <c r="B3477">
        <v>1313762582</v>
      </c>
      <c r="C3477" t="s">
        <v>18</v>
      </c>
      <c r="D3477" t="s">
        <v>20</v>
      </c>
      <c r="E3477" s="29">
        <v>46207</v>
      </c>
      <c r="F3477" t="s">
        <v>5</v>
      </c>
      <c r="G3477" s="28">
        <v>0.60277777777777775</v>
      </c>
      <c r="H3477" s="28">
        <v>0.60972222222222228</v>
      </c>
      <c r="I3477">
        <v>0</v>
      </c>
      <c r="J3477" t="s">
        <v>146</v>
      </c>
      <c r="K3477">
        <v>1</v>
      </c>
      <c r="L3477" t="s">
        <v>147</v>
      </c>
      <c r="M3477" t="s">
        <v>8977</v>
      </c>
      <c r="N3477" t="s">
        <v>8978</v>
      </c>
      <c r="O3477" t="s">
        <v>8979</v>
      </c>
      <c r="P3477" t="s">
        <v>8980</v>
      </c>
    </row>
    <row r="3478" spans="1:16" x14ac:dyDescent="0.35">
      <c r="A3478" t="s">
        <v>92</v>
      </c>
      <c r="B3478">
        <v>1313762582</v>
      </c>
      <c r="C3478" t="s">
        <v>18</v>
      </c>
      <c r="D3478" t="s">
        <v>20</v>
      </c>
      <c r="E3478" s="29">
        <v>46207</v>
      </c>
      <c r="F3478" t="s">
        <v>5</v>
      </c>
      <c r="G3478" s="28">
        <v>0.61736111111111114</v>
      </c>
      <c r="H3478" s="28">
        <v>0.61736111111111114</v>
      </c>
      <c r="I3478">
        <v>0</v>
      </c>
      <c r="J3478" t="s">
        <v>174</v>
      </c>
      <c r="K3478">
        <v>0</v>
      </c>
      <c r="L3478" t="s">
        <v>8981</v>
      </c>
      <c r="M3478" t="s">
        <v>2985</v>
      </c>
      <c r="N3478" t="s">
        <v>8982</v>
      </c>
      <c r="O3478" t="s">
        <v>8983</v>
      </c>
      <c r="P3478" t="s">
        <v>8984</v>
      </c>
    </row>
    <row r="3479" spans="1:16" x14ac:dyDescent="0.35">
      <c r="A3479" t="s">
        <v>92</v>
      </c>
      <c r="B3479">
        <v>1313762582</v>
      </c>
      <c r="C3479" t="s">
        <v>18</v>
      </c>
      <c r="D3479" t="s">
        <v>20</v>
      </c>
      <c r="E3479" s="29">
        <v>46207</v>
      </c>
      <c r="F3479" t="s">
        <v>5</v>
      </c>
      <c r="G3479" s="28">
        <v>0.62361111111111112</v>
      </c>
      <c r="H3479" s="28">
        <v>0.62361111111111112</v>
      </c>
      <c r="I3479">
        <v>0</v>
      </c>
      <c r="J3479" t="s">
        <v>174</v>
      </c>
      <c r="K3479">
        <v>0</v>
      </c>
      <c r="L3479" t="s">
        <v>3371</v>
      </c>
      <c r="M3479" t="s">
        <v>8985</v>
      </c>
      <c r="N3479" t="s">
        <v>8986</v>
      </c>
      <c r="O3479" t="s">
        <v>8987</v>
      </c>
      <c r="P3479" t="s">
        <v>8988</v>
      </c>
    </row>
    <row r="3480" spans="1:16" x14ac:dyDescent="0.35">
      <c r="A3480" t="s">
        <v>92</v>
      </c>
      <c r="B3480">
        <v>1313762582</v>
      </c>
      <c r="C3480" t="s">
        <v>18</v>
      </c>
      <c r="D3480" t="s">
        <v>20</v>
      </c>
      <c r="E3480" s="29">
        <v>46207</v>
      </c>
      <c r="F3480" t="s">
        <v>5</v>
      </c>
      <c r="G3480" s="28">
        <v>0.63055555555555554</v>
      </c>
      <c r="H3480" s="28">
        <v>0.63055555555555554</v>
      </c>
      <c r="I3480">
        <v>0</v>
      </c>
      <c r="J3480" t="s">
        <v>174</v>
      </c>
      <c r="K3480">
        <v>0</v>
      </c>
      <c r="L3480" t="s">
        <v>2248</v>
      </c>
      <c r="M3480" t="s">
        <v>2989</v>
      </c>
      <c r="N3480" t="s">
        <v>8989</v>
      </c>
      <c r="O3480" t="s">
        <v>8990</v>
      </c>
      <c r="P3480" t="s">
        <v>8991</v>
      </c>
    </row>
    <row r="3481" spans="1:16" x14ac:dyDescent="0.35">
      <c r="A3481" t="s">
        <v>92</v>
      </c>
      <c r="B3481">
        <v>1313762582</v>
      </c>
      <c r="C3481" t="s">
        <v>18</v>
      </c>
      <c r="D3481" t="s">
        <v>20</v>
      </c>
      <c r="E3481" s="29">
        <v>46207</v>
      </c>
      <c r="F3481" t="s">
        <v>5</v>
      </c>
      <c r="G3481" s="28">
        <v>0.63749999999999996</v>
      </c>
      <c r="H3481" s="28">
        <v>0.65833333333333333</v>
      </c>
      <c r="I3481">
        <v>1</v>
      </c>
      <c r="J3481" t="s">
        <v>146</v>
      </c>
      <c r="K3481">
        <v>2</v>
      </c>
      <c r="L3481" t="s">
        <v>147</v>
      </c>
      <c r="M3481" t="s">
        <v>8848</v>
      </c>
      <c r="N3481" t="s">
        <v>8849</v>
      </c>
      <c r="O3481" t="s">
        <v>8850</v>
      </c>
      <c r="P3481" t="s">
        <v>8851</v>
      </c>
    </row>
    <row r="3482" spans="1:16" x14ac:dyDescent="0.35">
      <c r="A3482" t="s">
        <v>92</v>
      </c>
      <c r="B3482">
        <v>1313762582</v>
      </c>
      <c r="C3482" t="s">
        <v>18</v>
      </c>
      <c r="D3482" t="s">
        <v>20</v>
      </c>
      <c r="E3482" s="29">
        <v>46207</v>
      </c>
      <c r="F3482" t="s">
        <v>5</v>
      </c>
      <c r="G3482" s="28">
        <v>0.66527777777777775</v>
      </c>
      <c r="H3482" s="28">
        <v>0.66527777777777775</v>
      </c>
      <c r="I3482">
        <v>0</v>
      </c>
      <c r="J3482" t="s">
        <v>174</v>
      </c>
      <c r="K3482">
        <v>0</v>
      </c>
      <c r="L3482" t="s">
        <v>8992</v>
      </c>
      <c r="M3482" t="s">
        <v>8993</v>
      </c>
      <c r="N3482" t="s">
        <v>8994</v>
      </c>
      <c r="O3482" t="s">
        <v>8995</v>
      </c>
      <c r="P3482" t="s">
        <v>8996</v>
      </c>
    </row>
    <row r="3483" spans="1:16" x14ac:dyDescent="0.35">
      <c r="A3483" t="s">
        <v>92</v>
      </c>
      <c r="B3483">
        <v>1313762582</v>
      </c>
      <c r="C3483" t="s">
        <v>18</v>
      </c>
      <c r="D3483" t="s">
        <v>20</v>
      </c>
      <c r="E3483" s="29">
        <v>46207</v>
      </c>
      <c r="F3483" t="s">
        <v>5</v>
      </c>
      <c r="G3483" s="28">
        <v>0.67222222222222228</v>
      </c>
      <c r="H3483" s="28">
        <v>0.67222222222222228</v>
      </c>
      <c r="I3483">
        <v>0</v>
      </c>
      <c r="J3483" t="s">
        <v>174</v>
      </c>
      <c r="K3483">
        <v>0</v>
      </c>
      <c r="L3483" t="s">
        <v>8992</v>
      </c>
      <c r="M3483" t="s">
        <v>8848</v>
      </c>
      <c r="N3483" t="s">
        <v>8849</v>
      </c>
      <c r="O3483" t="s">
        <v>8850</v>
      </c>
      <c r="P3483" t="s">
        <v>8851</v>
      </c>
    </row>
    <row r="3484" spans="1:16" x14ac:dyDescent="0.35">
      <c r="A3484" t="s">
        <v>92</v>
      </c>
      <c r="B3484">
        <v>1313762582</v>
      </c>
      <c r="C3484" t="s">
        <v>18</v>
      </c>
      <c r="D3484" t="s">
        <v>20</v>
      </c>
      <c r="E3484" s="29">
        <v>46207</v>
      </c>
      <c r="F3484" t="s">
        <v>5</v>
      </c>
      <c r="G3484" s="28">
        <v>0.6791666666666667</v>
      </c>
      <c r="H3484" s="28">
        <v>0.6791666666666667</v>
      </c>
      <c r="I3484">
        <v>0</v>
      </c>
      <c r="J3484" t="s">
        <v>174</v>
      </c>
      <c r="K3484">
        <v>0</v>
      </c>
      <c r="L3484" t="s">
        <v>8992</v>
      </c>
      <c r="M3484" t="s">
        <v>8993</v>
      </c>
      <c r="N3484" t="s">
        <v>8994</v>
      </c>
      <c r="O3484" t="s">
        <v>8995</v>
      </c>
      <c r="P3484" t="s">
        <v>8996</v>
      </c>
    </row>
    <row r="3485" spans="1:16" x14ac:dyDescent="0.35">
      <c r="A3485" t="s">
        <v>92</v>
      </c>
      <c r="B3485">
        <v>1313762582</v>
      </c>
      <c r="C3485" t="s">
        <v>18</v>
      </c>
      <c r="D3485" t="s">
        <v>20</v>
      </c>
      <c r="E3485" s="29">
        <v>46207</v>
      </c>
      <c r="F3485" t="s">
        <v>5</v>
      </c>
      <c r="G3485" s="28">
        <v>0.68472222222222223</v>
      </c>
      <c r="H3485" s="28">
        <v>0.76249999999999996</v>
      </c>
      <c r="I3485">
        <v>2</v>
      </c>
      <c r="J3485" t="s">
        <v>146</v>
      </c>
      <c r="K3485">
        <v>6</v>
      </c>
      <c r="L3485" t="s">
        <v>147</v>
      </c>
      <c r="M3485" t="s">
        <v>8848</v>
      </c>
      <c r="N3485" t="s">
        <v>8849</v>
      </c>
      <c r="O3485" t="s">
        <v>8850</v>
      </c>
      <c r="P3485" t="s">
        <v>8851</v>
      </c>
    </row>
    <row r="3486" spans="1:16" x14ac:dyDescent="0.35">
      <c r="A3486" t="s">
        <v>92</v>
      </c>
      <c r="B3486">
        <v>1313762582</v>
      </c>
      <c r="C3486" t="s">
        <v>18</v>
      </c>
      <c r="D3486" t="s">
        <v>20</v>
      </c>
      <c r="E3486" s="29">
        <v>46207</v>
      </c>
      <c r="F3486" t="s">
        <v>5</v>
      </c>
      <c r="G3486" s="28">
        <v>0.76944444444444449</v>
      </c>
      <c r="H3486" s="28">
        <v>0.76944444444444449</v>
      </c>
      <c r="I3486">
        <v>0</v>
      </c>
      <c r="J3486" t="s">
        <v>174</v>
      </c>
      <c r="K3486">
        <v>0</v>
      </c>
      <c r="L3486" t="s">
        <v>212</v>
      </c>
      <c r="M3486" t="s">
        <v>3030</v>
      </c>
      <c r="N3486" t="s">
        <v>3031</v>
      </c>
      <c r="O3486" t="s">
        <v>3032</v>
      </c>
      <c r="P3486" t="s">
        <v>3033</v>
      </c>
    </row>
    <row r="3487" spans="1:16" x14ac:dyDescent="0.35">
      <c r="A3487" t="s">
        <v>92</v>
      </c>
      <c r="B3487">
        <v>1313762582</v>
      </c>
      <c r="C3487" t="s">
        <v>18</v>
      </c>
      <c r="D3487" t="s">
        <v>20</v>
      </c>
      <c r="E3487" s="29">
        <v>46207</v>
      </c>
      <c r="F3487" t="s">
        <v>5</v>
      </c>
      <c r="G3487" s="28">
        <v>0.77638888888888891</v>
      </c>
      <c r="H3487" s="28">
        <v>0.77638888888888891</v>
      </c>
      <c r="I3487">
        <v>0</v>
      </c>
      <c r="J3487" t="s">
        <v>174</v>
      </c>
      <c r="K3487">
        <v>0</v>
      </c>
      <c r="L3487" t="s">
        <v>8997</v>
      </c>
      <c r="M3487" t="s">
        <v>8835</v>
      </c>
      <c r="N3487" t="s">
        <v>8836</v>
      </c>
      <c r="O3487" t="s">
        <v>8837</v>
      </c>
      <c r="P3487" t="s">
        <v>8838</v>
      </c>
    </row>
    <row r="3488" spans="1:16" x14ac:dyDescent="0.35">
      <c r="A3488" t="s">
        <v>92</v>
      </c>
      <c r="B3488">
        <v>1313762582</v>
      </c>
      <c r="C3488" t="s">
        <v>18</v>
      </c>
      <c r="D3488" t="s">
        <v>20</v>
      </c>
      <c r="E3488" s="29">
        <v>46207</v>
      </c>
      <c r="F3488" t="s">
        <v>5</v>
      </c>
      <c r="G3488" s="28">
        <v>0.78333333333333333</v>
      </c>
      <c r="H3488" s="28">
        <v>0.78333333333333333</v>
      </c>
      <c r="I3488">
        <v>0</v>
      </c>
      <c r="J3488" t="s">
        <v>174</v>
      </c>
      <c r="K3488">
        <v>0</v>
      </c>
      <c r="L3488" t="s">
        <v>3709</v>
      </c>
      <c r="M3488" t="s">
        <v>8985</v>
      </c>
      <c r="N3488" t="s">
        <v>8986</v>
      </c>
      <c r="O3488" t="s">
        <v>8987</v>
      </c>
      <c r="P3488" t="s">
        <v>8988</v>
      </c>
    </row>
    <row r="3489" spans="1:16" x14ac:dyDescent="0.35">
      <c r="A3489" t="s">
        <v>92</v>
      </c>
      <c r="B3489">
        <v>1313762582</v>
      </c>
      <c r="C3489" t="s">
        <v>18</v>
      </c>
      <c r="D3489" t="s">
        <v>20</v>
      </c>
      <c r="E3489" s="29">
        <v>46207</v>
      </c>
      <c r="F3489" t="s">
        <v>5</v>
      </c>
      <c r="G3489" s="28">
        <v>0.79027777777777775</v>
      </c>
      <c r="H3489" s="28">
        <v>0.81111111111111112</v>
      </c>
      <c r="I3489">
        <v>1</v>
      </c>
      <c r="J3489" t="s">
        <v>146</v>
      </c>
      <c r="K3489">
        <v>2</v>
      </c>
      <c r="L3489" t="s">
        <v>147</v>
      </c>
      <c r="M3489" t="s">
        <v>2976</v>
      </c>
      <c r="N3489" t="s">
        <v>8830</v>
      </c>
      <c r="O3489" t="s">
        <v>8831</v>
      </c>
      <c r="P3489" t="s">
        <v>8832</v>
      </c>
    </row>
    <row r="3490" spans="1:16" x14ac:dyDescent="0.35">
      <c r="A3490" t="s">
        <v>92</v>
      </c>
      <c r="B3490">
        <v>1313762582</v>
      </c>
      <c r="C3490" t="s">
        <v>18</v>
      </c>
      <c r="D3490" t="s">
        <v>20</v>
      </c>
      <c r="E3490" s="29">
        <v>46208</v>
      </c>
      <c r="F3490" t="s">
        <v>6</v>
      </c>
      <c r="G3490" s="28">
        <v>0.43611111111111112</v>
      </c>
      <c r="H3490" s="28">
        <v>0.45069444444444445</v>
      </c>
      <c r="I3490">
        <v>0</v>
      </c>
      <c r="J3490" t="s">
        <v>146</v>
      </c>
      <c r="K3490">
        <v>1</v>
      </c>
      <c r="L3490" t="s">
        <v>147</v>
      </c>
      <c r="M3490" t="s">
        <v>8993</v>
      </c>
      <c r="N3490" t="s">
        <v>8994</v>
      </c>
      <c r="O3490" t="s">
        <v>8995</v>
      </c>
      <c r="P3490" t="s">
        <v>8996</v>
      </c>
    </row>
    <row r="3491" spans="1:16" x14ac:dyDescent="0.35">
      <c r="A3491" t="s">
        <v>92</v>
      </c>
      <c r="B3491">
        <v>1313762582</v>
      </c>
      <c r="C3491" t="s">
        <v>18</v>
      </c>
      <c r="D3491" t="s">
        <v>20</v>
      </c>
      <c r="E3491" s="29">
        <v>46208</v>
      </c>
      <c r="F3491" t="s">
        <v>6</v>
      </c>
      <c r="G3491" s="28">
        <v>0.45694444444444443</v>
      </c>
      <c r="H3491" s="28">
        <v>0.45694444444444443</v>
      </c>
      <c r="I3491">
        <v>0</v>
      </c>
      <c r="J3491" t="s">
        <v>174</v>
      </c>
      <c r="K3491">
        <v>0</v>
      </c>
      <c r="L3491" t="s">
        <v>1500</v>
      </c>
      <c r="M3491" t="s">
        <v>8848</v>
      </c>
      <c r="N3491" t="s">
        <v>8849</v>
      </c>
      <c r="O3491" t="s">
        <v>8850</v>
      </c>
      <c r="P3491" t="s">
        <v>8851</v>
      </c>
    </row>
    <row r="3492" spans="1:16" x14ac:dyDescent="0.35">
      <c r="A3492" t="s">
        <v>92</v>
      </c>
      <c r="B3492">
        <v>1313762582</v>
      </c>
      <c r="C3492" t="s">
        <v>18</v>
      </c>
      <c r="D3492" t="s">
        <v>20</v>
      </c>
      <c r="E3492" s="29">
        <v>46208</v>
      </c>
      <c r="F3492" t="s">
        <v>6</v>
      </c>
      <c r="G3492" s="28">
        <v>0.46388888888888891</v>
      </c>
      <c r="H3492" s="28">
        <v>0.46388888888888891</v>
      </c>
      <c r="I3492">
        <v>0</v>
      </c>
      <c r="J3492" t="s">
        <v>174</v>
      </c>
      <c r="K3492">
        <v>0</v>
      </c>
      <c r="L3492" t="s">
        <v>8998</v>
      </c>
      <c r="M3492" t="s">
        <v>2976</v>
      </c>
      <c r="N3492" t="s">
        <v>8999</v>
      </c>
      <c r="O3492" t="s">
        <v>2938</v>
      </c>
      <c r="P3492" t="s">
        <v>9000</v>
      </c>
    </row>
    <row r="3493" spans="1:16" x14ac:dyDescent="0.35">
      <c r="A3493" t="s">
        <v>92</v>
      </c>
      <c r="B3493">
        <v>1313762582</v>
      </c>
      <c r="C3493" t="s">
        <v>18</v>
      </c>
      <c r="D3493" t="s">
        <v>20</v>
      </c>
      <c r="E3493" s="29">
        <v>46208</v>
      </c>
      <c r="F3493" t="s">
        <v>6</v>
      </c>
      <c r="G3493" s="28">
        <v>0.47083333333333333</v>
      </c>
      <c r="H3493" s="28">
        <v>0.4777777777777778</v>
      </c>
      <c r="I3493">
        <v>0</v>
      </c>
      <c r="J3493" t="s">
        <v>146</v>
      </c>
      <c r="K3493">
        <v>1</v>
      </c>
      <c r="L3493" t="s">
        <v>147</v>
      </c>
      <c r="M3493" t="s">
        <v>8985</v>
      </c>
      <c r="N3493" t="s">
        <v>8986</v>
      </c>
      <c r="O3493" t="s">
        <v>8987</v>
      </c>
      <c r="P3493" t="s">
        <v>8988</v>
      </c>
    </row>
    <row r="3494" spans="1:16" x14ac:dyDescent="0.35">
      <c r="A3494" t="s">
        <v>92</v>
      </c>
      <c r="B3494">
        <v>1313762582</v>
      </c>
      <c r="C3494" t="s">
        <v>18</v>
      </c>
      <c r="D3494" t="s">
        <v>20</v>
      </c>
      <c r="E3494" s="29">
        <v>46208</v>
      </c>
      <c r="F3494" t="s">
        <v>6</v>
      </c>
      <c r="G3494" s="28">
        <v>0.48472222222222222</v>
      </c>
      <c r="H3494" s="28">
        <v>0.48472222222222222</v>
      </c>
      <c r="I3494">
        <v>0</v>
      </c>
      <c r="J3494" t="s">
        <v>174</v>
      </c>
      <c r="K3494">
        <v>0</v>
      </c>
      <c r="L3494" t="s">
        <v>4892</v>
      </c>
      <c r="M3494" t="s">
        <v>9001</v>
      </c>
      <c r="N3494" t="s">
        <v>9002</v>
      </c>
      <c r="O3494" t="s">
        <v>9003</v>
      </c>
      <c r="P3494" t="s">
        <v>9004</v>
      </c>
    </row>
    <row r="3495" spans="1:16" x14ac:dyDescent="0.35">
      <c r="A3495" t="s">
        <v>92</v>
      </c>
      <c r="B3495">
        <v>1313762582</v>
      </c>
      <c r="C3495" t="s">
        <v>18</v>
      </c>
      <c r="D3495" t="s">
        <v>20</v>
      </c>
      <c r="E3495" s="29">
        <v>46208</v>
      </c>
      <c r="F3495" t="s">
        <v>6</v>
      </c>
      <c r="G3495" s="28">
        <v>0.49166666666666664</v>
      </c>
      <c r="H3495" s="28">
        <v>0.49166666666666664</v>
      </c>
      <c r="I3495">
        <v>0</v>
      </c>
      <c r="J3495" t="s">
        <v>174</v>
      </c>
      <c r="K3495">
        <v>0</v>
      </c>
      <c r="L3495" t="s">
        <v>1965</v>
      </c>
      <c r="M3495" t="s">
        <v>8993</v>
      </c>
      <c r="N3495" t="s">
        <v>8994</v>
      </c>
      <c r="O3495" t="s">
        <v>8995</v>
      </c>
      <c r="P3495" t="s">
        <v>8996</v>
      </c>
    </row>
    <row r="3496" spans="1:16" x14ac:dyDescent="0.35">
      <c r="A3496" t="s">
        <v>92</v>
      </c>
      <c r="B3496">
        <v>1313762582</v>
      </c>
      <c r="C3496" t="s">
        <v>18</v>
      </c>
      <c r="D3496" t="s">
        <v>20</v>
      </c>
      <c r="E3496" s="29">
        <v>46208</v>
      </c>
      <c r="F3496" t="s">
        <v>6</v>
      </c>
      <c r="G3496" s="28">
        <v>0.49861111111111112</v>
      </c>
      <c r="H3496" s="28">
        <v>0.49861111111111112</v>
      </c>
      <c r="I3496">
        <v>0</v>
      </c>
      <c r="J3496" t="s">
        <v>174</v>
      </c>
      <c r="K3496">
        <v>0</v>
      </c>
      <c r="L3496" t="s">
        <v>6280</v>
      </c>
      <c r="M3496" t="s">
        <v>9005</v>
      </c>
      <c r="N3496" t="s">
        <v>9006</v>
      </c>
      <c r="O3496" t="s">
        <v>9007</v>
      </c>
      <c r="P3496" t="s">
        <v>9008</v>
      </c>
    </row>
    <row r="3497" spans="1:16" x14ac:dyDescent="0.35">
      <c r="A3497" t="s">
        <v>92</v>
      </c>
      <c r="B3497">
        <v>1313762582</v>
      </c>
      <c r="C3497" t="s">
        <v>18</v>
      </c>
      <c r="D3497" t="s">
        <v>20</v>
      </c>
      <c r="E3497" s="29">
        <v>46208</v>
      </c>
      <c r="F3497" t="s">
        <v>6</v>
      </c>
      <c r="G3497" s="28">
        <v>0.50555555555555554</v>
      </c>
      <c r="H3497" s="28">
        <v>0.50555555555555554</v>
      </c>
      <c r="I3497">
        <v>0</v>
      </c>
      <c r="J3497" t="s">
        <v>174</v>
      </c>
      <c r="K3497">
        <v>0</v>
      </c>
      <c r="L3497" t="s">
        <v>569</v>
      </c>
      <c r="M3497" t="s">
        <v>9009</v>
      </c>
      <c r="N3497" t="s">
        <v>9010</v>
      </c>
      <c r="O3497" t="s">
        <v>9011</v>
      </c>
      <c r="P3497" t="s">
        <v>9012</v>
      </c>
    </row>
    <row r="3498" spans="1:16" x14ac:dyDescent="0.35">
      <c r="A3498" t="s">
        <v>92</v>
      </c>
      <c r="B3498">
        <v>1313762582</v>
      </c>
      <c r="C3498" t="s">
        <v>18</v>
      </c>
      <c r="D3498" t="s">
        <v>20</v>
      </c>
      <c r="E3498" s="29">
        <v>46208</v>
      </c>
      <c r="F3498" t="s">
        <v>6</v>
      </c>
      <c r="G3498" s="28">
        <v>0.51249999999999996</v>
      </c>
      <c r="H3498" s="28">
        <v>0.51249999999999996</v>
      </c>
      <c r="I3498">
        <v>0</v>
      </c>
      <c r="J3498" t="s">
        <v>174</v>
      </c>
      <c r="K3498">
        <v>0</v>
      </c>
      <c r="L3498" t="s">
        <v>9013</v>
      </c>
      <c r="M3498" t="s">
        <v>9014</v>
      </c>
      <c r="N3498" t="s">
        <v>9015</v>
      </c>
      <c r="O3498" t="s">
        <v>9016</v>
      </c>
      <c r="P3498" t="s">
        <v>9017</v>
      </c>
    </row>
    <row r="3499" spans="1:16" x14ac:dyDescent="0.35">
      <c r="A3499" t="s">
        <v>92</v>
      </c>
      <c r="B3499">
        <v>1313762582</v>
      </c>
      <c r="C3499" t="s">
        <v>18</v>
      </c>
      <c r="D3499" t="s">
        <v>20</v>
      </c>
      <c r="E3499" s="29">
        <v>46208</v>
      </c>
      <c r="F3499" t="s">
        <v>6</v>
      </c>
      <c r="G3499" s="28">
        <v>0.51944444444444449</v>
      </c>
      <c r="H3499" s="28">
        <v>0.52638888888888891</v>
      </c>
      <c r="I3499">
        <v>0</v>
      </c>
      <c r="J3499" t="s">
        <v>146</v>
      </c>
      <c r="K3499">
        <v>0</v>
      </c>
      <c r="L3499" t="s">
        <v>147</v>
      </c>
      <c r="M3499" t="s">
        <v>9018</v>
      </c>
      <c r="N3499" t="s">
        <v>9019</v>
      </c>
      <c r="O3499" t="s">
        <v>9020</v>
      </c>
      <c r="P3499" t="s">
        <v>9021</v>
      </c>
    </row>
    <row r="3500" spans="1:16" x14ac:dyDescent="0.35">
      <c r="A3500" t="s">
        <v>92</v>
      </c>
      <c r="B3500">
        <v>1313762582</v>
      </c>
      <c r="C3500" t="s">
        <v>18</v>
      </c>
      <c r="D3500" t="s">
        <v>20</v>
      </c>
      <c r="E3500" s="29">
        <v>46208</v>
      </c>
      <c r="F3500" t="s">
        <v>6</v>
      </c>
      <c r="G3500" s="28">
        <v>0.53333333333333333</v>
      </c>
      <c r="H3500" s="28">
        <v>0.53333333333333333</v>
      </c>
      <c r="I3500">
        <v>0</v>
      </c>
      <c r="J3500" t="s">
        <v>174</v>
      </c>
      <c r="K3500">
        <v>0</v>
      </c>
      <c r="L3500" t="s">
        <v>4700</v>
      </c>
      <c r="M3500" t="s">
        <v>9022</v>
      </c>
      <c r="N3500" t="s">
        <v>9023</v>
      </c>
      <c r="O3500" t="s">
        <v>9024</v>
      </c>
      <c r="P3500" t="s">
        <v>9025</v>
      </c>
    </row>
    <row r="3501" spans="1:16" x14ac:dyDescent="0.35">
      <c r="A3501" t="s">
        <v>92</v>
      </c>
      <c r="B3501">
        <v>1313762582</v>
      </c>
      <c r="C3501" t="s">
        <v>18</v>
      </c>
      <c r="D3501" t="s">
        <v>20</v>
      </c>
      <c r="E3501" s="29">
        <v>46208</v>
      </c>
      <c r="F3501" t="s">
        <v>6</v>
      </c>
      <c r="G3501" s="28">
        <v>0.54097222222222219</v>
      </c>
      <c r="H3501" s="28">
        <v>0.54097222222222219</v>
      </c>
      <c r="I3501">
        <v>0</v>
      </c>
      <c r="J3501" t="s">
        <v>174</v>
      </c>
      <c r="K3501">
        <v>0</v>
      </c>
      <c r="L3501" t="s">
        <v>3897</v>
      </c>
      <c r="M3501" t="s">
        <v>9026</v>
      </c>
      <c r="N3501" t="s">
        <v>9027</v>
      </c>
      <c r="O3501" t="s">
        <v>9028</v>
      </c>
      <c r="P3501" t="s">
        <v>9029</v>
      </c>
    </row>
    <row r="3502" spans="1:16" x14ac:dyDescent="0.35">
      <c r="A3502" t="s">
        <v>92</v>
      </c>
      <c r="B3502">
        <v>1313762582</v>
      </c>
      <c r="C3502" t="s">
        <v>18</v>
      </c>
      <c r="D3502" t="s">
        <v>20</v>
      </c>
      <c r="E3502" s="29">
        <v>46208</v>
      </c>
      <c r="F3502" t="s">
        <v>6</v>
      </c>
      <c r="G3502" s="28">
        <v>0.54722222222222228</v>
      </c>
      <c r="H3502" s="28">
        <v>0.54722222222222228</v>
      </c>
      <c r="I3502">
        <v>0</v>
      </c>
      <c r="J3502" t="s">
        <v>174</v>
      </c>
      <c r="K3502">
        <v>0</v>
      </c>
      <c r="L3502" t="s">
        <v>9030</v>
      </c>
      <c r="M3502" t="s">
        <v>9031</v>
      </c>
      <c r="N3502" t="s">
        <v>9032</v>
      </c>
      <c r="O3502" t="s">
        <v>9033</v>
      </c>
      <c r="P3502" t="s">
        <v>9034</v>
      </c>
    </row>
    <row r="3503" spans="1:16" x14ac:dyDescent="0.35">
      <c r="A3503" t="s">
        <v>92</v>
      </c>
      <c r="B3503">
        <v>1313762582</v>
      </c>
      <c r="C3503" t="s">
        <v>18</v>
      </c>
      <c r="D3503" t="s">
        <v>20</v>
      </c>
      <c r="E3503" s="29">
        <v>46208</v>
      </c>
      <c r="F3503" t="s">
        <v>6</v>
      </c>
      <c r="G3503" s="28">
        <v>0.5541666666666667</v>
      </c>
      <c r="H3503" s="28">
        <v>0.5541666666666667</v>
      </c>
      <c r="I3503">
        <v>0</v>
      </c>
      <c r="J3503" t="s">
        <v>174</v>
      </c>
      <c r="K3503">
        <v>0</v>
      </c>
      <c r="L3503" t="s">
        <v>2208</v>
      </c>
      <c r="M3503" t="s">
        <v>9035</v>
      </c>
      <c r="N3503" t="s">
        <v>9036</v>
      </c>
      <c r="O3503" t="s">
        <v>9037</v>
      </c>
      <c r="P3503" t="s">
        <v>9038</v>
      </c>
    </row>
    <row r="3504" spans="1:16" x14ac:dyDescent="0.35">
      <c r="A3504" t="s">
        <v>92</v>
      </c>
      <c r="B3504">
        <v>1313762582</v>
      </c>
      <c r="C3504" t="s">
        <v>18</v>
      </c>
      <c r="D3504" t="s">
        <v>20</v>
      </c>
      <c r="E3504" s="29">
        <v>46208</v>
      </c>
      <c r="F3504" t="s">
        <v>6</v>
      </c>
      <c r="G3504" s="28">
        <v>0.56111111111111112</v>
      </c>
      <c r="H3504" s="28">
        <v>0.56111111111111112</v>
      </c>
      <c r="I3504">
        <v>0</v>
      </c>
      <c r="J3504" t="s">
        <v>174</v>
      </c>
      <c r="K3504">
        <v>0</v>
      </c>
      <c r="L3504" t="s">
        <v>2208</v>
      </c>
      <c r="M3504" t="s">
        <v>9039</v>
      </c>
      <c r="N3504" t="s">
        <v>9040</v>
      </c>
      <c r="O3504" t="s">
        <v>9041</v>
      </c>
      <c r="P3504" t="s">
        <v>9042</v>
      </c>
    </row>
    <row r="3505" spans="1:16" x14ac:dyDescent="0.35">
      <c r="A3505" t="s">
        <v>92</v>
      </c>
      <c r="B3505">
        <v>1313762582</v>
      </c>
      <c r="C3505" t="s">
        <v>18</v>
      </c>
      <c r="D3505" t="s">
        <v>20</v>
      </c>
      <c r="E3505" s="29">
        <v>46208</v>
      </c>
      <c r="F3505" t="s">
        <v>6</v>
      </c>
      <c r="G3505" s="28">
        <v>0.56805555555555554</v>
      </c>
      <c r="H3505" s="28">
        <v>0.57499999999999996</v>
      </c>
      <c r="I3505">
        <v>0</v>
      </c>
      <c r="J3505" t="s">
        <v>146</v>
      </c>
      <c r="K3505">
        <v>0</v>
      </c>
      <c r="L3505" t="s">
        <v>147</v>
      </c>
      <c r="M3505" t="s">
        <v>9035</v>
      </c>
      <c r="N3505" t="s">
        <v>9036</v>
      </c>
      <c r="O3505" t="s">
        <v>9037</v>
      </c>
      <c r="P3505" t="s">
        <v>9038</v>
      </c>
    </row>
    <row r="3506" spans="1:16" x14ac:dyDescent="0.35">
      <c r="A3506" t="s">
        <v>92</v>
      </c>
      <c r="B3506">
        <v>1313762582</v>
      </c>
      <c r="C3506" t="s">
        <v>18</v>
      </c>
      <c r="D3506" t="s">
        <v>20</v>
      </c>
      <c r="E3506" s="29">
        <v>46208</v>
      </c>
      <c r="F3506" t="s">
        <v>6</v>
      </c>
      <c r="G3506" s="28">
        <v>0.58194444444444449</v>
      </c>
      <c r="H3506" s="28">
        <v>0.58888888888888891</v>
      </c>
      <c r="I3506">
        <v>0</v>
      </c>
      <c r="J3506" t="s">
        <v>146</v>
      </c>
      <c r="K3506">
        <v>0</v>
      </c>
      <c r="L3506" t="s">
        <v>147</v>
      </c>
      <c r="M3506" t="s">
        <v>9022</v>
      </c>
      <c r="N3506" t="s">
        <v>9023</v>
      </c>
      <c r="O3506" t="s">
        <v>9024</v>
      </c>
      <c r="P3506" t="s">
        <v>9025</v>
      </c>
    </row>
    <row r="3507" spans="1:16" x14ac:dyDescent="0.35">
      <c r="A3507" t="s">
        <v>92</v>
      </c>
      <c r="B3507">
        <v>1313762582</v>
      </c>
      <c r="C3507" t="s">
        <v>18</v>
      </c>
      <c r="D3507" t="s">
        <v>20</v>
      </c>
      <c r="E3507" s="29">
        <v>46208</v>
      </c>
      <c r="F3507" t="s">
        <v>6</v>
      </c>
      <c r="G3507" s="28">
        <v>0.59583333333333333</v>
      </c>
      <c r="H3507" s="28">
        <v>0.59583333333333333</v>
      </c>
      <c r="I3507">
        <v>0</v>
      </c>
      <c r="J3507" t="s">
        <v>174</v>
      </c>
      <c r="K3507">
        <v>0</v>
      </c>
      <c r="L3507" t="s">
        <v>2398</v>
      </c>
      <c r="M3507" t="s">
        <v>9043</v>
      </c>
      <c r="N3507" t="s">
        <v>9044</v>
      </c>
      <c r="O3507" t="s">
        <v>9045</v>
      </c>
      <c r="P3507" t="s">
        <v>9025</v>
      </c>
    </row>
    <row r="3508" spans="1:16" x14ac:dyDescent="0.35">
      <c r="A3508" t="s">
        <v>92</v>
      </c>
      <c r="B3508">
        <v>1313762582</v>
      </c>
      <c r="C3508" t="s">
        <v>18</v>
      </c>
      <c r="D3508" t="s">
        <v>20</v>
      </c>
      <c r="E3508" s="29">
        <v>46208</v>
      </c>
      <c r="F3508" t="s">
        <v>6</v>
      </c>
      <c r="G3508" s="28">
        <v>0.60277777777777775</v>
      </c>
      <c r="H3508" s="28">
        <v>0.62361111111111112</v>
      </c>
      <c r="I3508">
        <v>1</v>
      </c>
      <c r="J3508" t="s">
        <v>146</v>
      </c>
      <c r="K3508">
        <v>2</v>
      </c>
      <c r="L3508" t="s">
        <v>147</v>
      </c>
      <c r="M3508" t="s">
        <v>9009</v>
      </c>
      <c r="N3508" t="s">
        <v>9010</v>
      </c>
      <c r="O3508" t="s">
        <v>9011</v>
      </c>
      <c r="P3508" t="s">
        <v>9012</v>
      </c>
    </row>
    <row r="3509" spans="1:16" x14ac:dyDescent="0.35">
      <c r="A3509" t="s">
        <v>92</v>
      </c>
      <c r="B3509">
        <v>1313762582</v>
      </c>
      <c r="C3509" t="s">
        <v>18</v>
      </c>
      <c r="D3509" t="s">
        <v>20</v>
      </c>
      <c r="E3509" s="29">
        <v>46208</v>
      </c>
      <c r="F3509" t="s">
        <v>6</v>
      </c>
      <c r="G3509" s="28">
        <v>0.63055555555555554</v>
      </c>
      <c r="H3509" s="28">
        <v>0.63055555555555554</v>
      </c>
      <c r="I3509">
        <v>0</v>
      </c>
      <c r="J3509" t="s">
        <v>174</v>
      </c>
      <c r="K3509">
        <v>0</v>
      </c>
      <c r="L3509" t="s">
        <v>9046</v>
      </c>
      <c r="M3509" t="s">
        <v>9047</v>
      </c>
      <c r="N3509" t="s">
        <v>9048</v>
      </c>
      <c r="O3509" t="s">
        <v>9049</v>
      </c>
      <c r="P3509" t="s">
        <v>9050</v>
      </c>
    </row>
    <row r="3510" spans="1:16" x14ac:dyDescent="0.35">
      <c r="A3510" t="s">
        <v>92</v>
      </c>
      <c r="B3510">
        <v>1313762582</v>
      </c>
      <c r="C3510" t="s">
        <v>18</v>
      </c>
      <c r="D3510" t="s">
        <v>20</v>
      </c>
      <c r="E3510" s="29">
        <v>46208</v>
      </c>
      <c r="F3510" t="s">
        <v>6</v>
      </c>
      <c r="G3510" s="28">
        <v>0.63749999999999996</v>
      </c>
      <c r="H3510" s="28">
        <v>0.63749999999999996</v>
      </c>
      <c r="I3510">
        <v>0</v>
      </c>
      <c r="J3510" t="s">
        <v>174</v>
      </c>
      <c r="K3510">
        <v>0</v>
      </c>
      <c r="L3510" t="s">
        <v>175</v>
      </c>
      <c r="M3510" t="s">
        <v>9051</v>
      </c>
      <c r="N3510" t="s">
        <v>9052</v>
      </c>
      <c r="O3510" t="s">
        <v>9053</v>
      </c>
      <c r="P3510" t="s">
        <v>9054</v>
      </c>
    </row>
    <row r="3511" spans="1:16" x14ac:dyDescent="0.35">
      <c r="A3511" t="s">
        <v>92</v>
      </c>
      <c r="B3511">
        <v>1313762582</v>
      </c>
      <c r="C3511" t="s">
        <v>18</v>
      </c>
      <c r="D3511" t="s">
        <v>20</v>
      </c>
      <c r="E3511" s="29">
        <v>46208</v>
      </c>
      <c r="F3511" t="s">
        <v>6</v>
      </c>
      <c r="G3511" s="28">
        <v>0.64444444444444449</v>
      </c>
      <c r="H3511" s="28">
        <v>0.64444444444444449</v>
      </c>
      <c r="I3511">
        <v>0</v>
      </c>
      <c r="J3511" t="s">
        <v>174</v>
      </c>
      <c r="K3511">
        <v>0</v>
      </c>
      <c r="L3511" t="s">
        <v>1400</v>
      </c>
      <c r="M3511" t="s">
        <v>9055</v>
      </c>
      <c r="N3511" t="s">
        <v>9056</v>
      </c>
      <c r="O3511" t="s">
        <v>9057</v>
      </c>
      <c r="P3511" t="s">
        <v>9058</v>
      </c>
    </row>
    <row r="3512" spans="1:16" x14ac:dyDescent="0.35">
      <c r="A3512" t="s">
        <v>92</v>
      </c>
      <c r="B3512">
        <v>1313762582</v>
      </c>
      <c r="C3512" t="s">
        <v>18</v>
      </c>
      <c r="D3512" t="s">
        <v>20</v>
      </c>
      <c r="E3512" s="29">
        <v>46208</v>
      </c>
      <c r="F3512" t="s">
        <v>6</v>
      </c>
      <c r="G3512" s="28">
        <v>0.65138888888888891</v>
      </c>
      <c r="H3512" s="28">
        <v>0.67222222222222228</v>
      </c>
      <c r="I3512">
        <v>1</v>
      </c>
      <c r="J3512" t="s">
        <v>146</v>
      </c>
      <c r="K3512">
        <v>2</v>
      </c>
      <c r="L3512" t="s">
        <v>147</v>
      </c>
      <c r="M3512" t="s">
        <v>8801</v>
      </c>
      <c r="N3512" t="s">
        <v>8802</v>
      </c>
      <c r="O3512" t="s">
        <v>8803</v>
      </c>
      <c r="P3512" t="s">
        <v>8804</v>
      </c>
    </row>
    <row r="3513" spans="1:16" x14ac:dyDescent="0.35">
      <c r="A3513" t="s">
        <v>92</v>
      </c>
      <c r="B3513">
        <v>1313762582</v>
      </c>
      <c r="C3513" t="s">
        <v>18</v>
      </c>
      <c r="D3513" t="s">
        <v>20</v>
      </c>
      <c r="E3513" s="29">
        <v>46208</v>
      </c>
      <c r="F3513" t="s">
        <v>6</v>
      </c>
      <c r="G3513" s="28">
        <v>0.67777777777777781</v>
      </c>
      <c r="H3513" s="28">
        <v>0.67777777777777781</v>
      </c>
      <c r="I3513">
        <v>0</v>
      </c>
      <c r="J3513" t="s">
        <v>174</v>
      </c>
      <c r="K3513">
        <v>0</v>
      </c>
      <c r="L3513" t="s">
        <v>9059</v>
      </c>
      <c r="M3513" t="s">
        <v>8993</v>
      </c>
      <c r="N3513" t="s">
        <v>8994</v>
      </c>
      <c r="O3513" t="s">
        <v>8995</v>
      </c>
      <c r="P3513" t="s">
        <v>8996</v>
      </c>
    </row>
    <row r="3514" spans="1:16" x14ac:dyDescent="0.35">
      <c r="A3514" t="s">
        <v>92</v>
      </c>
      <c r="B3514">
        <v>1313762582</v>
      </c>
      <c r="C3514" t="s">
        <v>18</v>
      </c>
      <c r="D3514" t="s">
        <v>20</v>
      </c>
      <c r="E3514" s="29">
        <v>46208</v>
      </c>
      <c r="F3514" t="s">
        <v>6</v>
      </c>
      <c r="G3514" s="28">
        <v>0.68611111111111112</v>
      </c>
      <c r="H3514" s="28">
        <v>0.72013888888888888</v>
      </c>
      <c r="I3514">
        <v>1</v>
      </c>
      <c r="J3514" t="s">
        <v>146</v>
      </c>
      <c r="K3514">
        <v>2</v>
      </c>
      <c r="L3514" t="s">
        <v>147</v>
      </c>
      <c r="M3514" t="s">
        <v>8801</v>
      </c>
      <c r="N3514" t="s">
        <v>8802</v>
      </c>
      <c r="O3514" t="s">
        <v>8803</v>
      </c>
      <c r="P3514" t="s">
        <v>8804</v>
      </c>
    </row>
    <row r="3515" spans="1:16" x14ac:dyDescent="0.35">
      <c r="A3515" t="s">
        <v>92</v>
      </c>
      <c r="B3515">
        <v>1313762582</v>
      </c>
      <c r="C3515" t="s">
        <v>18</v>
      </c>
      <c r="D3515" t="s">
        <v>20</v>
      </c>
      <c r="E3515" s="29">
        <v>46208</v>
      </c>
      <c r="F3515" t="s">
        <v>6</v>
      </c>
      <c r="G3515" s="28">
        <v>0.72569444444444442</v>
      </c>
      <c r="H3515" s="28">
        <v>0.72569444444444442</v>
      </c>
      <c r="I3515">
        <v>0</v>
      </c>
      <c r="J3515" t="s">
        <v>174</v>
      </c>
      <c r="K3515">
        <v>0</v>
      </c>
      <c r="L3515" t="s">
        <v>9059</v>
      </c>
      <c r="M3515" t="s">
        <v>8993</v>
      </c>
      <c r="N3515" t="s">
        <v>8994</v>
      </c>
      <c r="O3515" t="s">
        <v>8995</v>
      </c>
      <c r="P3515" t="s">
        <v>8996</v>
      </c>
    </row>
    <row r="3516" spans="1:16" x14ac:dyDescent="0.35">
      <c r="A3516" t="s">
        <v>92</v>
      </c>
      <c r="B3516">
        <v>1313762582</v>
      </c>
      <c r="C3516" t="s">
        <v>18</v>
      </c>
      <c r="D3516" t="s">
        <v>20</v>
      </c>
      <c r="E3516" s="29">
        <v>46208</v>
      </c>
      <c r="F3516" t="s">
        <v>6</v>
      </c>
      <c r="G3516" s="28">
        <v>0.73472222222222228</v>
      </c>
      <c r="H3516" s="28">
        <v>0.7416666666666667</v>
      </c>
      <c r="I3516">
        <v>0</v>
      </c>
      <c r="J3516" t="s">
        <v>146</v>
      </c>
      <c r="K3516">
        <v>0</v>
      </c>
      <c r="L3516" t="s">
        <v>147</v>
      </c>
      <c r="M3516" t="s">
        <v>8801</v>
      </c>
      <c r="N3516" t="s">
        <v>8802</v>
      </c>
      <c r="O3516" t="s">
        <v>8803</v>
      </c>
      <c r="P3516" t="s">
        <v>8804</v>
      </c>
    </row>
    <row r="3517" spans="1:16" x14ac:dyDescent="0.35">
      <c r="A3517" t="s">
        <v>92</v>
      </c>
      <c r="B3517">
        <v>1313762582</v>
      </c>
      <c r="C3517" t="s">
        <v>18</v>
      </c>
      <c r="D3517" t="s">
        <v>20</v>
      </c>
      <c r="E3517" s="29">
        <v>46208</v>
      </c>
      <c r="F3517" t="s">
        <v>6</v>
      </c>
      <c r="G3517" s="28">
        <v>0.74861111111111112</v>
      </c>
      <c r="H3517" s="28">
        <v>0.74861111111111112</v>
      </c>
      <c r="I3517">
        <v>0</v>
      </c>
      <c r="J3517" t="s">
        <v>174</v>
      </c>
      <c r="K3517">
        <v>0</v>
      </c>
      <c r="L3517" t="s">
        <v>9059</v>
      </c>
      <c r="M3517" t="s">
        <v>8993</v>
      </c>
      <c r="N3517" t="s">
        <v>8994</v>
      </c>
      <c r="O3517" t="s">
        <v>8995</v>
      </c>
      <c r="P3517" t="s">
        <v>8996</v>
      </c>
    </row>
    <row r="3518" spans="1:16" x14ac:dyDescent="0.35">
      <c r="A3518" t="s">
        <v>92</v>
      </c>
      <c r="B3518">
        <v>1313762582</v>
      </c>
      <c r="C3518" t="s">
        <v>18</v>
      </c>
      <c r="D3518" t="s">
        <v>20</v>
      </c>
      <c r="E3518" s="29">
        <v>46208</v>
      </c>
      <c r="F3518" t="s">
        <v>6</v>
      </c>
      <c r="G3518" s="28">
        <v>0.75555555555555554</v>
      </c>
      <c r="H3518" s="28">
        <v>0.75555555555555554</v>
      </c>
      <c r="I3518">
        <v>0</v>
      </c>
      <c r="J3518" t="s">
        <v>174</v>
      </c>
      <c r="K3518">
        <v>0</v>
      </c>
      <c r="L3518" t="s">
        <v>9060</v>
      </c>
      <c r="M3518" t="s">
        <v>8801</v>
      </c>
      <c r="N3518" t="s">
        <v>8802</v>
      </c>
      <c r="O3518" t="s">
        <v>8803</v>
      </c>
      <c r="P3518" t="s">
        <v>8804</v>
      </c>
    </row>
    <row r="3519" spans="1:16" x14ac:dyDescent="0.35">
      <c r="A3519" t="s">
        <v>92</v>
      </c>
      <c r="B3519">
        <v>1313762582</v>
      </c>
      <c r="C3519" t="s">
        <v>18</v>
      </c>
      <c r="D3519" t="s">
        <v>20</v>
      </c>
      <c r="E3519" s="29">
        <v>46208</v>
      </c>
      <c r="F3519" t="s">
        <v>6</v>
      </c>
      <c r="G3519" s="28">
        <v>0.76249999999999996</v>
      </c>
      <c r="H3519" s="28">
        <v>0.77638888888888891</v>
      </c>
      <c r="I3519">
        <v>0</v>
      </c>
      <c r="J3519" t="s">
        <v>146</v>
      </c>
      <c r="K3519">
        <v>1</v>
      </c>
      <c r="L3519" t="s">
        <v>147</v>
      </c>
      <c r="M3519" t="s">
        <v>8848</v>
      </c>
      <c r="N3519" t="s">
        <v>8849</v>
      </c>
      <c r="O3519" t="s">
        <v>8850</v>
      </c>
      <c r="P3519" t="s">
        <v>8851</v>
      </c>
    </row>
    <row r="3520" spans="1:16" x14ac:dyDescent="0.35">
      <c r="A3520" t="s">
        <v>92</v>
      </c>
      <c r="B3520">
        <v>1313762582</v>
      </c>
      <c r="C3520" t="s">
        <v>18</v>
      </c>
      <c r="D3520" t="s">
        <v>20</v>
      </c>
      <c r="E3520" s="29">
        <v>46208</v>
      </c>
      <c r="F3520" t="s">
        <v>6</v>
      </c>
      <c r="G3520" s="28">
        <v>0.78333333333333333</v>
      </c>
      <c r="H3520" s="28">
        <v>0.78333333333333333</v>
      </c>
      <c r="I3520">
        <v>0</v>
      </c>
      <c r="J3520" t="s">
        <v>174</v>
      </c>
      <c r="K3520">
        <v>0</v>
      </c>
      <c r="L3520" t="s">
        <v>8992</v>
      </c>
      <c r="M3520" t="s">
        <v>8993</v>
      </c>
      <c r="N3520" t="s">
        <v>8994</v>
      </c>
      <c r="O3520" t="s">
        <v>8995</v>
      </c>
      <c r="P3520" t="s">
        <v>8996</v>
      </c>
    </row>
    <row r="3521" spans="1:16" x14ac:dyDescent="0.35">
      <c r="A3521" t="s">
        <v>92</v>
      </c>
      <c r="B3521">
        <v>1313762582</v>
      </c>
      <c r="C3521" t="s">
        <v>18</v>
      </c>
      <c r="D3521" t="s">
        <v>20</v>
      </c>
      <c r="E3521" s="29">
        <v>46208</v>
      </c>
      <c r="F3521" t="s">
        <v>6</v>
      </c>
      <c r="G3521" s="28">
        <v>0.79027777777777775</v>
      </c>
      <c r="H3521" s="28">
        <v>0.81111111111111112</v>
      </c>
      <c r="I3521">
        <v>1</v>
      </c>
      <c r="J3521" t="s">
        <v>146</v>
      </c>
      <c r="K3521">
        <v>2</v>
      </c>
      <c r="L3521" t="s">
        <v>147</v>
      </c>
      <c r="M3521" t="s">
        <v>8848</v>
      </c>
      <c r="N3521" t="s">
        <v>8849</v>
      </c>
      <c r="O3521" t="s">
        <v>8850</v>
      </c>
      <c r="P3521" t="s">
        <v>8851</v>
      </c>
    </row>
    <row r="3522" spans="1:16" x14ac:dyDescent="0.35">
      <c r="A3522" t="s">
        <v>108</v>
      </c>
      <c r="B3522">
        <v>1324725688</v>
      </c>
      <c r="C3522" t="s">
        <v>18</v>
      </c>
      <c r="D3522" t="s">
        <v>21</v>
      </c>
      <c r="E3522" s="29">
        <v>46204</v>
      </c>
      <c r="F3522" t="s">
        <v>3</v>
      </c>
      <c r="G3522" s="28">
        <v>0.37708333333333333</v>
      </c>
      <c r="H3522" s="28">
        <v>0.37708333333333333</v>
      </c>
      <c r="I3522">
        <v>0</v>
      </c>
      <c r="J3522" t="s">
        <v>174</v>
      </c>
      <c r="K3522">
        <v>0</v>
      </c>
      <c r="L3522" t="s">
        <v>9061</v>
      </c>
      <c r="M3522" t="s">
        <v>7233</v>
      </c>
      <c r="N3522" t="s">
        <v>7234</v>
      </c>
      <c r="O3522" t="s">
        <v>7235</v>
      </c>
      <c r="P3522" t="s">
        <v>7236</v>
      </c>
    </row>
    <row r="3523" spans="1:16" x14ac:dyDescent="0.35">
      <c r="A3523" t="s">
        <v>108</v>
      </c>
      <c r="B3523">
        <v>1324725688</v>
      </c>
      <c r="C3523" t="s">
        <v>18</v>
      </c>
      <c r="D3523" t="s">
        <v>21</v>
      </c>
      <c r="E3523" s="29">
        <v>46204</v>
      </c>
      <c r="F3523" t="s">
        <v>3</v>
      </c>
      <c r="G3523" s="28">
        <v>0.38333333333333336</v>
      </c>
      <c r="H3523" s="28">
        <v>0.38333333333333336</v>
      </c>
      <c r="I3523">
        <v>0</v>
      </c>
      <c r="J3523" t="s">
        <v>174</v>
      </c>
      <c r="K3523">
        <v>0</v>
      </c>
      <c r="L3523" t="s">
        <v>9062</v>
      </c>
      <c r="M3523" t="s">
        <v>9063</v>
      </c>
      <c r="N3523" t="s">
        <v>9064</v>
      </c>
      <c r="O3523" t="s">
        <v>9065</v>
      </c>
      <c r="P3523" t="s">
        <v>9066</v>
      </c>
    </row>
    <row r="3524" spans="1:16" x14ac:dyDescent="0.35">
      <c r="A3524" t="s">
        <v>108</v>
      </c>
      <c r="B3524">
        <v>1324725688</v>
      </c>
      <c r="C3524" t="s">
        <v>18</v>
      </c>
      <c r="D3524" t="s">
        <v>21</v>
      </c>
      <c r="E3524" s="29">
        <v>46204</v>
      </c>
      <c r="F3524" t="s">
        <v>3</v>
      </c>
      <c r="G3524" s="28">
        <v>0.39027777777777778</v>
      </c>
      <c r="H3524" s="28">
        <v>0.39027777777777778</v>
      </c>
      <c r="I3524">
        <v>0</v>
      </c>
      <c r="J3524" t="s">
        <v>174</v>
      </c>
      <c r="K3524">
        <v>0</v>
      </c>
      <c r="L3524" t="s">
        <v>9067</v>
      </c>
      <c r="M3524" t="s">
        <v>9068</v>
      </c>
      <c r="N3524" t="s">
        <v>9069</v>
      </c>
      <c r="O3524" t="s">
        <v>9070</v>
      </c>
      <c r="P3524" t="s">
        <v>9071</v>
      </c>
    </row>
    <row r="3525" spans="1:16" x14ac:dyDescent="0.35">
      <c r="A3525" t="s">
        <v>108</v>
      </c>
      <c r="B3525">
        <v>1324725688</v>
      </c>
      <c r="C3525" t="s">
        <v>18</v>
      </c>
      <c r="D3525" t="s">
        <v>21</v>
      </c>
      <c r="E3525" s="29">
        <v>46204</v>
      </c>
      <c r="F3525" t="s">
        <v>3</v>
      </c>
      <c r="G3525" s="28">
        <v>0.3972222222222222</v>
      </c>
      <c r="H3525" s="28">
        <v>0.42499999999999999</v>
      </c>
      <c r="I3525">
        <v>1</v>
      </c>
      <c r="J3525" t="s">
        <v>146</v>
      </c>
      <c r="K3525">
        <v>2</v>
      </c>
      <c r="L3525" t="s">
        <v>147</v>
      </c>
      <c r="M3525" t="s">
        <v>9072</v>
      </c>
      <c r="N3525" t="s">
        <v>9073</v>
      </c>
      <c r="O3525" t="s">
        <v>9074</v>
      </c>
      <c r="P3525" t="s">
        <v>9075</v>
      </c>
    </row>
    <row r="3526" spans="1:16" x14ac:dyDescent="0.35">
      <c r="A3526" t="s">
        <v>108</v>
      </c>
      <c r="B3526">
        <v>1324725688</v>
      </c>
      <c r="C3526" t="s">
        <v>18</v>
      </c>
      <c r="D3526" t="s">
        <v>21</v>
      </c>
      <c r="E3526" s="29">
        <v>46204</v>
      </c>
      <c r="F3526" t="s">
        <v>3</v>
      </c>
      <c r="G3526" s="28">
        <v>0.43194444444444446</v>
      </c>
      <c r="H3526" s="28">
        <v>0.43194444444444446</v>
      </c>
      <c r="I3526">
        <v>0</v>
      </c>
      <c r="J3526" t="s">
        <v>174</v>
      </c>
      <c r="K3526">
        <v>0</v>
      </c>
      <c r="L3526" t="s">
        <v>9076</v>
      </c>
      <c r="M3526" t="s">
        <v>7243</v>
      </c>
      <c r="N3526" t="s">
        <v>9077</v>
      </c>
      <c r="O3526" t="s">
        <v>9078</v>
      </c>
      <c r="P3526" t="s">
        <v>9079</v>
      </c>
    </row>
    <row r="3527" spans="1:16" x14ac:dyDescent="0.35">
      <c r="A3527" t="s">
        <v>108</v>
      </c>
      <c r="B3527">
        <v>1324725688</v>
      </c>
      <c r="C3527" t="s">
        <v>18</v>
      </c>
      <c r="D3527" t="s">
        <v>21</v>
      </c>
      <c r="E3527" s="29">
        <v>46204</v>
      </c>
      <c r="F3527" t="s">
        <v>3</v>
      </c>
      <c r="G3527" s="28">
        <v>0.43888888888888888</v>
      </c>
      <c r="H3527" s="28">
        <v>0.43888888888888888</v>
      </c>
      <c r="I3527">
        <v>0</v>
      </c>
      <c r="J3527" t="s">
        <v>174</v>
      </c>
      <c r="K3527">
        <v>0</v>
      </c>
      <c r="L3527" t="s">
        <v>9080</v>
      </c>
      <c r="M3527" t="s">
        <v>9072</v>
      </c>
      <c r="N3527" t="s">
        <v>9073</v>
      </c>
      <c r="O3527" t="s">
        <v>9074</v>
      </c>
      <c r="P3527" t="s">
        <v>9075</v>
      </c>
    </row>
    <row r="3528" spans="1:16" x14ac:dyDescent="0.35">
      <c r="A3528" t="s">
        <v>108</v>
      </c>
      <c r="B3528">
        <v>1324725688</v>
      </c>
      <c r="C3528" t="s">
        <v>18</v>
      </c>
      <c r="D3528" t="s">
        <v>21</v>
      </c>
      <c r="E3528" s="29">
        <v>46204</v>
      </c>
      <c r="F3528" t="s">
        <v>3</v>
      </c>
      <c r="G3528" s="28">
        <v>0.44583333333333336</v>
      </c>
      <c r="H3528" s="28">
        <v>0.44583333333333336</v>
      </c>
      <c r="I3528">
        <v>0</v>
      </c>
      <c r="J3528" t="s">
        <v>174</v>
      </c>
      <c r="K3528">
        <v>0</v>
      </c>
      <c r="L3528" t="s">
        <v>2593</v>
      </c>
      <c r="M3528" t="s">
        <v>9081</v>
      </c>
      <c r="N3528" t="s">
        <v>9082</v>
      </c>
      <c r="O3528" t="s">
        <v>9083</v>
      </c>
      <c r="P3528" t="s">
        <v>9084</v>
      </c>
    </row>
    <row r="3529" spans="1:16" x14ac:dyDescent="0.35">
      <c r="A3529" t="s">
        <v>108</v>
      </c>
      <c r="B3529">
        <v>1324725688</v>
      </c>
      <c r="C3529" t="s">
        <v>18</v>
      </c>
      <c r="D3529" t="s">
        <v>21</v>
      </c>
      <c r="E3529" s="29">
        <v>46204</v>
      </c>
      <c r="F3529" t="s">
        <v>3</v>
      </c>
      <c r="G3529" s="28">
        <v>0.45277777777777778</v>
      </c>
      <c r="H3529" s="28">
        <v>0.45277777777777778</v>
      </c>
      <c r="I3529">
        <v>0</v>
      </c>
      <c r="J3529" t="s">
        <v>174</v>
      </c>
      <c r="K3529">
        <v>0</v>
      </c>
      <c r="L3529" t="s">
        <v>9085</v>
      </c>
      <c r="M3529" t="s">
        <v>9086</v>
      </c>
      <c r="N3529" t="s">
        <v>9087</v>
      </c>
      <c r="O3529" t="s">
        <v>9088</v>
      </c>
      <c r="P3529" t="s">
        <v>8382</v>
      </c>
    </row>
    <row r="3530" spans="1:16" x14ac:dyDescent="0.35">
      <c r="A3530" t="s">
        <v>108</v>
      </c>
      <c r="B3530">
        <v>1324725688</v>
      </c>
      <c r="C3530" t="s">
        <v>18</v>
      </c>
      <c r="D3530" t="s">
        <v>21</v>
      </c>
      <c r="E3530" s="29">
        <v>46204</v>
      </c>
      <c r="F3530" t="s">
        <v>3</v>
      </c>
      <c r="G3530" s="28">
        <v>0.4597222222222222</v>
      </c>
      <c r="H3530" s="28">
        <v>0.4597222222222222</v>
      </c>
      <c r="I3530">
        <v>0</v>
      </c>
      <c r="J3530" t="s">
        <v>174</v>
      </c>
      <c r="K3530">
        <v>0</v>
      </c>
      <c r="L3530" t="s">
        <v>9085</v>
      </c>
      <c r="M3530" t="s">
        <v>9089</v>
      </c>
      <c r="N3530" t="s">
        <v>9090</v>
      </c>
      <c r="O3530" t="s">
        <v>9091</v>
      </c>
      <c r="P3530" t="s">
        <v>9092</v>
      </c>
    </row>
    <row r="3531" spans="1:16" x14ac:dyDescent="0.35">
      <c r="A3531" t="s">
        <v>108</v>
      </c>
      <c r="B3531">
        <v>1324725688</v>
      </c>
      <c r="C3531" t="s">
        <v>18</v>
      </c>
      <c r="D3531" t="s">
        <v>21</v>
      </c>
      <c r="E3531" s="29">
        <v>46204</v>
      </c>
      <c r="F3531" t="s">
        <v>3</v>
      </c>
      <c r="G3531" s="28">
        <v>0.46736111111111112</v>
      </c>
      <c r="H3531" s="28">
        <v>0.46736111111111112</v>
      </c>
      <c r="I3531">
        <v>0</v>
      </c>
      <c r="J3531" t="s">
        <v>174</v>
      </c>
      <c r="K3531">
        <v>0</v>
      </c>
      <c r="L3531" t="s">
        <v>9085</v>
      </c>
      <c r="M3531" t="s">
        <v>9086</v>
      </c>
      <c r="N3531" t="s">
        <v>9087</v>
      </c>
      <c r="O3531" t="s">
        <v>9088</v>
      </c>
      <c r="P3531" t="s">
        <v>8382</v>
      </c>
    </row>
    <row r="3532" spans="1:16" x14ac:dyDescent="0.35">
      <c r="A3532" t="s">
        <v>108</v>
      </c>
      <c r="B3532">
        <v>1324725688</v>
      </c>
      <c r="C3532" t="s">
        <v>18</v>
      </c>
      <c r="D3532" t="s">
        <v>21</v>
      </c>
      <c r="E3532" s="29">
        <v>46204</v>
      </c>
      <c r="F3532" t="s">
        <v>3</v>
      </c>
      <c r="G3532" s="28">
        <v>0.47361111111111109</v>
      </c>
      <c r="H3532" s="28">
        <v>0.47361111111111109</v>
      </c>
      <c r="I3532">
        <v>0</v>
      </c>
      <c r="J3532" t="s">
        <v>174</v>
      </c>
      <c r="K3532">
        <v>0</v>
      </c>
      <c r="L3532" t="s">
        <v>9093</v>
      </c>
      <c r="M3532" t="s">
        <v>9089</v>
      </c>
      <c r="N3532" t="s">
        <v>9090</v>
      </c>
      <c r="O3532" t="s">
        <v>9091</v>
      </c>
      <c r="P3532" t="s">
        <v>9092</v>
      </c>
    </row>
    <row r="3533" spans="1:16" x14ac:dyDescent="0.35">
      <c r="A3533" t="s">
        <v>108</v>
      </c>
      <c r="B3533">
        <v>1324725688</v>
      </c>
      <c r="C3533" t="s">
        <v>18</v>
      </c>
      <c r="D3533" t="s">
        <v>21</v>
      </c>
      <c r="E3533" s="29">
        <v>46204</v>
      </c>
      <c r="F3533" t="s">
        <v>3</v>
      </c>
      <c r="G3533" s="28">
        <v>0.48055555555555557</v>
      </c>
      <c r="H3533" s="28">
        <v>0.48055555555555557</v>
      </c>
      <c r="I3533">
        <v>0</v>
      </c>
      <c r="J3533" t="s">
        <v>174</v>
      </c>
      <c r="K3533">
        <v>0</v>
      </c>
      <c r="L3533" t="s">
        <v>2218</v>
      </c>
      <c r="M3533" t="s">
        <v>9094</v>
      </c>
      <c r="N3533" t="s">
        <v>9095</v>
      </c>
      <c r="O3533" t="s">
        <v>9096</v>
      </c>
      <c r="P3533" t="s">
        <v>8388</v>
      </c>
    </row>
    <row r="3534" spans="1:16" x14ac:dyDescent="0.35">
      <c r="A3534" t="s">
        <v>108</v>
      </c>
      <c r="B3534">
        <v>1324725688</v>
      </c>
      <c r="C3534" t="s">
        <v>18</v>
      </c>
      <c r="D3534" t="s">
        <v>21</v>
      </c>
      <c r="E3534" s="29">
        <v>46204</v>
      </c>
      <c r="F3534" t="s">
        <v>3</v>
      </c>
      <c r="G3534" s="28">
        <v>0.48749999999999999</v>
      </c>
      <c r="H3534" s="28">
        <v>0.48749999999999999</v>
      </c>
      <c r="I3534">
        <v>0</v>
      </c>
      <c r="J3534" t="s">
        <v>174</v>
      </c>
      <c r="K3534">
        <v>0</v>
      </c>
      <c r="L3534" t="s">
        <v>9061</v>
      </c>
      <c r="M3534" t="s">
        <v>9063</v>
      </c>
      <c r="N3534" t="s">
        <v>9064</v>
      </c>
      <c r="O3534" t="s">
        <v>9065</v>
      </c>
      <c r="P3534" t="s">
        <v>9066</v>
      </c>
    </row>
    <row r="3535" spans="1:16" x14ac:dyDescent="0.35">
      <c r="A3535" t="s">
        <v>108</v>
      </c>
      <c r="B3535">
        <v>1324725688</v>
      </c>
      <c r="C3535" t="s">
        <v>18</v>
      </c>
      <c r="D3535" t="s">
        <v>21</v>
      </c>
      <c r="E3535" s="29">
        <v>46204</v>
      </c>
      <c r="F3535" t="s">
        <v>3</v>
      </c>
      <c r="G3535" s="28">
        <v>0.49444444444444446</v>
      </c>
      <c r="H3535" s="28">
        <v>0.49444444444444446</v>
      </c>
      <c r="I3535">
        <v>0</v>
      </c>
      <c r="J3535" t="s">
        <v>174</v>
      </c>
      <c r="K3535">
        <v>0</v>
      </c>
      <c r="L3535" t="s">
        <v>9097</v>
      </c>
      <c r="M3535" t="s">
        <v>7233</v>
      </c>
      <c r="N3535" t="s">
        <v>7234</v>
      </c>
      <c r="O3535" t="s">
        <v>7235</v>
      </c>
      <c r="P3535" t="s">
        <v>7236</v>
      </c>
    </row>
    <row r="3536" spans="1:16" x14ac:dyDescent="0.35">
      <c r="A3536" t="s">
        <v>108</v>
      </c>
      <c r="B3536">
        <v>1324725688</v>
      </c>
      <c r="C3536" t="s">
        <v>18</v>
      </c>
      <c r="D3536" t="s">
        <v>21</v>
      </c>
      <c r="E3536" s="29">
        <v>46204</v>
      </c>
      <c r="F3536" t="s">
        <v>3</v>
      </c>
      <c r="G3536" s="28">
        <v>0.50138888888888888</v>
      </c>
      <c r="H3536" s="28">
        <v>0.50138888888888888</v>
      </c>
      <c r="I3536">
        <v>0</v>
      </c>
      <c r="J3536" t="s">
        <v>174</v>
      </c>
      <c r="K3536">
        <v>0</v>
      </c>
      <c r="L3536" t="s">
        <v>9098</v>
      </c>
      <c r="M3536" t="s">
        <v>9099</v>
      </c>
      <c r="N3536" t="s">
        <v>9100</v>
      </c>
      <c r="O3536" t="s">
        <v>9101</v>
      </c>
      <c r="P3536" t="s">
        <v>9102</v>
      </c>
    </row>
    <row r="3537" spans="1:16" x14ac:dyDescent="0.35">
      <c r="A3537" t="s">
        <v>108</v>
      </c>
      <c r="B3537">
        <v>1324725688</v>
      </c>
      <c r="C3537" t="s">
        <v>18</v>
      </c>
      <c r="D3537" t="s">
        <v>21</v>
      </c>
      <c r="E3537" s="29">
        <v>46204</v>
      </c>
      <c r="F3537" t="s">
        <v>3</v>
      </c>
      <c r="G3537" s="28">
        <v>0.5083333333333333</v>
      </c>
      <c r="H3537" s="28">
        <v>0.5083333333333333</v>
      </c>
      <c r="I3537">
        <v>0</v>
      </c>
      <c r="J3537" t="s">
        <v>174</v>
      </c>
      <c r="K3537">
        <v>0</v>
      </c>
      <c r="L3537" t="s">
        <v>247</v>
      </c>
      <c r="M3537" t="s">
        <v>9063</v>
      </c>
      <c r="N3537" t="s">
        <v>9064</v>
      </c>
      <c r="O3537" t="s">
        <v>9065</v>
      </c>
      <c r="P3537" t="s">
        <v>9066</v>
      </c>
    </row>
    <row r="3538" spans="1:16" x14ac:dyDescent="0.35">
      <c r="A3538" t="s">
        <v>108</v>
      </c>
      <c r="B3538">
        <v>1324725688</v>
      </c>
      <c r="C3538" t="s">
        <v>18</v>
      </c>
      <c r="D3538" t="s">
        <v>21</v>
      </c>
      <c r="E3538" s="29">
        <v>46204</v>
      </c>
      <c r="F3538" t="s">
        <v>3</v>
      </c>
      <c r="G3538" s="28">
        <v>0.51527777777777772</v>
      </c>
      <c r="H3538" s="28">
        <v>0.51527777777777772</v>
      </c>
      <c r="I3538">
        <v>0</v>
      </c>
      <c r="J3538" t="s">
        <v>174</v>
      </c>
      <c r="K3538">
        <v>0</v>
      </c>
      <c r="L3538" t="s">
        <v>509</v>
      </c>
      <c r="M3538" t="s">
        <v>9103</v>
      </c>
      <c r="N3538" t="s">
        <v>9104</v>
      </c>
      <c r="O3538" t="s">
        <v>9105</v>
      </c>
      <c r="P3538" t="s">
        <v>9106</v>
      </c>
    </row>
    <row r="3539" spans="1:16" x14ac:dyDescent="0.35">
      <c r="A3539" t="s">
        <v>108</v>
      </c>
      <c r="B3539">
        <v>1324725688</v>
      </c>
      <c r="C3539" t="s">
        <v>18</v>
      </c>
      <c r="D3539" t="s">
        <v>21</v>
      </c>
      <c r="E3539" s="29">
        <v>46204</v>
      </c>
      <c r="F3539" t="s">
        <v>3</v>
      </c>
      <c r="G3539" s="28">
        <v>0.52222222222222225</v>
      </c>
      <c r="H3539" s="28">
        <v>0.52222222222222225</v>
      </c>
      <c r="I3539">
        <v>0</v>
      </c>
      <c r="J3539" t="s">
        <v>174</v>
      </c>
      <c r="K3539">
        <v>0</v>
      </c>
      <c r="L3539" t="s">
        <v>5774</v>
      </c>
      <c r="M3539" t="s">
        <v>7304</v>
      </c>
      <c r="N3539" t="s">
        <v>7305</v>
      </c>
      <c r="O3539" t="s">
        <v>7306</v>
      </c>
      <c r="P3539" t="s">
        <v>7307</v>
      </c>
    </row>
    <row r="3540" spans="1:16" x14ac:dyDescent="0.35">
      <c r="A3540" t="s">
        <v>108</v>
      </c>
      <c r="B3540">
        <v>1324725688</v>
      </c>
      <c r="C3540" t="s">
        <v>18</v>
      </c>
      <c r="D3540" t="s">
        <v>21</v>
      </c>
      <c r="E3540" s="29">
        <v>46204</v>
      </c>
      <c r="F3540" t="s">
        <v>3</v>
      </c>
      <c r="G3540" s="28">
        <v>0.52847222222222223</v>
      </c>
      <c r="H3540" s="28">
        <v>0.55694444444444446</v>
      </c>
      <c r="I3540">
        <v>1</v>
      </c>
      <c r="J3540" t="s">
        <v>146</v>
      </c>
      <c r="K3540">
        <v>2</v>
      </c>
      <c r="L3540" t="s">
        <v>147</v>
      </c>
      <c r="M3540" t="s">
        <v>7308</v>
      </c>
      <c r="N3540" t="s">
        <v>7309</v>
      </c>
      <c r="O3540" t="s">
        <v>7310</v>
      </c>
      <c r="P3540" t="s">
        <v>7311</v>
      </c>
    </row>
    <row r="3541" spans="1:16" x14ac:dyDescent="0.35">
      <c r="A3541" t="s">
        <v>108</v>
      </c>
      <c r="B3541">
        <v>1324725688</v>
      </c>
      <c r="C3541" t="s">
        <v>18</v>
      </c>
      <c r="D3541" t="s">
        <v>21</v>
      </c>
      <c r="E3541" s="29">
        <v>46204</v>
      </c>
      <c r="F3541" t="s">
        <v>3</v>
      </c>
      <c r="G3541" s="28">
        <v>0.56388888888888888</v>
      </c>
      <c r="H3541" s="28">
        <v>0.61944444444444446</v>
      </c>
      <c r="I3541">
        <v>1</v>
      </c>
      <c r="J3541" t="s">
        <v>146</v>
      </c>
      <c r="K3541">
        <v>4</v>
      </c>
      <c r="L3541" t="s">
        <v>147</v>
      </c>
      <c r="M3541" t="s">
        <v>7304</v>
      </c>
      <c r="N3541" t="s">
        <v>7305</v>
      </c>
      <c r="O3541" t="s">
        <v>7306</v>
      </c>
      <c r="P3541" t="s">
        <v>7307</v>
      </c>
    </row>
    <row r="3542" spans="1:16" x14ac:dyDescent="0.35">
      <c r="A3542" t="s">
        <v>108</v>
      </c>
      <c r="B3542">
        <v>1324725688</v>
      </c>
      <c r="C3542" t="s">
        <v>18</v>
      </c>
      <c r="D3542" t="s">
        <v>21</v>
      </c>
      <c r="E3542" s="29">
        <v>46204</v>
      </c>
      <c r="F3542" t="s">
        <v>3</v>
      </c>
      <c r="G3542" s="28">
        <v>0.62638888888888888</v>
      </c>
      <c r="H3542" s="28">
        <v>0.6333333333333333</v>
      </c>
      <c r="I3542">
        <v>0</v>
      </c>
      <c r="J3542" t="s">
        <v>146</v>
      </c>
      <c r="K3542">
        <v>0</v>
      </c>
      <c r="L3542" t="s">
        <v>147</v>
      </c>
      <c r="M3542" t="s">
        <v>7308</v>
      </c>
      <c r="N3542" t="s">
        <v>7309</v>
      </c>
      <c r="O3542" t="s">
        <v>7310</v>
      </c>
      <c r="P3542" t="s">
        <v>7311</v>
      </c>
    </row>
    <row r="3543" spans="1:16" x14ac:dyDescent="0.35">
      <c r="A3543" t="s">
        <v>108</v>
      </c>
      <c r="B3543">
        <v>1324725688</v>
      </c>
      <c r="C3543" t="s">
        <v>18</v>
      </c>
      <c r="D3543" t="s">
        <v>21</v>
      </c>
      <c r="E3543" s="29">
        <v>46204</v>
      </c>
      <c r="F3543" t="s">
        <v>3</v>
      </c>
      <c r="G3543" s="28">
        <v>0.64027777777777772</v>
      </c>
      <c r="H3543" s="28">
        <v>0.65416666666666667</v>
      </c>
      <c r="I3543">
        <v>0</v>
      </c>
      <c r="J3543" t="s">
        <v>146</v>
      </c>
      <c r="K3543">
        <v>1</v>
      </c>
      <c r="L3543" t="s">
        <v>147</v>
      </c>
      <c r="M3543" t="s">
        <v>7304</v>
      </c>
      <c r="N3543" t="s">
        <v>7305</v>
      </c>
      <c r="O3543" t="s">
        <v>7306</v>
      </c>
      <c r="P3543" t="s">
        <v>7307</v>
      </c>
    </row>
    <row r="3544" spans="1:16" x14ac:dyDescent="0.35">
      <c r="A3544" t="s">
        <v>108</v>
      </c>
      <c r="B3544">
        <v>1324725688</v>
      </c>
      <c r="C3544" t="s">
        <v>18</v>
      </c>
      <c r="D3544" t="s">
        <v>21</v>
      </c>
      <c r="E3544" s="29">
        <v>46204</v>
      </c>
      <c r="F3544" t="s">
        <v>3</v>
      </c>
      <c r="G3544" s="28">
        <v>0.66111111111111109</v>
      </c>
      <c r="H3544" s="28">
        <v>0.66111111111111109</v>
      </c>
      <c r="I3544">
        <v>0</v>
      </c>
      <c r="J3544" t="s">
        <v>174</v>
      </c>
      <c r="K3544">
        <v>0</v>
      </c>
      <c r="L3544" t="s">
        <v>8796</v>
      </c>
      <c r="M3544" t="s">
        <v>7308</v>
      </c>
      <c r="N3544" t="s">
        <v>7309</v>
      </c>
      <c r="O3544" t="s">
        <v>7310</v>
      </c>
      <c r="P3544" t="s">
        <v>7311</v>
      </c>
    </row>
    <row r="3545" spans="1:16" x14ac:dyDescent="0.35">
      <c r="A3545" t="s">
        <v>108</v>
      </c>
      <c r="B3545">
        <v>1324725688</v>
      </c>
      <c r="C3545" t="s">
        <v>18</v>
      </c>
      <c r="D3545" t="s">
        <v>21</v>
      </c>
      <c r="E3545" s="29">
        <v>46204</v>
      </c>
      <c r="F3545" t="s">
        <v>3</v>
      </c>
      <c r="G3545" s="28">
        <v>0.66805555555555551</v>
      </c>
      <c r="H3545" s="28">
        <v>0.66805555555555551</v>
      </c>
      <c r="I3545">
        <v>0</v>
      </c>
      <c r="J3545" t="s">
        <v>174</v>
      </c>
      <c r="K3545">
        <v>0</v>
      </c>
      <c r="L3545" t="s">
        <v>2466</v>
      </c>
      <c r="M3545" t="s">
        <v>9107</v>
      </c>
      <c r="N3545" t="s">
        <v>9108</v>
      </c>
      <c r="O3545" t="s">
        <v>9109</v>
      </c>
      <c r="P3545" t="s">
        <v>9084</v>
      </c>
    </row>
    <row r="3546" spans="1:16" x14ac:dyDescent="0.35">
      <c r="A3546" t="s">
        <v>108</v>
      </c>
      <c r="B3546">
        <v>1324725688</v>
      </c>
      <c r="C3546" t="s">
        <v>18</v>
      </c>
      <c r="D3546" t="s">
        <v>21</v>
      </c>
      <c r="E3546" s="29">
        <v>46204</v>
      </c>
      <c r="F3546" t="s">
        <v>3</v>
      </c>
      <c r="G3546" s="28">
        <v>0.67569444444444449</v>
      </c>
      <c r="H3546" s="28">
        <v>0.67569444444444449</v>
      </c>
      <c r="I3546">
        <v>0</v>
      </c>
      <c r="J3546" t="s">
        <v>174</v>
      </c>
      <c r="K3546">
        <v>0</v>
      </c>
      <c r="L3546" t="s">
        <v>9110</v>
      </c>
      <c r="M3546" t="s">
        <v>9111</v>
      </c>
      <c r="N3546" t="s">
        <v>9112</v>
      </c>
      <c r="O3546" t="s">
        <v>9113</v>
      </c>
      <c r="P3546" t="s">
        <v>9114</v>
      </c>
    </row>
    <row r="3547" spans="1:16" x14ac:dyDescent="0.35">
      <c r="A3547" t="s">
        <v>108</v>
      </c>
      <c r="B3547">
        <v>1324725688</v>
      </c>
      <c r="C3547" t="s">
        <v>18</v>
      </c>
      <c r="D3547" t="s">
        <v>21</v>
      </c>
      <c r="E3547" s="29">
        <v>46204</v>
      </c>
      <c r="F3547" t="s">
        <v>3</v>
      </c>
      <c r="G3547" s="28">
        <v>0.68194444444444446</v>
      </c>
      <c r="H3547" s="28">
        <v>0.68194444444444446</v>
      </c>
      <c r="I3547">
        <v>0</v>
      </c>
      <c r="J3547" t="s">
        <v>174</v>
      </c>
      <c r="K3547">
        <v>0</v>
      </c>
      <c r="L3547" t="s">
        <v>480</v>
      </c>
      <c r="M3547" t="s">
        <v>9115</v>
      </c>
      <c r="N3547" t="s">
        <v>9116</v>
      </c>
      <c r="O3547" t="s">
        <v>9117</v>
      </c>
      <c r="P3547" t="s">
        <v>9118</v>
      </c>
    </row>
    <row r="3548" spans="1:16" x14ac:dyDescent="0.35">
      <c r="A3548" t="s">
        <v>108</v>
      </c>
      <c r="B3548">
        <v>1324725688</v>
      </c>
      <c r="C3548" t="s">
        <v>18</v>
      </c>
      <c r="D3548" t="s">
        <v>21</v>
      </c>
      <c r="E3548" s="29">
        <v>46204</v>
      </c>
      <c r="F3548" t="s">
        <v>3</v>
      </c>
      <c r="G3548" s="28">
        <v>0.68888888888888888</v>
      </c>
      <c r="H3548" s="28">
        <v>0.68888888888888888</v>
      </c>
      <c r="I3548">
        <v>0</v>
      </c>
      <c r="J3548" t="s">
        <v>174</v>
      </c>
      <c r="K3548">
        <v>0</v>
      </c>
      <c r="L3548" t="s">
        <v>4195</v>
      </c>
      <c r="M3548" t="s">
        <v>9119</v>
      </c>
      <c r="N3548" t="s">
        <v>9120</v>
      </c>
      <c r="O3548" t="s">
        <v>9121</v>
      </c>
      <c r="P3548" t="s">
        <v>9122</v>
      </c>
    </row>
    <row r="3549" spans="1:16" x14ac:dyDescent="0.35">
      <c r="A3549" t="s">
        <v>108</v>
      </c>
      <c r="B3549">
        <v>1324725688</v>
      </c>
      <c r="C3549" t="s">
        <v>18</v>
      </c>
      <c r="D3549" t="s">
        <v>21</v>
      </c>
      <c r="E3549" s="29">
        <v>46204</v>
      </c>
      <c r="F3549" t="s">
        <v>3</v>
      </c>
      <c r="G3549" s="28">
        <v>0.6958333333333333</v>
      </c>
      <c r="H3549" s="28">
        <v>0.70277777777777772</v>
      </c>
      <c r="I3549">
        <v>0</v>
      </c>
      <c r="J3549" t="s">
        <v>146</v>
      </c>
      <c r="K3549">
        <v>0</v>
      </c>
      <c r="L3549" t="s">
        <v>147</v>
      </c>
      <c r="M3549" t="s">
        <v>9123</v>
      </c>
      <c r="N3549" t="s">
        <v>9124</v>
      </c>
      <c r="O3549" t="s">
        <v>9125</v>
      </c>
      <c r="P3549" t="s">
        <v>9126</v>
      </c>
    </row>
    <row r="3550" spans="1:16" x14ac:dyDescent="0.35">
      <c r="A3550" t="s">
        <v>108</v>
      </c>
      <c r="B3550">
        <v>1324725688</v>
      </c>
      <c r="C3550" t="s">
        <v>18</v>
      </c>
      <c r="D3550" t="s">
        <v>21</v>
      </c>
      <c r="E3550" s="29">
        <v>46204</v>
      </c>
      <c r="F3550" t="s">
        <v>3</v>
      </c>
      <c r="G3550" s="28">
        <v>0.70972222222222225</v>
      </c>
      <c r="H3550" s="28">
        <v>0.71666666666666667</v>
      </c>
      <c r="I3550">
        <v>0</v>
      </c>
      <c r="J3550" t="s">
        <v>146</v>
      </c>
      <c r="K3550">
        <v>0</v>
      </c>
      <c r="L3550" t="s">
        <v>147</v>
      </c>
      <c r="M3550" t="s">
        <v>9119</v>
      </c>
      <c r="N3550" t="s">
        <v>9120</v>
      </c>
      <c r="O3550" t="s">
        <v>9121</v>
      </c>
      <c r="P3550" t="s">
        <v>9122</v>
      </c>
    </row>
    <row r="3551" spans="1:16" x14ac:dyDescent="0.35">
      <c r="A3551" t="s">
        <v>108</v>
      </c>
      <c r="B3551">
        <v>1324725688</v>
      </c>
      <c r="C3551" t="s">
        <v>18</v>
      </c>
      <c r="D3551" t="s">
        <v>21</v>
      </c>
      <c r="E3551" s="29">
        <v>46204</v>
      </c>
      <c r="F3551" t="s">
        <v>3</v>
      </c>
      <c r="G3551" s="28">
        <v>0.72361111111111109</v>
      </c>
      <c r="H3551" s="28">
        <v>0.72361111111111109</v>
      </c>
      <c r="I3551">
        <v>0</v>
      </c>
      <c r="J3551" t="s">
        <v>174</v>
      </c>
      <c r="K3551">
        <v>0</v>
      </c>
      <c r="L3551" t="s">
        <v>629</v>
      </c>
      <c r="M3551" t="s">
        <v>9127</v>
      </c>
      <c r="N3551" t="s">
        <v>9128</v>
      </c>
      <c r="O3551" t="s">
        <v>9129</v>
      </c>
      <c r="P3551" t="s">
        <v>9130</v>
      </c>
    </row>
    <row r="3552" spans="1:16" x14ac:dyDescent="0.35">
      <c r="A3552" t="s">
        <v>108</v>
      </c>
      <c r="B3552">
        <v>1324725688</v>
      </c>
      <c r="C3552" t="s">
        <v>18</v>
      </c>
      <c r="D3552" t="s">
        <v>21</v>
      </c>
      <c r="E3552" s="29">
        <v>46204</v>
      </c>
      <c r="F3552" t="s">
        <v>3</v>
      </c>
      <c r="G3552" s="28">
        <v>0.73055555555555551</v>
      </c>
      <c r="H3552" s="28">
        <v>0.73750000000000004</v>
      </c>
      <c r="I3552">
        <v>0</v>
      </c>
      <c r="J3552" t="s">
        <v>146</v>
      </c>
      <c r="K3552">
        <v>1</v>
      </c>
      <c r="L3552" t="s">
        <v>147</v>
      </c>
      <c r="M3552" t="s">
        <v>9131</v>
      </c>
      <c r="N3552" t="s">
        <v>9132</v>
      </c>
      <c r="O3552" t="s">
        <v>9133</v>
      </c>
      <c r="P3552" t="s">
        <v>9134</v>
      </c>
    </row>
    <row r="3553" spans="1:16" x14ac:dyDescent="0.35">
      <c r="A3553" t="s">
        <v>108</v>
      </c>
      <c r="B3553">
        <v>1324725688</v>
      </c>
      <c r="C3553" t="s">
        <v>18</v>
      </c>
      <c r="D3553" t="s">
        <v>21</v>
      </c>
      <c r="E3553" s="29">
        <v>46204</v>
      </c>
      <c r="F3553" t="s">
        <v>3</v>
      </c>
      <c r="G3553" s="28">
        <v>0.74444444444444446</v>
      </c>
      <c r="H3553" s="28">
        <v>0.75138888888888888</v>
      </c>
      <c r="I3553">
        <v>0</v>
      </c>
      <c r="J3553" t="s">
        <v>146</v>
      </c>
      <c r="K3553">
        <v>0</v>
      </c>
      <c r="L3553" t="s">
        <v>147</v>
      </c>
      <c r="M3553" t="s">
        <v>9127</v>
      </c>
      <c r="N3553" t="s">
        <v>9128</v>
      </c>
      <c r="O3553" t="s">
        <v>9129</v>
      </c>
      <c r="P3553" t="s">
        <v>9130</v>
      </c>
    </row>
    <row r="3554" spans="1:16" x14ac:dyDescent="0.35">
      <c r="A3554" t="s">
        <v>108</v>
      </c>
      <c r="B3554">
        <v>1324725688</v>
      </c>
      <c r="C3554" t="s">
        <v>18</v>
      </c>
      <c r="D3554" t="s">
        <v>21</v>
      </c>
      <c r="E3554" s="29">
        <v>46204</v>
      </c>
      <c r="F3554" t="s">
        <v>3</v>
      </c>
      <c r="G3554" s="28">
        <v>0.7583333333333333</v>
      </c>
      <c r="H3554" s="28">
        <v>0.7583333333333333</v>
      </c>
      <c r="I3554">
        <v>0</v>
      </c>
      <c r="J3554" t="s">
        <v>174</v>
      </c>
      <c r="K3554">
        <v>0</v>
      </c>
      <c r="L3554" t="s">
        <v>629</v>
      </c>
      <c r="M3554" t="s">
        <v>9131</v>
      </c>
      <c r="N3554" t="s">
        <v>9132</v>
      </c>
      <c r="O3554" t="s">
        <v>9133</v>
      </c>
      <c r="P3554" t="s">
        <v>9134</v>
      </c>
    </row>
    <row r="3555" spans="1:16" x14ac:dyDescent="0.35">
      <c r="A3555" t="s">
        <v>108</v>
      </c>
      <c r="B3555">
        <v>1324725688</v>
      </c>
      <c r="C3555" t="s">
        <v>18</v>
      </c>
      <c r="D3555" t="s">
        <v>21</v>
      </c>
      <c r="E3555" s="29">
        <v>46204</v>
      </c>
      <c r="F3555" t="s">
        <v>3</v>
      </c>
      <c r="G3555" s="28">
        <v>0.76527777777777772</v>
      </c>
      <c r="H3555" s="28">
        <v>0.77916666666666667</v>
      </c>
      <c r="I3555">
        <v>0</v>
      </c>
      <c r="J3555" t="s">
        <v>146</v>
      </c>
      <c r="K3555">
        <v>1</v>
      </c>
      <c r="L3555" t="s">
        <v>147</v>
      </c>
      <c r="M3555" t="s">
        <v>9127</v>
      </c>
      <c r="N3555" t="s">
        <v>9128</v>
      </c>
      <c r="O3555" t="s">
        <v>9129</v>
      </c>
      <c r="P3555" t="s">
        <v>9130</v>
      </c>
    </row>
    <row r="3556" spans="1:16" x14ac:dyDescent="0.35">
      <c r="A3556" t="s">
        <v>108</v>
      </c>
      <c r="B3556">
        <v>1324725688</v>
      </c>
      <c r="C3556" t="s">
        <v>18</v>
      </c>
      <c r="D3556" t="s">
        <v>21</v>
      </c>
      <c r="E3556" s="29">
        <v>46204</v>
      </c>
      <c r="F3556" t="s">
        <v>3</v>
      </c>
      <c r="G3556" s="28">
        <v>0.78611111111111109</v>
      </c>
      <c r="H3556" s="28">
        <v>0.78611111111111109</v>
      </c>
      <c r="I3556">
        <v>0</v>
      </c>
      <c r="J3556" t="s">
        <v>174</v>
      </c>
      <c r="K3556">
        <v>0</v>
      </c>
      <c r="L3556" t="s">
        <v>4225</v>
      </c>
      <c r="M3556" t="s">
        <v>9135</v>
      </c>
      <c r="N3556" t="s">
        <v>9136</v>
      </c>
      <c r="O3556" t="s">
        <v>9137</v>
      </c>
      <c r="P3556" t="s">
        <v>9138</v>
      </c>
    </row>
    <row r="3557" spans="1:16" x14ac:dyDescent="0.35">
      <c r="A3557" t="s">
        <v>108</v>
      </c>
      <c r="B3557">
        <v>1324725688</v>
      </c>
      <c r="C3557" t="s">
        <v>18</v>
      </c>
      <c r="D3557" t="s">
        <v>21</v>
      </c>
      <c r="E3557" s="29">
        <v>46205</v>
      </c>
      <c r="F3557" t="s">
        <v>4</v>
      </c>
      <c r="G3557" s="28">
        <v>0.38333333333333336</v>
      </c>
      <c r="H3557" s="28">
        <v>0.38333333333333336</v>
      </c>
      <c r="I3557">
        <v>0</v>
      </c>
      <c r="J3557" t="s">
        <v>174</v>
      </c>
      <c r="K3557">
        <v>0</v>
      </c>
      <c r="L3557" t="s">
        <v>9139</v>
      </c>
      <c r="M3557" t="s">
        <v>9140</v>
      </c>
      <c r="N3557" t="s">
        <v>9141</v>
      </c>
      <c r="O3557" t="s">
        <v>9142</v>
      </c>
      <c r="P3557" t="s">
        <v>9143</v>
      </c>
    </row>
    <row r="3558" spans="1:16" x14ac:dyDescent="0.35">
      <c r="A3558" t="s">
        <v>108</v>
      </c>
      <c r="B3558">
        <v>1324725688</v>
      </c>
      <c r="C3558" t="s">
        <v>18</v>
      </c>
      <c r="D3558" t="s">
        <v>21</v>
      </c>
      <c r="E3558" s="29">
        <v>46205</v>
      </c>
      <c r="F3558" t="s">
        <v>4</v>
      </c>
      <c r="G3558" s="28">
        <v>0.39027777777777778</v>
      </c>
      <c r="H3558" s="28">
        <v>0.39027777777777778</v>
      </c>
      <c r="I3558">
        <v>0</v>
      </c>
      <c r="J3558" t="s">
        <v>174</v>
      </c>
      <c r="K3558">
        <v>0</v>
      </c>
      <c r="L3558" t="s">
        <v>9144</v>
      </c>
      <c r="M3558" t="s">
        <v>9145</v>
      </c>
      <c r="N3558" t="s">
        <v>9146</v>
      </c>
      <c r="O3558" t="s">
        <v>7344</v>
      </c>
      <c r="P3558" t="s">
        <v>9147</v>
      </c>
    </row>
    <row r="3559" spans="1:16" x14ac:dyDescent="0.35">
      <c r="A3559" t="s">
        <v>108</v>
      </c>
      <c r="B3559">
        <v>1324725688</v>
      </c>
      <c r="C3559" t="s">
        <v>18</v>
      </c>
      <c r="D3559" t="s">
        <v>21</v>
      </c>
      <c r="E3559" s="29">
        <v>46205</v>
      </c>
      <c r="F3559" t="s">
        <v>4</v>
      </c>
      <c r="G3559" s="28">
        <v>0.3972222222222222</v>
      </c>
      <c r="H3559" s="28">
        <v>0.43888888888888888</v>
      </c>
      <c r="I3559">
        <v>1</v>
      </c>
      <c r="J3559" t="s">
        <v>146</v>
      </c>
      <c r="K3559">
        <v>3</v>
      </c>
      <c r="L3559" t="s">
        <v>147</v>
      </c>
      <c r="M3559" t="s">
        <v>9072</v>
      </c>
      <c r="N3559" t="s">
        <v>9073</v>
      </c>
      <c r="O3559" t="s">
        <v>9074</v>
      </c>
      <c r="P3559" t="s">
        <v>9075</v>
      </c>
    </row>
    <row r="3560" spans="1:16" x14ac:dyDescent="0.35">
      <c r="A3560" t="s">
        <v>108</v>
      </c>
      <c r="B3560">
        <v>1324725688</v>
      </c>
      <c r="C3560" t="s">
        <v>18</v>
      </c>
      <c r="D3560" t="s">
        <v>21</v>
      </c>
      <c r="E3560" s="29">
        <v>46205</v>
      </c>
      <c r="F3560" t="s">
        <v>4</v>
      </c>
      <c r="G3560" s="28">
        <v>0.44513888888888886</v>
      </c>
      <c r="H3560" s="28">
        <v>0.44513888888888886</v>
      </c>
      <c r="I3560">
        <v>0</v>
      </c>
      <c r="J3560" t="s">
        <v>174</v>
      </c>
      <c r="K3560">
        <v>0</v>
      </c>
      <c r="L3560" t="s">
        <v>1855</v>
      </c>
      <c r="M3560" t="s">
        <v>9148</v>
      </c>
      <c r="N3560" t="s">
        <v>9149</v>
      </c>
      <c r="O3560" t="s">
        <v>9150</v>
      </c>
      <c r="P3560" t="s">
        <v>9151</v>
      </c>
    </row>
    <row r="3561" spans="1:16" x14ac:dyDescent="0.35">
      <c r="A3561" t="s">
        <v>108</v>
      </c>
      <c r="B3561">
        <v>1324725688</v>
      </c>
      <c r="C3561" t="s">
        <v>18</v>
      </c>
      <c r="D3561" t="s">
        <v>21</v>
      </c>
      <c r="E3561" s="29">
        <v>46205</v>
      </c>
      <c r="F3561" t="s">
        <v>4</v>
      </c>
      <c r="G3561" s="28">
        <v>0.45277777777777778</v>
      </c>
      <c r="H3561" s="28">
        <v>0.45277777777777778</v>
      </c>
      <c r="I3561">
        <v>0</v>
      </c>
      <c r="J3561" t="s">
        <v>174</v>
      </c>
      <c r="K3561">
        <v>0</v>
      </c>
      <c r="L3561" t="s">
        <v>9152</v>
      </c>
      <c r="M3561" t="s">
        <v>9072</v>
      </c>
      <c r="N3561" t="s">
        <v>9073</v>
      </c>
      <c r="O3561" t="s">
        <v>9074</v>
      </c>
      <c r="P3561" t="s">
        <v>9075</v>
      </c>
    </row>
    <row r="3562" spans="1:16" x14ac:dyDescent="0.35">
      <c r="A3562" t="s">
        <v>108</v>
      </c>
      <c r="B3562">
        <v>1324725688</v>
      </c>
      <c r="C3562" t="s">
        <v>18</v>
      </c>
      <c r="D3562" t="s">
        <v>21</v>
      </c>
      <c r="E3562" s="29">
        <v>46205</v>
      </c>
      <c r="F3562" t="s">
        <v>4</v>
      </c>
      <c r="G3562" s="28">
        <v>0.4597222222222222</v>
      </c>
      <c r="H3562" s="28">
        <v>0.4597222222222222</v>
      </c>
      <c r="I3562">
        <v>0</v>
      </c>
      <c r="J3562" t="s">
        <v>174</v>
      </c>
      <c r="K3562">
        <v>0</v>
      </c>
      <c r="L3562" t="s">
        <v>9153</v>
      </c>
      <c r="M3562" t="s">
        <v>9099</v>
      </c>
      <c r="N3562" t="s">
        <v>9100</v>
      </c>
      <c r="O3562" t="s">
        <v>9101</v>
      </c>
      <c r="P3562" t="s">
        <v>9102</v>
      </c>
    </row>
    <row r="3563" spans="1:16" x14ac:dyDescent="0.35">
      <c r="A3563" t="s">
        <v>108</v>
      </c>
      <c r="B3563">
        <v>1324725688</v>
      </c>
      <c r="C3563" t="s">
        <v>18</v>
      </c>
      <c r="D3563" t="s">
        <v>21</v>
      </c>
      <c r="E3563" s="29">
        <v>46205</v>
      </c>
      <c r="F3563" t="s">
        <v>4</v>
      </c>
      <c r="G3563" s="28">
        <v>0.46666666666666667</v>
      </c>
      <c r="H3563" s="28">
        <v>0.46666666666666667</v>
      </c>
      <c r="I3563">
        <v>0</v>
      </c>
      <c r="J3563" t="s">
        <v>174</v>
      </c>
      <c r="K3563">
        <v>0</v>
      </c>
      <c r="L3563" t="s">
        <v>442</v>
      </c>
      <c r="M3563" t="s">
        <v>9154</v>
      </c>
      <c r="N3563" t="s">
        <v>9155</v>
      </c>
      <c r="O3563" t="s">
        <v>9156</v>
      </c>
      <c r="P3563" t="s">
        <v>9157</v>
      </c>
    </row>
    <row r="3564" spans="1:16" x14ac:dyDescent="0.35">
      <c r="A3564" t="s">
        <v>108</v>
      </c>
      <c r="B3564">
        <v>1324725688</v>
      </c>
      <c r="C3564" t="s">
        <v>18</v>
      </c>
      <c r="D3564" t="s">
        <v>21</v>
      </c>
      <c r="E3564" s="29">
        <v>46205</v>
      </c>
      <c r="F3564" t="s">
        <v>4</v>
      </c>
      <c r="G3564" s="28">
        <v>0.47361111111111109</v>
      </c>
      <c r="H3564" s="28">
        <v>0.47361111111111109</v>
      </c>
      <c r="I3564">
        <v>0</v>
      </c>
      <c r="J3564" t="s">
        <v>174</v>
      </c>
      <c r="K3564">
        <v>0</v>
      </c>
      <c r="L3564" t="s">
        <v>9076</v>
      </c>
      <c r="M3564" t="s">
        <v>7243</v>
      </c>
      <c r="N3564" t="s">
        <v>9077</v>
      </c>
      <c r="O3564" t="s">
        <v>9078</v>
      </c>
      <c r="P3564" t="s">
        <v>9079</v>
      </c>
    </row>
    <row r="3565" spans="1:16" x14ac:dyDescent="0.35">
      <c r="A3565" t="s">
        <v>108</v>
      </c>
      <c r="B3565">
        <v>1324725688</v>
      </c>
      <c r="C3565" t="s">
        <v>18</v>
      </c>
      <c r="D3565" t="s">
        <v>21</v>
      </c>
      <c r="E3565" s="29">
        <v>46205</v>
      </c>
      <c r="F3565" t="s">
        <v>4</v>
      </c>
      <c r="G3565" s="28">
        <v>0.48055555555555557</v>
      </c>
      <c r="H3565" s="28">
        <v>0.48055555555555557</v>
      </c>
      <c r="I3565">
        <v>0</v>
      </c>
      <c r="J3565" t="s">
        <v>174</v>
      </c>
      <c r="K3565">
        <v>0</v>
      </c>
      <c r="L3565" t="s">
        <v>2128</v>
      </c>
      <c r="M3565" t="s">
        <v>9072</v>
      </c>
      <c r="N3565" t="s">
        <v>9073</v>
      </c>
      <c r="O3565" t="s">
        <v>9074</v>
      </c>
      <c r="P3565" t="s">
        <v>9075</v>
      </c>
    </row>
    <row r="3566" spans="1:16" x14ac:dyDescent="0.35">
      <c r="A3566" t="s">
        <v>108</v>
      </c>
      <c r="B3566">
        <v>1324725688</v>
      </c>
      <c r="C3566" t="s">
        <v>18</v>
      </c>
      <c r="D3566" t="s">
        <v>21</v>
      </c>
      <c r="E3566" s="29">
        <v>46205</v>
      </c>
      <c r="F3566" t="s">
        <v>4</v>
      </c>
      <c r="G3566" s="28">
        <v>0.48749999999999999</v>
      </c>
      <c r="H3566" s="28">
        <v>0.50138888888888888</v>
      </c>
      <c r="I3566">
        <v>0</v>
      </c>
      <c r="J3566" t="s">
        <v>146</v>
      </c>
      <c r="K3566">
        <v>1</v>
      </c>
      <c r="L3566" t="s">
        <v>147</v>
      </c>
      <c r="M3566" t="s">
        <v>7308</v>
      </c>
      <c r="N3566" t="s">
        <v>7309</v>
      </c>
      <c r="O3566" t="s">
        <v>7310</v>
      </c>
      <c r="P3566" t="s">
        <v>7311</v>
      </c>
    </row>
    <row r="3567" spans="1:16" x14ac:dyDescent="0.35">
      <c r="A3567" t="s">
        <v>108</v>
      </c>
      <c r="B3567">
        <v>1324725688</v>
      </c>
      <c r="C3567" t="s">
        <v>18</v>
      </c>
      <c r="D3567" t="s">
        <v>21</v>
      </c>
      <c r="E3567" s="29">
        <v>46205</v>
      </c>
      <c r="F3567" t="s">
        <v>4</v>
      </c>
      <c r="G3567" s="28">
        <v>0.5083333333333333</v>
      </c>
      <c r="H3567" s="28">
        <v>0.5083333333333333</v>
      </c>
      <c r="I3567">
        <v>0</v>
      </c>
      <c r="J3567" t="s">
        <v>174</v>
      </c>
      <c r="K3567">
        <v>0</v>
      </c>
      <c r="L3567" t="s">
        <v>5774</v>
      </c>
      <c r="M3567" t="s">
        <v>7304</v>
      </c>
      <c r="N3567" t="s">
        <v>7305</v>
      </c>
      <c r="O3567" t="s">
        <v>7306</v>
      </c>
      <c r="P3567" t="s">
        <v>7307</v>
      </c>
    </row>
    <row r="3568" spans="1:16" x14ac:dyDescent="0.35">
      <c r="A3568" t="s">
        <v>108</v>
      </c>
      <c r="B3568">
        <v>1324725688</v>
      </c>
      <c r="C3568" t="s">
        <v>18</v>
      </c>
      <c r="D3568" t="s">
        <v>21</v>
      </c>
      <c r="E3568" s="29">
        <v>46205</v>
      </c>
      <c r="F3568" t="s">
        <v>4</v>
      </c>
      <c r="G3568" s="28">
        <v>0.51527777777777772</v>
      </c>
      <c r="H3568" s="28">
        <v>0.53611111111111109</v>
      </c>
      <c r="I3568">
        <v>1</v>
      </c>
      <c r="J3568" t="s">
        <v>146</v>
      </c>
      <c r="K3568">
        <v>2</v>
      </c>
      <c r="L3568" t="s">
        <v>147</v>
      </c>
      <c r="M3568" t="s">
        <v>7308</v>
      </c>
      <c r="N3568" t="s">
        <v>7309</v>
      </c>
      <c r="O3568" t="s">
        <v>7310</v>
      </c>
      <c r="P3568" t="s">
        <v>7311</v>
      </c>
    </row>
    <row r="3569" spans="1:16" x14ac:dyDescent="0.35">
      <c r="A3569" t="s">
        <v>108</v>
      </c>
      <c r="B3569">
        <v>1324725688</v>
      </c>
      <c r="C3569" t="s">
        <v>18</v>
      </c>
      <c r="D3569" t="s">
        <v>21</v>
      </c>
      <c r="E3569" s="29">
        <v>46205</v>
      </c>
      <c r="F3569" t="s">
        <v>4</v>
      </c>
      <c r="G3569" s="28">
        <v>0.54305555555555551</v>
      </c>
      <c r="H3569" s="28">
        <v>0.54305555555555551</v>
      </c>
      <c r="I3569">
        <v>0</v>
      </c>
      <c r="J3569" t="s">
        <v>174</v>
      </c>
      <c r="K3569">
        <v>0</v>
      </c>
      <c r="L3569" t="s">
        <v>5774</v>
      </c>
      <c r="M3569" t="s">
        <v>7304</v>
      </c>
      <c r="N3569" t="s">
        <v>7305</v>
      </c>
      <c r="O3569" t="s">
        <v>7306</v>
      </c>
      <c r="P3569" t="s">
        <v>7307</v>
      </c>
    </row>
    <row r="3570" spans="1:16" x14ac:dyDescent="0.35">
      <c r="A3570" t="s">
        <v>108</v>
      </c>
      <c r="B3570">
        <v>1324725688</v>
      </c>
      <c r="C3570" t="s">
        <v>18</v>
      </c>
      <c r="D3570" t="s">
        <v>21</v>
      </c>
      <c r="E3570" s="29">
        <v>46205</v>
      </c>
      <c r="F3570" t="s">
        <v>4</v>
      </c>
      <c r="G3570" s="28">
        <v>0.55000000000000004</v>
      </c>
      <c r="H3570" s="28">
        <v>0.55694444444444446</v>
      </c>
      <c r="I3570">
        <v>0</v>
      </c>
      <c r="J3570" t="s">
        <v>146</v>
      </c>
      <c r="K3570">
        <v>0</v>
      </c>
      <c r="L3570" t="s">
        <v>147</v>
      </c>
      <c r="M3570" t="s">
        <v>7308</v>
      </c>
      <c r="N3570" t="s">
        <v>7309</v>
      </c>
      <c r="O3570" t="s">
        <v>7310</v>
      </c>
      <c r="P3570" t="s">
        <v>7311</v>
      </c>
    </row>
    <row r="3571" spans="1:16" x14ac:dyDescent="0.35">
      <c r="A3571" t="s">
        <v>108</v>
      </c>
      <c r="B3571">
        <v>1324725688</v>
      </c>
      <c r="C3571" t="s">
        <v>18</v>
      </c>
      <c r="D3571" t="s">
        <v>21</v>
      </c>
      <c r="E3571" s="29">
        <v>46205</v>
      </c>
      <c r="F3571" t="s">
        <v>4</v>
      </c>
      <c r="G3571" s="28">
        <v>0.56388888888888888</v>
      </c>
      <c r="H3571" s="28">
        <v>0.5708333333333333</v>
      </c>
      <c r="I3571">
        <v>0</v>
      </c>
      <c r="J3571" t="s">
        <v>146</v>
      </c>
      <c r="K3571">
        <v>0</v>
      </c>
      <c r="L3571" t="s">
        <v>147</v>
      </c>
      <c r="M3571" t="s">
        <v>7304</v>
      </c>
      <c r="N3571" t="s">
        <v>7305</v>
      </c>
      <c r="O3571" t="s">
        <v>7306</v>
      </c>
      <c r="P3571" t="s">
        <v>7307</v>
      </c>
    </row>
    <row r="3572" spans="1:16" x14ac:dyDescent="0.35">
      <c r="A3572" t="s">
        <v>108</v>
      </c>
      <c r="B3572">
        <v>1324725688</v>
      </c>
      <c r="C3572" t="s">
        <v>18</v>
      </c>
      <c r="D3572" t="s">
        <v>21</v>
      </c>
      <c r="E3572" s="29">
        <v>46205</v>
      </c>
      <c r="F3572" t="s">
        <v>4</v>
      </c>
      <c r="G3572" s="28">
        <v>0.57777777777777772</v>
      </c>
      <c r="H3572" s="28">
        <v>0.58472222222222225</v>
      </c>
      <c r="I3572">
        <v>0</v>
      </c>
      <c r="J3572" t="s">
        <v>146</v>
      </c>
      <c r="K3572">
        <v>1</v>
      </c>
      <c r="L3572" t="s">
        <v>147</v>
      </c>
      <c r="M3572" t="s">
        <v>7308</v>
      </c>
      <c r="N3572" t="s">
        <v>7309</v>
      </c>
      <c r="O3572" t="s">
        <v>7310</v>
      </c>
      <c r="P3572" t="s">
        <v>7311</v>
      </c>
    </row>
    <row r="3573" spans="1:16" x14ac:dyDescent="0.35">
      <c r="A3573" t="s">
        <v>108</v>
      </c>
      <c r="B3573">
        <v>1324725688</v>
      </c>
      <c r="C3573" t="s">
        <v>18</v>
      </c>
      <c r="D3573" t="s">
        <v>21</v>
      </c>
      <c r="E3573" s="29">
        <v>46205</v>
      </c>
      <c r="F3573" t="s">
        <v>4</v>
      </c>
      <c r="G3573" s="28">
        <v>0.59166666666666667</v>
      </c>
      <c r="H3573" s="28">
        <v>0.64027777777777772</v>
      </c>
      <c r="I3573">
        <v>1</v>
      </c>
      <c r="J3573" t="s">
        <v>146</v>
      </c>
      <c r="K3573">
        <v>4</v>
      </c>
      <c r="L3573" t="s">
        <v>147</v>
      </c>
      <c r="M3573" t="s">
        <v>9158</v>
      </c>
      <c r="N3573" t="s">
        <v>7279</v>
      </c>
      <c r="O3573" t="s">
        <v>7280</v>
      </c>
      <c r="P3573" t="s">
        <v>7281</v>
      </c>
    </row>
    <row r="3574" spans="1:16" x14ac:dyDescent="0.35">
      <c r="A3574" t="s">
        <v>108</v>
      </c>
      <c r="B3574">
        <v>1324725688</v>
      </c>
      <c r="C3574" t="s">
        <v>18</v>
      </c>
      <c r="D3574" t="s">
        <v>21</v>
      </c>
      <c r="E3574" s="29">
        <v>46205</v>
      </c>
      <c r="F3574" t="s">
        <v>4</v>
      </c>
      <c r="G3574" s="28">
        <v>0.64722222222222225</v>
      </c>
      <c r="H3574" s="28">
        <v>0.65416666666666667</v>
      </c>
      <c r="I3574">
        <v>0</v>
      </c>
      <c r="J3574" t="s">
        <v>146</v>
      </c>
      <c r="K3574">
        <v>0</v>
      </c>
      <c r="L3574" t="s">
        <v>147</v>
      </c>
      <c r="M3574" t="s">
        <v>9159</v>
      </c>
      <c r="N3574" t="s">
        <v>9160</v>
      </c>
      <c r="O3574" t="s">
        <v>9161</v>
      </c>
      <c r="P3574" t="s">
        <v>9162</v>
      </c>
    </row>
    <row r="3575" spans="1:16" x14ac:dyDescent="0.35">
      <c r="A3575" t="s">
        <v>108</v>
      </c>
      <c r="B3575">
        <v>1324725688</v>
      </c>
      <c r="C3575" t="s">
        <v>18</v>
      </c>
      <c r="D3575" t="s">
        <v>21</v>
      </c>
      <c r="E3575" s="29">
        <v>46205</v>
      </c>
      <c r="F3575" t="s">
        <v>4</v>
      </c>
      <c r="G3575" s="28">
        <v>0.66111111111111109</v>
      </c>
      <c r="H3575" s="28">
        <v>0.66111111111111109</v>
      </c>
      <c r="I3575">
        <v>0</v>
      </c>
      <c r="J3575" t="s">
        <v>174</v>
      </c>
      <c r="K3575">
        <v>0</v>
      </c>
      <c r="L3575" t="s">
        <v>9163</v>
      </c>
      <c r="M3575" t="s">
        <v>9158</v>
      </c>
      <c r="N3575" t="s">
        <v>7279</v>
      </c>
      <c r="O3575" t="s">
        <v>7280</v>
      </c>
      <c r="P3575" t="s">
        <v>7281</v>
      </c>
    </row>
    <row r="3576" spans="1:16" x14ac:dyDescent="0.35">
      <c r="A3576" t="s">
        <v>108</v>
      </c>
      <c r="B3576">
        <v>1324725688</v>
      </c>
      <c r="C3576" t="s">
        <v>18</v>
      </c>
      <c r="D3576" t="s">
        <v>21</v>
      </c>
      <c r="E3576" s="29">
        <v>46205</v>
      </c>
      <c r="F3576" t="s">
        <v>4</v>
      </c>
      <c r="G3576" s="28">
        <v>0.66805555555555551</v>
      </c>
      <c r="H3576" s="28">
        <v>0.73750000000000004</v>
      </c>
      <c r="I3576">
        <v>2</v>
      </c>
      <c r="J3576" t="s">
        <v>146</v>
      </c>
      <c r="K3576">
        <v>5</v>
      </c>
      <c r="L3576" t="s">
        <v>147</v>
      </c>
      <c r="M3576" t="s">
        <v>9164</v>
      </c>
      <c r="N3576" t="s">
        <v>9165</v>
      </c>
      <c r="O3576" t="s">
        <v>9166</v>
      </c>
      <c r="P3576" t="s">
        <v>9167</v>
      </c>
    </row>
    <row r="3577" spans="1:16" x14ac:dyDescent="0.35">
      <c r="A3577" t="s">
        <v>108</v>
      </c>
      <c r="B3577">
        <v>1324725688</v>
      </c>
      <c r="C3577" t="s">
        <v>18</v>
      </c>
      <c r="D3577" t="s">
        <v>21</v>
      </c>
      <c r="E3577" s="29">
        <v>46205</v>
      </c>
      <c r="F3577" t="s">
        <v>4</v>
      </c>
      <c r="G3577" s="28">
        <v>0.74444444444444446</v>
      </c>
      <c r="H3577" s="28">
        <v>0.74444444444444446</v>
      </c>
      <c r="I3577">
        <v>0</v>
      </c>
      <c r="J3577" t="s">
        <v>174</v>
      </c>
      <c r="K3577">
        <v>0</v>
      </c>
      <c r="L3577" t="s">
        <v>9168</v>
      </c>
      <c r="M3577" t="s">
        <v>9169</v>
      </c>
      <c r="N3577" t="s">
        <v>9170</v>
      </c>
      <c r="O3577" t="s">
        <v>9171</v>
      </c>
      <c r="P3577" t="s">
        <v>9172</v>
      </c>
    </row>
    <row r="3578" spans="1:16" x14ac:dyDescent="0.35">
      <c r="A3578" t="s">
        <v>108</v>
      </c>
      <c r="B3578">
        <v>1324725688</v>
      </c>
      <c r="C3578" t="s">
        <v>18</v>
      </c>
      <c r="D3578" t="s">
        <v>21</v>
      </c>
      <c r="E3578" s="29">
        <v>46205</v>
      </c>
      <c r="F3578" t="s">
        <v>4</v>
      </c>
      <c r="G3578" s="28">
        <v>0.75138888888888888</v>
      </c>
      <c r="H3578" s="28">
        <v>0.75138888888888888</v>
      </c>
      <c r="I3578">
        <v>0</v>
      </c>
      <c r="J3578" t="s">
        <v>174</v>
      </c>
      <c r="K3578">
        <v>0</v>
      </c>
      <c r="L3578" t="s">
        <v>213</v>
      </c>
      <c r="M3578" t="s">
        <v>9173</v>
      </c>
      <c r="N3578" t="s">
        <v>9174</v>
      </c>
      <c r="O3578" t="s">
        <v>9175</v>
      </c>
      <c r="P3578" t="s">
        <v>9176</v>
      </c>
    </row>
    <row r="3579" spans="1:16" x14ac:dyDescent="0.35">
      <c r="A3579" t="s">
        <v>108</v>
      </c>
      <c r="B3579">
        <v>1324725688</v>
      </c>
      <c r="C3579" t="s">
        <v>18</v>
      </c>
      <c r="D3579" t="s">
        <v>21</v>
      </c>
      <c r="E3579" s="29">
        <v>46205</v>
      </c>
      <c r="F3579" t="s">
        <v>4</v>
      </c>
      <c r="G3579" s="28">
        <v>0.7583333333333333</v>
      </c>
      <c r="H3579" s="28">
        <v>0.81388888888888888</v>
      </c>
      <c r="I3579">
        <v>1</v>
      </c>
      <c r="J3579" t="s">
        <v>146</v>
      </c>
      <c r="K3579">
        <v>4</v>
      </c>
      <c r="L3579" t="s">
        <v>147</v>
      </c>
      <c r="M3579" t="s">
        <v>7304</v>
      </c>
      <c r="N3579" t="s">
        <v>7305</v>
      </c>
      <c r="O3579" t="s">
        <v>7306</v>
      </c>
      <c r="P3579" t="s">
        <v>7307</v>
      </c>
    </row>
    <row r="3580" spans="1:16" x14ac:dyDescent="0.35">
      <c r="A3580" t="s">
        <v>108</v>
      </c>
      <c r="B3580">
        <v>1324725688</v>
      </c>
      <c r="C3580" t="s">
        <v>18</v>
      </c>
      <c r="D3580" t="s">
        <v>21</v>
      </c>
      <c r="E3580" s="29">
        <v>46207</v>
      </c>
      <c r="F3580" t="s">
        <v>5</v>
      </c>
      <c r="G3580" s="28">
        <v>0.37638888888888888</v>
      </c>
      <c r="H3580" s="28">
        <v>0.37638888888888888</v>
      </c>
      <c r="I3580">
        <v>0</v>
      </c>
      <c r="J3580" t="s">
        <v>174</v>
      </c>
      <c r="K3580">
        <v>0</v>
      </c>
      <c r="L3580" t="s">
        <v>213</v>
      </c>
      <c r="M3580" t="s">
        <v>9173</v>
      </c>
      <c r="N3580" t="s">
        <v>9174</v>
      </c>
      <c r="O3580" t="s">
        <v>9175</v>
      </c>
      <c r="P3580" t="s">
        <v>9176</v>
      </c>
    </row>
    <row r="3581" spans="1:16" x14ac:dyDescent="0.35">
      <c r="A3581" t="s">
        <v>108</v>
      </c>
      <c r="B3581">
        <v>1324725688</v>
      </c>
      <c r="C3581" t="s">
        <v>18</v>
      </c>
      <c r="D3581" t="s">
        <v>21</v>
      </c>
      <c r="E3581" s="29">
        <v>46207</v>
      </c>
      <c r="F3581" t="s">
        <v>5</v>
      </c>
      <c r="G3581" s="28">
        <v>0.3972222222222222</v>
      </c>
      <c r="H3581" s="28">
        <v>0.45277777777777778</v>
      </c>
      <c r="I3581">
        <v>1</v>
      </c>
      <c r="J3581" t="s">
        <v>146</v>
      </c>
      <c r="K3581">
        <v>4</v>
      </c>
      <c r="L3581" t="s">
        <v>147</v>
      </c>
      <c r="M3581" t="s">
        <v>7304</v>
      </c>
      <c r="N3581" t="s">
        <v>7305</v>
      </c>
      <c r="O3581" t="s">
        <v>7306</v>
      </c>
      <c r="P3581" t="s">
        <v>7307</v>
      </c>
    </row>
    <row r="3582" spans="1:16" x14ac:dyDescent="0.35">
      <c r="A3582" t="s">
        <v>108</v>
      </c>
      <c r="B3582">
        <v>1324725688</v>
      </c>
      <c r="C3582" t="s">
        <v>18</v>
      </c>
      <c r="D3582" t="s">
        <v>21</v>
      </c>
      <c r="E3582" s="29">
        <v>46207</v>
      </c>
      <c r="F3582" t="s">
        <v>5</v>
      </c>
      <c r="G3582" s="28">
        <v>0.4597222222222222</v>
      </c>
      <c r="H3582" s="28">
        <v>0.4597222222222222</v>
      </c>
      <c r="I3582">
        <v>0</v>
      </c>
      <c r="J3582" t="s">
        <v>174</v>
      </c>
      <c r="K3582">
        <v>0</v>
      </c>
      <c r="L3582" t="s">
        <v>5774</v>
      </c>
      <c r="M3582" t="s">
        <v>7308</v>
      </c>
      <c r="N3582" t="s">
        <v>7309</v>
      </c>
      <c r="O3582" t="s">
        <v>7310</v>
      </c>
      <c r="P3582" t="s">
        <v>7311</v>
      </c>
    </row>
    <row r="3583" spans="1:16" x14ac:dyDescent="0.35">
      <c r="A3583" t="s">
        <v>108</v>
      </c>
      <c r="B3583">
        <v>1324725688</v>
      </c>
      <c r="C3583" t="s">
        <v>18</v>
      </c>
      <c r="D3583" t="s">
        <v>21</v>
      </c>
      <c r="E3583" s="29">
        <v>46207</v>
      </c>
      <c r="F3583" t="s">
        <v>5</v>
      </c>
      <c r="G3583" s="28">
        <v>0.46666666666666667</v>
      </c>
      <c r="H3583" s="28">
        <v>0.47361111111111109</v>
      </c>
      <c r="I3583">
        <v>0</v>
      </c>
      <c r="J3583" t="s">
        <v>146</v>
      </c>
      <c r="K3583">
        <v>0</v>
      </c>
      <c r="L3583" t="s">
        <v>147</v>
      </c>
      <c r="M3583" t="s">
        <v>7304</v>
      </c>
      <c r="N3583" t="s">
        <v>7305</v>
      </c>
      <c r="O3583" t="s">
        <v>7306</v>
      </c>
      <c r="P3583" t="s">
        <v>7307</v>
      </c>
    </row>
    <row r="3584" spans="1:16" x14ac:dyDescent="0.35">
      <c r="A3584" t="s">
        <v>108</v>
      </c>
      <c r="B3584">
        <v>1324725688</v>
      </c>
      <c r="C3584" t="s">
        <v>18</v>
      </c>
      <c r="D3584" t="s">
        <v>21</v>
      </c>
      <c r="E3584" s="29">
        <v>46207</v>
      </c>
      <c r="F3584" t="s">
        <v>5</v>
      </c>
      <c r="G3584" s="28">
        <v>0.48055555555555557</v>
      </c>
      <c r="H3584" s="28">
        <v>0.49444444444444446</v>
      </c>
      <c r="I3584">
        <v>0</v>
      </c>
      <c r="J3584" t="s">
        <v>146</v>
      </c>
      <c r="K3584">
        <v>1</v>
      </c>
      <c r="L3584" t="s">
        <v>147</v>
      </c>
      <c r="M3584" t="s">
        <v>7308</v>
      </c>
      <c r="N3584" t="s">
        <v>7309</v>
      </c>
      <c r="O3584" t="s">
        <v>7310</v>
      </c>
      <c r="P3584" t="s">
        <v>7311</v>
      </c>
    </row>
    <row r="3585" spans="1:16" x14ac:dyDescent="0.35">
      <c r="A3585" t="s">
        <v>108</v>
      </c>
      <c r="B3585">
        <v>1324725688</v>
      </c>
      <c r="C3585" t="s">
        <v>18</v>
      </c>
      <c r="D3585" t="s">
        <v>21</v>
      </c>
      <c r="E3585" s="29">
        <v>46207</v>
      </c>
      <c r="F3585" t="s">
        <v>5</v>
      </c>
      <c r="G3585" s="28">
        <v>0.50138888888888888</v>
      </c>
      <c r="H3585" s="28">
        <v>0.50138888888888888</v>
      </c>
      <c r="I3585">
        <v>0</v>
      </c>
      <c r="J3585" t="s">
        <v>174</v>
      </c>
      <c r="K3585">
        <v>0</v>
      </c>
      <c r="L3585" t="s">
        <v>5774</v>
      </c>
      <c r="M3585" t="s">
        <v>7304</v>
      </c>
      <c r="N3585" t="s">
        <v>7305</v>
      </c>
      <c r="O3585" t="s">
        <v>7306</v>
      </c>
      <c r="P3585" t="s">
        <v>7307</v>
      </c>
    </row>
    <row r="3586" spans="1:16" x14ac:dyDescent="0.35">
      <c r="A3586" t="s">
        <v>108</v>
      </c>
      <c r="B3586">
        <v>1324725688</v>
      </c>
      <c r="C3586" t="s">
        <v>18</v>
      </c>
      <c r="D3586" t="s">
        <v>21</v>
      </c>
      <c r="E3586" s="29">
        <v>46207</v>
      </c>
      <c r="F3586" t="s">
        <v>5</v>
      </c>
      <c r="G3586" s="28">
        <v>0.5083333333333333</v>
      </c>
      <c r="H3586" s="28">
        <v>0.52638888888888891</v>
      </c>
      <c r="I3586">
        <v>0</v>
      </c>
      <c r="J3586" t="s">
        <v>146</v>
      </c>
      <c r="K3586">
        <v>1</v>
      </c>
      <c r="L3586" t="s">
        <v>147</v>
      </c>
      <c r="M3586" t="s">
        <v>7308</v>
      </c>
      <c r="N3586" t="s">
        <v>7309</v>
      </c>
      <c r="O3586" t="s">
        <v>7310</v>
      </c>
      <c r="P3586" t="s">
        <v>7311</v>
      </c>
    </row>
    <row r="3587" spans="1:16" x14ac:dyDescent="0.35">
      <c r="A3587" t="s">
        <v>108</v>
      </c>
      <c r="B3587">
        <v>1324725688</v>
      </c>
      <c r="C3587" t="s">
        <v>18</v>
      </c>
      <c r="D3587" t="s">
        <v>21</v>
      </c>
      <c r="E3587" s="29">
        <v>46207</v>
      </c>
      <c r="F3587" t="s">
        <v>5</v>
      </c>
      <c r="G3587" s="28">
        <v>0.53611111111111109</v>
      </c>
      <c r="H3587" s="28">
        <v>0.53611111111111109</v>
      </c>
      <c r="I3587">
        <v>0</v>
      </c>
      <c r="J3587" t="s">
        <v>174</v>
      </c>
      <c r="K3587">
        <v>0</v>
      </c>
      <c r="L3587" t="s">
        <v>5774</v>
      </c>
      <c r="M3587" t="s">
        <v>7304</v>
      </c>
      <c r="N3587" t="s">
        <v>7305</v>
      </c>
      <c r="O3587" t="s">
        <v>7306</v>
      </c>
      <c r="P3587" t="s">
        <v>7307</v>
      </c>
    </row>
    <row r="3588" spans="1:16" x14ac:dyDescent="0.35">
      <c r="A3588" t="s">
        <v>108</v>
      </c>
      <c r="B3588">
        <v>1324725688</v>
      </c>
      <c r="C3588" t="s">
        <v>18</v>
      </c>
      <c r="D3588" t="s">
        <v>21</v>
      </c>
      <c r="E3588" s="29">
        <v>46207</v>
      </c>
      <c r="F3588" t="s">
        <v>5</v>
      </c>
      <c r="G3588" s="28">
        <v>0.54097222222222219</v>
      </c>
      <c r="H3588" s="28">
        <v>0.55000000000000004</v>
      </c>
      <c r="I3588">
        <v>0</v>
      </c>
      <c r="J3588" t="s">
        <v>146</v>
      </c>
      <c r="K3588">
        <v>1</v>
      </c>
      <c r="L3588" t="s">
        <v>147</v>
      </c>
      <c r="M3588" t="s">
        <v>7308</v>
      </c>
      <c r="N3588" t="s">
        <v>7309</v>
      </c>
      <c r="O3588" t="s">
        <v>7310</v>
      </c>
      <c r="P3588" t="s">
        <v>7311</v>
      </c>
    </row>
    <row r="3589" spans="1:16" x14ac:dyDescent="0.35">
      <c r="A3589" t="s">
        <v>108</v>
      </c>
      <c r="B3589">
        <v>1324725688</v>
      </c>
      <c r="C3589" t="s">
        <v>18</v>
      </c>
      <c r="D3589" t="s">
        <v>21</v>
      </c>
      <c r="E3589" s="29">
        <v>46207</v>
      </c>
      <c r="F3589" t="s">
        <v>5</v>
      </c>
      <c r="G3589" s="28">
        <v>0.55694444444444446</v>
      </c>
      <c r="H3589" s="28">
        <v>0.5708333333333333</v>
      </c>
      <c r="I3589">
        <v>0</v>
      </c>
      <c r="J3589" t="s">
        <v>146</v>
      </c>
      <c r="K3589">
        <v>1</v>
      </c>
      <c r="L3589" t="s">
        <v>147</v>
      </c>
      <c r="M3589" t="s">
        <v>7304</v>
      </c>
      <c r="N3589" t="s">
        <v>7305</v>
      </c>
      <c r="O3589" t="s">
        <v>7306</v>
      </c>
      <c r="P3589" t="s">
        <v>7307</v>
      </c>
    </row>
    <row r="3590" spans="1:16" x14ac:dyDescent="0.35">
      <c r="A3590" t="s">
        <v>108</v>
      </c>
      <c r="B3590">
        <v>1324725688</v>
      </c>
      <c r="C3590" t="s">
        <v>18</v>
      </c>
      <c r="D3590" t="s">
        <v>21</v>
      </c>
      <c r="E3590" s="29">
        <v>46207</v>
      </c>
      <c r="F3590" t="s">
        <v>5</v>
      </c>
      <c r="G3590" s="28">
        <v>0.57777777777777772</v>
      </c>
      <c r="H3590" s="28">
        <v>0.57777777777777772</v>
      </c>
      <c r="I3590">
        <v>0</v>
      </c>
      <c r="J3590" t="s">
        <v>174</v>
      </c>
      <c r="K3590">
        <v>0</v>
      </c>
      <c r="L3590" t="s">
        <v>9177</v>
      </c>
      <c r="M3590" t="s">
        <v>9178</v>
      </c>
      <c r="N3590" t="s">
        <v>9179</v>
      </c>
      <c r="O3590" t="s">
        <v>9180</v>
      </c>
      <c r="P3590" t="s">
        <v>9181</v>
      </c>
    </row>
    <row r="3591" spans="1:16" x14ac:dyDescent="0.35">
      <c r="A3591" t="s">
        <v>108</v>
      </c>
      <c r="B3591">
        <v>1324725688</v>
      </c>
      <c r="C3591" t="s">
        <v>18</v>
      </c>
      <c r="D3591" t="s">
        <v>21</v>
      </c>
      <c r="E3591" s="29">
        <v>46207</v>
      </c>
      <c r="F3591" t="s">
        <v>5</v>
      </c>
      <c r="G3591" s="28">
        <v>0.58472222222222225</v>
      </c>
      <c r="H3591" s="28">
        <v>0.6333333333333333</v>
      </c>
      <c r="I3591">
        <v>1</v>
      </c>
      <c r="J3591" t="s">
        <v>146</v>
      </c>
      <c r="K3591">
        <v>4</v>
      </c>
      <c r="L3591" t="s">
        <v>147</v>
      </c>
      <c r="M3591" t="s">
        <v>9182</v>
      </c>
      <c r="N3591" t="s">
        <v>9183</v>
      </c>
      <c r="O3591" t="s">
        <v>9184</v>
      </c>
      <c r="P3591" t="s">
        <v>9185</v>
      </c>
    </row>
    <row r="3592" spans="1:16" x14ac:dyDescent="0.35">
      <c r="A3592" t="s">
        <v>108</v>
      </c>
      <c r="B3592">
        <v>1324725688</v>
      </c>
      <c r="C3592" t="s">
        <v>18</v>
      </c>
      <c r="D3592" t="s">
        <v>21</v>
      </c>
      <c r="E3592" s="29">
        <v>46207</v>
      </c>
      <c r="F3592" t="s">
        <v>5</v>
      </c>
      <c r="G3592" s="28">
        <v>0.64027777777777772</v>
      </c>
      <c r="H3592" s="28">
        <v>0.64722222222222225</v>
      </c>
      <c r="I3592">
        <v>0</v>
      </c>
      <c r="J3592" t="s">
        <v>146</v>
      </c>
      <c r="K3592">
        <v>1</v>
      </c>
      <c r="L3592" t="s">
        <v>147</v>
      </c>
      <c r="M3592" t="s">
        <v>9158</v>
      </c>
      <c r="N3592" t="s">
        <v>7279</v>
      </c>
      <c r="O3592" t="s">
        <v>7280</v>
      </c>
      <c r="P3592" t="s">
        <v>7281</v>
      </c>
    </row>
    <row r="3593" spans="1:16" x14ac:dyDescent="0.35">
      <c r="A3593" t="s">
        <v>108</v>
      </c>
      <c r="B3593">
        <v>1324725688</v>
      </c>
      <c r="C3593" t="s">
        <v>18</v>
      </c>
      <c r="D3593" t="s">
        <v>21</v>
      </c>
      <c r="E3593" s="29">
        <v>46207</v>
      </c>
      <c r="F3593" t="s">
        <v>5</v>
      </c>
      <c r="G3593" s="28">
        <v>0.65416666666666667</v>
      </c>
      <c r="H3593" s="28">
        <v>0.65416666666666667</v>
      </c>
      <c r="I3593">
        <v>0</v>
      </c>
      <c r="J3593" t="s">
        <v>174</v>
      </c>
      <c r="K3593">
        <v>0</v>
      </c>
      <c r="L3593" t="s">
        <v>509</v>
      </c>
      <c r="M3593" t="s">
        <v>9164</v>
      </c>
      <c r="N3593" t="s">
        <v>9165</v>
      </c>
      <c r="O3593" t="s">
        <v>9166</v>
      </c>
      <c r="P3593" t="s">
        <v>9167</v>
      </c>
    </row>
    <row r="3594" spans="1:16" x14ac:dyDescent="0.35">
      <c r="A3594" t="s">
        <v>108</v>
      </c>
      <c r="B3594">
        <v>1324725688</v>
      </c>
      <c r="C3594" t="s">
        <v>18</v>
      </c>
      <c r="D3594" t="s">
        <v>21</v>
      </c>
      <c r="E3594" s="29">
        <v>46207</v>
      </c>
      <c r="F3594" t="s">
        <v>5</v>
      </c>
      <c r="G3594" s="28">
        <v>0.66111111111111109</v>
      </c>
      <c r="H3594" s="28">
        <v>0.68194444444444446</v>
      </c>
      <c r="I3594">
        <v>1</v>
      </c>
      <c r="J3594" t="s">
        <v>146</v>
      </c>
      <c r="K3594">
        <v>2</v>
      </c>
      <c r="L3594" t="s">
        <v>147</v>
      </c>
      <c r="M3594" t="s">
        <v>9186</v>
      </c>
      <c r="N3594" t="s">
        <v>9187</v>
      </c>
      <c r="O3594" t="s">
        <v>9188</v>
      </c>
      <c r="P3594" t="s">
        <v>9189</v>
      </c>
    </row>
    <row r="3595" spans="1:16" x14ac:dyDescent="0.35">
      <c r="A3595" t="s">
        <v>108</v>
      </c>
      <c r="B3595">
        <v>1324725688</v>
      </c>
      <c r="C3595" t="s">
        <v>18</v>
      </c>
      <c r="D3595" t="s">
        <v>21</v>
      </c>
      <c r="E3595" s="29">
        <v>46207</v>
      </c>
      <c r="F3595" t="s">
        <v>5</v>
      </c>
      <c r="G3595" s="28">
        <v>0.68888888888888888</v>
      </c>
      <c r="H3595" s="28">
        <v>0.71666666666666667</v>
      </c>
      <c r="I3595">
        <v>1</v>
      </c>
      <c r="J3595" t="s">
        <v>146</v>
      </c>
      <c r="K3595">
        <v>2</v>
      </c>
      <c r="L3595" t="s">
        <v>147</v>
      </c>
      <c r="M3595" t="s">
        <v>9164</v>
      </c>
      <c r="N3595" t="s">
        <v>9165</v>
      </c>
      <c r="O3595" t="s">
        <v>9166</v>
      </c>
      <c r="P3595" t="s">
        <v>9167</v>
      </c>
    </row>
    <row r="3596" spans="1:16" x14ac:dyDescent="0.35">
      <c r="A3596" t="s">
        <v>108</v>
      </c>
      <c r="B3596">
        <v>1324725688</v>
      </c>
      <c r="C3596" t="s">
        <v>18</v>
      </c>
      <c r="D3596" t="s">
        <v>21</v>
      </c>
      <c r="E3596" s="29">
        <v>46207</v>
      </c>
      <c r="F3596" t="s">
        <v>5</v>
      </c>
      <c r="G3596" s="28">
        <v>0.72361111111111109</v>
      </c>
      <c r="H3596" s="28">
        <v>0.72361111111111109</v>
      </c>
      <c r="I3596">
        <v>0</v>
      </c>
      <c r="J3596" t="s">
        <v>174</v>
      </c>
      <c r="K3596">
        <v>0</v>
      </c>
      <c r="L3596" t="s">
        <v>9190</v>
      </c>
      <c r="M3596" t="s">
        <v>9173</v>
      </c>
      <c r="N3596" t="s">
        <v>9174</v>
      </c>
      <c r="O3596" t="s">
        <v>9175</v>
      </c>
      <c r="P3596" t="s">
        <v>9176</v>
      </c>
    </row>
    <row r="3597" spans="1:16" x14ac:dyDescent="0.35">
      <c r="A3597" t="s">
        <v>108</v>
      </c>
      <c r="B3597">
        <v>1324725688</v>
      </c>
      <c r="C3597" t="s">
        <v>18</v>
      </c>
      <c r="D3597" t="s">
        <v>21</v>
      </c>
      <c r="E3597" s="29">
        <v>46207</v>
      </c>
      <c r="F3597" t="s">
        <v>5</v>
      </c>
      <c r="G3597" s="28">
        <v>0.73055555555555551</v>
      </c>
      <c r="H3597" s="28">
        <v>0.73055555555555551</v>
      </c>
      <c r="I3597">
        <v>0</v>
      </c>
      <c r="J3597" t="s">
        <v>174</v>
      </c>
      <c r="K3597">
        <v>0</v>
      </c>
      <c r="L3597" t="s">
        <v>9191</v>
      </c>
      <c r="M3597" t="s">
        <v>9192</v>
      </c>
      <c r="N3597" t="s">
        <v>9193</v>
      </c>
      <c r="O3597" t="s">
        <v>9194</v>
      </c>
      <c r="P3597" t="s">
        <v>9195</v>
      </c>
    </row>
    <row r="3598" spans="1:16" x14ac:dyDescent="0.35">
      <c r="A3598" t="s">
        <v>108</v>
      </c>
      <c r="B3598">
        <v>1324725688</v>
      </c>
      <c r="C3598" t="s">
        <v>18</v>
      </c>
      <c r="D3598" t="s">
        <v>21</v>
      </c>
      <c r="E3598" s="29">
        <v>46207</v>
      </c>
      <c r="F3598" t="s">
        <v>5</v>
      </c>
      <c r="G3598" s="28">
        <v>0.73750000000000004</v>
      </c>
      <c r="H3598" s="28">
        <v>0.73750000000000004</v>
      </c>
      <c r="I3598">
        <v>0</v>
      </c>
      <c r="J3598" t="s">
        <v>174</v>
      </c>
      <c r="K3598">
        <v>0</v>
      </c>
      <c r="L3598" t="s">
        <v>5774</v>
      </c>
      <c r="M3598" t="s">
        <v>7304</v>
      </c>
      <c r="N3598" t="s">
        <v>7305</v>
      </c>
      <c r="O3598" t="s">
        <v>7306</v>
      </c>
      <c r="P3598" t="s">
        <v>7307</v>
      </c>
    </row>
    <row r="3599" spans="1:16" x14ac:dyDescent="0.35">
      <c r="A3599" t="s">
        <v>108</v>
      </c>
      <c r="B3599">
        <v>1324725688</v>
      </c>
      <c r="C3599" t="s">
        <v>18</v>
      </c>
      <c r="D3599" t="s">
        <v>21</v>
      </c>
      <c r="E3599" s="29">
        <v>46207</v>
      </c>
      <c r="F3599" t="s">
        <v>5</v>
      </c>
      <c r="G3599" s="28">
        <v>0.74444444444444446</v>
      </c>
      <c r="H3599" s="28">
        <v>0.74444444444444446</v>
      </c>
      <c r="I3599">
        <v>0</v>
      </c>
      <c r="J3599" t="s">
        <v>174</v>
      </c>
      <c r="K3599">
        <v>0</v>
      </c>
      <c r="L3599" t="s">
        <v>5774</v>
      </c>
      <c r="M3599" t="s">
        <v>7308</v>
      </c>
      <c r="N3599" t="s">
        <v>7309</v>
      </c>
      <c r="O3599" t="s">
        <v>7310</v>
      </c>
      <c r="P3599" t="s">
        <v>7311</v>
      </c>
    </row>
    <row r="3600" spans="1:16" x14ac:dyDescent="0.35">
      <c r="A3600" t="s">
        <v>108</v>
      </c>
      <c r="B3600">
        <v>1324725688</v>
      </c>
      <c r="C3600" t="s">
        <v>18</v>
      </c>
      <c r="D3600" t="s">
        <v>21</v>
      </c>
      <c r="E3600" s="29">
        <v>46207</v>
      </c>
      <c r="F3600" t="s">
        <v>5</v>
      </c>
      <c r="G3600" s="28">
        <v>0.75138888888888888</v>
      </c>
      <c r="H3600" s="28">
        <v>0.76527777777777772</v>
      </c>
      <c r="I3600">
        <v>0</v>
      </c>
      <c r="J3600" t="s">
        <v>146</v>
      </c>
      <c r="K3600">
        <v>1</v>
      </c>
      <c r="L3600" t="s">
        <v>147</v>
      </c>
      <c r="M3600" t="s">
        <v>7304</v>
      </c>
      <c r="N3600" t="s">
        <v>7305</v>
      </c>
      <c r="O3600" t="s">
        <v>7306</v>
      </c>
      <c r="P3600" t="s">
        <v>7307</v>
      </c>
    </row>
    <row r="3601" spans="1:16" x14ac:dyDescent="0.35">
      <c r="A3601" t="s">
        <v>108</v>
      </c>
      <c r="B3601">
        <v>1324725688</v>
      </c>
      <c r="C3601" t="s">
        <v>18</v>
      </c>
      <c r="D3601" t="s">
        <v>21</v>
      </c>
      <c r="E3601" s="29">
        <v>46207</v>
      </c>
      <c r="F3601" t="s">
        <v>5</v>
      </c>
      <c r="G3601" s="28">
        <v>0.77222222222222225</v>
      </c>
      <c r="H3601" s="28">
        <v>0.79305555555555551</v>
      </c>
      <c r="I3601">
        <v>0</v>
      </c>
      <c r="J3601" t="s">
        <v>146</v>
      </c>
      <c r="K3601">
        <v>1</v>
      </c>
      <c r="L3601" t="s">
        <v>147</v>
      </c>
      <c r="M3601" t="s">
        <v>7308</v>
      </c>
      <c r="N3601" t="s">
        <v>7309</v>
      </c>
      <c r="O3601" t="s">
        <v>7310</v>
      </c>
      <c r="P3601" t="s">
        <v>7311</v>
      </c>
    </row>
    <row r="3602" spans="1:16" x14ac:dyDescent="0.35">
      <c r="A3602" t="s">
        <v>108</v>
      </c>
      <c r="B3602">
        <v>1324725688</v>
      </c>
      <c r="C3602" t="s">
        <v>18</v>
      </c>
      <c r="D3602" t="s">
        <v>21</v>
      </c>
      <c r="E3602" s="29">
        <v>46208</v>
      </c>
      <c r="F3602" t="s">
        <v>6</v>
      </c>
      <c r="G3602" s="28">
        <v>0.37638888888888888</v>
      </c>
      <c r="H3602" s="28">
        <v>0.37638888888888888</v>
      </c>
      <c r="I3602">
        <v>0</v>
      </c>
      <c r="J3602" t="s">
        <v>174</v>
      </c>
      <c r="K3602">
        <v>0</v>
      </c>
      <c r="L3602" t="s">
        <v>9196</v>
      </c>
      <c r="M3602" t="s">
        <v>9197</v>
      </c>
      <c r="N3602" t="s">
        <v>9198</v>
      </c>
      <c r="O3602" t="s">
        <v>9199</v>
      </c>
      <c r="P3602" t="s">
        <v>9200</v>
      </c>
    </row>
    <row r="3603" spans="1:16" x14ac:dyDescent="0.35">
      <c r="A3603" t="s">
        <v>108</v>
      </c>
      <c r="B3603">
        <v>1324725688</v>
      </c>
      <c r="C3603" t="s">
        <v>18</v>
      </c>
      <c r="D3603" t="s">
        <v>21</v>
      </c>
      <c r="E3603" s="29">
        <v>46208</v>
      </c>
      <c r="F3603" t="s">
        <v>6</v>
      </c>
      <c r="G3603" s="28">
        <v>0.38333333333333336</v>
      </c>
      <c r="H3603" s="28">
        <v>0.38333333333333336</v>
      </c>
      <c r="I3603">
        <v>0</v>
      </c>
      <c r="J3603" t="s">
        <v>174</v>
      </c>
      <c r="K3603">
        <v>0</v>
      </c>
      <c r="L3603" t="s">
        <v>9201</v>
      </c>
      <c r="M3603" t="s">
        <v>9202</v>
      </c>
      <c r="N3603" t="s">
        <v>9203</v>
      </c>
      <c r="O3603" t="s">
        <v>9204</v>
      </c>
      <c r="P3603" t="s">
        <v>9205</v>
      </c>
    </row>
    <row r="3604" spans="1:16" x14ac:dyDescent="0.35">
      <c r="A3604" t="s">
        <v>108</v>
      </c>
      <c r="B3604">
        <v>1324725688</v>
      </c>
      <c r="C3604" t="s">
        <v>18</v>
      </c>
      <c r="D3604" t="s">
        <v>21</v>
      </c>
      <c r="E3604" s="29">
        <v>46208</v>
      </c>
      <c r="F3604" t="s">
        <v>6</v>
      </c>
      <c r="G3604" s="28">
        <v>0.38958333333333334</v>
      </c>
      <c r="H3604" s="28">
        <v>0.38958333333333334</v>
      </c>
      <c r="I3604">
        <v>0</v>
      </c>
      <c r="J3604" t="s">
        <v>174</v>
      </c>
      <c r="K3604">
        <v>0</v>
      </c>
      <c r="L3604" t="s">
        <v>9206</v>
      </c>
      <c r="M3604" t="s">
        <v>9207</v>
      </c>
      <c r="N3604" t="s">
        <v>9208</v>
      </c>
      <c r="O3604" t="s">
        <v>9209</v>
      </c>
      <c r="P3604" t="s">
        <v>9210</v>
      </c>
    </row>
    <row r="3605" spans="1:16" x14ac:dyDescent="0.35">
      <c r="A3605" t="s">
        <v>108</v>
      </c>
      <c r="B3605">
        <v>1324725688</v>
      </c>
      <c r="C3605" t="s">
        <v>18</v>
      </c>
      <c r="D3605" t="s">
        <v>21</v>
      </c>
      <c r="E3605" s="29">
        <v>46208</v>
      </c>
      <c r="F3605" t="s">
        <v>6</v>
      </c>
      <c r="G3605" s="28">
        <v>0.3972222222222222</v>
      </c>
      <c r="H3605" s="28">
        <v>0.3972222222222222</v>
      </c>
      <c r="I3605">
        <v>0</v>
      </c>
      <c r="J3605" t="s">
        <v>174</v>
      </c>
      <c r="K3605">
        <v>0</v>
      </c>
      <c r="L3605" t="s">
        <v>3709</v>
      </c>
      <c r="M3605" t="s">
        <v>9211</v>
      </c>
      <c r="N3605" t="s">
        <v>9212</v>
      </c>
      <c r="O3605" t="s">
        <v>9213</v>
      </c>
      <c r="P3605" t="s">
        <v>9214</v>
      </c>
    </row>
    <row r="3606" spans="1:16" x14ac:dyDescent="0.35">
      <c r="A3606" t="s">
        <v>108</v>
      </c>
      <c r="B3606">
        <v>1324725688</v>
      </c>
      <c r="C3606" t="s">
        <v>18</v>
      </c>
      <c r="D3606" t="s">
        <v>21</v>
      </c>
      <c r="E3606" s="29">
        <v>46208</v>
      </c>
      <c r="F3606" t="s">
        <v>6</v>
      </c>
      <c r="G3606" s="28">
        <v>0.40416666666666667</v>
      </c>
      <c r="H3606" s="28">
        <v>0.40416666666666667</v>
      </c>
      <c r="I3606">
        <v>0</v>
      </c>
      <c r="J3606" t="s">
        <v>174</v>
      </c>
      <c r="K3606">
        <v>0</v>
      </c>
      <c r="L3606" t="s">
        <v>8070</v>
      </c>
      <c r="M3606" t="s">
        <v>9215</v>
      </c>
      <c r="N3606" t="s">
        <v>9216</v>
      </c>
      <c r="O3606" t="s">
        <v>9217</v>
      </c>
      <c r="P3606" t="s">
        <v>9218</v>
      </c>
    </row>
    <row r="3607" spans="1:16" x14ac:dyDescent="0.35">
      <c r="A3607" t="s">
        <v>108</v>
      </c>
      <c r="B3607">
        <v>1324725688</v>
      </c>
      <c r="C3607" t="s">
        <v>18</v>
      </c>
      <c r="D3607" t="s">
        <v>21</v>
      </c>
      <c r="E3607" s="29">
        <v>46208</v>
      </c>
      <c r="F3607" t="s">
        <v>6</v>
      </c>
      <c r="G3607" s="28">
        <v>0.41111111111111109</v>
      </c>
      <c r="H3607" s="28">
        <v>0.41111111111111109</v>
      </c>
      <c r="I3607">
        <v>0</v>
      </c>
      <c r="J3607" t="s">
        <v>174</v>
      </c>
      <c r="K3607">
        <v>0</v>
      </c>
      <c r="L3607" t="s">
        <v>9219</v>
      </c>
      <c r="M3607" t="s">
        <v>9220</v>
      </c>
      <c r="N3607" t="s">
        <v>9221</v>
      </c>
      <c r="O3607" t="s">
        <v>9222</v>
      </c>
      <c r="P3607" t="s">
        <v>9223</v>
      </c>
    </row>
    <row r="3608" spans="1:16" x14ac:dyDescent="0.35">
      <c r="A3608" t="s">
        <v>108</v>
      </c>
      <c r="B3608">
        <v>1324725688</v>
      </c>
      <c r="C3608" t="s">
        <v>18</v>
      </c>
      <c r="D3608" t="s">
        <v>21</v>
      </c>
      <c r="E3608" s="29">
        <v>46208</v>
      </c>
      <c r="F3608" t="s">
        <v>6</v>
      </c>
      <c r="G3608" s="28">
        <v>0.42499999999999999</v>
      </c>
      <c r="H3608" s="28">
        <v>0.42499999999999999</v>
      </c>
      <c r="I3608">
        <v>0</v>
      </c>
      <c r="J3608" t="s">
        <v>174</v>
      </c>
      <c r="K3608">
        <v>0</v>
      </c>
      <c r="L3608" t="s">
        <v>466</v>
      </c>
      <c r="M3608" t="s">
        <v>9224</v>
      </c>
      <c r="N3608" t="s">
        <v>9225</v>
      </c>
      <c r="O3608" t="s">
        <v>9226</v>
      </c>
      <c r="P3608" t="s">
        <v>9227</v>
      </c>
    </row>
    <row r="3609" spans="1:16" x14ac:dyDescent="0.35">
      <c r="A3609" t="s">
        <v>108</v>
      </c>
      <c r="B3609">
        <v>1324725688</v>
      </c>
      <c r="C3609" t="s">
        <v>18</v>
      </c>
      <c r="D3609" t="s">
        <v>21</v>
      </c>
      <c r="E3609" s="29">
        <v>46208</v>
      </c>
      <c r="F3609" t="s">
        <v>6</v>
      </c>
      <c r="G3609" s="28">
        <v>0.43194444444444446</v>
      </c>
      <c r="H3609" s="28">
        <v>0.43194444444444446</v>
      </c>
      <c r="I3609">
        <v>0</v>
      </c>
      <c r="J3609" t="s">
        <v>174</v>
      </c>
      <c r="K3609">
        <v>0</v>
      </c>
      <c r="L3609" t="s">
        <v>442</v>
      </c>
      <c r="M3609" t="s">
        <v>9228</v>
      </c>
      <c r="N3609" t="s">
        <v>9229</v>
      </c>
      <c r="O3609" t="s">
        <v>9230</v>
      </c>
      <c r="P3609" t="s">
        <v>9004</v>
      </c>
    </row>
    <row r="3610" spans="1:16" x14ac:dyDescent="0.35">
      <c r="A3610" t="s">
        <v>108</v>
      </c>
      <c r="B3610">
        <v>1324725688</v>
      </c>
      <c r="C3610" t="s">
        <v>18</v>
      </c>
      <c r="D3610" t="s">
        <v>21</v>
      </c>
      <c r="E3610" s="29">
        <v>46208</v>
      </c>
      <c r="F3610" t="s">
        <v>6</v>
      </c>
      <c r="G3610" s="28">
        <v>0.43888888888888888</v>
      </c>
      <c r="H3610" s="28">
        <v>0.43888888888888888</v>
      </c>
      <c r="I3610">
        <v>0</v>
      </c>
      <c r="J3610" t="s">
        <v>174</v>
      </c>
      <c r="K3610">
        <v>0</v>
      </c>
      <c r="L3610" t="s">
        <v>815</v>
      </c>
      <c r="M3610" t="s">
        <v>9231</v>
      </c>
      <c r="N3610" t="s">
        <v>9232</v>
      </c>
      <c r="O3610" t="s">
        <v>9233</v>
      </c>
      <c r="P3610" t="s">
        <v>9234</v>
      </c>
    </row>
    <row r="3611" spans="1:16" x14ac:dyDescent="0.35">
      <c r="A3611" t="s">
        <v>108</v>
      </c>
      <c r="B3611">
        <v>1324725688</v>
      </c>
      <c r="C3611" t="s">
        <v>18</v>
      </c>
      <c r="D3611" t="s">
        <v>21</v>
      </c>
      <c r="E3611" s="29">
        <v>46208</v>
      </c>
      <c r="F3611" t="s">
        <v>6</v>
      </c>
      <c r="G3611" s="28">
        <v>0.44583333333333336</v>
      </c>
      <c r="H3611" s="28">
        <v>0.44583333333333336</v>
      </c>
      <c r="I3611">
        <v>0</v>
      </c>
      <c r="J3611" t="s">
        <v>174</v>
      </c>
      <c r="K3611">
        <v>0</v>
      </c>
      <c r="L3611" t="s">
        <v>9235</v>
      </c>
      <c r="M3611" t="s">
        <v>9236</v>
      </c>
      <c r="N3611" t="s">
        <v>9237</v>
      </c>
      <c r="O3611" t="s">
        <v>9238</v>
      </c>
      <c r="P3611" t="s">
        <v>9239</v>
      </c>
    </row>
    <row r="3612" spans="1:16" x14ac:dyDescent="0.35">
      <c r="A3612" t="s">
        <v>108</v>
      </c>
      <c r="B3612">
        <v>1324725688</v>
      </c>
      <c r="C3612" t="s">
        <v>18</v>
      </c>
      <c r="D3612" t="s">
        <v>21</v>
      </c>
      <c r="E3612" s="29">
        <v>46208</v>
      </c>
      <c r="F3612" t="s">
        <v>6</v>
      </c>
      <c r="G3612" s="28">
        <v>0.45277777777777778</v>
      </c>
      <c r="H3612" s="28">
        <v>0.45277777777777778</v>
      </c>
      <c r="I3612">
        <v>0</v>
      </c>
      <c r="J3612" t="s">
        <v>174</v>
      </c>
      <c r="K3612">
        <v>0</v>
      </c>
      <c r="L3612" t="s">
        <v>389</v>
      </c>
      <c r="M3612" t="s">
        <v>9240</v>
      </c>
      <c r="N3612" t="s">
        <v>9241</v>
      </c>
      <c r="O3612" t="s">
        <v>9242</v>
      </c>
      <c r="P3612" t="s">
        <v>9243</v>
      </c>
    </row>
    <row r="3613" spans="1:16" x14ac:dyDescent="0.35">
      <c r="A3613" t="s">
        <v>108</v>
      </c>
      <c r="B3613">
        <v>1324725688</v>
      </c>
      <c r="C3613" t="s">
        <v>18</v>
      </c>
      <c r="D3613" t="s">
        <v>21</v>
      </c>
      <c r="E3613" s="29">
        <v>46208</v>
      </c>
      <c r="F3613" t="s">
        <v>6</v>
      </c>
      <c r="G3613" s="28">
        <v>0.4597222222222222</v>
      </c>
      <c r="H3613" s="28">
        <v>0.4597222222222222</v>
      </c>
      <c r="I3613">
        <v>0</v>
      </c>
      <c r="J3613" t="s">
        <v>174</v>
      </c>
      <c r="K3613">
        <v>0</v>
      </c>
      <c r="L3613" t="s">
        <v>9244</v>
      </c>
      <c r="M3613" t="s">
        <v>9245</v>
      </c>
      <c r="N3613" t="s">
        <v>9246</v>
      </c>
      <c r="O3613" t="s">
        <v>9247</v>
      </c>
      <c r="P3613" t="s">
        <v>9248</v>
      </c>
    </row>
    <row r="3614" spans="1:16" x14ac:dyDescent="0.35">
      <c r="A3614" t="s">
        <v>108</v>
      </c>
      <c r="B3614">
        <v>1324725688</v>
      </c>
      <c r="C3614" t="s">
        <v>18</v>
      </c>
      <c r="D3614" t="s">
        <v>21</v>
      </c>
      <c r="E3614" s="29">
        <v>46208</v>
      </c>
      <c r="F3614" t="s">
        <v>6</v>
      </c>
      <c r="G3614" s="28">
        <v>0.46666666666666667</v>
      </c>
      <c r="H3614" s="28">
        <v>0.52916666666666667</v>
      </c>
      <c r="I3614">
        <v>2</v>
      </c>
      <c r="J3614" t="s">
        <v>146</v>
      </c>
      <c r="K3614">
        <v>4</v>
      </c>
      <c r="L3614" t="s">
        <v>147</v>
      </c>
      <c r="M3614" t="s">
        <v>9249</v>
      </c>
      <c r="N3614" t="s">
        <v>9250</v>
      </c>
      <c r="O3614" t="s">
        <v>9251</v>
      </c>
      <c r="P3614" t="s">
        <v>9252</v>
      </c>
    </row>
    <row r="3615" spans="1:16" x14ac:dyDescent="0.35">
      <c r="A3615" t="s">
        <v>108</v>
      </c>
      <c r="B3615">
        <v>1324725688</v>
      </c>
      <c r="C3615" t="s">
        <v>18</v>
      </c>
      <c r="D3615" t="s">
        <v>21</v>
      </c>
      <c r="E3615" s="29">
        <v>46208</v>
      </c>
      <c r="F3615" t="s">
        <v>6</v>
      </c>
      <c r="G3615" s="28">
        <v>0.53611111111111109</v>
      </c>
      <c r="H3615" s="28">
        <v>0.53611111111111109</v>
      </c>
      <c r="I3615">
        <v>0</v>
      </c>
      <c r="J3615" t="s">
        <v>174</v>
      </c>
      <c r="K3615">
        <v>0</v>
      </c>
      <c r="L3615" t="s">
        <v>1037</v>
      </c>
      <c r="M3615" t="s">
        <v>9253</v>
      </c>
      <c r="N3615" t="s">
        <v>9254</v>
      </c>
      <c r="O3615" t="s">
        <v>9255</v>
      </c>
      <c r="P3615" t="s">
        <v>9256</v>
      </c>
    </row>
    <row r="3616" spans="1:16" x14ac:dyDescent="0.35">
      <c r="A3616" t="s">
        <v>108</v>
      </c>
      <c r="B3616">
        <v>1324725688</v>
      </c>
      <c r="C3616" t="s">
        <v>18</v>
      </c>
      <c r="D3616" t="s">
        <v>21</v>
      </c>
      <c r="E3616" s="29">
        <v>46208</v>
      </c>
      <c r="F3616" t="s">
        <v>6</v>
      </c>
      <c r="G3616" s="28">
        <v>0.54305555555555551</v>
      </c>
      <c r="H3616" s="28">
        <v>0.55000000000000004</v>
      </c>
      <c r="I3616">
        <v>0</v>
      </c>
      <c r="J3616" t="s">
        <v>146</v>
      </c>
      <c r="K3616">
        <v>1</v>
      </c>
      <c r="L3616" t="s">
        <v>147</v>
      </c>
      <c r="M3616" t="s">
        <v>9257</v>
      </c>
      <c r="N3616" t="s">
        <v>9258</v>
      </c>
      <c r="O3616" t="s">
        <v>9259</v>
      </c>
      <c r="P3616" t="s">
        <v>9260</v>
      </c>
    </row>
    <row r="3617" spans="1:16" x14ac:dyDescent="0.35">
      <c r="A3617" t="s">
        <v>108</v>
      </c>
      <c r="B3617">
        <v>1324725688</v>
      </c>
      <c r="C3617" t="s">
        <v>18</v>
      </c>
      <c r="D3617" t="s">
        <v>21</v>
      </c>
      <c r="E3617" s="29">
        <v>46208</v>
      </c>
      <c r="F3617" t="s">
        <v>6</v>
      </c>
      <c r="G3617" s="28">
        <v>0.55694444444444446</v>
      </c>
      <c r="H3617" s="28">
        <v>0.55694444444444446</v>
      </c>
      <c r="I3617">
        <v>0</v>
      </c>
      <c r="J3617" t="s">
        <v>174</v>
      </c>
      <c r="K3617">
        <v>0</v>
      </c>
      <c r="L3617" t="s">
        <v>9261</v>
      </c>
      <c r="M3617" t="s">
        <v>9262</v>
      </c>
      <c r="N3617" t="s">
        <v>9263</v>
      </c>
      <c r="O3617" t="s">
        <v>9264</v>
      </c>
      <c r="P3617" t="s">
        <v>9265</v>
      </c>
    </row>
    <row r="3618" spans="1:16" x14ac:dyDescent="0.35">
      <c r="A3618" t="s">
        <v>108</v>
      </c>
      <c r="B3618">
        <v>1324725688</v>
      </c>
      <c r="C3618" t="s">
        <v>18</v>
      </c>
      <c r="D3618" t="s">
        <v>21</v>
      </c>
      <c r="E3618" s="29">
        <v>46208</v>
      </c>
      <c r="F3618" t="s">
        <v>6</v>
      </c>
      <c r="G3618" s="28">
        <v>0.56388888888888888</v>
      </c>
      <c r="H3618" s="28">
        <v>0.5708333333333333</v>
      </c>
      <c r="I3618">
        <v>0</v>
      </c>
      <c r="J3618" t="s">
        <v>146</v>
      </c>
      <c r="K3618">
        <v>0</v>
      </c>
      <c r="L3618" t="s">
        <v>147</v>
      </c>
      <c r="M3618" t="s">
        <v>9257</v>
      </c>
      <c r="N3618" t="s">
        <v>9258</v>
      </c>
      <c r="O3618" t="s">
        <v>9259</v>
      </c>
      <c r="P3618" t="s">
        <v>9260</v>
      </c>
    </row>
    <row r="3619" spans="1:16" x14ac:dyDescent="0.35">
      <c r="A3619" t="s">
        <v>108</v>
      </c>
      <c r="B3619">
        <v>1324725688</v>
      </c>
      <c r="C3619" t="s">
        <v>18</v>
      </c>
      <c r="D3619" t="s">
        <v>21</v>
      </c>
      <c r="E3619" s="29">
        <v>46208</v>
      </c>
      <c r="F3619" t="s">
        <v>6</v>
      </c>
      <c r="G3619" s="28">
        <v>0.57777777777777772</v>
      </c>
      <c r="H3619" s="28">
        <v>0.57777777777777772</v>
      </c>
      <c r="I3619">
        <v>0</v>
      </c>
      <c r="J3619" t="s">
        <v>174</v>
      </c>
      <c r="K3619">
        <v>0</v>
      </c>
      <c r="L3619" t="s">
        <v>6956</v>
      </c>
      <c r="M3619" t="s">
        <v>9266</v>
      </c>
      <c r="N3619" t="s">
        <v>9267</v>
      </c>
      <c r="O3619" t="s">
        <v>9268</v>
      </c>
      <c r="P3619" t="s">
        <v>9269</v>
      </c>
    </row>
    <row r="3620" spans="1:16" x14ac:dyDescent="0.35">
      <c r="A3620" t="s">
        <v>108</v>
      </c>
      <c r="B3620">
        <v>1324725688</v>
      </c>
      <c r="C3620" t="s">
        <v>18</v>
      </c>
      <c r="D3620" t="s">
        <v>21</v>
      </c>
      <c r="E3620" s="29">
        <v>46208</v>
      </c>
      <c r="F3620" t="s">
        <v>6</v>
      </c>
      <c r="G3620" s="28">
        <v>0.58472222222222225</v>
      </c>
      <c r="H3620" s="28">
        <v>0.58472222222222225</v>
      </c>
      <c r="I3620">
        <v>0</v>
      </c>
      <c r="J3620" t="s">
        <v>174</v>
      </c>
      <c r="K3620">
        <v>0</v>
      </c>
      <c r="L3620" t="s">
        <v>9270</v>
      </c>
      <c r="M3620" t="s">
        <v>9271</v>
      </c>
      <c r="N3620" t="s">
        <v>9272</v>
      </c>
      <c r="O3620" t="s">
        <v>9273</v>
      </c>
      <c r="P3620" t="s">
        <v>9274</v>
      </c>
    </row>
    <row r="3621" spans="1:16" x14ac:dyDescent="0.35">
      <c r="A3621" t="s">
        <v>108</v>
      </c>
      <c r="B3621">
        <v>1324725688</v>
      </c>
      <c r="C3621" t="s">
        <v>18</v>
      </c>
      <c r="D3621" t="s">
        <v>21</v>
      </c>
      <c r="E3621" s="29">
        <v>46208</v>
      </c>
      <c r="F3621" t="s">
        <v>6</v>
      </c>
      <c r="G3621" s="28">
        <v>0.59166666666666667</v>
      </c>
      <c r="H3621" s="28">
        <v>0.59166666666666667</v>
      </c>
      <c r="I3621">
        <v>0</v>
      </c>
      <c r="J3621" t="s">
        <v>174</v>
      </c>
      <c r="K3621">
        <v>0</v>
      </c>
      <c r="L3621" t="s">
        <v>695</v>
      </c>
      <c r="M3621" t="s">
        <v>9275</v>
      </c>
      <c r="N3621" t="s">
        <v>9276</v>
      </c>
      <c r="O3621" t="s">
        <v>9277</v>
      </c>
      <c r="P3621" t="s">
        <v>9278</v>
      </c>
    </row>
    <row r="3622" spans="1:16" x14ac:dyDescent="0.35">
      <c r="A3622" t="s">
        <v>108</v>
      </c>
      <c r="B3622">
        <v>1324725688</v>
      </c>
      <c r="C3622" t="s">
        <v>18</v>
      </c>
      <c r="D3622" t="s">
        <v>21</v>
      </c>
      <c r="E3622" s="29">
        <v>46208</v>
      </c>
      <c r="F3622" t="s">
        <v>6</v>
      </c>
      <c r="G3622" s="28">
        <v>0.59861111111111109</v>
      </c>
      <c r="H3622" s="28">
        <v>0.59861111111111109</v>
      </c>
      <c r="I3622">
        <v>0</v>
      </c>
      <c r="J3622" t="s">
        <v>174</v>
      </c>
      <c r="K3622">
        <v>0</v>
      </c>
      <c r="L3622" t="s">
        <v>2745</v>
      </c>
      <c r="M3622" t="s">
        <v>9279</v>
      </c>
      <c r="N3622" t="s">
        <v>9280</v>
      </c>
      <c r="O3622" t="s">
        <v>9281</v>
      </c>
      <c r="P3622" t="s">
        <v>9282</v>
      </c>
    </row>
    <row r="3623" spans="1:16" x14ac:dyDescent="0.35">
      <c r="A3623" t="s">
        <v>108</v>
      </c>
      <c r="B3623">
        <v>1324725688</v>
      </c>
      <c r="C3623" t="s">
        <v>18</v>
      </c>
      <c r="D3623" t="s">
        <v>21</v>
      </c>
      <c r="E3623" s="29">
        <v>46208</v>
      </c>
      <c r="F3623" t="s">
        <v>6</v>
      </c>
      <c r="G3623" s="28">
        <v>0.60555555555555551</v>
      </c>
      <c r="H3623" s="28">
        <v>0.60555555555555551</v>
      </c>
      <c r="I3623">
        <v>0</v>
      </c>
      <c r="J3623" t="s">
        <v>174</v>
      </c>
      <c r="K3623">
        <v>0</v>
      </c>
      <c r="L3623" t="s">
        <v>9283</v>
      </c>
      <c r="M3623" t="s">
        <v>9284</v>
      </c>
      <c r="N3623" t="s">
        <v>9285</v>
      </c>
      <c r="O3623" t="s">
        <v>9286</v>
      </c>
      <c r="P3623" t="s">
        <v>9287</v>
      </c>
    </row>
    <row r="3624" spans="1:16" x14ac:dyDescent="0.35">
      <c r="A3624" t="s">
        <v>108</v>
      </c>
      <c r="B3624">
        <v>1324725688</v>
      </c>
      <c r="C3624" t="s">
        <v>18</v>
      </c>
      <c r="D3624" t="s">
        <v>21</v>
      </c>
      <c r="E3624" s="29">
        <v>46208</v>
      </c>
      <c r="F3624" t="s">
        <v>6</v>
      </c>
      <c r="G3624" s="28">
        <v>0.61250000000000004</v>
      </c>
      <c r="H3624" s="28">
        <v>0.61250000000000004</v>
      </c>
      <c r="I3624">
        <v>0</v>
      </c>
      <c r="J3624" t="s">
        <v>174</v>
      </c>
      <c r="K3624">
        <v>0</v>
      </c>
      <c r="L3624" t="s">
        <v>9288</v>
      </c>
      <c r="M3624" t="s">
        <v>9289</v>
      </c>
      <c r="N3624" t="s">
        <v>9290</v>
      </c>
      <c r="O3624" t="s">
        <v>9291</v>
      </c>
      <c r="P3624" t="s">
        <v>9292</v>
      </c>
    </row>
    <row r="3625" spans="1:16" x14ac:dyDescent="0.35">
      <c r="A3625" t="s">
        <v>108</v>
      </c>
      <c r="B3625">
        <v>1324725688</v>
      </c>
      <c r="C3625" t="s">
        <v>18</v>
      </c>
      <c r="D3625" t="s">
        <v>21</v>
      </c>
      <c r="E3625" s="29">
        <v>46208</v>
      </c>
      <c r="F3625" t="s">
        <v>6</v>
      </c>
      <c r="G3625" s="28">
        <v>0.61944444444444446</v>
      </c>
      <c r="H3625" s="28">
        <v>0.61944444444444446</v>
      </c>
      <c r="I3625">
        <v>0</v>
      </c>
      <c r="J3625" t="s">
        <v>174</v>
      </c>
      <c r="K3625">
        <v>0</v>
      </c>
      <c r="L3625" t="s">
        <v>9293</v>
      </c>
      <c r="M3625" t="s">
        <v>9294</v>
      </c>
      <c r="N3625" t="s">
        <v>9295</v>
      </c>
      <c r="O3625" t="s">
        <v>9296</v>
      </c>
      <c r="P3625" t="s">
        <v>9297</v>
      </c>
    </row>
    <row r="3626" spans="1:16" x14ac:dyDescent="0.35">
      <c r="A3626" t="s">
        <v>108</v>
      </c>
      <c r="B3626">
        <v>1324725688</v>
      </c>
      <c r="C3626" t="s">
        <v>18</v>
      </c>
      <c r="D3626" t="s">
        <v>21</v>
      </c>
      <c r="E3626" s="29">
        <v>46208</v>
      </c>
      <c r="F3626" t="s">
        <v>6</v>
      </c>
      <c r="G3626" s="28">
        <v>0.62708333333333333</v>
      </c>
      <c r="H3626" s="28">
        <v>0.6333333333333333</v>
      </c>
      <c r="I3626">
        <v>0</v>
      </c>
      <c r="J3626" t="s">
        <v>146</v>
      </c>
      <c r="K3626">
        <v>0</v>
      </c>
      <c r="L3626" t="s">
        <v>147</v>
      </c>
      <c r="M3626" t="s">
        <v>9298</v>
      </c>
      <c r="N3626" t="s">
        <v>9299</v>
      </c>
      <c r="O3626" t="s">
        <v>9300</v>
      </c>
      <c r="P3626" t="s">
        <v>9301</v>
      </c>
    </row>
    <row r="3627" spans="1:16" x14ac:dyDescent="0.35">
      <c r="A3627" t="s">
        <v>108</v>
      </c>
      <c r="B3627">
        <v>1324725688</v>
      </c>
      <c r="C3627" t="s">
        <v>18</v>
      </c>
      <c r="D3627" t="s">
        <v>21</v>
      </c>
      <c r="E3627" s="29">
        <v>46208</v>
      </c>
      <c r="F3627" t="s">
        <v>6</v>
      </c>
      <c r="G3627" s="28">
        <v>0.64027777777777772</v>
      </c>
      <c r="H3627" s="28">
        <v>0.64027777777777772</v>
      </c>
      <c r="I3627">
        <v>0</v>
      </c>
      <c r="J3627" t="s">
        <v>174</v>
      </c>
      <c r="K3627">
        <v>0</v>
      </c>
      <c r="L3627" t="s">
        <v>9288</v>
      </c>
      <c r="M3627" t="s">
        <v>9294</v>
      </c>
      <c r="N3627" t="s">
        <v>9295</v>
      </c>
      <c r="O3627" t="s">
        <v>9296</v>
      </c>
      <c r="P3627" t="s">
        <v>9297</v>
      </c>
    </row>
    <row r="3628" spans="1:16" x14ac:dyDescent="0.35">
      <c r="A3628" t="s">
        <v>108</v>
      </c>
      <c r="B3628">
        <v>1324725688</v>
      </c>
      <c r="C3628" t="s">
        <v>18</v>
      </c>
      <c r="D3628" t="s">
        <v>21</v>
      </c>
      <c r="E3628" s="29">
        <v>46208</v>
      </c>
      <c r="F3628" t="s">
        <v>6</v>
      </c>
      <c r="G3628" s="28">
        <v>0.64722222222222225</v>
      </c>
      <c r="H3628" s="28">
        <v>0.64722222222222225</v>
      </c>
      <c r="I3628">
        <v>0</v>
      </c>
      <c r="J3628" t="s">
        <v>174</v>
      </c>
      <c r="K3628">
        <v>0</v>
      </c>
      <c r="L3628" t="s">
        <v>9288</v>
      </c>
      <c r="M3628" t="s">
        <v>9289</v>
      </c>
      <c r="N3628" t="s">
        <v>9290</v>
      </c>
      <c r="O3628" t="s">
        <v>9291</v>
      </c>
      <c r="P3628" t="s">
        <v>9292</v>
      </c>
    </row>
    <row r="3629" spans="1:16" x14ac:dyDescent="0.35">
      <c r="A3629" t="s">
        <v>108</v>
      </c>
      <c r="B3629">
        <v>1324725688</v>
      </c>
      <c r="C3629" t="s">
        <v>18</v>
      </c>
      <c r="D3629" t="s">
        <v>21</v>
      </c>
      <c r="E3629" s="29">
        <v>46208</v>
      </c>
      <c r="F3629" t="s">
        <v>6</v>
      </c>
      <c r="G3629" s="28">
        <v>0.65416666666666667</v>
      </c>
      <c r="H3629" s="28">
        <v>0.65416666666666667</v>
      </c>
      <c r="I3629">
        <v>0</v>
      </c>
      <c r="J3629" t="s">
        <v>174</v>
      </c>
      <c r="K3629">
        <v>0</v>
      </c>
      <c r="L3629" t="s">
        <v>9288</v>
      </c>
      <c r="M3629" t="s">
        <v>9294</v>
      </c>
      <c r="N3629" t="s">
        <v>9295</v>
      </c>
      <c r="O3629" t="s">
        <v>9296</v>
      </c>
      <c r="P3629" t="s">
        <v>9297</v>
      </c>
    </row>
    <row r="3630" spans="1:16" x14ac:dyDescent="0.35">
      <c r="A3630" t="s">
        <v>108</v>
      </c>
      <c r="B3630">
        <v>1324725688</v>
      </c>
      <c r="C3630" t="s">
        <v>18</v>
      </c>
      <c r="D3630" t="s">
        <v>21</v>
      </c>
      <c r="E3630" s="29">
        <v>46208</v>
      </c>
      <c r="F3630" t="s">
        <v>6</v>
      </c>
      <c r="G3630" s="28">
        <v>0.66111111111111109</v>
      </c>
      <c r="H3630" s="28">
        <v>0.68888888888888888</v>
      </c>
      <c r="I3630">
        <v>1</v>
      </c>
      <c r="J3630" t="s">
        <v>146</v>
      </c>
      <c r="K3630">
        <v>2</v>
      </c>
      <c r="L3630" t="s">
        <v>147</v>
      </c>
      <c r="M3630" t="s">
        <v>9289</v>
      </c>
      <c r="N3630" t="s">
        <v>9290</v>
      </c>
      <c r="O3630" t="s">
        <v>9291</v>
      </c>
      <c r="P3630" t="s">
        <v>9292</v>
      </c>
    </row>
    <row r="3631" spans="1:16" x14ac:dyDescent="0.35">
      <c r="A3631" t="s">
        <v>108</v>
      </c>
      <c r="B3631">
        <v>1324725688</v>
      </c>
      <c r="C3631" t="s">
        <v>18</v>
      </c>
      <c r="D3631" t="s">
        <v>21</v>
      </c>
      <c r="E3631" s="29">
        <v>46208</v>
      </c>
      <c r="F3631" t="s">
        <v>6</v>
      </c>
      <c r="G3631" s="28">
        <v>0.6958333333333333</v>
      </c>
      <c r="H3631" s="28">
        <v>0.70277777777777772</v>
      </c>
      <c r="I3631">
        <v>0</v>
      </c>
      <c r="J3631" t="s">
        <v>146</v>
      </c>
      <c r="K3631">
        <v>0</v>
      </c>
      <c r="L3631" t="s">
        <v>147</v>
      </c>
      <c r="M3631" t="s">
        <v>9294</v>
      </c>
      <c r="N3631" t="s">
        <v>9295</v>
      </c>
      <c r="O3631" t="s">
        <v>9296</v>
      </c>
      <c r="P3631" t="s">
        <v>9297</v>
      </c>
    </row>
    <row r="3632" spans="1:16" x14ac:dyDescent="0.35">
      <c r="A3632" t="s">
        <v>108</v>
      </c>
      <c r="B3632">
        <v>1324725688</v>
      </c>
      <c r="C3632" t="s">
        <v>18</v>
      </c>
      <c r="D3632" t="s">
        <v>21</v>
      </c>
      <c r="E3632" s="29">
        <v>46208</v>
      </c>
      <c r="F3632" t="s">
        <v>6</v>
      </c>
      <c r="G3632" s="28">
        <v>0.70972222222222225</v>
      </c>
      <c r="H3632" s="28">
        <v>0.71666666666666667</v>
      </c>
      <c r="I3632">
        <v>0</v>
      </c>
      <c r="J3632" t="s">
        <v>146</v>
      </c>
      <c r="K3632">
        <v>0</v>
      </c>
      <c r="L3632" t="s">
        <v>147</v>
      </c>
      <c r="M3632" t="s">
        <v>9289</v>
      </c>
      <c r="N3632" t="s">
        <v>9290</v>
      </c>
      <c r="O3632" t="s">
        <v>9291</v>
      </c>
      <c r="P3632" t="s">
        <v>9292</v>
      </c>
    </row>
    <row r="3633" spans="1:16" x14ac:dyDescent="0.35">
      <c r="A3633" t="s">
        <v>108</v>
      </c>
      <c r="B3633">
        <v>1324725688</v>
      </c>
      <c r="C3633" t="s">
        <v>18</v>
      </c>
      <c r="D3633" t="s">
        <v>21</v>
      </c>
      <c r="E3633" s="29">
        <v>46208</v>
      </c>
      <c r="F3633" t="s">
        <v>6</v>
      </c>
      <c r="G3633" s="28">
        <v>0.72361111111111109</v>
      </c>
      <c r="H3633" s="28">
        <v>0.72361111111111109</v>
      </c>
      <c r="I3633">
        <v>0</v>
      </c>
      <c r="J3633" t="s">
        <v>174</v>
      </c>
      <c r="K3633">
        <v>0</v>
      </c>
      <c r="L3633" t="s">
        <v>9293</v>
      </c>
      <c r="M3633" t="s">
        <v>9294</v>
      </c>
      <c r="N3633" t="s">
        <v>9295</v>
      </c>
      <c r="O3633" t="s">
        <v>9296</v>
      </c>
      <c r="P3633" t="s">
        <v>9297</v>
      </c>
    </row>
    <row r="3634" spans="1:16" x14ac:dyDescent="0.35">
      <c r="A3634" t="s">
        <v>108</v>
      </c>
      <c r="B3634">
        <v>1324725688</v>
      </c>
      <c r="C3634" t="s">
        <v>18</v>
      </c>
      <c r="D3634" t="s">
        <v>21</v>
      </c>
      <c r="E3634" s="29">
        <v>46208</v>
      </c>
      <c r="F3634" t="s">
        <v>6</v>
      </c>
      <c r="G3634" s="28">
        <v>0.73055555555555551</v>
      </c>
      <c r="H3634" s="28">
        <v>0.73750000000000004</v>
      </c>
      <c r="I3634">
        <v>0</v>
      </c>
      <c r="J3634" t="s">
        <v>146</v>
      </c>
      <c r="K3634">
        <v>1</v>
      </c>
      <c r="L3634" t="s">
        <v>147</v>
      </c>
      <c r="M3634" t="s">
        <v>9298</v>
      </c>
      <c r="N3634" t="s">
        <v>9299</v>
      </c>
      <c r="O3634" t="s">
        <v>9300</v>
      </c>
      <c r="P3634" t="s">
        <v>9301</v>
      </c>
    </row>
    <row r="3635" spans="1:16" x14ac:dyDescent="0.35">
      <c r="A3635" t="s">
        <v>108</v>
      </c>
      <c r="B3635">
        <v>1324725688</v>
      </c>
      <c r="C3635" t="s">
        <v>18</v>
      </c>
      <c r="D3635" t="s">
        <v>21</v>
      </c>
      <c r="E3635" s="29">
        <v>46208</v>
      </c>
      <c r="F3635" t="s">
        <v>6</v>
      </c>
      <c r="G3635" s="28">
        <v>0.74444444444444446</v>
      </c>
      <c r="H3635" s="28">
        <v>0.74444444444444446</v>
      </c>
      <c r="I3635">
        <v>0</v>
      </c>
      <c r="J3635" t="s">
        <v>174</v>
      </c>
      <c r="K3635">
        <v>0</v>
      </c>
      <c r="L3635" t="s">
        <v>9302</v>
      </c>
      <c r="M3635" t="s">
        <v>9228</v>
      </c>
      <c r="N3635" t="s">
        <v>9229</v>
      </c>
      <c r="O3635" t="s">
        <v>9230</v>
      </c>
      <c r="P3635" t="s">
        <v>9004</v>
      </c>
    </row>
    <row r="3636" spans="1:16" x14ac:dyDescent="0.35">
      <c r="A3636" t="s">
        <v>108</v>
      </c>
      <c r="B3636">
        <v>1324725688</v>
      </c>
      <c r="C3636" t="s">
        <v>18</v>
      </c>
      <c r="D3636" t="s">
        <v>21</v>
      </c>
      <c r="E3636" s="29">
        <v>46208</v>
      </c>
      <c r="F3636" t="s">
        <v>6</v>
      </c>
      <c r="G3636" s="28">
        <v>0.75138888888888888</v>
      </c>
      <c r="H3636" s="28">
        <v>0.75138888888888888</v>
      </c>
      <c r="I3636">
        <v>0</v>
      </c>
      <c r="J3636" t="s">
        <v>174</v>
      </c>
      <c r="K3636">
        <v>0</v>
      </c>
      <c r="L3636" t="s">
        <v>175</v>
      </c>
      <c r="M3636" t="s">
        <v>9303</v>
      </c>
      <c r="N3636" t="s">
        <v>9304</v>
      </c>
      <c r="O3636" t="s">
        <v>9305</v>
      </c>
      <c r="P3636" t="s">
        <v>9306</v>
      </c>
    </row>
    <row r="3637" spans="1:16" x14ac:dyDescent="0.35">
      <c r="A3637" t="s">
        <v>108</v>
      </c>
      <c r="B3637">
        <v>1324725688</v>
      </c>
      <c r="C3637" t="s">
        <v>18</v>
      </c>
      <c r="D3637" t="s">
        <v>21</v>
      </c>
      <c r="E3637" s="29">
        <v>46208</v>
      </c>
      <c r="F3637" t="s">
        <v>6</v>
      </c>
      <c r="G3637" s="28">
        <v>0.7583333333333333</v>
      </c>
      <c r="H3637" s="28">
        <v>0.7583333333333333</v>
      </c>
      <c r="I3637">
        <v>0</v>
      </c>
      <c r="J3637" t="s">
        <v>174</v>
      </c>
      <c r="K3637">
        <v>0</v>
      </c>
      <c r="L3637" t="s">
        <v>912</v>
      </c>
      <c r="M3637" t="s">
        <v>9307</v>
      </c>
      <c r="N3637" t="s">
        <v>9308</v>
      </c>
      <c r="O3637" t="s">
        <v>9309</v>
      </c>
      <c r="P3637" t="s">
        <v>8832</v>
      </c>
    </row>
    <row r="3638" spans="1:16" x14ac:dyDescent="0.35">
      <c r="A3638" t="s">
        <v>108</v>
      </c>
      <c r="B3638">
        <v>1324725688</v>
      </c>
      <c r="C3638" t="s">
        <v>18</v>
      </c>
      <c r="D3638" t="s">
        <v>21</v>
      </c>
      <c r="E3638" s="29">
        <v>46208</v>
      </c>
      <c r="F3638" t="s">
        <v>6</v>
      </c>
      <c r="G3638" s="28">
        <v>0.76527777777777772</v>
      </c>
      <c r="H3638" s="28">
        <v>0.76527777777777772</v>
      </c>
      <c r="I3638">
        <v>0</v>
      </c>
      <c r="J3638" t="s">
        <v>174</v>
      </c>
      <c r="K3638">
        <v>0</v>
      </c>
      <c r="L3638" t="s">
        <v>9310</v>
      </c>
      <c r="M3638" t="s">
        <v>9311</v>
      </c>
      <c r="N3638" t="s">
        <v>9312</v>
      </c>
      <c r="O3638" t="s">
        <v>9313</v>
      </c>
      <c r="P3638" t="s">
        <v>9314</v>
      </c>
    </row>
    <row r="3639" spans="1:16" x14ac:dyDescent="0.35">
      <c r="A3639" t="s">
        <v>108</v>
      </c>
      <c r="B3639">
        <v>1324725688</v>
      </c>
      <c r="C3639" t="s">
        <v>18</v>
      </c>
      <c r="D3639" t="s">
        <v>21</v>
      </c>
      <c r="E3639" s="29">
        <v>46208</v>
      </c>
      <c r="F3639" t="s">
        <v>6</v>
      </c>
      <c r="G3639" s="28">
        <v>0.77222222222222225</v>
      </c>
      <c r="H3639" s="28">
        <v>0.77222222222222225</v>
      </c>
      <c r="I3639">
        <v>0</v>
      </c>
      <c r="J3639" t="s">
        <v>174</v>
      </c>
      <c r="K3639">
        <v>0</v>
      </c>
      <c r="L3639" t="s">
        <v>8070</v>
      </c>
      <c r="M3639" t="s">
        <v>9220</v>
      </c>
      <c r="N3639" t="s">
        <v>9221</v>
      </c>
      <c r="O3639" t="s">
        <v>9222</v>
      </c>
      <c r="P3639" t="s">
        <v>9223</v>
      </c>
    </row>
    <row r="3640" spans="1:16" x14ac:dyDescent="0.35">
      <c r="A3640" t="s">
        <v>108</v>
      </c>
      <c r="B3640">
        <v>1324725688</v>
      </c>
      <c r="C3640" t="s">
        <v>18</v>
      </c>
      <c r="D3640" t="s">
        <v>21</v>
      </c>
      <c r="E3640" s="29">
        <v>46208</v>
      </c>
      <c r="F3640" t="s">
        <v>6</v>
      </c>
      <c r="G3640" s="28">
        <v>0.77916666666666667</v>
      </c>
      <c r="H3640" s="28">
        <v>0.78611111111111109</v>
      </c>
      <c r="I3640">
        <v>0</v>
      </c>
      <c r="J3640" t="s">
        <v>146</v>
      </c>
      <c r="K3640">
        <v>0</v>
      </c>
      <c r="L3640" t="s">
        <v>147</v>
      </c>
      <c r="M3640" t="s">
        <v>9215</v>
      </c>
      <c r="N3640" t="s">
        <v>9216</v>
      </c>
      <c r="O3640" t="s">
        <v>9217</v>
      </c>
      <c r="P3640" t="s">
        <v>9218</v>
      </c>
    </row>
    <row r="3641" spans="1:16" x14ac:dyDescent="0.35">
      <c r="A3641" t="s">
        <v>101</v>
      </c>
      <c r="B3641">
        <v>1322845176</v>
      </c>
      <c r="C3641" t="s">
        <v>18</v>
      </c>
      <c r="D3641" t="s">
        <v>21</v>
      </c>
      <c r="E3641" s="29">
        <v>46204</v>
      </c>
      <c r="F3641" t="s">
        <v>3</v>
      </c>
      <c r="G3641" s="28">
        <v>0.38680555555555557</v>
      </c>
      <c r="H3641" s="28">
        <v>0.39374999999999999</v>
      </c>
      <c r="I3641">
        <v>0</v>
      </c>
      <c r="J3641" t="s">
        <v>146</v>
      </c>
      <c r="K3641">
        <v>0</v>
      </c>
      <c r="L3641" t="s">
        <v>147</v>
      </c>
      <c r="M3641" t="s">
        <v>9315</v>
      </c>
      <c r="N3641" t="s">
        <v>9316</v>
      </c>
      <c r="O3641" t="s">
        <v>9317</v>
      </c>
      <c r="P3641" t="s">
        <v>5867</v>
      </c>
    </row>
    <row r="3642" spans="1:16" x14ac:dyDescent="0.35">
      <c r="A3642" t="s">
        <v>101</v>
      </c>
      <c r="B3642">
        <v>1322845176</v>
      </c>
      <c r="C3642" t="s">
        <v>18</v>
      </c>
      <c r="D3642" t="s">
        <v>21</v>
      </c>
      <c r="E3642" s="29">
        <v>46204</v>
      </c>
      <c r="F3642" t="s">
        <v>3</v>
      </c>
      <c r="G3642" s="28">
        <v>0.40138888888888891</v>
      </c>
      <c r="H3642" s="28">
        <v>0.40833333333333333</v>
      </c>
      <c r="I3642">
        <v>0</v>
      </c>
      <c r="J3642" t="s">
        <v>146</v>
      </c>
      <c r="K3642">
        <v>0</v>
      </c>
      <c r="L3642" t="s">
        <v>147</v>
      </c>
      <c r="M3642" t="s">
        <v>9318</v>
      </c>
      <c r="N3642" t="s">
        <v>9319</v>
      </c>
      <c r="O3642" t="s">
        <v>9320</v>
      </c>
      <c r="P3642" t="s">
        <v>8996</v>
      </c>
    </row>
    <row r="3643" spans="1:16" x14ac:dyDescent="0.35">
      <c r="A3643" t="s">
        <v>101</v>
      </c>
      <c r="B3643">
        <v>1322845176</v>
      </c>
      <c r="C3643" t="s">
        <v>18</v>
      </c>
      <c r="D3643" t="s">
        <v>21</v>
      </c>
      <c r="E3643" s="29">
        <v>46204</v>
      </c>
      <c r="F3643" t="s">
        <v>3</v>
      </c>
      <c r="G3643" s="28">
        <v>0.41458333333333336</v>
      </c>
      <c r="H3643" s="28">
        <v>0.44236111111111109</v>
      </c>
      <c r="I3643">
        <v>1</v>
      </c>
      <c r="J3643" t="s">
        <v>146</v>
      </c>
      <c r="K3643">
        <v>2</v>
      </c>
      <c r="L3643" t="s">
        <v>147</v>
      </c>
      <c r="M3643" t="s">
        <v>9321</v>
      </c>
      <c r="N3643" t="s">
        <v>9322</v>
      </c>
      <c r="O3643" t="s">
        <v>9323</v>
      </c>
      <c r="P3643" t="s">
        <v>9324</v>
      </c>
    </row>
    <row r="3644" spans="1:16" x14ac:dyDescent="0.35">
      <c r="A3644" t="s">
        <v>101</v>
      </c>
      <c r="B3644">
        <v>1322845176</v>
      </c>
      <c r="C3644" t="s">
        <v>18</v>
      </c>
      <c r="D3644" t="s">
        <v>21</v>
      </c>
      <c r="E3644" s="29">
        <v>46204</v>
      </c>
      <c r="F3644" t="s">
        <v>3</v>
      </c>
      <c r="G3644" s="28">
        <v>0.44930555555555557</v>
      </c>
      <c r="H3644" s="28">
        <v>0.44930555555555557</v>
      </c>
      <c r="I3644">
        <v>0</v>
      </c>
      <c r="J3644" t="s">
        <v>174</v>
      </c>
      <c r="K3644">
        <v>0</v>
      </c>
      <c r="L3644" t="s">
        <v>9325</v>
      </c>
      <c r="M3644" t="s">
        <v>5845</v>
      </c>
      <c r="N3644" t="s">
        <v>5846</v>
      </c>
      <c r="O3644" t="s">
        <v>5847</v>
      </c>
      <c r="P3644" t="s">
        <v>5848</v>
      </c>
    </row>
    <row r="3645" spans="1:16" x14ac:dyDescent="0.35">
      <c r="A3645" t="s">
        <v>101</v>
      </c>
      <c r="B3645">
        <v>1322845176</v>
      </c>
      <c r="C3645" t="s">
        <v>18</v>
      </c>
      <c r="D3645" t="s">
        <v>21</v>
      </c>
      <c r="E3645" s="29">
        <v>46204</v>
      </c>
      <c r="F3645" t="s">
        <v>3</v>
      </c>
      <c r="G3645" s="28">
        <v>0.45694444444444443</v>
      </c>
      <c r="H3645" s="28">
        <v>0.45694444444444443</v>
      </c>
      <c r="I3645">
        <v>0</v>
      </c>
      <c r="J3645" t="s">
        <v>174</v>
      </c>
      <c r="K3645">
        <v>0</v>
      </c>
      <c r="L3645" t="s">
        <v>9325</v>
      </c>
      <c r="M3645" t="s">
        <v>9326</v>
      </c>
      <c r="N3645" t="s">
        <v>9327</v>
      </c>
      <c r="O3645" t="s">
        <v>9328</v>
      </c>
      <c r="P3645" t="s">
        <v>9329</v>
      </c>
    </row>
    <row r="3646" spans="1:16" x14ac:dyDescent="0.35">
      <c r="A3646" t="s">
        <v>101</v>
      </c>
      <c r="B3646">
        <v>1322845176</v>
      </c>
      <c r="C3646" t="s">
        <v>18</v>
      </c>
      <c r="D3646" t="s">
        <v>21</v>
      </c>
      <c r="E3646" s="29">
        <v>46204</v>
      </c>
      <c r="F3646" t="s">
        <v>3</v>
      </c>
      <c r="G3646" s="28">
        <v>0.46319444444444446</v>
      </c>
      <c r="H3646" s="28">
        <v>0.46319444444444446</v>
      </c>
      <c r="I3646">
        <v>0</v>
      </c>
      <c r="J3646" t="s">
        <v>174</v>
      </c>
      <c r="K3646">
        <v>0</v>
      </c>
      <c r="L3646" t="s">
        <v>262</v>
      </c>
      <c r="M3646" t="s">
        <v>5845</v>
      </c>
      <c r="N3646" t="s">
        <v>5846</v>
      </c>
      <c r="O3646" t="s">
        <v>5847</v>
      </c>
      <c r="P3646" t="s">
        <v>5848</v>
      </c>
    </row>
    <row r="3647" spans="1:16" x14ac:dyDescent="0.35">
      <c r="A3647" t="s">
        <v>101</v>
      </c>
      <c r="B3647">
        <v>1322845176</v>
      </c>
      <c r="C3647" t="s">
        <v>18</v>
      </c>
      <c r="D3647" t="s">
        <v>21</v>
      </c>
      <c r="E3647" s="29">
        <v>46204</v>
      </c>
      <c r="F3647" t="s">
        <v>3</v>
      </c>
      <c r="G3647" s="28">
        <v>0.47013888888888888</v>
      </c>
      <c r="H3647" s="28">
        <v>0.47013888888888888</v>
      </c>
      <c r="I3647">
        <v>0</v>
      </c>
      <c r="J3647" t="s">
        <v>174</v>
      </c>
      <c r="K3647">
        <v>0</v>
      </c>
      <c r="L3647" t="s">
        <v>4054</v>
      </c>
      <c r="M3647" t="s">
        <v>9330</v>
      </c>
      <c r="N3647" t="s">
        <v>9331</v>
      </c>
      <c r="O3647" t="s">
        <v>9332</v>
      </c>
      <c r="P3647" t="s">
        <v>8996</v>
      </c>
    </row>
    <row r="3648" spans="1:16" x14ac:dyDescent="0.35">
      <c r="A3648" t="s">
        <v>101</v>
      </c>
      <c r="B3648">
        <v>1322845176</v>
      </c>
      <c r="C3648" t="s">
        <v>18</v>
      </c>
      <c r="D3648" t="s">
        <v>21</v>
      </c>
      <c r="E3648" s="29">
        <v>46204</v>
      </c>
      <c r="F3648" t="s">
        <v>3</v>
      </c>
      <c r="G3648" s="28">
        <v>0.47708333333333336</v>
      </c>
      <c r="H3648" s="28">
        <v>0.47708333333333336</v>
      </c>
      <c r="I3648">
        <v>0</v>
      </c>
      <c r="J3648" t="s">
        <v>174</v>
      </c>
      <c r="K3648">
        <v>0</v>
      </c>
      <c r="L3648" t="s">
        <v>5787</v>
      </c>
      <c r="M3648" t="s">
        <v>9333</v>
      </c>
      <c r="N3648" t="s">
        <v>9334</v>
      </c>
      <c r="O3648" t="s">
        <v>9335</v>
      </c>
      <c r="P3648" t="s">
        <v>9336</v>
      </c>
    </row>
    <row r="3649" spans="1:16" x14ac:dyDescent="0.35">
      <c r="A3649" t="s">
        <v>101</v>
      </c>
      <c r="B3649">
        <v>1322845176</v>
      </c>
      <c r="C3649" t="s">
        <v>18</v>
      </c>
      <c r="D3649" t="s">
        <v>21</v>
      </c>
      <c r="E3649" s="29">
        <v>46204</v>
      </c>
      <c r="F3649" t="s">
        <v>3</v>
      </c>
      <c r="G3649" s="28">
        <v>0.48402777777777778</v>
      </c>
      <c r="H3649" s="28">
        <v>0.48402777777777778</v>
      </c>
      <c r="I3649">
        <v>0</v>
      </c>
      <c r="J3649" t="s">
        <v>174</v>
      </c>
      <c r="K3649">
        <v>0</v>
      </c>
      <c r="L3649" t="s">
        <v>5787</v>
      </c>
      <c r="M3649" t="s">
        <v>5845</v>
      </c>
      <c r="N3649" t="s">
        <v>5846</v>
      </c>
      <c r="O3649" t="s">
        <v>5847</v>
      </c>
      <c r="P3649" t="s">
        <v>5848</v>
      </c>
    </row>
    <row r="3650" spans="1:16" x14ac:dyDescent="0.35">
      <c r="A3650" t="s">
        <v>101</v>
      </c>
      <c r="B3650">
        <v>1322845176</v>
      </c>
      <c r="C3650" t="s">
        <v>18</v>
      </c>
      <c r="D3650" t="s">
        <v>21</v>
      </c>
      <c r="E3650" s="29">
        <v>46204</v>
      </c>
      <c r="F3650" t="s">
        <v>3</v>
      </c>
      <c r="G3650" s="28">
        <v>0.4909722222222222</v>
      </c>
      <c r="H3650" s="28">
        <v>0.49791666666666667</v>
      </c>
      <c r="I3650">
        <v>0</v>
      </c>
      <c r="J3650" t="s">
        <v>146</v>
      </c>
      <c r="K3650">
        <v>1</v>
      </c>
      <c r="L3650" t="s">
        <v>147</v>
      </c>
      <c r="M3650" t="s">
        <v>9333</v>
      </c>
      <c r="N3650" t="s">
        <v>9334</v>
      </c>
      <c r="O3650" t="s">
        <v>9335</v>
      </c>
      <c r="P3650" t="s">
        <v>9336</v>
      </c>
    </row>
    <row r="3651" spans="1:16" x14ac:dyDescent="0.35">
      <c r="A3651" t="s">
        <v>101</v>
      </c>
      <c r="B3651">
        <v>1322845176</v>
      </c>
      <c r="C3651" t="s">
        <v>18</v>
      </c>
      <c r="D3651" t="s">
        <v>21</v>
      </c>
      <c r="E3651" s="29">
        <v>46204</v>
      </c>
      <c r="F3651" t="s">
        <v>3</v>
      </c>
      <c r="G3651" s="28">
        <v>0.50555555555555554</v>
      </c>
      <c r="H3651" s="28">
        <v>0.50555555555555554</v>
      </c>
      <c r="I3651">
        <v>0</v>
      </c>
      <c r="J3651" t="s">
        <v>174</v>
      </c>
      <c r="K3651">
        <v>0</v>
      </c>
      <c r="L3651" t="s">
        <v>9325</v>
      </c>
      <c r="M3651" t="s">
        <v>9326</v>
      </c>
      <c r="N3651" t="s">
        <v>9327</v>
      </c>
      <c r="O3651" t="s">
        <v>9328</v>
      </c>
      <c r="P3651" t="s">
        <v>9329</v>
      </c>
    </row>
    <row r="3652" spans="1:16" x14ac:dyDescent="0.35">
      <c r="A3652" t="s">
        <v>101</v>
      </c>
      <c r="B3652">
        <v>1322845176</v>
      </c>
      <c r="C3652" t="s">
        <v>18</v>
      </c>
      <c r="D3652" t="s">
        <v>21</v>
      </c>
      <c r="E3652" s="29">
        <v>46204</v>
      </c>
      <c r="F3652" t="s">
        <v>3</v>
      </c>
      <c r="G3652" s="28">
        <v>0.51180555555555551</v>
      </c>
      <c r="H3652" s="28">
        <v>0.52569444444444446</v>
      </c>
      <c r="I3652">
        <v>0</v>
      </c>
      <c r="J3652" t="s">
        <v>146</v>
      </c>
      <c r="K3652">
        <v>1</v>
      </c>
      <c r="L3652" t="s">
        <v>147</v>
      </c>
      <c r="M3652" t="s">
        <v>5845</v>
      </c>
      <c r="N3652" t="s">
        <v>5846</v>
      </c>
      <c r="O3652" t="s">
        <v>5847</v>
      </c>
      <c r="P3652" t="s">
        <v>5848</v>
      </c>
    </row>
    <row r="3653" spans="1:16" x14ac:dyDescent="0.35">
      <c r="A3653" t="s">
        <v>101</v>
      </c>
      <c r="B3653">
        <v>1322845176</v>
      </c>
      <c r="C3653" t="s">
        <v>18</v>
      </c>
      <c r="D3653" t="s">
        <v>21</v>
      </c>
      <c r="E3653" s="29">
        <v>46204</v>
      </c>
      <c r="F3653" t="s">
        <v>3</v>
      </c>
      <c r="G3653" s="28">
        <v>0.53263888888888888</v>
      </c>
      <c r="H3653" s="28">
        <v>0.53263888888888888</v>
      </c>
      <c r="I3653">
        <v>0</v>
      </c>
      <c r="J3653" t="s">
        <v>174</v>
      </c>
      <c r="K3653">
        <v>0</v>
      </c>
      <c r="L3653" t="s">
        <v>9337</v>
      </c>
      <c r="M3653" t="s">
        <v>9330</v>
      </c>
      <c r="N3653" t="s">
        <v>9331</v>
      </c>
      <c r="O3653" t="s">
        <v>9332</v>
      </c>
      <c r="P3653" t="s">
        <v>8996</v>
      </c>
    </row>
    <row r="3654" spans="1:16" x14ac:dyDescent="0.35">
      <c r="A3654" t="s">
        <v>101</v>
      </c>
      <c r="B3654">
        <v>1322845176</v>
      </c>
      <c r="C3654" t="s">
        <v>18</v>
      </c>
      <c r="D3654" t="s">
        <v>21</v>
      </c>
      <c r="E3654" s="29">
        <v>46204</v>
      </c>
      <c r="F3654" t="s">
        <v>3</v>
      </c>
      <c r="G3654" s="28">
        <v>0.54027777777777775</v>
      </c>
      <c r="H3654" s="28">
        <v>0.54027777777777775</v>
      </c>
      <c r="I3654">
        <v>0</v>
      </c>
      <c r="J3654" t="s">
        <v>174</v>
      </c>
      <c r="K3654">
        <v>0</v>
      </c>
      <c r="L3654" t="s">
        <v>9325</v>
      </c>
      <c r="M3654" t="s">
        <v>9326</v>
      </c>
      <c r="N3654" t="s">
        <v>9327</v>
      </c>
      <c r="O3654" t="s">
        <v>9328</v>
      </c>
      <c r="P3654" t="s">
        <v>9329</v>
      </c>
    </row>
    <row r="3655" spans="1:16" x14ac:dyDescent="0.35">
      <c r="A3655" t="s">
        <v>101</v>
      </c>
      <c r="B3655">
        <v>1322845176</v>
      </c>
      <c r="C3655" t="s">
        <v>18</v>
      </c>
      <c r="D3655" t="s">
        <v>21</v>
      </c>
      <c r="E3655" s="29">
        <v>46204</v>
      </c>
      <c r="F3655" t="s">
        <v>3</v>
      </c>
      <c r="G3655" s="28">
        <v>0.54652777777777772</v>
      </c>
      <c r="H3655" s="28">
        <v>0.54652777777777772</v>
      </c>
      <c r="I3655">
        <v>0</v>
      </c>
      <c r="J3655" t="s">
        <v>174</v>
      </c>
      <c r="K3655">
        <v>0</v>
      </c>
      <c r="L3655" t="s">
        <v>2772</v>
      </c>
      <c r="M3655" t="s">
        <v>5845</v>
      </c>
      <c r="N3655" t="s">
        <v>5846</v>
      </c>
      <c r="O3655" t="s">
        <v>5847</v>
      </c>
      <c r="P3655" t="s">
        <v>5848</v>
      </c>
    </row>
    <row r="3656" spans="1:16" x14ac:dyDescent="0.35">
      <c r="A3656" t="s">
        <v>101</v>
      </c>
      <c r="B3656">
        <v>1322845176</v>
      </c>
      <c r="C3656" t="s">
        <v>18</v>
      </c>
      <c r="D3656" t="s">
        <v>21</v>
      </c>
      <c r="E3656" s="29">
        <v>46204</v>
      </c>
      <c r="F3656" t="s">
        <v>3</v>
      </c>
      <c r="G3656" s="28">
        <v>0.55347222222222225</v>
      </c>
      <c r="H3656" s="28">
        <v>0.55347222222222225</v>
      </c>
      <c r="I3656">
        <v>0</v>
      </c>
      <c r="J3656" t="s">
        <v>174</v>
      </c>
      <c r="K3656">
        <v>0</v>
      </c>
      <c r="L3656" t="s">
        <v>9338</v>
      </c>
      <c r="M3656" t="s">
        <v>9315</v>
      </c>
      <c r="N3656" t="s">
        <v>9316</v>
      </c>
      <c r="O3656" t="s">
        <v>9317</v>
      </c>
      <c r="P3656" t="s">
        <v>5867</v>
      </c>
    </row>
    <row r="3657" spans="1:16" x14ac:dyDescent="0.35">
      <c r="A3657" t="s">
        <v>101</v>
      </c>
      <c r="B3657">
        <v>1322845176</v>
      </c>
      <c r="C3657" t="s">
        <v>18</v>
      </c>
      <c r="D3657" t="s">
        <v>21</v>
      </c>
      <c r="E3657" s="29">
        <v>46204</v>
      </c>
      <c r="F3657" t="s">
        <v>3</v>
      </c>
      <c r="G3657" s="28">
        <v>0.56041666666666667</v>
      </c>
      <c r="H3657" s="28">
        <v>0.57430555555555551</v>
      </c>
      <c r="I3657">
        <v>0</v>
      </c>
      <c r="J3657" t="s">
        <v>146</v>
      </c>
      <c r="K3657">
        <v>1</v>
      </c>
      <c r="L3657" t="s">
        <v>147</v>
      </c>
      <c r="M3657" t="s">
        <v>9333</v>
      </c>
      <c r="N3657" t="s">
        <v>9334</v>
      </c>
      <c r="O3657" t="s">
        <v>9335</v>
      </c>
      <c r="P3657" t="s">
        <v>9336</v>
      </c>
    </row>
    <row r="3658" spans="1:16" x14ac:dyDescent="0.35">
      <c r="A3658" t="s">
        <v>101</v>
      </c>
      <c r="B3658">
        <v>1322845176</v>
      </c>
      <c r="C3658" t="s">
        <v>18</v>
      </c>
      <c r="D3658" t="s">
        <v>21</v>
      </c>
      <c r="E3658" s="29">
        <v>46204</v>
      </c>
      <c r="F3658" t="s">
        <v>3</v>
      </c>
      <c r="G3658" s="28">
        <v>0.58125000000000004</v>
      </c>
      <c r="H3658" s="28">
        <v>0.58125000000000004</v>
      </c>
      <c r="I3658">
        <v>0</v>
      </c>
      <c r="J3658" t="s">
        <v>174</v>
      </c>
      <c r="K3658">
        <v>0</v>
      </c>
      <c r="L3658" t="s">
        <v>1544</v>
      </c>
      <c r="M3658" t="s">
        <v>9315</v>
      </c>
      <c r="N3658" t="s">
        <v>9316</v>
      </c>
      <c r="O3658" t="s">
        <v>9317</v>
      </c>
      <c r="P3658" t="s">
        <v>5867</v>
      </c>
    </row>
    <row r="3659" spans="1:16" x14ac:dyDescent="0.35">
      <c r="A3659" t="s">
        <v>101</v>
      </c>
      <c r="B3659">
        <v>1322845176</v>
      </c>
      <c r="C3659" t="s">
        <v>18</v>
      </c>
      <c r="D3659" t="s">
        <v>21</v>
      </c>
      <c r="E3659" s="29">
        <v>46204</v>
      </c>
      <c r="F3659" t="s">
        <v>3</v>
      </c>
      <c r="G3659" s="28">
        <v>0.58819444444444446</v>
      </c>
      <c r="H3659" s="28">
        <v>0.62291666666666667</v>
      </c>
      <c r="I3659">
        <v>1</v>
      </c>
      <c r="J3659" t="s">
        <v>146</v>
      </c>
      <c r="K3659">
        <v>2</v>
      </c>
      <c r="L3659" t="s">
        <v>147</v>
      </c>
      <c r="M3659" t="s">
        <v>9321</v>
      </c>
      <c r="N3659" t="s">
        <v>9322</v>
      </c>
      <c r="O3659" t="s">
        <v>9323</v>
      </c>
      <c r="P3659" t="s">
        <v>9324</v>
      </c>
    </row>
    <row r="3660" spans="1:16" x14ac:dyDescent="0.35">
      <c r="A3660" t="s">
        <v>101</v>
      </c>
      <c r="B3660">
        <v>1322845176</v>
      </c>
      <c r="C3660" t="s">
        <v>18</v>
      </c>
      <c r="D3660" t="s">
        <v>21</v>
      </c>
      <c r="E3660" s="29">
        <v>46204</v>
      </c>
      <c r="F3660" t="s">
        <v>3</v>
      </c>
      <c r="G3660" s="28">
        <v>0.62986111111111109</v>
      </c>
      <c r="H3660" s="28">
        <v>0.67847222222222225</v>
      </c>
      <c r="I3660">
        <v>1</v>
      </c>
      <c r="J3660" t="s">
        <v>146</v>
      </c>
      <c r="K3660">
        <v>4</v>
      </c>
      <c r="L3660" t="s">
        <v>147</v>
      </c>
      <c r="M3660" t="s">
        <v>9315</v>
      </c>
      <c r="N3660" t="s">
        <v>9316</v>
      </c>
      <c r="O3660" t="s">
        <v>9317</v>
      </c>
      <c r="P3660" t="s">
        <v>5867</v>
      </c>
    </row>
    <row r="3661" spans="1:16" x14ac:dyDescent="0.35">
      <c r="A3661" t="s">
        <v>101</v>
      </c>
      <c r="B3661">
        <v>1322845176</v>
      </c>
      <c r="C3661" t="s">
        <v>18</v>
      </c>
      <c r="D3661" t="s">
        <v>21</v>
      </c>
      <c r="E3661" s="29">
        <v>46204</v>
      </c>
      <c r="F3661" t="s">
        <v>3</v>
      </c>
      <c r="G3661" s="28">
        <v>0.68541666666666667</v>
      </c>
      <c r="H3661" s="28">
        <v>0.68541666666666667</v>
      </c>
      <c r="I3661">
        <v>0</v>
      </c>
      <c r="J3661" t="s">
        <v>174</v>
      </c>
      <c r="K3661">
        <v>0</v>
      </c>
      <c r="L3661" t="s">
        <v>3371</v>
      </c>
      <c r="M3661" t="s">
        <v>9321</v>
      </c>
      <c r="N3661" t="s">
        <v>9322</v>
      </c>
      <c r="O3661" t="s">
        <v>9323</v>
      </c>
      <c r="P3661" t="s">
        <v>9324</v>
      </c>
    </row>
    <row r="3662" spans="1:16" x14ac:dyDescent="0.35">
      <c r="A3662" t="s">
        <v>101</v>
      </c>
      <c r="B3662">
        <v>1322845176</v>
      </c>
      <c r="C3662" t="s">
        <v>18</v>
      </c>
      <c r="D3662" t="s">
        <v>21</v>
      </c>
      <c r="E3662" s="29">
        <v>46204</v>
      </c>
      <c r="F3662" t="s">
        <v>3</v>
      </c>
      <c r="G3662" s="28">
        <v>0.69305555555555554</v>
      </c>
      <c r="H3662" s="28">
        <v>0.69305555555555554</v>
      </c>
      <c r="I3662">
        <v>0</v>
      </c>
      <c r="J3662" t="s">
        <v>174</v>
      </c>
      <c r="K3662">
        <v>0</v>
      </c>
      <c r="L3662" t="s">
        <v>3371</v>
      </c>
      <c r="M3662" t="s">
        <v>9339</v>
      </c>
      <c r="N3662" t="s">
        <v>9340</v>
      </c>
      <c r="O3662" t="s">
        <v>9341</v>
      </c>
      <c r="P3662" t="s">
        <v>6212</v>
      </c>
    </row>
    <row r="3663" spans="1:16" x14ac:dyDescent="0.35">
      <c r="A3663" t="s">
        <v>101</v>
      </c>
      <c r="B3663">
        <v>1322845176</v>
      </c>
      <c r="C3663" t="s">
        <v>18</v>
      </c>
      <c r="D3663" t="s">
        <v>21</v>
      </c>
      <c r="E3663" s="29">
        <v>46204</v>
      </c>
      <c r="F3663" t="s">
        <v>3</v>
      </c>
      <c r="G3663" s="28">
        <v>0.69930555555555551</v>
      </c>
      <c r="H3663" s="28">
        <v>0.74097222222222225</v>
      </c>
      <c r="I3663">
        <v>1</v>
      </c>
      <c r="J3663" t="s">
        <v>146</v>
      </c>
      <c r="K3663">
        <v>3</v>
      </c>
      <c r="L3663" t="s">
        <v>147</v>
      </c>
      <c r="M3663" t="s">
        <v>9321</v>
      </c>
      <c r="N3663" t="s">
        <v>9322</v>
      </c>
      <c r="O3663" t="s">
        <v>9323</v>
      </c>
      <c r="P3663" t="s">
        <v>9324</v>
      </c>
    </row>
    <row r="3664" spans="1:16" x14ac:dyDescent="0.35">
      <c r="A3664" t="s">
        <v>101</v>
      </c>
      <c r="B3664">
        <v>1322845176</v>
      </c>
      <c r="C3664" t="s">
        <v>18</v>
      </c>
      <c r="D3664" t="s">
        <v>21</v>
      </c>
      <c r="E3664" s="29">
        <v>46204</v>
      </c>
      <c r="F3664" t="s">
        <v>3</v>
      </c>
      <c r="G3664" s="28">
        <v>0.74791666666666667</v>
      </c>
      <c r="H3664" s="28">
        <v>0.74791666666666667</v>
      </c>
      <c r="I3664">
        <v>0</v>
      </c>
      <c r="J3664" t="s">
        <v>174</v>
      </c>
      <c r="K3664">
        <v>0</v>
      </c>
      <c r="L3664" t="s">
        <v>648</v>
      </c>
      <c r="M3664" t="s">
        <v>9315</v>
      </c>
      <c r="N3664" t="s">
        <v>9316</v>
      </c>
      <c r="O3664" t="s">
        <v>9317</v>
      </c>
      <c r="P3664" t="s">
        <v>5867</v>
      </c>
    </row>
    <row r="3665" spans="1:16" x14ac:dyDescent="0.35">
      <c r="A3665" t="s">
        <v>101</v>
      </c>
      <c r="B3665">
        <v>1322845176</v>
      </c>
      <c r="C3665" t="s">
        <v>18</v>
      </c>
      <c r="D3665" t="s">
        <v>21</v>
      </c>
      <c r="E3665" s="29">
        <v>46204</v>
      </c>
      <c r="F3665" t="s">
        <v>3</v>
      </c>
      <c r="G3665" s="28">
        <v>0.75486111111111109</v>
      </c>
      <c r="H3665" s="28">
        <v>0.75486111111111109</v>
      </c>
      <c r="I3665">
        <v>0</v>
      </c>
      <c r="J3665" t="s">
        <v>174</v>
      </c>
      <c r="K3665">
        <v>0</v>
      </c>
      <c r="L3665" t="s">
        <v>1811</v>
      </c>
      <c r="M3665" t="s">
        <v>9342</v>
      </c>
      <c r="N3665" t="s">
        <v>9343</v>
      </c>
      <c r="O3665" t="s">
        <v>9344</v>
      </c>
      <c r="P3665" t="s">
        <v>9345</v>
      </c>
    </row>
    <row r="3666" spans="1:16" x14ac:dyDescent="0.35">
      <c r="A3666" t="s">
        <v>101</v>
      </c>
      <c r="B3666">
        <v>1322845176</v>
      </c>
      <c r="C3666" t="s">
        <v>18</v>
      </c>
      <c r="D3666" t="s">
        <v>21</v>
      </c>
      <c r="E3666" s="29">
        <v>46204</v>
      </c>
      <c r="F3666" t="s">
        <v>3</v>
      </c>
      <c r="G3666" s="28">
        <v>0.76180555555555551</v>
      </c>
      <c r="H3666" s="28">
        <v>0.76180555555555551</v>
      </c>
      <c r="I3666">
        <v>0</v>
      </c>
      <c r="J3666" t="s">
        <v>174</v>
      </c>
      <c r="K3666">
        <v>0</v>
      </c>
      <c r="L3666" t="s">
        <v>7430</v>
      </c>
      <c r="M3666" t="s">
        <v>9346</v>
      </c>
      <c r="N3666" t="s">
        <v>9347</v>
      </c>
      <c r="O3666" t="s">
        <v>9348</v>
      </c>
      <c r="P3666" t="s">
        <v>9349</v>
      </c>
    </row>
    <row r="3667" spans="1:16" x14ac:dyDescent="0.35">
      <c r="A3667" t="s">
        <v>101</v>
      </c>
      <c r="B3667">
        <v>1322845176</v>
      </c>
      <c r="C3667" t="s">
        <v>18</v>
      </c>
      <c r="D3667" t="s">
        <v>21</v>
      </c>
      <c r="E3667" s="29">
        <v>46204</v>
      </c>
      <c r="F3667" t="s">
        <v>3</v>
      </c>
      <c r="G3667" s="28">
        <v>0.76875000000000004</v>
      </c>
      <c r="H3667" s="28">
        <v>0.83125000000000004</v>
      </c>
      <c r="I3667">
        <v>2</v>
      </c>
      <c r="J3667" t="s">
        <v>146</v>
      </c>
      <c r="K3667">
        <v>4</v>
      </c>
      <c r="L3667" t="s">
        <v>147</v>
      </c>
      <c r="M3667" t="s">
        <v>5880</v>
      </c>
      <c r="N3667" t="s">
        <v>5881</v>
      </c>
      <c r="O3667" t="s">
        <v>5882</v>
      </c>
      <c r="P3667" t="s">
        <v>5883</v>
      </c>
    </row>
    <row r="3668" spans="1:16" x14ac:dyDescent="0.35">
      <c r="A3668" t="s">
        <v>101</v>
      </c>
      <c r="B3668">
        <v>1322845176</v>
      </c>
      <c r="C3668" t="s">
        <v>18</v>
      </c>
      <c r="D3668" t="s">
        <v>21</v>
      </c>
      <c r="E3668" s="29">
        <v>46205</v>
      </c>
      <c r="F3668" t="s">
        <v>4</v>
      </c>
      <c r="G3668" s="28">
        <v>0.38680555555555557</v>
      </c>
      <c r="H3668" s="28">
        <v>0.40069444444444446</v>
      </c>
      <c r="I3668">
        <v>0</v>
      </c>
      <c r="J3668" t="s">
        <v>146</v>
      </c>
      <c r="K3668">
        <v>1</v>
      </c>
      <c r="L3668" t="s">
        <v>147</v>
      </c>
      <c r="M3668" t="s">
        <v>9346</v>
      </c>
      <c r="N3668" t="s">
        <v>9347</v>
      </c>
      <c r="O3668" t="s">
        <v>9348</v>
      </c>
      <c r="P3668" t="s">
        <v>9349</v>
      </c>
    </row>
    <row r="3669" spans="1:16" x14ac:dyDescent="0.35">
      <c r="A3669" t="s">
        <v>101</v>
      </c>
      <c r="B3669">
        <v>1322845176</v>
      </c>
      <c r="C3669" t="s">
        <v>18</v>
      </c>
      <c r="D3669" t="s">
        <v>21</v>
      </c>
      <c r="E3669" s="29">
        <v>46205</v>
      </c>
      <c r="F3669" t="s">
        <v>4</v>
      </c>
      <c r="G3669" s="28">
        <v>0.40763888888888888</v>
      </c>
      <c r="H3669" s="28">
        <v>0.40763888888888888</v>
      </c>
      <c r="I3669">
        <v>0</v>
      </c>
      <c r="J3669" t="s">
        <v>174</v>
      </c>
      <c r="K3669">
        <v>0</v>
      </c>
      <c r="L3669" t="s">
        <v>9350</v>
      </c>
      <c r="M3669" t="s">
        <v>5888</v>
      </c>
      <c r="N3669" t="s">
        <v>5889</v>
      </c>
      <c r="O3669" t="s">
        <v>5890</v>
      </c>
      <c r="P3669" t="s">
        <v>5891</v>
      </c>
    </row>
    <row r="3670" spans="1:16" x14ac:dyDescent="0.35">
      <c r="A3670" t="s">
        <v>101</v>
      </c>
      <c r="B3670">
        <v>1322845176</v>
      </c>
      <c r="C3670" t="s">
        <v>18</v>
      </c>
      <c r="D3670" t="s">
        <v>21</v>
      </c>
      <c r="E3670" s="29">
        <v>46205</v>
      </c>
      <c r="F3670" t="s">
        <v>4</v>
      </c>
      <c r="G3670" s="28">
        <v>0.41458333333333336</v>
      </c>
      <c r="H3670" s="28">
        <v>0.41458333333333336</v>
      </c>
      <c r="I3670">
        <v>0</v>
      </c>
      <c r="J3670" t="s">
        <v>174</v>
      </c>
      <c r="K3670">
        <v>0</v>
      </c>
      <c r="L3670" t="s">
        <v>9351</v>
      </c>
      <c r="M3670" t="s">
        <v>9352</v>
      </c>
      <c r="N3670" t="s">
        <v>5885</v>
      </c>
      <c r="O3670" t="s">
        <v>5886</v>
      </c>
      <c r="P3670" t="s">
        <v>9353</v>
      </c>
    </row>
    <row r="3671" spans="1:16" x14ac:dyDescent="0.35">
      <c r="A3671" t="s">
        <v>101</v>
      </c>
      <c r="B3671">
        <v>1322845176</v>
      </c>
      <c r="C3671" t="s">
        <v>18</v>
      </c>
      <c r="D3671" t="s">
        <v>21</v>
      </c>
      <c r="E3671" s="29">
        <v>46205</v>
      </c>
      <c r="F3671" t="s">
        <v>4</v>
      </c>
      <c r="G3671" s="28">
        <v>0.42152777777777778</v>
      </c>
      <c r="H3671" s="28">
        <v>0.42152777777777778</v>
      </c>
      <c r="I3671">
        <v>0</v>
      </c>
      <c r="J3671" t="s">
        <v>174</v>
      </c>
      <c r="K3671">
        <v>0</v>
      </c>
      <c r="L3671" t="s">
        <v>2416</v>
      </c>
      <c r="M3671" t="s">
        <v>9354</v>
      </c>
      <c r="N3671" t="s">
        <v>9355</v>
      </c>
      <c r="O3671" t="s">
        <v>9356</v>
      </c>
      <c r="P3671" t="s">
        <v>9357</v>
      </c>
    </row>
    <row r="3672" spans="1:16" x14ac:dyDescent="0.35">
      <c r="A3672" t="s">
        <v>101</v>
      </c>
      <c r="B3672">
        <v>1322845176</v>
      </c>
      <c r="C3672" t="s">
        <v>18</v>
      </c>
      <c r="D3672" t="s">
        <v>21</v>
      </c>
      <c r="E3672" s="29">
        <v>46205</v>
      </c>
      <c r="F3672" t="s">
        <v>4</v>
      </c>
      <c r="G3672" s="28">
        <v>0.4284722222222222</v>
      </c>
      <c r="H3672" s="28">
        <v>0.4284722222222222</v>
      </c>
      <c r="I3672">
        <v>0</v>
      </c>
      <c r="J3672" t="s">
        <v>174</v>
      </c>
      <c r="K3672">
        <v>0</v>
      </c>
      <c r="L3672" t="s">
        <v>695</v>
      </c>
      <c r="M3672" t="s">
        <v>9358</v>
      </c>
      <c r="N3672" t="s">
        <v>9359</v>
      </c>
      <c r="O3672" t="s">
        <v>9360</v>
      </c>
      <c r="P3672" t="s">
        <v>9361</v>
      </c>
    </row>
    <row r="3673" spans="1:16" x14ac:dyDescent="0.35">
      <c r="A3673" t="s">
        <v>101</v>
      </c>
      <c r="B3673">
        <v>1322845176</v>
      </c>
      <c r="C3673" t="s">
        <v>18</v>
      </c>
      <c r="D3673" t="s">
        <v>21</v>
      </c>
      <c r="E3673" s="29">
        <v>46205</v>
      </c>
      <c r="F3673" t="s">
        <v>4</v>
      </c>
      <c r="G3673" s="28">
        <v>0.43541666666666667</v>
      </c>
      <c r="H3673" s="28">
        <v>0.43541666666666667</v>
      </c>
      <c r="I3673">
        <v>0</v>
      </c>
      <c r="J3673" t="s">
        <v>174</v>
      </c>
      <c r="K3673">
        <v>0</v>
      </c>
      <c r="L3673" t="s">
        <v>9362</v>
      </c>
      <c r="M3673" t="s">
        <v>9363</v>
      </c>
      <c r="N3673" t="s">
        <v>9364</v>
      </c>
      <c r="O3673" t="s">
        <v>9365</v>
      </c>
      <c r="P3673" t="s">
        <v>8804</v>
      </c>
    </row>
    <row r="3674" spans="1:16" x14ac:dyDescent="0.35">
      <c r="A3674" t="s">
        <v>101</v>
      </c>
      <c r="B3674">
        <v>1322845176</v>
      </c>
      <c r="C3674" t="s">
        <v>18</v>
      </c>
      <c r="D3674" t="s">
        <v>21</v>
      </c>
      <c r="E3674" s="29">
        <v>46205</v>
      </c>
      <c r="F3674" t="s">
        <v>4</v>
      </c>
      <c r="G3674" s="28">
        <v>0.44236111111111109</v>
      </c>
      <c r="H3674" s="28">
        <v>0.44236111111111109</v>
      </c>
      <c r="I3674">
        <v>0</v>
      </c>
      <c r="J3674" t="s">
        <v>174</v>
      </c>
      <c r="K3674">
        <v>0</v>
      </c>
      <c r="L3674" t="s">
        <v>9366</v>
      </c>
      <c r="M3674" t="s">
        <v>9367</v>
      </c>
      <c r="N3674" t="s">
        <v>9368</v>
      </c>
      <c r="O3674" t="s">
        <v>9369</v>
      </c>
      <c r="P3674" t="s">
        <v>9370</v>
      </c>
    </row>
    <row r="3675" spans="1:16" x14ac:dyDescent="0.35">
      <c r="A3675" t="s">
        <v>101</v>
      </c>
      <c r="B3675">
        <v>1322845176</v>
      </c>
      <c r="C3675" t="s">
        <v>18</v>
      </c>
      <c r="D3675" t="s">
        <v>21</v>
      </c>
      <c r="E3675" s="29">
        <v>46205</v>
      </c>
      <c r="F3675" t="s">
        <v>4</v>
      </c>
      <c r="G3675" s="28">
        <v>0.44930555555555557</v>
      </c>
      <c r="H3675" s="28">
        <v>0.44930555555555557</v>
      </c>
      <c r="I3675">
        <v>0</v>
      </c>
      <c r="J3675" t="s">
        <v>174</v>
      </c>
      <c r="K3675">
        <v>0</v>
      </c>
      <c r="L3675" t="s">
        <v>1164</v>
      </c>
      <c r="M3675" t="s">
        <v>9371</v>
      </c>
      <c r="N3675" t="s">
        <v>9372</v>
      </c>
      <c r="O3675" t="s">
        <v>9373</v>
      </c>
      <c r="P3675" t="s">
        <v>9374</v>
      </c>
    </row>
    <row r="3676" spans="1:16" x14ac:dyDescent="0.35">
      <c r="A3676" t="s">
        <v>101</v>
      </c>
      <c r="B3676">
        <v>1322845176</v>
      </c>
      <c r="C3676" t="s">
        <v>18</v>
      </c>
      <c r="D3676" t="s">
        <v>21</v>
      </c>
      <c r="E3676" s="29">
        <v>46205</v>
      </c>
      <c r="F3676" t="s">
        <v>4</v>
      </c>
      <c r="G3676" s="28">
        <v>0.45624999999999999</v>
      </c>
      <c r="H3676" s="28">
        <v>0.45624999999999999</v>
      </c>
      <c r="I3676">
        <v>0</v>
      </c>
      <c r="J3676" t="s">
        <v>174</v>
      </c>
      <c r="K3676">
        <v>0</v>
      </c>
      <c r="L3676" t="s">
        <v>2248</v>
      </c>
      <c r="M3676" t="s">
        <v>5864</v>
      </c>
      <c r="N3676" t="s">
        <v>5865</v>
      </c>
      <c r="O3676" t="s">
        <v>5866</v>
      </c>
      <c r="P3676" t="s">
        <v>9375</v>
      </c>
    </row>
    <row r="3677" spans="1:16" x14ac:dyDescent="0.35">
      <c r="A3677" t="s">
        <v>101</v>
      </c>
      <c r="B3677">
        <v>1322845176</v>
      </c>
      <c r="C3677" t="s">
        <v>18</v>
      </c>
      <c r="D3677" t="s">
        <v>21</v>
      </c>
      <c r="E3677" s="29">
        <v>46205</v>
      </c>
      <c r="F3677" t="s">
        <v>4</v>
      </c>
      <c r="G3677" s="28">
        <v>0.46319444444444446</v>
      </c>
      <c r="H3677" s="28">
        <v>0.7270833333333333</v>
      </c>
      <c r="I3677">
        <v>6</v>
      </c>
      <c r="J3677" t="s">
        <v>146</v>
      </c>
      <c r="K3677">
        <v>19</v>
      </c>
      <c r="L3677" t="s">
        <v>147</v>
      </c>
      <c r="M3677" t="s">
        <v>5868</v>
      </c>
      <c r="N3677" t="s">
        <v>5869</v>
      </c>
      <c r="O3677" t="s">
        <v>5870</v>
      </c>
      <c r="P3677" t="s">
        <v>9376</v>
      </c>
    </row>
    <row r="3678" spans="1:16" x14ac:dyDescent="0.35">
      <c r="A3678" t="s">
        <v>101</v>
      </c>
      <c r="B3678">
        <v>1322845176</v>
      </c>
      <c r="C3678" t="s">
        <v>18</v>
      </c>
      <c r="D3678" t="s">
        <v>21</v>
      </c>
      <c r="E3678" s="29">
        <v>46205</v>
      </c>
      <c r="F3678" t="s">
        <v>4</v>
      </c>
      <c r="G3678" s="28">
        <v>0.73402777777777772</v>
      </c>
      <c r="H3678" s="28">
        <v>0.73402777777777772</v>
      </c>
      <c r="I3678">
        <v>0</v>
      </c>
      <c r="J3678" t="s">
        <v>174</v>
      </c>
      <c r="K3678">
        <v>0</v>
      </c>
      <c r="L3678" t="s">
        <v>369</v>
      </c>
      <c r="M3678" t="s">
        <v>9377</v>
      </c>
      <c r="N3678" t="s">
        <v>9378</v>
      </c>
      <c r="O3678" t="s">
        <v>9379</v>
      </c>
      <c r="P3678" t="s">
        <v>9380</v>
      </c>
    </row>
    <row r="3679" spans="1:16" x14ac:dyDescent="0.35">
      <c r="A3679" t="s">
        <v>101</v>
      </c>
      <c r="B3679">
        <v>1322845176</v>
      </c>
      <c r="C3679" t="s">
        <v>18</v>
      </c>
      <c r="D3679" t="s">
        <v>21</v>
      </c>
      <c r="E3679" s="29">
        <v>46205</v>
      </c>
      <c r="F3679" t="s">
        <v>4</v>
      </c>
      <c r="G3679" s="28">
        <v>0.74097222222222225</v>
      </c>
      <c r="H3679" s="28">
        <v>0.74097222222222225</v>
      </c>
      <c r="I3679">
        <v>0</v>
      </c>
      <c r="J3679" t="s">
        <v>174</v>
      </c>
      <c r="K3679">
        <v>0</v>
      </c>
      <c r="L3679" t="s">
        <v>9381</v>
      </c>
      <c r="M3679" t="s">
        <v>9342</v>
      </c>
      <c r="N3679" t="s">
        <v>9343</v>
      </c>
      <c r="O3679" t="s">
        <v>9344</v>
      </c>
      <c r="P3679" t="s">
        <v>9345</v>
      </c>
    </row>
    <row r="3680" spans="1:16" x14ac:dyDescent="0.35">
      <c r="A3680" t="s">
        <v>101</v>
      </c>
      <c r="B3680">
        <v>1322845176</v>
      </c>
      <c r="C3680" t="s">
        <v>18</v>
      </c>
      <c r="D3680" t="s">
        <v>21</v>
      </c>
      <c r="E3680" s="29">
        <v>46205</v>
      </c>
      <c r="F3680" t="s">
        <v>4</v>
      </c>
      <c r="G3680" s="28">
        <v>0.74791666666666667</v>
      </c>
      <c r="H3680" s="28">
        <v>0.82430555555555551</v>
      </c>
      <c r="I3680">
        <v>2</v>
      </c>
      <c r="J3680" t="s">
        <v>146</v>
      </c>
      <c r="K3680">
        <v>6</v>
      </c>
      <c r="L3680" t="s">
        <v>147</v>
      </c>
      <c r="M3680" t="s">
        <v>9321</v>
      </c>
      <c r="N3680" t="s">
        <v>9322</v>
      </c>
      <c r="O3680" t="s">
        <v>9323</v>
      </c>
      <c r="P3680" t="s">
        <v>9324</v>
      </c>
    </row>
    <row r="3681" spans="1:16" x14ac:dyDescent="0.35">
      <c r="A3681" t="s">
        <v>101</v>
      </c>
      <c r="B3681">
        <v>1322845176</v>
      </c>
      <c r="C3681" t="s">
        <v>18</v>
      </c>
      <c r="D3681" t="s">
        <v>21</v>
      </c>
      <c r="E3681" s="29">
        <v>46207</v>
      </c>
      <c r="F3681" t="s">
        <v>5</v>
      </c>
      <c r="G3681" s="28">
        <v>0.40763888888888888</v>
      </c>
      <c r="H3681" s="28">
        <v>0.44236111111111109</v>
      </c>
      <c r="I3681">
        <v>1</v>
      </c>
      <c r="J3681" t="s">
        <v>146</v>
      </c>
      <c r="K3681">
        <v>2</v>
      </c>
      <c r="L3681" t="s">
        <v>147</v>
      </c>
      <c r="M3681" t="s">
        <v>9382</v>
      </c>
      <c r="N3681" t="s">
        <v>9383</v>
      </c>
      <c r="O3681" t="s">
        <v>9384</v>
      </c>
      <c r="P3681" t="s">
        <v>9385</v>
      </c>
    </row>
    <row r="3682" spans="1:16" x14ac:dyDescent="0.35">
      <c r="A3682" t="s">
        <v>101</v>
      </c>
      <c r="B3682">
        <v>1322845176</v>
      </c>
      <c r="C3682" t="s">
        <v>18</v>
      </c>
      <c r="D3682" t="s">
        <v>21</v>
      </c>
      <c r="E3682" s="29">
        <v>46207</v>
      </c>
      <c r="F3682" t="s">
        <v>5</v>
      </c>
      <c r="G3682" s="28">
        <v>0.44930555555555557</v>
      </c>
      <c r="H3682" s="28">
        <v>0.44930555555555557</v>
      </c>
      <c r="I3682">
        <v>0</v>
      </c>
      <c r="J3682" t="s">
        <v>174</v>
      </c>
      <c r="K3682">
        <v>0</v>
      </c>
      <c r="L3682" t="s">
        <v>8757</v>
      </c>
      <c r="M3682" t="s">
        <v>9386</v>
      </c>
      <c r="N3682" t="s">
        <v>9387</v>
      </c>
      <c r="O3682" t="s">
        <v>9388</v>
      </c>
      <c r="P3682" t="s">
        <v>9389</v>
      </c>
    </row>
    <row r="3683" spans="1:16" x14ac:dyDescent="0.35">
      <c r="A3683" t="s">
        <v>101</v>
      </c>
      <c r="B3683">
        <v>1322845176</v>
      </c>
      <c r="C3683" t="s">
        <v>18</v>
      </c>
      <c r="D3683" t="s">
        <v>21</v>
      </c>
      <c r="E3683" s="29">
        <v>46207</v>
      </c>
      <c r="F3683" t="s">
        <v>5</v>
      </c>
      <c r="G3683" s="28">
        <v>0.45624999999999999</v>
      </c>
      <c r="H3683" s="28">
        <v>0.45624999999999999</v>
      </c>
      <c r="I3683">
        <v>0</v>
      </c>
      <c r="J3683" t="s">
        <v>174</v>
      </c>
      <c r="K3683">
        <v>0</v>
      </c>
      <c r="L3683" t="s">
        <v>6111</v>
      </c>
      <c r="M3683" t="s">
        <v>6112</v>
      </c>
      <c r="N3683" t="s">
        <v>6113</v>
      </c>
      <c r="O3683" t="s">
        <v>6114</v>
      </c>
      <c r="P3683" t="s">
        <v>6115</v>
      </c>
    </row>
    <row r="3684" spans="1:16" x14ac:dyDescent="0.35">
      <c r="A3684" t="s">
        <v>101</v>
      </c>
      <c r="B3684">
        <v>1322845176</v>
      </c>
      <c r="C3684" t="s">
        <v>18</v>
      </c>
      <c r="D3684" t="s">
        <v>21</v>
      </c>
      <c r="E3684" s="29">
        <v>46207</v>
      </c>
      <c r="F3684" t="s">
        <v>5</v>
      </c>
      <c r="G3684" s="28">
        <v>0.46319444444444446</v>
      </c>
      <c r="H3684" s="28">
        <v>0.46319444444444446</v>
      </c>
      <c r="I3684">
        <v>0</v>
      </c>
      <c r="J3684" t="s">
        <v>174</v>
      </c>
      <c r="K3684">
        <v>0</v>
      </c>
      <c r="L3684" t="s">
        <v>1425</v>
      </c>
      <c r="M3684" t="s">
        <v>982</v>
      </c>
      <c r="N3684" t="s">
        <v>983</v>
      </c>
      <c r="O3684" t="s">
        <v>984</v>
      </c>
      <c r="P3684" t="s">
        <v>9390</v>
      </c>
    </row>
    <row r="3685" spans="1:16" x14ac:dyDescent="0.35">
      <c r="A3685" t="s">
        <v>101</v>
      </c>
      <c r="B3685">
        <v>1322845176</v>
      </c>
      <c r="C3685" t="s">
        <v>18</v>
      </c>
      <c r="D3685" t="s">
        <v>21</v>
      </c>
      <c r="E3685" s="29">
        <v>46207</v>
      </c>
      <c r="F3685" t="s">
        <v>5</v>
      </c>
      <c r="G3685" s="28">
        <v>0.47013888888888888</v>
      </c>
      <c r="H3685" s="28">
        <v>0.47013888888888888</v>
      </c>
      <c r="I3685">
        <v>0</v>
      </c>
      <c r="J3685" t="s">
        <v>174</v>
      </c>
      <c r="K3685">
        <v>0</v>
      </c>
      <c r="L3685" t="s">
        <v>6117</v>
      </c>
      <c r="M3685" t="s">
        <v>6118</v>
      </c>
      <c r="N3685" t="s">
        <v>6119</v>
      </c>
      <c r="O3685" t="s">
        <v>6120</v>
      </c>
      <c r="P3685" t="s">
        <v>6121</v>
      </c>
    </row>
    <row r="3686" spans="1:16" x14ac:dyDescent="0.35">
      <c r="A3686" t="s">
        <v>101</v>
      </c>
      <c r="B3686">
        <v>1322845176</v>
      </c>
      <c r="C3686" t="s">
        <v>18</v>
      </c>
      <c r="D3686" t="s">
        <v>21</v>
      </c>
      <c r="E3686" s="29">
        <v>46207</v>
      </c>
      <c r="F3686" t="s">
        <v>5</v>
      </c>
      <c r="G3686" s="28">
        <v>0.47708333333333336</v>
      </c>
      <c r="H3686" s="28">
        <v>0.52569444444444446</v>
      </c>
      <c r="I3686">
        <v>1</v>
      </c>
      <c r="J3686" t="s">
        <v>146</v>
      </c>
      <c r="K3686">
        <v>4</v>
      </c>
      <c r="L3686" t="s">
        <v>147</v>
      </c>
      <c r="M3686" t="s">
        <v>987</v>
      </c>
      <c r="N3686" t="s">
        <v>6122</v>
      </c>
      <c r="O3686" t="s">
        <v>6123</v>
      </c>
      <c r="P3686" t="s">
        <v>6124</v>
      </c>
    </row>
    <row r="3687" spans="1:16" x14ac:dyDescent="0.35">
      <c r="A3687" t="s">
        <v>101</v>
      </c>
      <c r="B3687">
        <v>1322845176</v>
      </c>
      <c r="C3687" t="s">
        <v>18</v>
      </c>
      <c r="D3687" t="s">
        <v>21</v>
      </c>
      <c r="E3687" s="29">
        <v>46207</v>
      </c>
      <c r="F3687" t="s">
        <v>5</v>
      </c>
      <c r="G3687" s="28">
        <v>0.53263888888888888</v>
      </c>
      <c r="H3687" s="28">
        <v>0.55347222222222225</v>
      </c>
      <c r="I3687">
        <v>1</v>
      </c>
      <c r="J3687" t="s">
        <v>146</v>
      </c>
      <c r="K3687">
        <v>2</v>
      </c>
      <c r="L3687" t="s">
        <v>147</v>
      </c>
      <c r="M3687" t="s">
        <v>9391</v>
      </c>
      <c r="N3687" t="s">
        <v>9392</v>
      </c>
      <c r="O3687" t="s">
        <v>9393</v>
      </c>
      <c r="P3687" t="s">
        <v>9394</v>
      </c>
    </row>
    <row r="3688" spans="1:16" x14ac:dyDescent="0.35">
      <c r="A3688" t="s">
        <v>101</v>
      </c>
      <c r="B3688">
        <v>1322845176</v>
      </c>
      <c r="C3688" t="s">
        <v>18</v>
      </c>
      <c r="D3688" t="s">
        <v>21</v>
      </c>
      <c r="E3688" s="29">
        <v>46207</v>
      </c>
      <c r="F3688" t="s">
        <v>5</v>
      </c>
      <c r="G3688" s="28">
        <v>0.56041666666666667</v>
      </c>
      <c r="H3688" s="28">
        <v>0.57430555555555551</v>
      </c>
      <c r="I3688">
        <v>0</v>
      </c>
      <c r="J3688" t="s">
        <v>146</v>
      </c>
      <c r="K3688">
        <v>1</v>
      </c>
      <c r="L3688" t="s">
        <v>147</v>
      </c>
      <c r="M3688" t="s">
        <v>987</v>
      </c>
      <c r="N3688" t="s">
        <v>6122</v>
      </c>
      <c r="O3688" t="s">
        <v>6123</v>
      </c>
      <c r="P3688" t="s">
        <v>6124</v>
      </c>
    </row>
    <row r="3689" spans="1:16" x14ac:dyDescent="0.35">
      <c r="A3689" t="s">
        <v>101</v>
      </c>
      <c r="B3689">
        <v>1322845176</v>
      </c>
      <c r="C3689" t="s">
        <v>18</v>
      </c>
      <c r="D3689" t="s">
        <v>21</v>
      </c>
      <c r="E3689" s="29">
        <v>46207</v>
      </c>
      <c r="F3689" t="s">
        <v>5</v>
      </c>
      <c r="G3689" s="28">
        <v>0.58125000000000004</v>
      </c>
      <c r="H3689" s="28">
        <v>0.58125000000000004</v>
      </c>
      <c r="I3689">
        <v>0</v>
      </c>
      <c r="J3689" t="s">
        <v>174</v>
      </c>
      <c r="K3689">
        <v>0</v>
      </c>
      <c r="L3689" t="s">
        <v>1613</v>
      </c>
      <c r="M3689" t="s">
        <v>6196</v>
      </c>
      <c r="N3689" t="s">
        <v>9395</v>
      </c>
      <c r="O3689" t="s">
        <v>9396</v>
      </c>
      <c r="P3689" t="s">
        <v>9397</v>
      </c>
    </row>
    <row r="3690" spans="1:16" x14ac:dyDescent="0.35">
      <c r="A3690" t="s">
        <v>101</v>
      </c>
      <c r="B3690">
        <v>1322845176</v>
      </c>
      <c r="C3690" t="s">
        <v>18</v>
      </c>
      <c r="D3690" t="s">
        <v>21</v>
      </c>
      <c r="E3690" s="29">
        <v>46207</v>
      </c>
      <c r="F3690" t="s">
        <v>5</v>
      </c>
      <c r="G3690" s="28">
        <v>0.58819444444444446</v>
      </c>
      <c r="H3690" s="28">
        <v>0.58819444444444446</v>
      </c>
      <c r="I3690">
        <v>0</v>
      </c>
      <c r="J3690" t="s">
        <v>174</v>
      </c>
      <c r="K3690">
        <v>0</v>
      </c>
      <c r="L3690" t="s">
        <v>9398</v>
      </c>
      <c r="M3690" t="s">
        <v>982</v>
      </c>
      <c r="N3690" t="s">
        <v>983</v>
      </c>
      <c r="O3690" t="s">
        <v>984</v>
      </c>
      <c r="P3690" t="s">
        <v>9390</v>
      </c>
    </row>
    <row r="3691" spans="1:16" x14ac:dyDescent="0.35">
      <c r="A3691" t="s">
        <v>101</v>
      </c>
      <c r="B3691">
        <v>1322845176</v>
      </c>
      <c r="C3691" t="s">
        <v>18</v>
      </c>
      <c r="D3691" t="s">
        <v>21</v>
      </c>
      <c r="E3691" s="29">
        <v>46207</v>
      </c>
      <c r="F3691" t="s">
        <v>5</v>
      </c>
      <c r="G3691" s="28">
        <v>0.59513888888888888</v>
      </c>
      <c r="H3691" s="28">
        <v>0.6020833333333333</v>
      </c>
      <c r="I3691">
        <v>0</v>
      </c>
      <c r="J3691" t="s">
        <v>146</v>
      </c>
      <c r="K3691">
        <v>0</v>
      </c>
      <c r="L3691" t="s">
        <v>147</v>
      </c>
      <c r="M3691" t="s">
        <v>9399</v>
      </c>
      <c r="N3691" t="s">
        <v>9400</v>
      </c>
      <c r="O3691" t="s">
        <v>9401</v>
      </c>
      <c r="P3691" t="s">
        <v>9402</v>
      </c>
    </row>
    <row r="3692" spans="1:16" x14ac:dyDescent="0.35">
      <c r="A3692" t="s">
        <v>101</v>
      </c>
      <c r="B3692">
        <v>1322845176</v>
      </c>
      <c r="C3692" t="s">
        <v>18</v>
      </c>
      <c r="D3692" t="s">
        <v>21</v>
      </c>
      <c r="E3692" s="29">
        <v>46207</v>
      </c>
      <c r="F3692" t="s">
        <v>5</v>
      </c>
      <c r="G3692" s="28">
        <v>0.60902777777777772</v>
      </c>
      <c r="H3692" s="28">
        <v>0.73402777777777772</v>
      </c>
      <c r="I3692">
        <v>3</v>
      </c>
      <c r="J3692" t="s">
        <v>146</v>
      </c>
      <c r="K3692">
        <v>9</v>
      </c>
      <c r="L3692" t="s">
        <v>147</v>
      </c>
      <c r="M3692" t="s">
        <v>9403</v>
      </c>
      <c r="N3692" t="s">
        <v>9404</v>
      </c>
      <c r="O3692" t="s">
        <v>9405</v>
      </c>
      <c r="P3692" t="s">
        <v>9406</v>
      </c>
    </row>
    <row r="3693" spans="1:16" x14ac:dyDescent="0.35">
      <c r="A3693" t="s">
        <v>101</v>
      </c>
      <c r="B3693">
        <v>1322845176</v>
      </c>
      <c r="C3693" t="s">
        <v>18</v>
      </c>
      <c r="D3693" t="s">
        <v>21</v>
      </c>
      <c r="E3693" s="29">
        <v>46207</v>
      </c>
      <c r="F3693" t="s">
        <v>5</v>
      </c>
      <c r="G3693" s="28">
        <v>0.74097222222222225</v>
      </c>
      <c r="H3693" s="28">
        <v>0.74097222222222225</v>
      </c>
      <c r="I3693">
        <v>0</v>
      </c>
      <c r="J3693" t="s">
        <v>174</v>
      </c>
      <c r="K3693">
        <v>0</v>
      </c>
      <c r="L3693" t="s">
        <v>1842</v>
      </c>
      <c r="M3693" t="s">
        <v>6112</v>
      </c>
      <c r="N3693" t="s">
        <v>9407</v>
      </c>
      <c r="O3693" t="s">
        <v>9408</v>
      </c>
      <c r="P3693" t="s">
        <v>9409</v>
      </c>
    </row>
    <row r="3694" spans="1:16" x14ac:dyDescent="0.35">
      <c r="A3694" t="s">
        <v>101</v>
      </c>
      <c r="B3694">
        <v>1322845176</v>
      </c>
      <c r="C3694" t="s">
        <v>18</v>
      </c>
      <c r="D3694" t="s">
        <v>21</v>
      </c>
      <c r="E3694" s="29">
        <v>46207</v>
      </c>
      <c r="F3694" t="s">
        <v>5</v>
      </c>
      <c r="G3694" s="28">
        <v>0.74791666666666667</v>
      </c>
      <c r="H3694" s="28">
        <v>0.74791666666666667</v>
      </c>
      <c r="I3694">
        <v>0</v>
      </c>
      <c r="J3694" t="s">
        <v>174</v>
      </c>
      <c r="K3694">
        <v>0</v>
      </c>
      <c r="L3694" t="s">
        <v>4716</v>
      </c>
      <c r="M3694" t="s">
        <v>9410</v>
      </c>
      <c r="N3694" t="s">
        <v>9411</v>
      </c>
      <c r="O3694" t="s">
        <v>9412</v>
      </c>
      <c r="P3694" t="s">
        <v>6207</v>
      </c>
    </row>
    <row r="3695" spans="1:16" x14ac:dyDescent="0.35">
      <c r="A3695" t="s">
        <v>101</v>
      </c>
      <c r="B3695">
        <v>1322845176</v>
      </c>
      <c r="C3695" t="s">
        <v>18</v>
      </c>
      <c r="D3695" t="s">
        <v>21</v>
      </c>
      <c r="E3695" s="29">
        <v>46207</v>
      </c>
      <c r="F3695" t="s">
        <v>5</v>
      </c>
      <c r="G3695" s="28">
        <v>0.75486111111111109</v>
      </c>
      <c r="H3695" s="28">
        <v>0.75486111111111109</v>
      </c>
      <c r="I3695">
        <v>0</v>
      </c>
      <c r="J3695" t="s">
        <v>174</v>
      </c>
      <c r="K3695">
        <v>0</v>
      </c>
      <c r="L3695" t="s">
        <v>3997</v>
      </c>
      <c r="M3695" t="s">
        <v>972</v>
      </c>
      <c r="N3695" t="s">
        <v>973</v>
      </c>
      <c r="O3695" t="s">
        <v>974</v>
      </c>
      <c r="P3695" t="s">
        <v>9413</v>
      </c>
    </row>
    <row r="3696" spans="1:16" x14ac:dyDescent="0.35">
      <c r="A3696" t="s">
        <v>101</v>
      </c>
      <c r="B3696">
        <v>1322845176</v>
      </c>
      <c r="C3696" t="s">
        <v>18</v>
      </c>
      <c r="D3696" t="s">
        <v>21</v>
      </c>
      <c r="E3696" s="29">
        <v>46207</v>
      </c>
      <c r="F3696" t="s">
        <v>5</v>
      </c>
      <c r="G3696" s="28">
        <v>0.76180555555555551</v>
      </c>
      <c r="H3696" s="28">
        <v>0.76180555555555551</v>
      </c>
      <c r="I3696">
        <v>0</v>
      </c>
      <c r="J3696" t="s">
        <v>174</v>
      </c>
      <c r="K3696">
        <v>0</v>
      </c>
      <c r="L3696" t="s">
        <v>2757</v>
      </c>
      <c r="M3696" t="s">
        <v>9414</v>
      </c>
      <c r="N3696" t="s">
        <v>9415</v>
      </c>
      <c r="O3696" t="s">
        <v>9416</v>
      </c>
      <c r="P3696" t="s">
        <v>9417</v>
      </c>
    </row>
    <row r="3697" spans="1:16" x14ac:dyDescent="0.35">
      <c r="A3697" t="s">
        <v>101</v>
      </c>
      <c r="B3697">
        <v>1322845176</v>
      </c>
      <c r="C3697" t="s">
        <v>18</v>
      </c>
      <c r="D3697" t="s">
        <v>21</v>
      </c>
      <c r="E3697" s="29">
        <v>46207</v>
      </c>
      <c r="F3697" t="s">
        <v>5</v>
      </c>
      <c r="G3697" s="28">
        <v>0.76875000000000004</v>
      </c>
      <c r="H3697" s="28">
        <v>0.76875000000000004</v>
      </c>
      <c r="I3697">
        <v>0</v>
      </c>
      <c r="J3697" t="s">
        <v>174</v>
      </c>
      <c r="K3697">
        <v>0</v>
      </c>
      <c r="L3697" t="s">
        <v>9418</v>
      </c>
      <c r="M3697" t="s">
        <v>9346</v>
      </c>
      <c r="N3697" t="s">
        <v>9347</v>
      </c>
      <c r="O3697" t="s">
        <v>9348</v>
      </c>
      <c r="P3697" t="s">
        <v>9349</v>
      </c>
    </row>
    <row r="3698" spans="1:16" x14ac:dyDescent="0.35">
      <c r="A3698" t="s">
        <v>101</v>
      </c>
      <c r="B3698">
        <v>1322845176</v>
      </c>
      <c r="C3698" t="s">
        <v>18</v>
      </c>
      <c r="D3698" t="s">
        <v>21</v>
      </c>
      <c r="E3698" s="29">
        <v>46207</v>
      </c>
      <c r="F3698" t="s">
        <v>5</v>
      </c>
      <c r="G3698" s="28">
        <v>0.77569444444444446</v>
      </c>
      <c r="H3698" s="28">
        <v>0.80347222222222225</v>
      </c>
      <c r="I3698">
        <v>1</v>
      </c>
      <c r="J3698" t="s">
        <v>146</v>
      </c>
      <c r="K3698">
        <v>2</v>
      </c>
      <c r="L3698" t="s">
        <v>147</v>
      </c>
      <c r="M3698" t="s">
        <v>9419</v>
      </c>
      <c r="N3698" t="s">
        <v>9420</v>
      </c>
      <c r="O3698" t="s">
        <v>9421</v>
      </c>
      <c r="P3698" t="s">
        <v>9422</v>
      </c>
    </row>
    <row r="3699" spans="1:16" x14ac:dyDescent="0.35">
      <c r="A3699" t="s">
        <v>101</v>
      </c>
      <c r="B3699">
        <v>1322845176</v>
      </c>
      <c r="C3699" t="s">
        <v>18</v>
      </c>
      <c r="D3699" t="s">
        <v>21</v>
      </c>
      <c r="E3699" s="29">
        <v>46208</v>
      </c>
      <c r="F3699" t="s">
        <v>6</v>
      </c>
      <c r="G3699" s="28">
        <v>0.37986111111111109</v>
      </c>
      <c r="H3699" s="28">
        <v>0.38680555555555557</v>
      </c>
      <c r="I3699">
        <v>0</v>
      </c>
      <c r="J3699" t="s">
        <v>146</v>
      </c>
      <c r="K3699">
        <v>1</v>
      </c>
      <c r="L3699" t="s">
        <v>147</v>
      </c>
      <c r="M3699" t="s">
        <v>9321</v>
      </c>
      <c r="N3699" t="s">
        <v>9322</v>
      </c>
      <c r="O3699" t="s">
        <v>9323</v>
      </c>
      <c r="P3699" t="s">
        <v>9324</v>
      </c>
    </row>
    <row r="3700" spans="1:16" x14ac:dyDescent="0.35">
      <c r="A3700" t="s">
        <v>101</v>
      </c>
      <c r="B3700">
        <v>1322845176</v>
      </c>
      <c r="C3700" t="s">
        <v>18</v>
      </c>
      <c r="D3700" t="s">
        <v>21</v>
      </c>
      <c r="E3700" s="29">
        <v>46208</v>
      </c>
      <c r="F3700" t="s">
        <v>6</v>
      </c>
      <c r="G3700" s="28">
        <v>0.39374999999999999</v>
      </c>
      <c r="H3700" s="28">
        <v>0.39374999999999999</v>
      </c>
      <c r="I3700">
        <v>0</v>
      </c>
      <c r="J3700" t="s">
        <v>174</v>
      </c>
      <c r="K3700">
        <v>0</v>
      </c>
      <c r="L3700" t="s">
        <v>257</v>
      </c>
      <c r="M3700" t="s">
        <v>9423</v>
      </c>
      <c r="N3700" t="s">
        <v>9424</v>
      </c>
      <c r="O3700" t="s">
        <v>9320</v>
      </c>
      <c r="P3700" t="s">
        <v>9425</v>
      </c>
    </row>
    <row r="3701" spans="1:16" x14ac:dyDescent="0.35">
      <c r="A3701" t="s">
        <v>101</v>
      </c>
      <c r="B3701">
        <v>1322845176</v>
      </c>
      <c r="C3701" t="s">
        <v>18</v>
      </c>
      <c r="D3701" t="s">
        <v>21</v>
      </c>
      <c r="E3701" s="29">
        <v>46208</v>
      </c>
      <c r="F3701" t="s">
        <v>6</v>
      </c>
      <c r="G3701" s="28">
        <v>0.40069444444444446</v>
      </c>
      <c r="H3701" s="28">
        <v>0.40069444444444446</v>
      </c>
      <c r="I3701">
        <v>0</v>
      </c>
      <c r="J3701" t="s">
        <v>174</v>
      </c>
      <c r="K3701">
        <v>0</v>
      </c>
      <c r="L3701" t="s">
        <v>257</v>
      </c>
      <c r="M3701" t="s">
        <v>9321</v>
      </c>
      <c r="N3701" t="s">
        <v>9322</v>
      </c>
      <c r="O3701" t="s">
        <v>9323</v>
      </c>
      <c r="P3701" t="s">
        <v>9324</v>
      </c>
    </row>
    <row r="3702" spans="1:16" x14ac:dyDescent="0.35">
      <c r="A3702" t="s">
        <v>101</v>
      </c>
      <c r="B3702">
        <v>1322845176</v>
      </c>
      <c r="C3702" t="s">
        <v>18</v>
      </c>
      <c r="D3702" t="s">
        <v>21</v>
      </c>
      <c r="E3702" s="29">
        <v>46208</v>
      </c>
      <c r="F3702" t="s">
        <v>6</v>
      </c>
      <c r="G3702" s="28">
        <v>0.40763888888888888</v>
      </c>
      <c r="H3702" s="28">
        <v>0.40763888888888888</v>
      </c>
      <c r="I3702">
        <v>0</v>
      </c>
      <c r="J3702" t="s">
        <v>174</v>
      </c>
      <c r="K3702">
        <v>0</v>
      </c>
      <c r="L3702" t="s">
        <v>257</v>
      </c>
      <c r="M3702" t="s">
        <v>9423</v>
      </c>
      <c r="N3702" t="s">
        <v>9424</v>
      </c>
      <c r="O3702" t="s">
        <v>9320</v>
      </c>
      <c r="P3702" t="s">
        <v>9425</v>
      </c>
    </row>
    <row r="3703" spans="1:16" x14ac:dyDescent="0.35">
      <c r="A3703" t="s">
        <v>101</v>
      </c>
      <c r="B3703">
        <v>1322845176</v>
      </c>
      <c r="C3703" t="s">
        <v>18</v>
      </c>
      <c r="D3703" t="s">
        <v>21</v>
      </c>
      <c r="E3703" s="29">
        <v>46208</v>
      </c>
      <c r="F3703" t="s">
        <v>6</v>
      </c>
      <c r="G3703" s="28">
        <v>0.41458333333333336</v>
      </c>
      <c r="H3703" s="28">
        <v>0.4284722222222222</v>
      </c>
      <c r="I3703">
        <v>0</v>
      </c>
      <c r="J3703" t="s">
        <v>146</v>
      </c>
      <c r="K3703">
        <v>1</v>
      </c>
      <c r="L3703" t="s">
        <v>147</v>
      </c>
      <c r="M3703" t="s">
        <v>9321</v>
      </c>
      <c r="N3703" t="s">
        <v>9322</v>
      </c>
      <c r="O3703" t="s">
        <v>9323</v>
      </c>
      <c r="P3703" t="s">
        <v>9324</v>
      </c>
    </row>
    <row r="3704" spans="1:16" x14ac:dyDescent="0.35">
      <c r="A3704" t="s">
        <v>101</v>
      </c>
      <c r="B3704">
        <v>1322845176</v>
      </c>
      <c r="C3704" t="s">
        <v>18</v>
      </c>
      <c r="D3704" t="s">
        <v>21</v>
      </c>
      <c r="E3704" s="29">
        <v>46208</v>
      </c>
      <c r="F3704" t="s">
        <v>6</v>
      </c>
      <c r="G3704" s="28">
        <v>0.44236111111111109</v>
      </c>
      <c r="H3704" s="28">
        <v>0.44236111111111109</v>
      </c>
      <c r="I3704">
        <v>0</v>
      </c>
      <c r="J3704" t="s">
        <v>174</v>
      </c>
      <c r="K3704">
        <v>0</v>
      </c>
      <c r="L3704" t="s">
        <v>1544</v>
      </c>
      <c r="M3704" t="s">
        <v>9315</v>
      </c>
      <c r="N3704" t="s">
        <v>9316</v>
      </c>
      <c r="O3704" t="s">
        <v>9317</v>
      </c>
      <c r="P3704" t="s">
        <v>5867</v>
      </c>
    </row>
    <row r="3705" spans="1:16" x14ac:dyDescent="0.35">
      <c r="A3705" t="s">
        <v>101</v>
      </c>
      <c r="B3705">
        <v>1322845176</v>
      </c>
      <c r="C3705" t="s">
        <v>18</v>
      </c>
      <c r="D3705" t="s">
        <v>21</v>
      </c>
      <c r="E3705" s="29">
        <v>46208</v>
      </c>
      <c r="F3705" t="s">
        <v>6</v>
      </c>
      <c r="G3705" s="28">
        <v>0.44930555555555557</v>
      </c>
      <c r="H3705" s="28">
        <v>0.44930555555555557</v>
      </c>
      <c r="I3705">
        <v>0</v>
      </c>
      <c r="J3705" t="s">
        <v>174</v>
      </c>
      <c r="K3705">
        <v>0</v>
      </c>
      <c r="L3705" t="s">
        <v>2248</v>
      </c>
      <c r="M3705" t="s">
        <v>9321</v>
      </c>
      <c r="N3705" t="s">
        <v>9322</v>
      </c>
      <c r="O3705" t="s">
        <v>9323</v>
      </c>
      <c r="P3705" t="s">
        <v>9324</v>
      </c>
    </row>
    <row r="3706" spans="1:16" x14ac:dyDescent="0.35">
      <c r="A3706" t="s">
        <v>101</v>
      </c>
      <c r="B3706">
        <v>1322845176</v>
      </c>
      <c r="C3706" t="s">
        <v>18</v>
      </c>
      <c r="D3706" t="s">
        <v>21</v>
      </c>
      <c r="E3706" s="29">
        <v>46208</v>
      </c>
      <c r="F3706" t="s">
        <v>6</v>
      </c>
      <c r="G3706" s="28">
        <v>0.45624999999999999</v>
      </c>
      <c r="H3706" s="28">
        <v>0.45624999999999999</v>
      </c>
      <c r="I3706">
        <v>0</v>
      </c>
      <c r="J3706" t="s">
        <v>174</v>
      </c>
      <c r="K3706">
        <v>0</v>
      </c>
      <c r="L3706" t="s">
        <v>9426</v>
      </c>
      <c r="M3706" t="s">
        <v>9427</v>
      </c>
      <c r="N3706" t="s">
        <v>9428</v>
      </c>
      <c r="O3706" t="s">
        <v>9429</v>
      </c>
      <c r="P3706" t="s">
        <v>9430</v>
      </c>
    </row>
    <row r="3707" spans="1:16" x14ac:dyDescent="0.35">
      <c r="A3707" t="s">
        <v>101</v>
      </c>
      <c r="B3707">
        <v>1322845176</v>
      </c>
      <c r="C3707" t="s">
        <v>18</v>
      </c>
      <c r="D3707" t="s">
        <v>21</v>
      </c>
      <c r="E3707" s="29">
        <v>46208</v>
      </c>
      <c r="F3707" t="s">
        <v>6</v>
      </c>
      <c r="G3707" s="28">
        <v>0.46319444444444446</v>
      </c>
      <c r="H3707" s="28">
        <v>0.47013888888888888</v>
      </c>
      <c r="I3707">
        <v>0</v>
      </c>
      <c r="J3707" t="s">
        <v>146</v>
      </c>
      <c r="K3707">
        <v>0</v>
      </c>
      <c r="L3707" t="s">
        <v>147</v>
      </c>
      <c r="M3707" t="s">
        <v>9330</v>
      </c>
      <c r="N3707" t="s">
        <v>9331</v>
      </c>
      <c r="O3707" t="s">
        <v>9332</v>
      </c>
      <c r="P3707" t="s">
        <v>8996</v>
      </c>
    </row>
    <row r="3708" spans="1:16" x14ac:dyDescent="0.35">
      <c r="A3708" t="s">
        <v>101</v>
      </c>
      <c r="B3708">
        <v>1322845176</v>
      </c>
      <c r="C3708" t="s">
        <v>18</v>
      </c>
      <c r="D3708" t="s">
        <v>21</v>
      </c>
      <c r="E3708" s="29">
        <v>46208</v>
      </c>
      <c r="F3708" t="s">
        <v>6</v>
      </c>
      <c r="G3708" s="28">
        <v>0.47708333333333336</v>
      </c>
      <c r="H3708" s="28">
        <v>0.47708333333333336</v>
      </c>
      <c r="I3708">
        <v>0</v>
      </c>
      <c r="J3708" t="s">
        <v>174</v>
      </c>
      <c r="K3708">
        <v>0</v>
      </c>
      <c r="L3708" t="s">
        <v>3531</v>
      </c>
      <c r="M3708" t="s">
        <v>9333</v>
      </c>
      <c r="N3708" t="s">
        <v>9334</v>
      </c>
      <c r="O3708" t="s">
        <v>9335</v>
      </c>
      <c r="P3708" t="s">
        <v>9336</v>
      </c>
    </row>
    <row r="3709" spans="1:16" x14ac:dyDescent="0.35">
      <c r="A3709" t="s">
        <v>101</v>
      </c>
      <c r="B3709">
        <v>1322845176</v>
      </c>
      <c r="C3709" t="s">
        <v>18</v>
      </c>
      <c r="D3709" t="s">
        <v>21</v>
      </c>
      <c r="E3709" s="29">
        <v>46208</v>
      </c>
      <c r="F3709" t="s">
        <v>6</v>
      </c>
      <c r="G3709" s="28">
        <v>0.48402777777777778</v>
      </c>
      <c r="H3709" s="28">
        <v>0.48402777777777778</v>
      </c>
      <c r="I3709">
        <v>0</v>
      </c>
      <c r="J3709" t="s">
        <v>174</v>
      </c>
      <c r="K3709">
        <v>0</v>
      </c>
      <c r="L3709" t="s">
        <v>9381</v>
      </c>
      <c r="M3709" t="s">
        <v>9342</v>
      </c>
      <c r="N3709" t="s">
        <v>9343</v>
      </c>
      <c r="O3709" t="s">
        <v>9344</v>
      </c>
      <c r="P3709" t="s">
        <v>9345</v>
      </c>
    </row>
    <row r="3710" spans="1:16" x14ac:dyDescent="0.35">
      <c r="A3710" t="s">
        <v>101</v>
      </c>
      <c r="B3710">
        <v>1322845176</v>
      </c>
      <c r="C3710" t="s">
        <v>18</v>
      </c>
      <c r="D3710" t="s">
        <v>21</v>
      </c>
      <c r="E3710" s="29">
        <v>46208</v>
      </c>
      <c r="F3710" t="s">
        <v>6</v>
      </c>
      <c r="G3710" s="28">
        <v>0.4909722222222222</v>
      </c>
      <c r="H3710" s="28">
        <v>0.52569444444444446</v>
      </c>
      <c r="I3710">
        <v>1</v>
      </c>
      <c r="J3710" t="s">
        <v>146</v>
      </c>
      <c r="K3710">
        <v>2</v>
      </c>
      <c r="L3710" t="s">
        <v>147</v>
      </c>
      <c r="M3710" t="s">
        <v>9321</v>
      </c>
      <c r="N3710" t="s">
        <v>9322</v>
      </c>
      <c r="O3710" t="s">
        <v>9323</v>
      </c>
      <c r="P3710" t="s">
        <v>9324</v>
      </c>
    </row>
    <row r="3711" spans="1:16" x14ac:dyDescent="0.35">
      <c r="A3711" t="s">
        <v>101</v>
      </c>
      <c r="B3711">
        <v>1322845176</v>
      </c>
      <c r="C3711" t="s">
        <v>18</v>
      </c>
      <c r="D3711" t="s">
        <v>21</v>
      </c>
      <c r="E3711" s="29">
        <v>46208</v>
      </c>
      <c r="F3711" t="s">
        <v>6</v>
      </c>
      <c r="G3711" s="28">
        <v>0.53263888888888888</v>
      </c>
      <c r="H3711" s="28">
        <v>0.55347222222222225</v>
      </c>
      <c r="I3711">
        <v>1</v>
      </c>
      <c r="J3711" t="s">
        <v>146</v>
      </c>
      <c r="K3711">
        <v>2</v>
      </c>
      <c r="L3711" t="s">
        <v>147</v>
      </c>
      <c r="M3711" t="s">
        <v>9315</v>
      </c>
      <c r="N3711" t="s">
        <v>9316</v>
      </c>
      <c r="O3711" t="s">
        <v>9317</v>
      </c>
      <c r="P3711" t="s">
        <v>5867</v>
      </c>
    </row>
    <row r="3712" spans="1:16" x14ac:dyDescent="0.35">
      <c r="A3712" t="s">
        <v>101</v>
      </c>
      <c r="B3712">
        <v>1322845176</v>
      </c>
      <c r="C3712" t="s">
        <v>18</v>
      </c>
      <c r="D3712" t="s">
        <v>21</v>
      </c>
      <c r="E3712" s="29">
        <v>46208</v>
      </c>
      <c r="F3712" t="s">
        <v>6</v>
      </c>
      <c r="G3712" s="28">
        <v>0.56041666666666667</v>
      </c>
      <c r="H3712" s="28">
        <v>0.58819444444444446</v>
      </c>
      <c r="I3712">
        <v>1</v>
      </c>
      <c r="J3712" t="s">
        <v>146</v>
      </c>
      <c r="K3712">
        <v>2</v>
      </c>
      <c r="L3712" t="s">
        <v>147</v>
      </c>
      <c r="M3712" t="s">
        <v>9321</v>
      </c>
      <c r="N3712" t="s">
        <v>9322</v>
      </c>
      <c r="O3712" t="s">
        <v>9323</v>
      </c>
      <c r="P3712" t="s">
        <v>9324</v>
      </c>
    </row>
    <row r="3713" spans="1:16" x14ac:dyDescent="0.35">
      <c r="A3713" t="s">
        <v>101</v>
      </c>
      <c r="B3713">
        <v>1322845176</v>
      </c>
      <c r="C3713" t="s">
        <v>18</v>
      </c>
      <c r="D3713" t="s">
        <v>21</v>
      </c>
      <c r="E3713" s="29">
        <v>46208</v>
      </c>
      <c r="F3713" t="s">
        <v>6</v>
      </c>
      <c r="G3713" s="28">
        <v>0.59513888888888888</v>
      </c>
      <c r="H3713" s="28">
        <v>0.59513888888888888</v>
      </c>
      <c r="I3713">
        <v>0</v>
      </c>
      <c r="J3713" t="s">
        <v>174</v>
      </c>
      <c r="K3713">
        <v>0</v>
      </c>
      <c r="L3713" t="s">
        <v>1544</v>
      </c>
      <c r="M3713" t="s">
        <v>9315</v>
      </c>
      <c r="N3713" t="s">
        <v>9316</v>
      </c>
      <c r="O3713" t="s">
        <v>9317</v>
      </c>
      <c r="P3713" t="s">
        <v>5867</v>
      </c>
    </row>
    <row r="3714" spans="1:16" x14ac:dyDescent="0.35">
      <c r="A3714" t="s">
        <v>101</v>
      </c>
      <c r="B3714">
        <v>1322845176</v>
      </c>
      <c r="C3714" t="s">
        <v>18</v>
      </c>
      <c r="D3714" t="s">
        <v>21</v>
      </c>
      <c r="E3714" s="29">
        <v>46208</v>
      </c>
      <c r="F3714" t="s">
        <v>6</v>
      </c>
      <c r="G3714" s="28">
        <v>0.6020833333333333</v>
      </c>
      <c r="H3714" s="28">
        <v>0.60902777777777772</v>
      </c>
      <c r="I3714">
        <v>0</v>
      </c>
      <c r="J3714" t="s">
        <v>146</v>
      </c>
      <c r="K3714">
        <v>0</v>
      </c>
      <c r="L3714" t="s">
        <v>147</v>
      </c>
      <c r="M3714" t="s">
        <v>9321</v>
      </c>
      <c r="N3714" t="s">
        <v>9322</v>
      </c>
      <c r="O3714" t="s">
        <v>9323</v>
      </c>
      <c r="P3714" t="s">
        <v>9324</v>
      </c>
    </row>
    <row r="3715" spans="1:16" x14ac:dyDescent="0.35">
      <c r="A3715" t="s">
        <v>101</v>
      </c>
      <c r="B3715">
        <v>1322845176</v>
      </c>
      <c r="C3715" t="s">
        <v>18</v>
      </c>
      <c r="D3715" t="s">
        <v>21</v>
      </c>
      <c r="E3715" s="29">
        <v>46208</v>
      </c>
      <c r="F3715" t="s">
        <v>6</v>
      </c>
      <c r="G3715" s="28">
        <v>0.61597222222222225</v>
      </c>
      <c r="H3715" s="28">
        <v>0.61597222222222225</v>
      </c>
      <c r="I3715">
        <v>0</v>
      </c>
      <c r="J3715" t="s">
        <v>174</v>
      </c>
      <c r="K3715">
        <v>0</v>
      </c>
      <c r="L3715" t="s">
        <v>1544</v>
      </c>
      <c r="M3715" t="s">
        <v>9315</v>
      </c>
      <c r="N3715" t="s">
        <v>9316</v>
      </c>
      <c r="O3715" t="s">
        <v>9317</v>
      </c>
      <c r="P3715" t="s">
        <v>5867</v>
      </c>
    </row>
    <row r="3716" spans="1:16" x14ac:dyDescent="0.35">
      <c r="A3716" t="s">
        <v>101</v>
      </c>
      <c r="B3716">
        <v>1322845176</v>
      </c>
      <c r="C3716" t="s">
        <v>18</v>
      </c>
      <c r="D3716" t="s">
        <v>21</v>
      </c>
      <c r="E3716" s="29">
        <v>46208</v>
      </c>
      <c r="F3716" t="s">
        <v>6</v>
      </c>
      <c r="G3716" s="28">
        <v>0.62291666666666667</v>
      </c>
      <c r="H3716" s="28">
        <v>0.81041666666666667</v>
      </c>
      <c r="I3716">
        <v>4</v>
      </c>
      <c r="J3716" t="s">
        <v>146</v>
      </c>
      <c r="K3716">
        <v>14</v>
      </c>
      <c r="L3716" t="s">
        <v>147</v>
      </c>
      <c r="M3716" t="s">
        <v>9321</v>
      </c>
      <c r="N3716" t="s">
        <v>9322</v>
      </c>
      <c r="O3716" t="s">
        <v>9323</v>
      </c>
      <c r="P3716" t="s">
        <v>9324</v>
      </c>
    </row>
    <row r="3717" spans="1:16" x14ac:dyDescent="0.35">
      <c r="A3717" t="s">
        <v>90</v>
      </c>
      <c r="B3717">
        <v>1701216091</v>
      </c>
      <c r="C3717" t="s">
        <v>19</v>
      </c>
      <c r="D3717" t="s">
        <v>21</v>
      </c>
      <c r="E3717" s="29">
        <v>46204</v>
      </c>
      <c r="F3717" t="s">
        <v>3</v>
      </c>
      <c r="G3717" s="28">
        <v>0.37638888888888888</v>
      </c>
      <c r="H3717" s="28">
        <v>0.42430555555555555</v>
      </c>
      <c r="I3717">
        <v>1</v>
      </c>
      <c r="J3717" t="s">
        <v>146</v>
      </c>
      <c r="K3717">
        <v>3</v>
      </c>
      <c r="L3717" t="s">
        <v>147</v>
      </c>
      <c r="M3717" t="s">
        <v>9448</v>
      </c>
      <c r="N3717" t="s">
        <v>9449</v>
      </c>
      <c r="O3717" t="s">
        <v>9450</v>
      </c>
      <c r="P3717" t="s">
        <v>9451</v>
      </c>
    </row>
    <row r="3718" spans="1:16" x14ac:dyDescent="0.35">
      <c r="A3718" t="s">
        <v>90</v>
      </c>
      <c r="B3718">
        <v>1701216091</v>
      </c>
      <c r="C3718" t="s">
        <v>19</v>
      </c>
      <c r="D3718" t="s">
        <v>21</v>
      </c>
      <c r="E3718" s="29">
        <v>46204</v>
      </c>
      <c r="F3718" t="s">
        <v>3</v>
      </c>
      <c r="G3718" s="28">
        <v>0.43125000000000002</v>
      </c>
      <c r="H3718" s="28">
        <v>0.43125000000000002</v>
      </c>
      <c r="I3718">
        <v>0</v>
      </c>
      <c r="J3718" t="s">
        <v>174</v>
      </c>
      <c r="K3718">
        <v>0</v>
      </c>
      <c r="L3718" t="s">
        <v>5580</v>
      </c>
      <c r="M3718" t="s">
        <v>9452</v>
      </c>
      <c r="N3718" t="s">
        <v>9453</v>
      </c>
      <c r="O3718" t="s">
        <v>9454</v>
      </c>
      <c r="P3718" t="s">
        <v>9455</v>
      </c>
    </row>
    <row r="3719" spans="1:16" x14ac:dyDescent="0.35">
      <c r="A3719" t="s">
        <v>90</v>
      </c>
      <c r="B3719">
        <v>1701216091</v>
      </c>
      <c r="C3719" t="s">
        <v>19</v>
      </c>
      <c r="D3719" t="s">
        <v>21</v>
      </c>
      <c r="E3719" s="29">
        <v>46204</v>
      </c>
      <c r="F3719" t="s">
        <v>3</v>
      </c>
      <c r="G3719" s="28">
        <v>0.43819444444444444</v>
      </c>
      <c r="H3719" s="28">
        <v>0.43819444444444444</v>
      </c>
      <c r="I3719">
        <v>0</v>
      </c>
      <c r="J3719" t="s">
        <v>174</v>
      </c>
      <c r="K3719">
        <v>0</v>
      </c>
      <c r="L3719" t="s">
        <v>2879</v>
      </c>
      <c r="M3719" t="s">
        <v>9456</v>
      </c>
      <c r="N3719" t="s">
        <v>9457</v>
      </c>
      <c r="O3719" t="s">
        <v>9458</v>
      </c>
      <c r="P3719" t="s">
        <v>9459</v>
      </c>
    </row>
    <row r="3720" spans="1:16" x14ac:dyDescent="0.35">
      <c r="A3720" t="s">
        <v>90</v>
      </c>
      <c r="B3720">
        <v>1701216091</v>
      </c>
      <c r="C3720" t="s">
        <v>19</v>
      </c>
      <c r="D3720" t="s">
        <v>21</v>
      </c>
      <c r="E3720" s="29">
        <v>46204</v>
      </c>
      <c r="F3720" t="s">
        <v>3</v>
      </c>
      <c r="G3720" s="28">
        <v>0.44513888888888886</v>
      </c>
      <c r="H3720" s="28">
        <v>0.44513888888888886</v>
      </c>
      <c r="I3720">
        <v>0</v>
      </c>
      <c r="J3720" t="s">
        <v>174</v>
      </c>
      <c r="K3720">
        <v>0</v>
      </c>
      <c r="L3720" t="s">
        <v>9460</v>
      </c>
      <c r="M3720" t="s">
        <v>1107</v>
      </c>
      <c r="N3720" t="s">
        <v>1108</v>
      </c>
      <c r="O3720" t="s">
        <v>1109</v>
      </c>
      <c r="P3720" t="s">
        <v>9461</v>
      </c>
    </row>
    <row r="3721" spans="1:16" x14ac:dyDescent="0.35">
      <c r="A3721" t="s">
        <v>90</v>
      </c>
      <c r="B3721">
        <v>1701216091</v>
      </c>
      <c r="C3721" t="s">
        <v>19</v>
      </c>
      <c r="D3721" t="s">
        <v>21</v>
      </c>
      <c r="E3721" s="29">
        <v>46204</v>
      </c>
      <c r="F3721" t="s">
        <v>3</v>
      </c>
      <c r="G3721" s="28">
        <v>0.45208333333333334</v>
      </c>
      <c r="H3721" s="28">
        <v>0.46597222222222223</v>
      </c>
      <c r="I3721">
        <v>0</v>
      </c>
      <c r="J3721" t="s">
        <v>146</v>
      </c>
      <c r="K3721">
        <v>1</v>
      </c>
      <c r="L3721" t="s">
        <v>147</v>
      </c>
      <c r="M3721" t="s">
        <v>1103</v>
      </c>
      <c r="N3721" t="s">
        <v>1104</v>
      </c>
      <c r="O3721" t="s">
        <v>1105</v>
      </c>
      <c r="P3721" t="s">
        <v>9462</v>
      </c>
    </row>
    <row r="3722" spans="1:16" x14ac:dyDescent="0.35">
      <c r="A3722" t="s">
        <v>90</v>
      </c>
      <c r="B3722">
        <v>1701216091</v>
      </c>
      <c r="C3722" t="s">
        <v>19</v>
      </c>
      <c r="D3722" t="s">
        <v>21</v>
      </c>
      <c r="E3722" s="29">
        <v>46204</v>
      </c>
      <c r="F3722" t="s">
        <v>3</v>
      </c>
      <c r="G3722" s="28">
        <v>0.47291666666666665</v>
      </c>
      <c r="H3722" s="28">
        <v>0.54236111111111107</v>
      </c>
      <c r="I3722">
        <v>2</v>
      </c>
      <c r="J3722" t="s">
        <v>146</v>
      </c>
      <c r="K3722">
        <v>5</v>
      </c>
      <c r="L3722" t="s">
        <v>147</v>
      </c>
      <c r="M3722" t="s">
        <v>1130</v>
      </c>
      <c r="N3722" t="s">
        <v>1100</v>
      </c>
      <c r="O3722" t="s">
        <v>1101</v>
      </c>
      <c r="P3722" t="s">
        <v>9463</v>
      </c>
    </row>
    <row r="3723" spans="1:16" x14ac:dyDescent="0.35">
      <c r="A3723" t="s">
        <v>90</v>
      </c>
      <c r="B3723">
        <v>1701216091</v>
      </c>
      <c r="C3723" t="s">
        <v>19</v>
      </c>
      <c r="D3723" t="s">
        <v>21</v>
      </c>
      <c r="E3723" s="29">
        <v>46204</v>
      </c>
      <c r="F3723" t="s">
        <v>3</v>
      </c>
      <c r="G3723" s="28">
        <v>0.5493055555555556</v>
      </c>
      <c r="H3723" s="28">
        <v>0.55625000000000002</v>
      </c>
      <c r="I3723">
        <v>0</v>
      </c>
      <c r="J3723" t="s">
        <v>146</v>
      </c>
      <c r="K3723">
        <v>0</v>
      </c>
      <c r="L3723" t="s">
        <v>147</v>
      </c>
      <c r="M3723" t="s">
        <v>191</v>
      </c>
      <c r="N3723" t="s">
        <v>192</v>
      </c>
      <c r="O3723" t="s">
        <v>193</v>
      </c>
      <c r="P3723" t="s">
        <v>194</v>
      </c>
    </row>
    <row r="3724" spans="1:16" x14ac:dyDescent="0.35">
      <c r="A3724" t="s">
        <v>90</v>
      </c>
      <c r="B3724">
        <v>1701216091</v>
      </c>
      <c r="C3724" t="s">
        <v>19</v>
      </c>
      <c r="D3724" t="s">
        <v>21</v>
      </c>
      <c r="E3724" s="29">
        <v>46204</v>
      </c>
      <c r="F3724" t="s">
        <v>3</v>
      </c>
      <c r="G3724" s="28">
        <v>0.56319444444444444</v>
      </c>
      <c r="H3724" s="28">
        <v>0.56319444444444444</v>
      </c>
      <c r="I3724">
        <v>0</v>
      </c>
      <c r="J3724" t="s">
        <v>174</v>
      </c>
      <c r="K3724">
        <v>0</v>
      </c>
      <c r="L3724" t="s">
        <v>2398</v>
      </c>
      <c r="M3724" t="s">
        <v>1099</v>
      </c>
      <c r="N3724" t="s">
        <v>1100</v>
      </c>
      <c r="O3724" t="s">
        <v>1101</v>
      </c>
      <c r="P3724" t="s">
        <v>9463</v>
      </c>
    </row>
    <row r="3725" spans="1:16" x14ac:dyDescent="0.35">
      <c r="A3725" t="s">
        <v>90</v>
      </c>
      <c r="B3725">
        <v>1701216091</v>
      </c>
      <c r="C3725" t="s">
        <v>19</v>
      </c>
      <c r="D3725" t="s">
        <v>21</v>
      </c>
      <c r="E3725" s="29">
        <v>46204</v>
      </c>
      <c r="F3725" t="s">
        <v>3</v>
      </c>
      <c r="G3725" s="28">
        <v>0.57013888888888886</v>
      </c>
      <c r="H3725" s="28">
        <v>0.57013888888888886</v>
      </c>
      <c r="I3725">
        <v>0</v>
      </c>
      <c r="J3725" t="s">
        <v>174</v>
      </c>
      <c r="K3725">
        <v>0</v>
      </c>
      <c r="L3725" t="s">
        <v>595</v>
      </c>
      <c r="M3725" t="s">
        <v>191</v>
      </c>
      <c r="N3725" t="s">
        <v>192</v>
      </c>
      <c r="O3725" t="s">
        <v>193</v>
      </c>
      <c r="P3725" t="s">
        <v>194</v>
      </c>
    </row>
    <row r="3726" spans="1:16" x14ac:dyDescent="0.35">
      <c r="A3726" t="s">
        <v>90</v>
      </c>
      <c r="B3726">
        <v>1701216091</v>
      </c>
      <c r="C3726" t="s">
        <v>19</v>
      </c>
      <c r="D3726" t="s">
        <v>21</v>
      </c>
      <c r="E3726" s="29">
        <v>46204</v>
      </c>
      <c r="F3726" t="s">
        <v>3</v>
      </c>
      <c r="G3726" s="28">
        <v>0.57708333333333328</v>
      </c>
      <c r="H3726" s="28">
        <v>0.57708333333333328</v>
      </c>
      <c r="I3726">
        <v>0</v>
      </c>
      <c r="J3726" t="s">
        <v>174</v>
      </c>
      <c r="K3726">
        <v>0</v>
      </c>
      <c r="L3726" t="s">
        <v>9464</v>
      </c>
      <c r="M3726" t="s">
        <v>9465</v>
      </c>
      <c r="N3726" t="s">
        <v>9466</v>
      </c>
      <c r="O3726" t="s">
        <v>9467</v>
      </c>
      <c r="P3726" t="s">
        <v>1006</v>
      </c>
    </row>
    <row r="3727" spans="1:16" x14ac:dyDescent="0.35">
      <c r="A3727" t="s">
        <v>90</v>
      </c>
      <c r="B3727">
        <v>1701216091</v>
      </c>
      <c r="C3727" t="s">
        <v>19</v>
      </c>
      <c r="D3727" t="s">
        <v>21</v>
      </c>
      <c r="E3727" s="29">
        <v>46204</v>
      </c>
      <c r="F3727" t="s">
        <v>3</v>
      </c>
      <c r="G3727" s="28">
        <v>0.58402777777777781</v>
      </c>
      <c r="H3727" s="28">
        <v>0.58402777777777781</v>
      </c>
      <c r="I3727">
        <v>0</v>
      </c>
      <c r="J3727" t="s">
        <v>174</v>
      </c>
      <c r="K3727">
        <v>0</v>
      </c>
      <c r="L3727" t="s">
        <v>1544</v>
      </c>
      <c r="M3727" t="s">
        <v>1130</v>
      </c>
      <c r="N3727" t="s">
        <v>1100</v>
      </c>
      <c r="O3727" t="s">
        <v>1101</v>
      </c>
      <c r="P3727" t="s">
        <v>9463</v>
      </c>
    </row>
    <row r="3728" spans="1:16" x14ac:dyDescent="0.35">
      <c r="A3728" t="s">
        <v>90</v>
      </c>
      <c r="B3728">
        <v>1701216091</v>
      </c>
      <c r="C3728" t="s">
        <v>19</v>
      </c>
      <c r="D3728" t="s">
        <v>21</v>
      </c>
      <c r="E3728" s="29">
        <v>46204</v>
      </c>
      <c r="F3728" t="s">
        <v>3</v>
      </c>
      <c r="G3728" s="28">
        <v>0.59097222222222223</v>
      </c>
      <c r="H3728" s="28">
        <v>0.59097222222222223</v>
      </c>
      <c r="I3728">
        <v>0</v>
      </c>
      <c r="J3728" t="s">
        <v>174</v>
      </c>
      <c r="K3728">
        <v>0</v>
      </c>
      <c r="L3728" t="s">
        <v>332</v>
      </c>
      <c r="M3728" t="s">
        <v>9468</v>
      </c>
      <c r="N3728" t="s">
        <v>9469</v>
      </c>
      <c r="O3728" t="s">
        <v>9470</v>
      </c>
      <c r="P3728" t="s">
        <v>9471</v>
      </c>
    </row>
    <row r="3729" spans="1:16" x14ac:dyDescent="0.35">
      <c r="A3729" t="s">
        <v>90</v>
      </c>
      <c r="B3729">
        <v>1701216091</v>
      </c>
      <c r="C3729" t="s">
        <v>19</v>
      </c>
      <c r="D3729" t="s">
        <v>21</v>
      </c>
      <c r="E3729" s="29">
        <v>46204</v>
      </c>
      <c r="F3729" t="s">
        <v>3</v>
      </c>
      <c r="G3729" s="28">
        <v>0.59791666666666665</v>
      </c>
      <c r="H3729" s="28">
        <v>0.59791666666666665</v>
      </c>
      <c r="I3729">
        <v>0</v>
      </c>
      <c r="J3729" t="s">
        <v>174</v>
      </c>
      <c r="K3729">
        <v>0</v>
      </c>
      <c r="L3729" t="s">
        <v>1236</v>
      </c>
      <c r="M3729" t="s">
        <v>1103</v>
      </c>
      <c r="N3729" t="s">
        <v>1104</v>
      </c>
      <c r="O3729" t="s">
        <v>1105</v>
      </c>
      <c r="P3729" t="s">
        <v>9462</v>
      </c>
    </row>
    <row r="3730" spans="1:16" x14ac:dyDescent="0.35">
      <c r="A3730" t="s">
        <v>90</v>
      </c>
      <c r="B3730">
        <v>1701216091</v>
      </c>
      <c r="C3730" t="s">
        <v>19</v>
      </c>
      <c r="D3730" t="s">
        <v>21</v>
      </c>
      <c r="E3730" s="29">
        <v>46204</v>
      </c>
      <c r="F3730" t="s">
        <v>3</v>
      </c>
      <c r="G3730" s="28">
        <v>0.60486111111111107</v>
      </c>
      <c r="H3730" s="28">
        <v>0.60486111111111107</v>
      </c>
      <c r="I3730">
        <v>0</v>
      </c>
      <c r="J3730" t="s">
        <v>174</v>
      </c>
      <c r="K3730">
        <v>0</v>
      </c>
      <c r="L3730" t="s">
        <v>1236</v>
      </c>
      <c r="M3730" t="s">
        <v>9472</v>
      </c>
      <c r="N3730" t="s">
        <v>9473</v>
      </c>
      <c r="O3730" t="s">
        <v>9474</v>
      </c>
      <c r="P3730" t="s">
        <v>9475</v>
      </c>
    </row>
    <row r="3731" spans="1:16" x14ac:dyDescent="0.35">
      <c r="A3731" t="s">
        <v>90</v>
      </c>
      <c r="B3731">
        <v>1701216091</v>
      </c>
      <c r="C3731" t="s">
        <v>19</v>
      </c>
      <c r="D3731" t="s">
        <v>21</v>
      </c>
      <c r="E3731" s="29">
        <v>46204</v>
      </c>
      <c r="F3731" t="s">
        <v>3</v>
      </c>
      <c r="G3731" s="28">
        <v>0.6118055555555556</v>
      </c>
      <c r="H3731" s="28">
        <v>0.64652777777777781</v>
      </c>
      <c r="I3731">
        <v>1</v>
      </c>
      <c r="J3731" t="s">
        <v>146</v>
      </c>
      <c r="K3731">
        <v>2</v>
      </c>
      <c r="L3731" t="s">
        <v>147</v>
      </c>
      <c r="M3731" t="s">
        <v>1103</v>
      </c>
      <c r="N3731" t="s">
        <v>1104</v>
      </c>
      <c r="O3731" t="s">
        <v>1105</v>
      </c>
      <c r="P3731" t="s">
        <v>9462</v>
      </c>
    </row>
    <row r="3732" spans="1:16" x14ac:dyDescent="0.35">
      <c r="A3732" t="s">
        <v>90</v>
      </c>
      <c r="B3732">
        <v>1701216091</v>
      </c>
      <c r="C3732" t="s">
        <v>19</v>
      </c>
      <c r="D3732" t="s">
        <v>21</v>
      </c>
      <c r="E3732" s="29">
        <v>46204</v>
      </c>
      <c r="F3732" t="s">
        <v>3</v>
      </c>
      <c r="G3732" s="28">
        <v>0.65347222222222223</v>
      </c>
      <c r="H3732" s="28">
        <v>0.65347222222222223</v>
      </c>
      <c r="I3732">
        <v>0</v>
      </c>
      <c r="J3732" t="s">
        <v>174</v>
      </c>
      <c r="K3732">
        <v>0</v>
      </c>
      <c r="L3732" t="s">
        <v>1236</v>
      </c>
      <c r="M3732" t="s">
        <v>9472</v>
      </c>
      <c r="N3732" t="s">
        <v>9473</v>
      </c>
      <c r="O3732" t="s">
        <v>9474</v>
      </c>
      <c r="P3732" t="s">
        <v>9475</v>
      </c>
    </row>
    <row r="3733" spans="1:16" x14ac:dyDescent="0.35">
      <c r="A3733" t="s">
        <v>90</v>
      </c>
      <c r="B3733">
        <v>1701216091</v>
      </c>
      <c r="C3733" t="s">
        <v>19</v>
      </c>
      <c r="D3733" t="s">
        <v>21</v>
      </c>
      <c r="E3733" s="29">
        <v>46204</v>
      </c>
      <c r="F3733" t="s">
        <v>3</v>
      </c>
      <c r="G3733" s="28">
        <v>0.66041666666666665</v>
      </c>
      <c r="H3733" s="28">
        <v>0.71597222222222223</v>
      </c>
      <c r="I3733">
        <v>1</v>
      </c>
      <c r="J3733" t="s">
        <v>146</v>
      </c>
      <c r="K3733">
        <v>4</v>
      </c>
      <c r="L3733" t="s">
        <v>147</v>
      </c>
      <c r="M3733" t="s">
        <v>1103</v>
      </c>
      <c r="N3733" t="s">
        <v>1104</v>
      </c>
      <c r="O3733" t="s">
        <v>1105</v>
      </c>
      <c r="P3733" t="s">
        <v>9462</v>
      </c>
    </row>
    <row r="3734" spans="1:16" x14ac:dyDescent="0.35">
      <c r="A3734" t="s">
        <v>90</v>
      </c>
      <c r="B3734">
        <v>1701216091</v>
      </c>
      <c r="C3734" t="s">
        <v>19</v>
      </c>
      <c r="D3734" t="s">
        <v>21</v>
      </c>
      <c r="E3734" s="29">
        <v>46204</v>
      </c>
      <c r="F3734" t="s">
        <v>3</v>
      </c>
      <c r="G3734" s="28">
        <v>0.72291666666666665</v>
      </c>
      <c r="H3734" s="28">
        <v>0.72291666666666665</v>
      </c>
      <c r="I3734">
        <v>0</v>
      </c>
      <c r="J3734" t="s">
        <v>174</v>
      </c>
      <c r="K3734">
        <v>0</v>
      </c>
      <c r="L3734" t="s">
        <v>1236</v>
      </c>
      <c r="M3734" t="s">
        <v>9472</v>
      </c>
      <c r="N3734" t="s">
        <v>9473</v>
      </c>
      <c r="O3734" t="s">
        <v>9474</v>
      </c>
      <c r="P3734" t="s">
        <v>9475</v>
      </c>
    </row>
    <row r="3735" spans="1:16" x14ac:dyDescent="0.35">
      <c r="A3735" t="s">
        <v>90</v>
      </c>
      <c r="B3735">
        <v>1701216091</v>
      </c>
      <c r="C3735" t="s">
        <v>19</v>
      </c>
      <c r="D3735" t="s">
        <v>21</v>
      </c>
      <c r="E3735" s="29">
        <v>46204</v>
      </c>
      <c r="F3735" t="s">
        <v>3</v>
      </c>
      <c r="G3735" s="28">
        <v>0.72986111111111107</v>
      </c>
      <c r="H3735" s="28">
        <v>0.7368055555555556</v>
      </c>
      <c r="I3735">
        <v>0</v>
      </c>
      <c r="J3735" t="s">
        <v>146</v>
      </c>
      <c r="K3735">
        <v>1</v>
      </c>
      <c r="L3735" t="s">
        <v>147</v>
      </c>
      <c r="M3735" t="s">
        <v>1103</v>
      </c>
      <c r="N3735" t="s">
        <v>1104</v>
      </c>
      <c r="O3735" t="s">
        <v>1105</v>
      </c>
      <c r="P3735" t="s">
        <v>9462</v>
      </c>
    </row>
    <row r="3736" spans="1:16" x14ac:dyDescent="0.35">
      <c r="A3736" t="s">
        <v>90</v>
      </c>
      <c r="B3736">
        <v>1701216091</v>
      </c>
      <c r="C3736" t="s">
        <v>19</v>
      </c>
      <c r="D3736" t="s">
        <v>21</v>
      </c>
      <c r="E3736" s="29">
        <v>46204</v>
      </c>
      <c r="F3736" t="s">
        <v>3</v>
      </c>
      <c r="G3736" s="28">
        <v>0.74375000000000002</v>
      </c>
      <c r="H3736" s="28">
        <v>0.74375000000000002</v>
      </c>
      <c r="I3736">
        <v>0</v>
      </c>
      <c r="J3736" t="s">
        <v>174</v>
      </c>
      <c r="K3736">
        <v>0</v>
      </c>
      <c r="L3736" t="s">
        <v>1201</v>
      </c>
      <c r="M3736" t="s">
        <v>279</v>
      </c>
      <c r="N3736" t="s">
        <v>280</v>
      </c>
      <c r="O3736" t="s">
        <v>281</v>
      </c>
      <c r="P3736" t="s">
        <v>282</v>
      </c>
    </row>
    <row r="3737" spans="1:16" x14ac:dyDescent="0.35">
      <c r="A3737" t="s">
        <v>90</v>
      </c>
      <c r="B3737">
        <v>1701216091</v>
      </c>
      <c r="C3737" t="s">
        <v>19</v>
      </c>
      <c r="D3737" t="s">
        <v>21</v>
      </c>
      <c r="E3737" s="29">
        <v>46204</v>
      </c>
      <c r="F3737" t="s">
        <v>3</v>
      </c>
      <c r="G3737" s="28">
        <v>0.75069444444444444</v>
      </c>
      <c r="H3737" s="28">
        <v>0.75069444444444444</v>
      </c>
      <c r="I3737">
        <v>0</v>
      </c>
      <c r="J3737" t="s">
        <v>174</v>
      </c>
      <c r="K3737">
        <v>0</v>
      </c>
      <c r="L3737" t="s">
        <v>4629</v>
      </c>
      <c r="M3737" t="s">
        <v>9476</v>
      </c>
      <c r="N3737" t="s">
        <v>9477</v>
      </c>
      <c r="O3737" t="s">
        <v>9478</v>
      </c>
      <c r="P3737" t="s">
        <v>9479</v>
      </c>
    </row>
    <row r="3738" spans="1:16" x14ac:dyDescent="0.35">
      <c r="A3738" t="s">
        <v>90</v>
      </c>
      <c r="B3738">
        <v>1701216091</v>
      </c>
      <c r="C3738" t="s">
        <v>19</v>
      </c>
      <c r="D3738" t="s">
        <v>21</v>
      </c>
      <c r="E3738" s="29">
        <v>46204</v>
      </c>
      <c r="F3738" t="s">
        <v>3</v>
      </c>
      <c r="G3738" s="28">
        <v>0.75763888888888886</v>
      </c>
      <c r="H3738" s="28">
        <v>0.75763888888888886</v>
      </c>
      <c r="I3738">
        <v>0</v>
      </c>
      <c r="J3738" t="s">
        <v>174</v>
      </c>
      <c r="K3738">
        <v>0</v>
      </c>
      <c r="L3738" t="s">
        <v>9480</v>
      </c>
      <c r="M3738" t="s">
        <v>9481</v>
      </c>
      <c r="N3738" t="s">
        <v>9482</v>
      </c>
      <c r="O3738" t="s">
        <v>9483</v>
      </c>
      <c r="P3738" t="s">
        <v>9484</v>
      </c>
    </row>
    <row r="3739" spans="1:16" x14ac:dyDescent="0.35">
      <c r="A3739" t="s">
        <v>90</v>
      </c>
      <c r="B3739">
        <v>1701216091</v>
      </c>
      <c r="C3739" t="s">
        <v>19</v>
      </c>
      <c r="D3739" t="s">
        <v>21</v>
      </c>
      <c r="E3739" s="29">
        <v>46204</v>
      </c>
      <c r="F3739" t="s">
        <v>3</v>
      </c>
      <c r="G3739" s="28">
        <v>0.76458333333333328</v>
      </c>
      <c r="H3739" s="28">
        <v>0.76458333333333328</v>
      </c>
      <c r="I3739">
        <v>0</v>
      </c>
      <c r="J3739" t="s">
        <v>174</v>
      </c>
      <c r="K3739">
        <v>0</v>
      </c>
      <c r="L3739" t="s">
        <v>359</v>
      </c>
      <c r="M3739" t="s">
        <v>9485</v>
      </c>
      <c r="N3739" t="s">
        <v>9486</v>
      </c>
      <c r="O3739" t="s">
        <v>9487</v>
      </c>
      <c r="P3739" t="s">
        <v>9488</v>
      </c>
    </row>
    <row r="3740" spans="1:16" x14ac:dyDescent="0.35">
      <c r="A3740" t="s">
        <v>90</v>
      </c>
      <c r="B3740">
        <v>1701216091</v>
      </c>
      <c r="C3740" t="s">
        <v>19</v>
      </c>
      <c r="D3740" t="s">
        <v>21</v>
      </c>
      <c r="E3740" s="29">
        <v>46204</v>
      </c>
      <c r="F3740" t="s">
        <v>3</v>
      </c>
      <c r="G3740" s="28">
        <v>0.77152777777777781</v>
      </c>
      <c r="H3740" s="28">
        <v>0.78541666666666665</v>
      </c>
      <c r="I3740">
        <v>0</v>
      </c>
      <c r="J3740" t="s">
        <v>146</v>
      </c>
      <c r="K3740">
        <v>1</v>
      </c>
      <c r="L3740" t="s">
        <v>147</v>
      </c>
      <c r="M3740" t="s">
        <v>335</v>
      </c>
      <c r="N3740" t="s">
        <v>336</v>
      </c>
      <c r="O3740" t="s">
        <v>337</v>
      </c>
      <c r="P3740" t="s">
        <v>338</v>
      </c>
    </row>
    <row r="3741" spans="1:16" x14ac:dyDescent="0.35">
      <c r="A3741" t="s">
        <v>90</v>
      </c>
      <c r="B3741">
        <v>1701216091</v>
      </c>
      <c r="C3741" t="s">
        <v>19</v>
      </c>
      <c r="D3741" t="s">
        <v>21</v>
      </c>
      <c r="E3741" s="29">
        <v>46205</v>
      </c>
      <c r="F3741" t="s">
        <v>4</v>
      </c>
      <c r="G3741" s="28">
        <v>0.38263888888888886</v>
      </c>
      <c r="H3741" s="28">
        <v>0.38263888888888886</v>
      </c>
      <c r="I3741">
        <v>0</v>
      </c>
      <c r="J3741" t="s">
        <v>174</v>
      </c>
      <c r="K3741">
        <v>0</v>
      </c>
      <c r="L3741" t="s">
        <v>2539</v>
      </c>
      <c r="M3741" t="s">
        <v>9489</v>
      </c>
      <c r="N3741" t="s">
        <v>9490</v>
      </c>
      <c r="O3741" t="s">
        <v>9491</v>
      </c>
      <c r="P3741" t="s">
        <v>9492</v>
      </c>
    </row>
    <row r="3742" spans="1:16" x14ac:dyDescent="0.35">
      <c r="A3742" t="s">
        <v>90</v>
      </c>
      <c r="B3742">
        <v>1701216091</v>
      </c>
      <c r="C3742" t="s">
        <v>19</v>
      </c>
      <c r="D3742" t="s">
        <v>21</v>
      </c>
      <c r="E3742" s="29">
        <v>46205</v>
      </c>
      <c r="F3742" t="s">
        <v>4</v>
      </c>
      <c r="G3742" s="28">
        <v>0.38958333333333334</v>
      </c>
      <c r="H3742" s="28">
        <v>0.38958333333333334</v>
      </c>
      <c r="I3742">
        <v>0</v>
      </c>
      <c r="J3742" t="s">
        <v>174</v>
      </c>
      <c r="K3742">
        <v>0</v>
      </c>
      <c r="L3742" t="s">
        <v>9493</v>
      </c>
      <c r="M3742" t="s">
        <v>9494</v>
      </c>
      <c r="N3742" t="s">
        <v>9495</v>
      </c>
      <c r="O3742" t="s">
        <v>9496</v>
      </c>
      <c r="P3742" t="s">
        <v>9497</v>
      </c>
    </row>
    <row r="3743" spans="1:16" x14ac:dyDescent="0.35">
      <c r="A3743" t="s">
        <v>90</v>
      </c>
      <c r="B3743">
        <v>1701216091</v>
      </c>
      <c r="C3743" t="s">
        <v>19</v>
      </c>
      <c r="D3743" t="s">
        <v>21</v>
      </c>
      <c r="E3743" s="29">
        <v>46205</v>
      </c>
      <c r="F3743" t="s">
        <v>4</v>
      </c>
      <c r="G3743" s="28">
        <v>0.39652777777777776</v>
      </c>
      <c r="H3743" s="28">
        <v>0.39652777777777776</v>
      </c>
      <c r="I3743">
        <v>0</v>
      </c>
      <c r="J3743" t="s">
        <v>174</v>
      </c>
      <c r="K3743">
        <v>0</v>
      </c>
      <c r="L3743" t="s">
        <v>1307</v>
      </c>
      <c r="M3743" t="s">
        <v>9481</v>
      </c>
      <c r="N3743" t="s">
        <v>9482</v>
      </c>
      <c r="O3743" t="s">
        <v>9483</v>
      </c>
      <c r="P3743" t="s">
        <v>9484</v>
      </c>
    </row>
    <row r="3744" spans="1:16" x14ac:dyDescent="0.35">
      <c r="A3744" t="s">
        <v>90</v>
      </c>
      <c r="B3744">
        <v>1701216091</v>
      </c>
      <c r="C3744" t="s">
        <v>19</v>
      </c>
      <c r="D3744" t="s">
        <v>21</v>
      </c>
      <c r="E3744" s="29">
        <v>46205</v>
      </c>
      <c r="F3744" t="s">
        <v>4</v>
      </c>
      <c r="G3744" s="28">
        <v>0.40347222222222223</v>
      </c>
      <c r="H3744" s="28">
        <v>0.40347222222222223</v>
      </c>
      <c r="I3744">
        <v>0</v>
      </c>
      <c r="J3744" t="s">
        <v>174</v>
      </c>
      <c r="K3744">
        <v>0</v>
      </c>
      <c r="L3744" t="s">
        <v>293</v>
      </c>
      <c r="M3744" t="s">
        <v>9498</v>
      </c>
      <c r="N3744" t="s">
        <v>9499</v>
      </c>
      <c r="O3744" t="s">
        <v>9500</v>
      </c>
      <c r="P3744" t="s">
        <v>353</v>
      </c>
    </row>
    <row r="3745" spans="1:16" x14ac:dyDescent="0.35">
      <c r="A3745" t="s">
        <v>90</v>
      </c>
      <c r="B3745">
        <v>1701216091</v>
      </c>
      <c r="C3745" t="s">
        <v>19</v>
      </c>
      <c r="D3745" t="s">
        <v>21</v>
      </c>
      <c r="E3745" s="29">
        <v>46205</v>
      </c>
      <c r="F3745" t="s">
        <v>4</v>
      </c>
      <c r="G3745" s="28">
        <v>0.41041666666666665</v>
      </c>
      <c r="H3745" s="28">
        <v>0.41041666666666665</v>
      </c>
      <c r="I3745">
        <v>0</v>
      </c>
      <c r="J3745" t="s">
        <v>174</v>
      </c>
      <c r="K3745">
        <v>0</v>
      </c>
      <c r="L3745" t="s">
        <v>657</v>
      </c>
      <c r="M3745" t="s">
        <v>1155</v>
      </c>
      <c r="N3745" t="s">
        <v>1156</v>
      </c>
      <c r="O3745" t="s">
        <v>1157</v>
      </c>
      <c r="P3745" t="s">
        <v>9501</v>
      </c>
    </row>
    <row r="3746" spans="1:16" x14ac:dyDescent="0.35">
      <c r="A3746" t="s">
        <v>90</v>
      </c>
      <c r="B3746">
        <v>1701216091</v>
      </c>
      <c r="C3746" t="s">
        <v>19</v>
      </c>
      <c r="D3746" t="s">
        <v>21</v>
      </c>
      <c r="E3746" s="29">
        <v>46205</v>
      </c>
      <c r="F3746" t="s">
        <v>4</v>
      </c>
      <c r="G3746" s="28">
        <v>0.41736111111111113</v>
      </c>
      <c r="H3746" s="28">
        <v>0.41736111111111113</v>
      </c>
      <c r="I3746">
        <v>0</v>
      </c>
      <c r="J3746" t="s">
        <v>174</v>
      </c>
      <c r="K3746">
        <v>0</v>
      </c>
      <c r="L3746" t="s">
        <v>3608</v>
      </c>
      <c r="M3746" t="s">
        <v>294</v>
      </c>
      <c r="N3746" t="s">
        <v>295</v>
      </c>
      <c r="O3746" t="s">
        <v>296</v>
      </c>
      <c r="P3746" t="s">
        <v>297</v>
      </c>
    </row>
    <row r="3747" spans="1:16" x14ac:dyDescent="0.35">
      <c r="A3747" t="s">
        <v>90</v>
      </c>
      <c r="B3747">
        <v>1701216091</v>
      </c>
      <c r="C3747" t="s">
        <v>19</v>
      </c>
      <c r="D3747" t="s">
        <v>21</v>
      </c>
      <c r="E3747" s="29">
        <v>46205</v>
      </c>
      <c r="F3747" t="s">
        <v>4</v>
      </c>
      <c r="G3747" s="28">
        <v>0.42430555555555555</v>
      </c>
      <c r="H3747" s="28">
        <v>0.42430555555555555</v>
      </c>
      <c r="I3747">
        <v>0</v>
      </c>
      <c r="J3747" t="s">
        <v>174</v>
      </c>
      <c r="K3747">
        <v>0</v>
      </c>
      <c r="L3747" t="s">
        <v>1164</v>
      </c>
      <c r="M3747" t="s">
        <v>1165</v>
      </c>
      <c r="N3747" t="s">
        <v>1166</v>
      </c>
      <c r="O3747" t="s">
        <v>1167</v>
      </c>
      <c r="P3747" t="s">
        <v>9502</v>
      </c>
    </row>
    <row r="3748" spans="1:16" x14ac:dyDescent="0.35">
      <c r="A3748" t="s">
        <v>90</v>
      </c>
      <c r="B3748">
        <v>1701216091</v>
      </c>
      <c r="C3748" t="s">
        <v>19</v>
      </c>
      <c r="D3748" t="s">
        <v>21</v>
      </c>
      <c r="E3748" s="29">
        <v>46205</v>
      </c>
      <c r="F3748" t="s">
        <v>4</v>
      </c>
      <c r="G3748" s="28">
        <v>0.43125000000000002</v>
      </c>
      <c r="H3748" s="28">
        <v>0.43125000000000002</v>
      </c>
      <c r="I3748">
        <v>0</v>
      </c>
      <c r="J3748" t="s">
        <v>174</v>
      </c>
      <c r="K3748">
        <v>0</v>
      </c>
      <c r="L3748" t="s">
        <v>231</v>
      </c>
      <c r="M3748" t="s">
        <v>233</v>
      </c>
      <c r="N3748" t="s">
        <v>234</v>
      </c>
      <c r="O3748" t="s">
        <v>235</v>
      </c>
      <c r="P3748" t="s">
        <v>236</v>
      </c>
    </row>
    <row r="3749" spans="1:16" x14ac:dyDescent="0.35">
      <c r="A3749" t="s">
        <v>90</v>
      </c>
      <c r="B3749">
        <v>1701216091</v>
      </c>
      <c r="C3749" t="s">
        <v>19</v>
      </c>
      <c r="D3749" t="s">
        <v>21</v>
      </c>
      <c r="E3749" s="29">
        <v>46205</v>
      </c>
      <c r="F3749" t="s">
        <v>4</v>
      </c>
      <c r="G3749" s="28">
        <v>0.43819444444444444</v>
      </c>
      <c r="H3749" s="28">
        <v>0.43819444444444444</v>
      </c>
      <c r="I3749">
        <v>0</v>
      </c>
      <c r="J3749" t="s">
        <v>174</v>
      </c>
      <c r="K3749">
        <v>0</v>
      </c>
      <c r="L3749" t="s">
        <v>231</v>
      </c>
      <c r="M3749" t="s">
        <v>223</v>
      </c>
      <c r="N3749" t="s">
        <v>224</v>
      </c>
      <c r="O3749" t="s">
        <v>225</v>
      </c>
      <c r="P3749" t="s">
        <v>226</v>
      </c>
    </row>
    <row r="3750" spans="1:16" x14ac:dyDescent="0.35">
      <c r="A3750" t="s">
        <v>90</v>
      </c>
      <c r="B3750">
        <v>1701216091</v>
      </c>
      <c r="C3750" t="s">
        <v>19</v>
      </c>
      <c r="D3750" t="s">
        <v>21</v>
      </c>
      <c r="E3750" s="29">
        <v>46205</v>
      </c>
      <c r="F3750" t="s">
        <v>4</v>
      </c>
      <c r="G3750" s="28">
        <v>0.44513888888888886</v>
      </c>
      <c r="H3750" s="28">
        <v>0.44513888888888886</v>
      </c>
      <c r="I3750">
        <v>0</v>
      </c>
      <c r="J3750" t="s">
        <v>174</v>
      </c>
      <c r="K3750">
        <v>0</v>
      </c>
      <c r="L3750" t="s">
        <v>1164</v>
      </c>
      <c r="M3750" t="s">
        <v>233</v>
      </c>
      <c r="N3750" t="s">
        <v>234</v>
      </c>
      <c r="O3750" t="s">
        <v>235</v>
      </c>
      <c r="P3750" t="s">
        <v>236</v>
      </c>
    </row>
    <row r="3751" spans="1:16" x14ac:dyDescent="0.35">
      <c r="A3751" t="s">
        <v>90</v>
      </c>
      <c r="B3751">
        <v>1701216091</v>
      </c>
      <c r="C3751" t="s">
        <v>19</v>
      </c>
      <c r="D3751" t="s">
        <v>21</v>
      </c>
      <c r="E3751" s="29">
        <v>46205</v>
      </c>
      <c r="F3751" t="s">
        <v>4</v>
      </c>
      <c r="G3751" s="28">
        <v>0.45208333333333334</v>
      </c>
      <c r="H3751" s="28">
        <v>0.45208333333333334</v>
      </c>
      <c r="I3751">
        <v>0</v>
      </c>
      <c r="J3751" t="s">
        <v>174</v>
      </c>
      <c r="K3751">
        <v>0</v>
      </c>
      <c r="L3751" t="s">
        <v>2018</v>
      </c>
      <c r="M3751" t="s">
        <v>1165</v>
      </c>
      <c r="N3751" t="s">
        <v>1166</v>
      </c>
      <c r="O3751" t="s">
        <v>1167</v>
      </c>
      <c r="P3751" t="s">
        <v>9502</v>
      </c>
    </row>
    <row r="3752" spans="1:16" x14ac:dyDescent="0.35">
      <c r="A3752" t="s">
        <v>90</v>
      </c>
      <c r="B3752">
        <v>1701216091</v>
      </c>
      <c r="C3752" t="s">
        <v>19</v>
      </c>
      <c r="D3752" t="s">
        <v>21</v>
      </c>
      <c r="E3752" s="29">
        <v>46205</v>
      </c>
      <c r="F3752" t="s">
        <v>4</v>
      </c>
      <c r="G3752" s="28">
        <v>0.45902777777777776</v>
      </c>
      <c r="H3752" s="28">
        <v>0.45902777777777776</v>
      </c>
      <c r="I3752">
        <v>0</v>
      </c>
      <c r="J3752" t="s">
        <v>174</v>
      </c>
      <c r="K3752">
        <v>0</v>
      </c>
      <c r="L3752" t="s">
        <v>5161</v>
      </c>
      <c r="M3752" t="s">
        <v>9503</v>
      </c>
      <c r="N3752" t="s">
        <v>9504</v>
      </c>
      <c r="O3752" t="s">
        <v>9505</v>
      </c>
      <c r="P3752" t="s">
        <v>9506</v>
      </c>
    </row>
    <row r="3753" spans="1:16" x14ac:dyDescent="0.35">
      <c r="A3753" t="s">
        <v>90</v>
      </c>
      <c r="B3753">
        <v>1701216091</v>
      </c>
      <c r="C3753" t="s">
        <v>19</v>
      </c>
      <c r="D3753" t="s">
        <v>21</v>
      </c>
      <c r="E3753" s="29">
        <v>46205</v>
      </c>
      <c r="F3753" t="s">
        <v>4</v>
      </c>
      <c r="G3753" s="28">
        <v>0.46597222222222223</v>
      </c>
      <c r="H3753" s="28">
        <v>0.46597222222222223</v>
      </c>
      <c r="I3753">
        <v>0</v>
      </c>
      <c r="J3753" t="s">
        <v>174</v>
      </c>
      <c r="K3753">
        <v>0</v>
      </c>
      <c r="L3753" t="s">
        <v>4495</v>
      </c>
      <c r="M3753" t="s">
        <v>9507</v>
      </c>
      <c r="N3753" t="s">
        <v>9508</v>
      </c>
      <c r="O3753" t="s">
        <v>9509</v>
      </c>
      <c r="P3753" t="s">
        <v>9510</v>
      </c>
    </row>
    <row r="3754" spans="1:16" x14ac:dyDescent="0.35">
      <c r="A3754" t="s">
        <v>90</v>
      </c>
      <c r="B3754">
        <v>1701216091</v>
      </c>
      <c r="C3754" t="s">
        <v>19</v>
      </c>
      <c r="D3754" t="s">
        <v>21</v>
      </c>
      <c r="E3754" s="29">
        <v>46205</v>
      </c>
      <c r="F3754" t="s">
        <v>4</v>
      </c>
      <c r="G3754" s="28">
        <v>0.47291666666666665</v>
      </c>
      <c r="H3754" s="28">
        <v>0.47291666666666665</v>
      </c>
      <c r="I3754">
        <v>0</v>
      </c>
      <c r="J3754" t="s">
        <v>174</v>
      </c>
      <c r="K3754">
        <v>0</v>
      </c>
      <c r="L3754" t="s">
        <v>5956</v>
      </c>
      <c r="M3754" t="s">
        <v>9511</v>
      </c>
      <c r="N3754" t="s">
        <v>9512</v>
      </c>
      <c r="O3754" t="s">
        <v>9513</v>
      </c>
      <c r="P3754" t="s">
        <v>9514</v>
      </c>
    </row>
    <row r="3755" spans="1:16" x14ac:dyDescent="0.35">
      <c r="A3755" t="s">
        <v>90</v>
      </c>
      <c r="B3755">
        <v>1701216091</v>
      </c>
      <c r="C3755" t="s">
        <v>19</v>
      </c>
      <c r="D3755" t="s">
        <v>21</v>
      </c>
      <c r="E3755" s="29">
        <v>46205</v>
      </c>
      <c r="F3755" t="s">
        <v>4</v>
      </c>
      <c r="G3755" s="28">
        <v>0.47986111111111113</v>
      </c>
      <c r="H3755" s="28">
        <v>0.47986111111111113</v>
      </c>
      <c r="I3755">
        <v>0</v>
      </c>
      <c r="J3755" t="s">
        <v>174</v>
      </c>
      <c r="K3755">
        <v>0</v>
      </c>
      <c r="L3755" t="s">
        <v>9515</v>
      </c>
      <c r="M3755" t="s">
        <v>9516</v>
      </c>
      <c r="N3755" t="s">
        <v>9517</v>
      </c>
      <c r="O3755" t="s">
        <v>9518</v>
      </c>
      <c r="P3755" t="s">
        <v>9519</v>
      </c>
    </row>
    <row r="3756" spans="1:16" x14ac:dyDescent="0.35">
      <c r="A3756" t="s">
        <v>90</v>
      </c>
      <c r="B3756">
        <v>1701216091</v>
      </c>
      <c r="C3756" t="s">
        <v>19</v>
      </c>
      <c r="D3756" t="s">
        <v>21</v>
      </c>
      <c r="E3756" s="29">
        <v>46205</v>
      </c>
      <c r="F3756" t="s">
        <v>4</v>
      </c>
      <c r="G3756" s="28">
        <v>0.48680555555555555</v>
      </c>
      <c r="H3756" s="28">
        <v>0.48680555555555555</v>
      </c>
      <c r="I3756">
        <v>0</v>
      </c>
      <c r="J3756" t="s">
        <v>174</v>
      </c>
      <c r="K3756">
        <v>0</v>
      </c>
      <c r="L3756" t="s">
        <v>9520</v>
      </c>
      <c r="M3756" t="s">
        <v>4510</v>
      </c>
      <c r="N3756" t="s">
        <v>4511</v>
      </c>
      <c r="O3756" t="s">
        <v>4512</v>
      </c>
      <c r="P3756" t="s">
        <v>4513</v>
      </c>
    </row>
    <row r="3757" spans="1:16" x14ac:dyDescent="0.35">
      <c r="A3757" t="s">
        <v>90</v>
      </c>
      <c r="B3757">
        <v>1701216091</v>
      </c>
      <c r="C3757" t="s">
        <v>19</v>
      </c>
      <c r="D3757" t="s">
        <v>21</v>
      </c>
      <c r="E3757" s="29">
        <v>46205</v>
      </c>
      <c r="F3757" t="s">
        <v>4</v>
      </c>
      <c r="G3757" s="28">
        <v>0.49375000000000002</v>
      </c>
      <c r="H3757" s="28">
        <v>0.49375000000000002</v>
      </c>
      <c r="I3757">
        <v>0</v>
      </c>
      <c r="J3757" t="s">
        <v>174</v>
      </c>
      <c r="K3757">
        <v>0</v>
      </c>
      <c r="L3757" t="s">
        <v>9521</v>
      </c>
      <c r="M3757" t="s">
        <v>9522</v>
      </c>
      <c r="N3757" t="s">
        <v>9523</v>
      </c>
      <c r="O3757" t="s">
        <v>9524</v>
      </c>
      <c r="P3757" t="s">
        <v>9525</v>
      </c>
    </row>
    <row r="3758" spans="1:16" x14ac:dyDescent="0.35">
      <c r="A3758" t="s">
        <v>90</v>
      </c>
      <c r="B3758">
        <v>1701216091</v>
      </c>
      <c r="C3758" t="s">
        <v>19</v>
      </c>
      <c r="D3758" t="s">
        <v>21</v>
      </c>
      <c r="E3758" s="29">
        <v>46205</v>
      </c>
      <c r="F3758" t="s">
        <v>4</v>
      </c>
      <c r="G3758" s="28">
        <v>0.50069444444444444</v>
      </c>
      <c r="H3758" s="28">
        <v>0.50069444444444444</v>
      </c>
      <c r="I3758">
        <v>0</v>
      </c>
      <c r="J3758" t="s">
        <v>174</v>
      </c>
      <c r="K3758">
        <v>0</v>
      </c>
      <c r="L3758" t="s">
        <v>9526</v>
      </c>
      <c r="M3758" t="s">
        <v>9527</v>
      </c>
      <c r="N3758" t="s">
        <v>9528</v>
      </c>
      <c r="O3758" t="s">
        <v>9529</v>
      </c>
      <c r="P3758" t="s">
        <v>9530</v>
      </c>
    </row>
    <row r="3759" spans="1:16" x14ac:dyDescent="0.35">
      <c r="A3759" t="s">
        <v>90</v>
      </c>
      <c r="B3759">
        <v>1701216091</v>
      </c>
      <c r="C3759" t="s">
        <v>19</v>
      </c>
      <c r="D3759" t="s">
        <v>21</v>
      </c>
      <c r="E3759" s="29">
        <v>46205</v>
      </c>
      <c r="F3759" t="s">
        <v>4</v>
      </c>
      <c r="G3759" s="28">
        <v>0.50763888888888886</v>
      </c>
      <c r="H3759" s="28">
        <v>0.50763888888888886</v>
      </c>
      <c r="I3759">
        <v>0</v>
      </c>
      <c r="J3759" t="s">
        <v>174</v>
      </c>
      <c r="K3759">
        <v>0</v>
      </c>
      <c r="L3759" t="s">
        <v>9531</v>
      </c>
      <c r="M3759" t="s">
        <v>9532</v>
      </c>
      <c r="N3759" t="s">
        <v>9533</v>
      </c>
      <c r="O3759" t="s">
        <v>9534</v>
      </c>
      <c r="P3759" t="s">
        <v>9535</v>
      </c>
    </row>
    <row r="3760" spans="1:16" x14ac:dyDescent="0.35">
      <c r="A3760" t="s">
        <v>90</v>
      </c>
      <c r="B3760">
        <v>1701216091</v>
      </c>
      <c r="C3760" t="s">
        <v>19</v>
      </c>
      <c r="D3760" t="s">
        <v>21</v>
      </c>
      <c r="E3760" s="29">
        <v>46205</v>
      </c>
      <c r="F3760" t="s">
        <v>4</v>
      </c>
      <c r="G3760" s="28">
        <v>0.51458333333333328</v>
      </c>
      <c r="H3760" s="28">
        <v>0.51458333333333328</v>
      </c>
      <c r="I3760">
        <v>0</v>
      </c>
      <c r="J3760" t="s">
        <v>174</v>
      </c>
      <c r="K3760">
        <v>0</v>
      </c>
      <c r="L3760" t="s">
        <v>9536</v>
      </c>
      <c r="M3760" t="s">
        <v>9537</v>
      </c>
      <c r="N3760" t="s">
        <v>9538</v>
      </c>
      <c r="O3760" t="s">
        <v>9539</v>
      </c>
      <c r="P3760" t="s">
        <v>9540</v>
      </c>
    </row>
    <row r="3761" spans="1:16" x14ac:dyDescent="0.35">
      <c r="A3761" t="s">
        <v>90</v>
      </c>
      <c r="B3761">
        <v>1701216091</v>
      </c>
      <c r="C3761" t="s">
        <v>19</v>
      </c>
      <c r="D3761" t="s">
        <v>21</v>
      </c>
      <c r="E3761" s="29">
        <v>46205</v>
      </c>
      <c r="F3761" t="s">
        <v>4</v>
      </c>
      <c r="G3761" s="28">
        <v>0.52152777777777781</v>
      </c>
      <c r="H3761" s="28">
        <v>0.52152777777777781</v>
      </c>
      <c r="I3761">
        <v>0</v>
      </c>
      <c r="J3761" t="s">
        <v>174</v>
      </c>
      <c r="K3761">
        <v>0</v>
      </c>
      <c r="L3761" t="s">
        <v>2218</v>
      </c>
      <c r="M3761" t="s">
        <v>9541</v>
      </c>
      <c r="N3761" t="s">
        <v>9542</v>
      </c>
      <c r="O3761" t="s">
        <v>9543</v>
      </c>
      <c r="P3761" t="s">
        <v>9544</v>
      </c>
    </row>
    <row r="3762" spans="1:16" x14ac:dyDescent="0.35">
      <c r="A3762" t="s">
        <v>90</v>
      </c>
      <c r="B3762">
        <v>1701216091</v>
      </c>
      <c r="C3762" t="s">
        <v>19</v>
      </c>
      <c r="D3762" t="s">
        <v>21</v>
      </c>
      <c r="E3762" s="29">
        <v>46205</v>
      </c>
      <c r="F3762" t="s">
        <v>4</v>
      </c>
      <c r="G3762" s="28">
        <v>0.52847222222222223</v>
      </c>
      <c r="H3762" s="28">
        <v>0.52847222222222223</v>
      </c>
      <c r="I3762">
        <v>0</v>
      </c>
      <c r="J3762" t="s">
        <v>174</v>
      </c>
      <c r="K3762">
        <v>0</v>
      </c>
      <c r="L3762" t="s">
        <v>9545</v>
      </c>
      <c r="M3762" t="s">
        <v>9546</v>
      </c>
      <c r="N3762" t="s">
        <v>9547</v>
      </c>
      <c r="O3762" t="s">
        <v>9548</v>
      </c>
      <c r="P3762" t="s">
        <v>9549</v>
      </c>
    </row>
    <row r="3763" spans="1:16" x14ac:dyDescent="0.35">
      <c r="A3763" t="s">
        <v>90</v>
      </c>
      <c r="B3763">
        <v>1701216091</v>
      </c>
      <c r="C3763" t="s">
        <v>19</v>
      </c>
      <c r="D3763" t="s">
        <v>21</v>
      </c>
      <c r="E3763" s="29">
        <v>46205</v>
      </c>
      <c r="F3763" t="s">
        <v>4</v>
      </c>
      <c r="G3763" s="28">
        <v>0.53541666666666665</v>
      </c>
      <c r="H3763" s="28">
        <v>0.53541666666666665</v>
      </c>
      <c r="I3763">
        <v>0</v>
      </c>
      <c r="J3763" t="s">
        <v>174</v>
      </c>
      <c r="K3763">
        <v>0</v>
      </c>
      <c r="L3763" t="s">
        <v>946</v>
      </c>
      <c r="M3763" t="s">
        <v>9550</v>
      </c>
      <c r="N3763" t="s">
        <v>9551</v>
      </c>
      <c r="O3763" t="s">
        <v>9552</v>
      </c>
      <c r="P3763" t="s">
        <v>9553</v>
      </c>
    </row>
    <row r="3764" spans="1:16" x14ac:dyDescent="0.35">
      <c r="A3764" t="s">
        <v>90</v>
      </c>
      <c r="B3764">
        <v>1701216091</v>
      </c>
      <c r="C3764" t="s">
        <v>19</v>
      </c>
      <c r="D3764" t="s">
        <v>21</v>
      </c>
      <c r="E3764" s="29">
        <v>46205</v>
      </c>
      <c r="F3764" t="s">
        <v>4</v>
      </c>
      <c r="G3764" s="28">
        <v>0.54236111111111107</v>
      </c>
      <c r="H3764" s="28">
        <v>0.54236111111111107</v>
      </c>
      <c r="I3764">
        <v>0</v>
      </c>
      <c r="J3764" t="s">
        <v>174</v>
      </c>
      <c r="K3764">
        <v>0</v>
      </c>
      <c r="L3764" t="s">
        <v>9554</v>
      </c>
      <c r="M3764" t="s">
        <v>9555</v>
      </c>
      <c r="N3764" t="s">
        <v>9556</v>
      </c>
      <c r="O3764" t="s">
        <v>9557</v>
      </c>
      <c r="P3764" t="s">
        <v>9558</v>
      </c>
    </row>
    <row r="3765" spans="1:16" x14ac:dyDescent="0.35">
      <c r="A3765" t="s">
        <v>90</v>
      </c>
      <c r="B3765">
        <v>1701216091</v>
      </c>
      <c r="C3765" t="s">
        <v>19</v>
      </c>
      <c r="D3765" t="s">
        <v>21</v>
      </c>
      <c r="E3765" s="29">
        <v>46205</v>
      </c>
      <c r="F3765" t="s">
        <v>4</v>
      </c>
      <c r="G3765" s="28">
        <v>0.5493055555555556</v>
      </c>
      <c r="H3765" s="28">
        <v>0.5493055555555556</v>
      </c>
      <c r="I3765">
        <v>0</v>
      </c>
      <c r="J3765" t="s">
        <v>174</v>
      </c>
      <c r="K3765">
        <v>0</v>
      </c>
      <c r="L3765" t="s">
        <v>9559</v>
      </c>
      <c r="M3765" t="s">
        <v>9560</v>
      </c>
      <c r="N3765" t="s">
        <v>9561</v>
      </c>
      <c r="O3765" t="s">
        <v>9562</v>
      </c>
      <c r="P3765" t="s">
        <v>4592</v>
      </c>
    </row>
    <row r="3766" spans="1:16" x14ac:dyDescent="0.35">
      <c r="A3766" t="s">
        <v>90</v>
      </c>
      <c r="B3766">
        <v>1701216091</v>
      </c>
      <c r="C3766" t="s">
        <v>19</v>
      </c>
      <c r="D3766" t="s">
        <v>21</v>
      </c>
      <c r="E3766" s="29">
        <v>46205</v>
      </c>
      <c r="F3766" t="s">
        <v>4</v>
      </c>
      <c r="G3766" s="28">
        <v>0.55625000000000002</v>
      </c>
      <c r="H3766" s="28">
        <v>0.55625000000000002</v>
      </c>
      <c r="I3766">
        <v>0</v>
      </c>
      <c r="J3766" t="s">
        <v>174</v>
      </c>
      <c r="K3766">
        <v>0</v>
      </c>
      <c r="L3766" t="s">
        <v>6190</v>
      </c>
      <c r="M3766" t="s">
        <v>9563</v>
      </c>
      <c r="N3766" t="s">
        <v>9564</v>
      </c>
      <c r="O3766" t="s">
        <v>9565</v>
      </c>
      <c r="P3766" t="s">
        <v>9566</v>
      </c>
    </row>
    <row r="3767" spans="1:16" x14ac:dyDescent="0.35">
      <c r="A3767" t="s">
        <v>90</v>
      </c>
      <c r="B3767">
        <v>1701216091</v>
      </c>
      <c r="C3767" t="s">
        <v>19</v>
      </c>
      <c r="D3767" t="s">
        <v>21</v>
      </c>
      <c r="E3767" s="29">
        <v>46205</v>
      </c>
      <c r="F3767" t="s">
        <v>4</v>
      </c>
      <c r="G3767" s="28">
        <v>0.56319444444444444</v>
      </c>
      <c r="H3767" s="28">
        <v>0.56319444444444444</v>
      </c>
      <c r="I3767">
        <v>0</v>
      </c>
      <c r="J3767" t="s">
        <v>174</v>
      </c>
      <c r="K3767">
        <v>0</v>
      </c>
      <c r="L3767" t="s">
        <v>5812</v>
      </c>
      <c r="M3767" t="s">
        <v>4871</v>
      </c>
      <c r="N3767" t="s">
        <v>4872</v>
      </c>
      <c r="O3767" t="s">
        <v>4873</v>
      </c>
      <c r="P3767" t="s">
        <v>9567</v>
      </c>
    </row>
    <row r="3768" spans="1:16" x14ac:dyDescent="0.35">
      <c r="A3768" t="s">
        <v>90</v>
      </c>
      <c r="B3768">
        <v>1701216091</v>
      </c>
      <c r="C3768" t="s">
        <v>19</v>
      </c>
      <c r="D3768" t="s">
        <v>21</v>
      </c>
      <c r="E3768" s="29">
        <v>46205</v>
      </c>
      <c r="F3768" t="s">
        <v>4</v>
      </c>
      <c r="G3768" s="28">
        <v>0.57013888888888886</v>
      </c>
      <c r="H3768" s="28">
        <v>0.57013888888888886</v>
      </c>
      <c r="I3768">
        <v>0</v>
      </c>
      <c r="J3768" t="s">
        <v>174</v>
      </c>
      <c r="K3768">
        <v>0</v>
      </c>
      <c r="L3768" t="s">
        <v>3241</v>
      </c>
      <c r="M3768" t="s">
        <v>9568</v>
      </c>
      <c r="N3768" t="s">
        <v>9569</v>
      </c>
      <c r="O3768" t="s">
        <v>9570</v>
      </c>
      <c r="P3768" t="s">
        <v>9571</v>
      </c>
    </row>
    <row r="3769" spans="1:16" x14ac:dyDescent="0.35">
      <c r="A3769" t="s">
        <v>90</v>
      </c>
      <c r="B3769">
        <v>1701216091</v>
      </c>
      <c r="C3769" t="s">
        <v>19</v>
      </c>
      <c r="D3769" t="s">
        <v>21</v>
      </c>
      <c r="E3769" s="29">
        <v>46205</v>
      </c>
      <c r="F3769" t="s">
        <v>4</v>
      </c>
      <c r="G3769" s="28">
        <v>0.57708333333333328</v>
      </c>
      <c r="H3769" s="28">
        <v>0.58402777777777781</v>
      </c>
      <c r="I3769">
        <v>0</v>
      </c>
      <c r="J3769" t="s">
        <v>146</v>
      </c>
      <c r="K3769">
        <v>1</v>
      </c>
      <c r="L3769" t="s">
        <v>147</v>
      </c>
      <c r="M3769" t="s">
        <v>4866</v>
      </c>
      <c r="N3769" t="s">
        <v>4867</v>
      </c>
      <c r="O3769" t="s">
        <v>4868</v>
      </c>
      <c r="P3769" t="s">
        <v>9572</v>
      </c>
    </row>
    <row r="3770" spans="1:16" x14ac:dyDescent="0.35">
      <c r="A3770" t="s">
        <v>90</v>
      </c>
      <c r="B3770">
        <v>1701216091</v>
      </c>
      <c r="C3770" t="s">
        <v>19</v>
      </c>
      <c r="D3770" t="s">
        <v>21</v>
      </c>
      <c r="E3770" s="29">
        <v>46205</v>
      </c>
      <c r="F3770" t="s">
        <v>4</v>
      </c>
      <c r="G3770" s="28">
        <v>0.59097222222222223</v>
      </c>
      <c r="H3770" s="28">
        <v>0.59097222222222223</v>
      </c>
      <c r="I3770">
        <v>0</v>
      </c>
      <c r="J3770" t="s">
        <v>174</v>
      </c>
      <c r="K3770">
        <v>0</v>
      </c>
      <c r="L3770" t="s">
        <v>7399</v>
      </c>
      <c r="M3770" t="s">
        <v>1345</v>
      </c>
      <c r="N3770" t="s">
        <v>1346</v>
      </c>
      <c r="O3770" t="s">
        <v>1347</v>
      </c>
      <c r="P3770" t="s">
        <v>1348</v>
      </c>
    </row>
    <row r="3771" spans="1:16" x14ac:dyDescent="0.35">
      <c r="A3771" t="s">
        <v>90</v>
      </c>
      <c r="B3771">
        <v>1701216091</v>
      </c>
      <c r="C3771" t="s">
        <v>19</v>
      </c>
      <c r="D3771" t="s">
        <v>21</v>
      </c>
      <c r="E3771" s="29">
        <v>46205</v>
      </c>
      <c r="F3771" t="s">
        <v>4</v>
      </c>
      <c r="G3771" s="28">
        <v>0.59791666666666665</v>
      </c>
      <c r="H3771" s="28">
        <v>0.59791666666666665</v>
      </c>
      <c r="I3771">
        <v>0</v>
      </c>
      <c r="J3771" t="s">
        <v>174</v>
      </c>
      <c r="K3771">
        <v>0</v>
      </c>
      <c r="L3771" t="s">
        <v>6870</v>
      </c>
      <c r="M3771" t="s">
        <v>9573</v>
      </c>
      <c r="N3771" t="s">
        <v>9574</v>
      </c>
      <c r="O3771" t="s">
        <v>5969</v>
      </c>
      <c r="P3771" t="s">
        <v>9575</v>
      </c>
    </row>
    <row r="3772" spans="1:16" x14ac:dyDescent="0.35">
      <c r="A3772" t="s">
        <v>90</v>
      </c>
      <c r="B3772">
        <v>1701216091</v>
      </c>
      <c r="C3772" t="s">
        <v>19</v>
      </c>
      <c r="D3772" t="s">
        <v>21</v>
      </c>
      <c r="E3772" s="29">
        <v>46205</v>
      </c>
      <c r="F3772" t="s">
        <v>4</v>
      </c>
      <c r="G3772" s="28">
        <v>0.60486111111111107</v>
      </c>
      <c r="H3772" s="28">
        <v>0.60486111111111107</v>
      </c>
      <c r="I3772">
        <v>0</v>
      </c>
      <c r="J3772" t="s">
        <v>174</v>
      </c>
      <c r="K3772">
        <v>0</v>
      </c>
      <c r="L3772" t="s">
        <v>3245</v>
      </c>
      <c r="M3772" t="s">
        <v>1365</v>
      </c>
      <c r="N3772" t="s">
        <v>9576</v>
      </c>
      <c r="O3772" t="s">
        <v>9577</v>
      </c>
      <c r="P3772" t="s">
        <v>9578</v>
      </c>
    </row>
    <row r="3773" spans="1:16" x14ac:dyDescent="0.35">
      <c r="A3773" t="s">
        <v>90</v>
      </c>
      <c r="B3773">
        <v>1701216091</v>
      </c>
      <c r="C3773" t="s">
        <v>19</v>
      </c>
      <c r="D3773" t="s">
        <v>21</v>
      </c>
      <c r="E3773" s="29">
        <v>46205</v>
      </c>
      <c r="F3773" t="s">
        <v>4</v>
      </c>
      <c r="G3773" s="28">
        <v>0.6118055555555556</v>
      </c>
      <c r="H3773" s="28">
        <v>0.6118055555555556</v>
      </c>
      <c r="I3773">
        <v>0</v>
      </c>
      <c r="J3773" t="s">
        <v>174</v>
      </c>
      <c r="K3773">
        <v>0</v>
      </c>
      <c r="L3773" t="s">
        <v>9579</v>
      </c>
      <c r="M3773" t="s">
        <v>1360</v>
      </c>
      <c r="N3773" t="s">
        <v>1693</v>
      </c>
      <c r="O3773" t="s">
        <v>1694</v>
      </c>
      <c r="P3773" t="s">
        <v>1695</v>
      </c>
    </row>
    <row r="3774" spans="1:16" x14ac:dyDescent="0.35">
      <c r="A3774" t="s">
        <v>90</v>
      </c>
      <c r="B3774">
        <v>1701216091</v>
      </c>
      <c r="C3774" t="s">
        <v>19</v>
      </c>
      <c r="D3774" t="s">
        <v>21</v>
      </c>
      <c r="E3774" s="29">
        <v>46205</v>
      </c>
      <c r="F3774" t="s">
        <v>4</v>
      </c>
      <c r="G3774" s="28">
        <v>0.61875000000000002</v>
      </c>
      <c r="H3774" s="28">
        <v>0.61875000000000002</v>
      </c>
      <c r="I3774">
        <v>0</v>
      </c>
      <c r="J3774" t="s">
        <v>174</v>
      </c>
      <c r="K3774">
        <v>0</v>
      </c>
      <c r="L3774" t="s">
        <v>9580</v>
      </c>
      <c r="M3774" t="s">
        <v>9581</v>
      </c>
      <c r="N3774" t="s">
        <v>9582</v>
      </c>
      <c r="O3774" t="s">
        <v>9583</v>
      </c>
      <c r="P3774" t="s">
        <v>9584</v>
      </c>
    </row>
    <row r="3775" spans="1:16" x14ac:dyDescent="0.35">
      <c r="A3775" t="s">
        <v>90</v>
      </c>
      <c r="B3775">
        <v>1701216091</v>
      </c>
      <c r="C3775" t="s">
        <v>19</v>
      </c>
      <c r="D3775" t="s">
        <v>21</v>
      </c>
      <c r="E3775" s="29">
        <v>46205</v>
      </c>
      <c r="F3775" t="s">
        <v>4</v>
      </c>
      <c r="G3775" s="28">
        <v>0.62569444444444444</v>
      </c>
      <c r="H3775" s="28">
        <v>0.62569444444444444</v>
      </c>
      <c r="I3775">
        <v>0</v>
      </c>
      <c r="J3775" t="s">
        <v>174</v>
      </c>
      <c r="K3775">
        <v>0</v>
      </c>
      <c r="L3775" t="s">
        <v>1672</v>
      </c>
      <c r="M3775" t="s">
        <v>1678</v>
      </c>
      <c r="N3775" t="s">
        <v>1679</v>
      </c>
      <c r="O3775" t="s">
        <v>1680</v>
      </c>
      <c r="P3775" t="s">
        <v>1681</v>
      </c>
    </row>
    <row r="3776" spans="1:16" x14ac:dyDescent="0.35">
      <c r="A3776" t="s">
        <v>90</v>
      </c>
      <c r="B3776">
        <v>1701216091</v>
      </c>
      <c r="C3776" t="s">
        <v>19</v>
      </c>
      <c r="D3776" t="s">
        <v>21</v>
      </c>
      <c r="E3776" s="29">
        <v>46205</v>
      </c>
      <c r="F3776" t="s">
        <v>4</v>
      </c>
      <c r="G3776" s="28">
        <v>0.63263888888888886</v>
      </c>
      <c r="H3776" s="28">
        <v>0.63263888888888886</v>
      </c>
      <c r="I3776">
        <v>0</v>
      </c>
      <c r="J3776" t="s">
        <v>174</v>
      </c>
      <c r="K3776">
        <v>0</v>
      </c>
      <c r="L3776" t="s">
        <v>9585</v>
      </c>
      <c r="M3776" t="s">
        <v>1673</v>
      </c>
      <c r="N3776" t="s">
        <v>1674</v>
      </c>
      <c r="O3776" t="s">
        <v>1675</v>
      </c>
      <c r="P3776" t="s">
        <v>1676</v>
      </c>
    </row>
    <row r="3777" spans="1:16" x14ac:dyDescent="0.35">
      <c r="A3777" t="s">
        <v>90</v>
      </c>
      <c r="B3777">
        <v>1701216091</v>
      </c>
      <c r="C3777" t="s">
        <v>19</v>
      </c>
      <c r="D3777" t="s">
        <v>21</v>
      </c>
      <c r="E3777" s="29">
        <v>46205</v>
      </c>
      <c r="F3777" t="s">
        <v>4</v>
      </c>
      <c r="G3777" s="28">
        <v>0.63958333333333328</v>
      </c>
      <c r="H3777" s="28">
        <v>0.63958333333333328</v>
      </c>
      <c r="I3777">
        <v>0</v>
      </c>
      <c r="J3777" t="s">
        <v>174</v>
      </c>
      <c r="K3777">
        <v>0</v>
      </c>
      <c r="L3777" t="s">
        <v>1600</v>
      </c>
      <c r="M3777" t="s">
        <v>1663</v>
      </c>
      <c r="N3777" t="s">
        <v>1664</v>
      </c>
      <c r="O3777" t="s">
        <v>1665</v>
      </c>
      <c r="P3777" t="s">
        <v>1666</v>
      </c>
    </row>
    <row r="3778" spans="1:16" x14ac:dyDescent="0.35">
      <c r="A3778" t="s">
        <v>90</v>
      </c>
      <c r="B3778">
        <v>1701216091</v>
      </c>
      <c r="C3778" t="s">
        <v>19</v>
      </c>
      <c r="D3778" t="s">
        <v>21</v>
      </c>
      <c r="E3778" s="29">
        <v>46205</v>
      </c>
      <c r="F3778" t="s">
        <v>4</v>
      </c>
      <c r="G3778" s="28">
        <v>0.64652777777777781</v>
      </c>
      <c r="H3778" s="28">
        <v>0.64652777777777781</v>
      </c>
      <c r="I3778">
        <v>0</v>
      </c>
      <c r="J3778" t="s">
        <v>174</v>
      </c>
      <c r="K3778">
        <v>0</v>
      </c>
      <c r="L3778" t="s">
        <v>528</v>
      </c>
      <c r="M3778" t="s">
        <v>1645</v>
      </c>
      <c r="N3778" t="s">
        <v>1646</v>
      </c>
      <c r="O3778" t="s">
        <v>1647</v>
      </c>
      <c r="P3778" t="s">
        <v>1648</v>
      </c>
    </row>
    <row r="3779" spans="1:16" x14ac:dyDescent="0.35">
      <c r="A3779" t="s">
        <v>90</v>
      </c>
      <c r="B3779">
        <v>1701216091</v>
      </c>
      <c r="C3779" t="s">
        <v>19</v>
      </c>
      <c r="D3779" t="s">
        <v>21</v>
      </c>
      <c r="E3779" s="29">
        <v>46205</v>
      </c>
      <c r="F3779" t="s">
        <v>4</v>
      </c>
      <c r="G3779" s="28">
        <v>0.65347222222222223</v>
      </c>
      <c r="H3779" s="28">
        <v>0.65347222222222223</v>
      </c>
      <c r="I3779">
        <v>0</v>
      </c>
      <c r="J3779" t="s">
        <v>174</v>
      </c>
      <c r="K3779">
        <v>0</v>
      </c>
      <c r="L3779" t="s">
        <v>9586</v>
      </c>
      <c r="M3779" t="s">
        <v>9587</v>
      </c>
      <c r="N3779" t="s">
        <v>9588</v>
      </c>
      <c r="O3779" t="s">
        <v>9589</v>
      </c>
      <c r="P3779" t="s">
        <v>9590</v>
      </c>
    </row>
    <row r="3780" spans="1:16" x14ac:dyDescent="0.35">
      <c r="A3780" t="s">
        <v>90</v>
      </c>
      <c r="B3780">
        <v>1701216091</v>
      </c>
      <c r="C3780" t="s">
        <v>19</v>
      </c>
      <c r="D3780" t="s">
        <v>21</v>
      </c>
      <c r="E3780" s="29">
        <v>46205</v>
      </c>
      <c r="F3780" t="s">
        <v>4</v>
      </c>
      <c r="G3780" s="28">
        <v>0.66041666666666665</v>
      </c>
      <c r="H3780" s="28">
        <v>0.66041666666666665</v>
      </c>
      <c r="I3780">
        <v>0</v>
      </c>
      <c r="J3780" t="s">
        <v>174</v>
      </c>
      <c r="K3780">
        <v>0</v>
      </c>
      <c r="L3780" t="s">
        <v>9591</v>
      </c>
      <c r="M3780" t="s">
        <v>9592</v>
      </c>
      <c r="N3780" t="s">
        <v>9593</v>
      </c>
      <c r="O3780" t="s">
        <v>9594</v>
      </c>
      <c r="P3780" t="s">
        <v>9595</v>
      </c>
    </row>
    <row r="3781" spans="1:16" x14ac:dyDescent="0.35">
      <c r="A3781" t="s">
        <v>90</v>
      </c>
      <c r="B3781">
        <v>1701216091</v>
      </c>
      <c r="C3781" t="s">
        <v>19</v>
      </c>
      <c r="D3781" t="s">
        <v>21</v>
      </c>
      <c r="E3781" s="29">
        <v>46205</v>
      </c>
      <c r="F3781" t="s">
        <v>4</v>
      </c>
      <c r="G3781" s="28">
        <v>0.66736111111111107</v>
      </c>
      <c r="H3781" s="28">
        <v>0.66736111111111107</v>
      </c>
      <c r="I3781">
        <v>0</v>
      </c>
      <c r="J3781" t="s">
        <v>174</v>
      </c>
      <c r="K3781">
        <v>0</v>
      </c>
      <c r="L3781" t="s">
        <v>9596</v>
      </c>
      <c r="M3781" t="s">
        <v>9597</v>
      </c>
      <c r="N3781" t="s">
        <v>9598</v>
      </c>
      <c r="O3781" t="s">
        <v>9599</v>
      </c>
      <c r="P3781" t="s">
        <v>9600</v>
      </c>
    </row>
    <row r="3782" spans="1:16" x14ac:dyDescent="0.35">
      <c r="A3782" t="s">
        <v>90</v>
      </c>
      <c r="B3782">
        <v>1701216091</v>
      </c>
      <c r="C3782" t="s">
        <v>19</v>
      </c>
      <c r="D3782" t="s">
        <v>21</v>
      </c>
      <c r="E3782" s="29">
        <v>46205</v>
      </c>
      <c r="F3782" t="s">
        <v>4</v>
      </c>
      <c r="G3782" s="28">
        <v>0.6743055555555556</v>
      </c>
      <c r="H3782" s="28">
        <v>0.6743055555555556</v>
      </c>
      <c r="I3782">
        <v>0</v>
      </c>
      <c r="J3782" t="s">
        <v>174</v>
      </c>
      <c r="K3782">
        <v>0</v>
      </c>
      <c r="L3782" t="s">
        <v>1965</v>
      </c>
      <c r="M3782" t="s">
        <v>9601</v>
      </c>
      <c r="N3782" t="s">
        <v>9602</v>
      </c>
      <c r="O3782" t="s">
        <v>9603</v>
      </c>
      <c r="P3782" t="s">
        <v>9604</v>
      </c>
    </row>
    <row r="3783" spans="1:16" x14ac:dyDescent="0.35">
      <c r="A3783" t="s">
        <v>90</v>
      </c>
      <c r="B3783">
        <v>1701216091</v>
      </c>
      <c r="C3783" t="s">
        <v>19</v>
      </c>
      <c r="D3783" t="s">
        <v>21</v>
      </c>
      <c r="E3783" s="29">
        <v>46205</v>
      </c>
      <c r="F3783" t="s">
        <v>4</v>
      </c>
      <c r="G3783" s="28">
        <v>0.68125000000000002</v>
      </c>
      <c r="H3783" s="28">
        <v>0.68125000000000002</v>
      </c>
      <c r="I3783">
        <v>0</v>
      </c>
      <c r="J3783" t="s">
        <v>174</v>
      </c>
      <c r="K3783">
        <v>0</v>
      </c>
      <c r="L3783" t="s">
        <v>9605</v>
      </c>
      <c r="M3783" t="s">
        <v>9606</v>
      </c>
      <c r="N3783" t="s">
        <v>9607</v>
      </c>
      <c r="O3783" t="s">
        <v>9608</v>
      </c>
      <c r="P3783" t="s">
        <v>9609</v>
      </c>
    </row>
    <row r="3784" spans="1:16" x14ac:dyDescent="0.35">
      <c r="A3784" t="s">
        <v>90</v>
      </c>
      <c r="B3784">
        <v>1701216091</v>
      </c>
      <c r="C3784" t="s">
        <v>19</v>
      </c>
      <c r="D3784" t="s">
        <v>21</v>
      </c>
      <c r="E3784" s="29">
        <v>46205</v>
      </c>
      <c r="F3784" t="s">
        <v>4</v>
      </c>
      <c r="G3784" s="28">
        <v>0.68819444444444444</v>
      </c>
      <c r="H3784" s="28">
        <v>0.68819444444444444</v>
      </c>
      <c r="I3784">
        <v>0</v>
      </c>
      <c r="J3784" t="s">
        <v>174</v>
      </c>
      <c r="K3784">
        <v>0</v>
      </c>
      <c r="L3784" t="s">
        <v>213</v>
      </c>
      <c r="M3784" t="s">
        <v>9610</v>
      </c>
      <c r="N3784" t="s">
        <v>9611</v>
      </c>
      <c r="O3784" t="s">
        <v>9612</v>
      </c>
      <c r="P3784" t="s">
        <v>2122</v>
      </c>
    </row>
    <row r="3785" spans="1:16" x14ac:dyDescent="0.35">
      <c r="A3785" t="s">
        <v>90</v>
      </c>
      <c r="B3785">
        <v>1701216091</v>
      </c>
      <c r="C3785" t="s">
        <v>19</v>
      </c>
      <c r="D3785" t="s">
        <v>21</v>
      </c>
      <c r="E3785" s="29">
        <v>46205</v>
      </c>
      <c r="F3785" t="s">
        <v>4</v>
      </c>
      <c r="G3785" s="28">
        <v>0.69513888888888886</v>
      </c>
      <c r="H3785" s="28">
        <v>0.69513888888888886</v>
      </c>
      <c r="I3785">
        <v>0</v>
      </c>
      <c r="J3785" t="s">
        <v>174</v>
      </c>
      <c r="K3785">
        <v>0</v>
      </c>
      <c r="L3785" t="s">
        <v>657</v>
      </c>
      <c r="M3785" t="s">
        <v>9613</v>
      </c>
      <c r="N3785" t="s">
        <v>9614</v>
      </c>
      <c r="O3785" t="s">
        <v>9615</v>
      </c>
      <c r="P3785" t="s">
        <v>9616</v>
      </c>
    </row>
    <row r="3786" spans="1:16" x14ac:dyDescent="0.35">
      <c r="A3786" t="s">
        <v>90</v>
      </c>
      <c r="B3786">
        <v>1701216091</v>
      </c>
      <c r="C3786" t="s">
        <v>19</v>
      </c>
      <c r="D3786" t="s">
        <v>21</v>
      </c>
      <c r="E3786" s="29">
        <v>46205</v>
      </c>
      <c r="F3786" t="s">
        <v>4</v>
      </c>
      <c r="G3786" s="28">
        <v>0.70208333333333328</v>
      </c>
      <c r="H3786" s="28">
        <v>0.70208333333333328</v>
      </c>
      <c r="I3786">
        <v>0</v>
      </c>
      <c r="J3786" t="s">
        <v>174</v>
      </c>
      <c r="K3786">
        <v>0</v>
      </c>
      <c r="L3786" t="s">
        <v>1440</v>
      </c>
      <c r="M3786" t="s">
        <v>9617</v>
      </c>
      <c r="N3786" t="s">
        <v>9618</v>
      </c>
      <c r="O3786" t="s">
        <v>9619</v>
      </c>
      <c r="P3786" t="s">
        <v>9620</v>
      </c>
    </row>
    <row r="3787" spans="1:16" x14ac:dyDescent="0.35">
      <c r="A3787" t="s">
        <v>90</v>
      </c>
      <c r="B3787">
        <v>1701216091</v>
      </c>
      <c r="C3787" t="s">
        <v>19</v>
      </c>
      <c r="D3787" t="s">
        <v>21</v>
      </c>
      <c r="E3787" s="29">
        <v>46205</v>
      </c>
      <c r="F3787" t="s">
        <v>4</v>
      </c>
      <c r="G3787" s="28">
        <v>0.70902777777777781</v>
      </c>
      <c r="H3787" s="28">
        <v>0.70902777777777781</v>
      </c>
      <c r="I3787">
        <v>0</v>
      </c>
      <c r="J3787" t="s">
        <v>174</v>
      </c>
      <c r="K3787">
        <v>0</v>
      </c>
      <c r="L3787" t="s">
        <v>9621</v>
      </c>
      <c r="M3787" t="s">
        <v>2814</v>
      </c>
      <c r="N3787" t="s">
        <v>2815</v>
      </c>
      <c r="O3787" t="s">
        <v>2816</v>
      </c>
      <c r="P3787" t="s">
        <v>2817</v>
      </c>
    </row>
    <row r="3788" spans="1:16" x14ac:dyDescent="0.35">
      <c r="A3788" t="s">
        <v>90</v>
      </c>
      <c r="B3788">
        <v>1701216091</v>
      </c>
      <c r="C3788" t="s">
        <v>19</v>
      </c>
      <c r="D3788" t="s">
        <v>21</v>
      </c>
      <c r="E3788" s="29">
        <v>46205</v>
      </c>
      <c r="F3788" t="s">
        <v>4</v>
      </c>
      <c r="G3788" s="28">
        <v>0.71597222222222223</v>
      </c>
      <c r="H3788" s="28">
        <v>0.72430555555555554</v>
      </c>
      <c r="I3788">
        <v>0</v>
      </c>
      <c r="J3788" t="s">
        <v>146</v>
      </c>
      <c r="K3788">
        <v>1</v>
      </c>
      <c r="L3788" t="s">
        <v>147</v>
      </c>
      <c r="M3788" t="s">
        <v>2799</v>
      </c>
      <c r="N3788" t="s">
        <v>2800</v>
      </c>
      <c r="O3788" t="s">
        <v>2801</v>
      </c>
      <c r="P3788" t="s">
        <v>2802</v>
      </c>
    </row>
    <row r="3789" spans="1:16" x14ac:dyDescent="0.35">
      <c r="A3789" t="s">
        <v>90</v>
      </c>
      <c r="B3789">
        <v>1701216091</v>
      </c>
      <c r="C3789" t="s">
        <v>19</v>
      </c>
      <c r="D3789" t="s">
        <v>21</v>
      </c>
      <c r="E3789" s="29">
        <v>46205</v>
      </c>
      <c r="F3789" t="s">
        <v>4</v>
      </c>
      <c r="G3789" s="28">
        <v>0.73750000000000004</v>
      </c>
      <c r="H3789" s="28">
        <v>0.78541666666666665</v>
      </c>
      <c r="I3789">
        <v>1</v>
      </c>
      <c r="J3789" t="s">
        <v>146</v>
      </c>
      <c r="K3789">
        <v>3</v>
      </c>
      <c r="L3789" t="s">
        <v>147</v>
      </c>
      <c r="M3789" t="s">
        <v>9622</v>
      </c>
      <c r="N3789" t="s">
        <v>9623</v>
      </c>
      <c r="O3789" t="s">
        <v>9624</v>
      </c>
      <c r="P3789" t="s">
        <v>9625</v>
      </c>
    </row>
    <row r="3790" spans="1:16" x14ac:dyDescent="0.35">
      <c r="A3790" t="s">
        <v>90</v>
      </c>
      <c r="B3790">
        <v>1701216091</v>
      </c>
      <c r="C3790" t="s">
        <v>19</v>
      </c>
      <c r="D3790" t="s">
        <v>21</v>
      </c>
      <c r="E3790" s="29">
        <v>46207</v>
      </c>
      <c r="F3790" t="s">
        <v>5</v>
      </c>
      <c r="G3790" s="28">
        <v>0.39027777777777778</v>
      </c>
      <c r="H3790" s="28">
        <v>0.3972222222222222</v>
      </c>
      <c r="I3790">
        <v>0</v>
      </c>
      <c r="J3790" t="s">
        <v>146</v>
      </c>
      <c r="K3790">
        <v>0</v>
      </c>
      <c r="L3790" t="s">
        <v>147</v>
      </c>
      <c r="M3790" t="s">
        <v>9626</v>
      </c>
      <c r="N3790" t="s">
        <v>9627</v>
      </c>
      <c r="O3790" t="s">
        <v>9628</v>
      </c>
      <c r="P3790" t="s">
        <v>9604</v>
      </c>
    </row>
    <row r="3791" spans="1:16" x14ac:dyDescent="0.35">
      <c r="A3791" t="s">
        <v>90</v>
      </c>
      <c r="B3791">
        <v>1701216091</v>
      </c>
      <c r="C3791" t="s">
        <v>19</v>
      </c>
      <c r="D3791" t="s">
        <v>21</v>
      </c>
      <c r="E3791" s="29">
        <v>46207</v>
      </c>
      <c r="F3791" t="s">
        <v>5</v>
      </c>
      <c r="G3791" s="28">
        <v>0.40347222222222223</v>
      </c>
      <c r="H3791" s="28">
        <v>0.45277777777777778</v>
      </c>
      <c r="I3791">
        <v>1</v>
      </c>
      <c r="J3791" t="s">
        <v>146</v>
      </c>
      <c r="K3791">
        <v>4</v>
      </c>
      <c r="L3791" t="s">
        <v>147</v>
      </c>
      <c r="M3791" t="s">
        <v>9622</v>
      </c>
      <c r="N3791" t="s">
        <v>9623</v>
      </c>
      <c r="O3791" t="s">
        <v>9624</v>
      </c>
      <c r="P3791" t="s">
        <v>9625</v>
      </c>
    </row>
    <row r="3792" spans="1:16" x14ac:dyDescent="0.35">
      <c r="A3792" t="s">
        <v>90</v>
      </c>
      <c r="B3792">
        <v>1701216091</v>
      </c>
      <c r="C3792" t="s">
        <v>19</v>
      </c>
      <c r="D3792" t="s">
        <v>21</v>
      </c>
      <c r="E3792" s="29">
        <v>46207</v>
      </c>
      <c r="F3792" t="s">
        <v>5</v>
      </c>
      <c r="G3792" s="28">
        <v>0.45902777777777776</v>
      </c>
      <c r="H3792" s="28">
        <v>0.45902777777777776</v>
      </c>
      <c r="I3792">
        <v>0</v>
      </c>
      <c r="J3792" t="s">
        <v>174</v>
      </c>
      <c r="K3792">
        <v>0</v>
      </c>
      <c r="L3792" t="s">
        <v>2772</v>
      </c>
      <c r="M3792" t="s">
        <v>9629</v>
      </c>
      <c r="N3792" t="s">
        <v>9630</v>
      </c>
      <c r="O3792" t="s">
        <v>9631</v>
      </c>
      <c r="P3792" t="s">
        <v>9632</v>
      </c>
    </row>
    <row r="3793" spans="1:16" x14ac:dyDescent="0.35">
      <c r="A3793" t="s">
        <v>90</v>
      </c>
      <c r="B3793">
        <v>1701216091</v>
      </c>
      <c r="C3793" t="s">
        <v>19</v>
      </c>
      <c r="D3793" t="s">
        <v>21</v>
      </c>
      <c r="E3793" s="29">
        <v>46207</v>
      </c>
      <c r="F3793" t="s">
        <v>5</v>
      </c>
      <c r="G3793" s="28">
        <v>0.46597222222222223</v>
      </c>
      <c r="H3793" s="28">
        <v>0.46597222222222223</v>
      </c>
      <c r="I3793">
        <v>0</v>
      </c>
      <c r="J3793" t="s">
        <v>174</v>
      </c>
      <c r="K3793">
        <v>0</v>
      </c>
      <c r="L3793" t="s">
        <v>252</v>
      </c>
      <c r="M3793" t="s">
        <v>9633</v>
      </c>
      <c r="N3793" t="s">
        <v>9634</v>
      </c>
      <c r="O3793" t="s">
        <v>9635</v>
      </c>
      <c r="P3793" t="s">
        <v>9636</v>
      </c>
    </row>
    <row r="3794" spans="1:16" x14ac:dyDescent="0.35">
      <c r="A3794" t="s">
        <v>90</v>
      </c>
      <c r="B3794">
        <v>1701216091</v>
      </c>
      <c r="C3794" t="s">
        <v>19</v>
      </c>
      <c r="D3794" t="s">
        <v>21</v>
      </c>
      <c r="E3794" s="29">
        <v>46207</v>
      </c>
      <c r="F3794" t="s">
        <v>5</v>
      </c>
      <c r="G3794" s="28">
        <v>0.47361111111111109</v>
      </c>
      <c r="H3794" s="28">
        <v>0.47361111111111109</v>
      </c>
      <c r="I3794">
        <v>0</v>
      </c>
      <c r="J3794" t="s">
        <v>174</v>
      </c>
      <c r="K3794">
        <v>0</v>
      </c>
      <c r="L3794" t="s">
        <v>252</v>
      </c>
      <c r="M3794" t="s">
        <v>9622</v>
      </c>
      <c r="N3794" t="s">
        <v>9623</v>
      </c>
      <c r="O3794" t="s">
        <v>9624</v>
      </c>
      <c r="P3794" t="s">
        <v>9625</v>
      </c>
    </row>
    <row r="3795" spans="1:16" x14ac:dyDescent="0.35">
      <c r="A3795" t="s">
        <v>90</v>
      </c>
      <c r="B3795">
        <v>1701216091</v>
      </c>
      <c r="C3795" t="s">
        <v>19</v>
      </c>
      <c r="D3795" t="s">
        <v>21</v>
      </c>
      <c r="E3795" s="29">
        <v>46207</v>
      </c>
      <c r="F3795" t="s">
        <v>5</v>
      </c>
      <c r="G3795" s="28">
        <v>0.47986111111111113</v>
      </c>
      <c r="H3795" s="28">
        <v>0.47986111111111113</v>
      </c>
      <c r="I3795">
        <v>0</v>
      </c>
      <c r="J3795" t="s">
        <v>174</v>
      </c>
      <c r="K3795">
        <v>0</v>
      </c>
      <c r="L3795" t="s">
        <v>2242</v>
      </c>
      <c r="M3795" t="s">
        <v>9633</v>
      </c>
      <c r="N3795" t="s">
        <v>9634</v>
      </c>
      <c r="O3795" t="s">
        <v>9635</v>
      </c>
      <c r="P3795" t="s">
        <v>9636</v>
      </c>
    </row>
    <row r="3796" spans="1:16" x14ac:dyDescent="0.35">
      <c r="A3796" t="s">
        <v>90</v>
      </c>
      <c r="B3796">
        <v>1701216091</v>
      </c>
      <c r="C3796" t="s">
        <v>19</v>
      </c>
      <c r="D3796" t="s">
        <v>21</v>
      </c>
      <c r="E3796" s="29">
        <v>46207</v>
      </c>
      <c r="F3796" t="s">
        <v>5</v>
      </c>
      <c r="G3796" s="28">
        <v>0.48680555555555555</v>
      </c>
      <c r="H3796" s="28">
        <v>0.48680555555555555</v>
      </c>
      <c r="I3796">
        <v>0</v>
      </c>
      <c r="J3796" t="s">
        <v>174</v>
      </c>
      <c r="K3796">
        <v>0</v>
      </c>
      <c r="L3796" t="s">
        <v>222</v>
      </c>
      <c r="M3796" t="s">
        <v>9637</v>
      </c>
      <c r="N3796" t="s">
        <v>9638</v>
      </c>
      <c r="O3796" t="s">
        <v>9639</v>
      </c>
      <c r="P3796" t="s">
        <v>9640</v>
      </c>
    </row>
    <row r="3797" spans="1:16" x14ac:dyDescent="0.35">
      <c r="A3797" t="s">
        <v>90</v>
      </c>
      <c r="B3797">
        <v>1701216091</v>
      </c>
      <c r="C3797" t="s">
        <v>19</v>
      </c>
      <c r="D3797" t="s">
        <v>21</v>
      </c>
      <c r="E3797" s="29">
        <v>46207</v>
      </c>
      <c r="F3797" t="s">
        <v>5</v>
      </c>
      <c r="G3797" s="28">
        <v>0.50069444444444444</v>
      </c>
      <c r="H3797" s="28">
        <v>0.5493055555555556</v>
      </c>
      <c r="I3797">
        <v>1</v>
      </c>
      <c r="J3797" t="s">
        <v>146</v>
      </c>
      <c r="K3797">
        <v>4</v>
      </c>
      <c r="L3797" t="s">
        <v>147</v>
      </c>
      <c r="M3797" t="s">
        <v>2799</v>
      </c>
      <c r="N3797" t="s">
        <v>2800</v>
      </c>
      <c r="O3797" t="s">
        <v>2801</v>
      </c>
      <c r="P3797" t="s">
        <v>2802</v>
      </c>
    </row>
    <row r="3798" spans="1:16" x14ac:dyDescent="0.35">
      <c r="A3798" t="s">
        <v>90</v>
      </c>
      <c r="B3798">
        <v>1701216091</v>
      </c>
      <c r="C3798" t="s">
        <v>19</v>
      </c>
      <c r="D3798" t="s">
        <v>21</v>
      </c>
      <c r="E3798" s="29">
        <v>46207</v>
      </c>
      <c r="F3798" t="s">
        <v>5</v>
      </c>
      <c r="G3798" s="28">
        <v>0.55694444444444446</v>
      </c>
      <c r="H3798" s="28">
        <v>0.55694444444444446</v>
      </c>
      <c r="I3798">
        <v>0</v>
      </c>
      <c r="J3798" t="s">
        <v>174</v>
      </c>
      <c r="K3798">
        <v>0</v>
      </c>
      <c r="L3798" t="s">
        <v>5571</v>
      </c>
      <c r="M3798" t="s">
        <v>2814</v>
      </c>
      <c r="N3798" t="s">
        <v>9641</v>
      </c>
      <c r="O3798" t="s">
        <v>9642</v>
      </c>
      <c r="P3798" t="s">
        <v>9643</v>
      </c>
    </row>
    <row r="3799" spans="1:16" x14ac:dyDescent="0.35">
      <c r="A3799" t="s">
        <v>90</v>
      </c>
      <c r="B3799">
        <v>1701216091</v>
      </c>
      <c r="C3799" t="s">
        <v>19</v>
      </c>
      <c r="D3799" t="s">
        <v>21</v>
      </c>
      <c r="E3799" s="29">
        <v>46207</v>
      </c>
      <c r="F3799" t="s">
        <v>5</v>
      </c>
      <c r="G3799" s="28">
        <v>0.56319444444444444</v>
      </c>
      <c r="H3799" s="28">
        <v>0.56319444444444444</v>
      </c>
      <c r="I3799">
        <v>0</v>
      </c>
      <c r="J3799" t="s">
        <v>174</v>
      </c>
      <c r="K3799">
        <v>0</v>
      </c>
      <c r="L3799" t="s">
        <v>2218</v>
      </c>
      <c r="M3799" t="s">
        <v>9644</v>
      </c>
      <c r="N3799" t="s">
        <v>9645</v>
      </c>
      <c r="O3799" t="s">
        <v>9646</v>
      </c>
      <c r="P3799" t="s">
        <v>9647</v>
      </c>
    </row>
    <row r="3800" spans="1:16" x14ac:dyDescent="0.35">
      <c r="A3800" t="s">
        <v>90</v>
      </c>
      <c r="B3800">
        <v>1701216091</v>
      </c>
      <c r="C3800" t="s">
        <v>19</v>
      </c>
      <c r="D3800" t="s">
        <v>21</v>
      </c>
      <c r="E3800" s="29">
        <v>46207</v>
      </c>
      <c r="F3800" t="s">
        <v>5</v>
      </c>
      <c r="G3800" s="28">
        <v>0.57013888888888886</v>
      </c>
      <c r="H3800" s="28">
        <v>0.57013888888888886</v>
      </c>
      <c r="I3800">
        <v>0</v>
      </c>
      <c r="J3800" t="s">
        <v>174</v>
      </c>
      <c r="K3800">
        <v>0</v>
      </c>
      <c r="L3800" t="s">
        <v>252</v>
      </c>
      <c r="M3800" t="s">
        <v>9633</v>
      </c>
      <c r="N3800" t="s">
        <v>9634</v>
      </c>
      <c r="O3800" t="s">
        <v>9635</v>
      </c>
      <c r="P3800" t="s">
        <v>9636</v>
      </c>
    </row>
    <row r="3801" spans="1:16" x14ac:dyDescent="0.35">
      <c r="A3801" t="s">
        <v>90</v>
      </c>
      <c r="B3801">
        <v>1701216091</v>
      </c>
      <c r="C3801" t="s">
        <v>19</v>
      </c>
      <c r="D3801" t="s">
        <v>21</v>
      </c>
      <c r="E3801" s="29">
        <v>46207</v>
      </c>
      <c r="F3801" t="s">
        <v>5</v>
      </c>
      <c r="G3801" s="28">
        <v>0.57777777777777772</v>
      </c>
      <c r="H3801" s="28">
        <v>0.6333333333333333</v>
      </c>
      <c r="I3801">
        <v>1</v>
      </c>
      <c r="J3801" t="s">
        <v>146</v>
      </c>
      <c r="K3801">
        <v>4</v>
      </c>
      <c r="L3801" t="s">
        <v>147</v>
      </c>
      <c r="M3801" t="s">
        <v>9622</v>
      </c>
      <c r="N3801" t="s">
        <v>9623</v>
      </c>
      <c r="O3801" t="s">
        <v>9624</v>
      </c>
      <c r="P3801" t="s">
        <v>9625</v>
      </c>
    </row>
    <row r="3802" spans="1:16" x14ac:dyDescent="0.35">
      <c r="A3802" t="s">
        <v>90</v>
      </c>
      <c r="B3802">
        <v>1701216091</v>
      </c>
      <c r="C3802" t="s">
        <v>19</v>
      </c>
      <c r="D3802" t="s">
        <v>21</v>
      </c>
      <c r="E3802" s="29">
        <v>46207</v>
      </c>
      <c r="F3802" t="s">
        <v>5</v>
      </c>
      <c r="G3802" s="28">
        <v>0.63958333333333328</v>
      </c>
      <c r="H3802" s="28">
        <v>0.64722222222222225</v>
      </c>
      <c r="I3802">
        <v>0</v>
      </c>
      <c r="J3802" t="s">
        <v>146</v>
      </c>
      <c r="K3802">
        <v>1</v>
      </c>
      <c r="L3802" t="s">
        <v>147</v>
      </c>
      <c r="M3802" t="s">
        <v>9648</v>
      </c>
      <c r="N3802" t="s">
        <v>9649</v>
      </c>
      <c r="O3802" t="s">
        <v>9650</v>
      </c>
      <c r="P3802" t="s">
        <v>9651</v>
      </c>
    </row>
    <row r="3803" spans="1:16" x14ac:dyDescent="0.35">
      <c r="A3803" t="s">
        <v>90</v>
      </c>
      <c r="B3803">
        <v>1701216091</v>
      </c>
      <c r="C3803" t="s">
        <v>19</v>
      </c>
      <c r="D3803" t="s">
        <v>21</v>
      </c>
      <c r="E3803" s="29">
        <v>46207</v>
      </c>
      <c r="F3803" t="s">
        <v>5</v>
      </c>
      <c r="G3803" s="28">
        <v>0.65347222222222223</v>
      </c>
      <c r="H3803" s="28">
        <v>0.65347222222222223</v>
      </c>
      <c r="I3803">
        <v>0</v>
      </c>
      <c r="J3803" t="s">
        <v>174</v>
      </c>
      <c r="K3803">
        <v>0</v>
      </c>
      <c r="L3803" t="s">
        <v>9652</v>
      </c>
      <c r="M3803" t="s">
        <v>9633</v>
      </c>
      <c r="N3803" t="s">
        <v>9634</v>
      </c>
      <c r="O3803" t="s">
        <v>9635</v>
      </c>
      <c r="P3803" t="s">
        <v>9636</v>
      </c>
    </row>
    <row r="3804" spans="1:16" x14ac:dyDescent="0.35">
      <c r="A3804" t="s">
        <v>90</v>
      </c>
      <c r="B3804">
        <v>1701216091</v>
      </c>
      <c r="C3804" t="s">
        <v>19</v>
      </c>
      <c r="D3804" t="s">
        <v>21</v>
      </c>
      <c r="E3804" s="29">
        <v>46207</v>
      </c>
      <c r="F3804" t="s">
        <v>5</v>
      </c>
      <c r="G3804" s="28">
        <v>0.66041666666666665</v>
      </c>
      <c r="H3804" s="28">
        <v>0.66041666666666665</v>
      </c>
      <c r="I3804">
        <v>0</v>
      </c>
      <c r="J3804" t="s">
        <v>174</v>
      </c>
      <c r="K3804">
        <v>0</v>
      </c>
      <c r="L3804" t="s">
        <v>9652</v>
      </c>
      <c r="M3804" t="s">
        <v>9626</v>
      </c>
      <c r="N3804" t="s">
        <v>9627</v>
      </c>
      <c r="O3804" t="s">
        <v>9628</v>
      </c>
      <c r="P3804" t="s">
        <v>9604</v>
      </c>
    </row>
    <row r="3805" spans="1:16" x14ac:dyDescent="0.35">
      <c r="A3805" t="s">
        <v>90</v>
      </c>
      <c r="B3805">
        <v>1701216091</v>
      </c>
      <c r="C3805" t="s">
        <v>19</v>
      </c>
      <c r="D3805" t="s">
        <v>21</v>
      </c>
      <c r="E3805" s="29">
        <v>46207</v>
      </c>
      <c r="F3805" t="s">
        <v>5</v>
      </c>
      <c r="G3805" s="28">
        <v>0.66736111111111107</v>
      </c>
      <c r="H3805" s="28">
        <v>0.66736111111111107</v>
      </c>
      <c r="I3805">
        <v>0</v>
      </c>
      <c r="J3805" t="s">
        <v>174</v>
      </c>
      <c r="K3805">
        <v>0</v>
      </c>
      <c r="L3805" t="s">
        <v>252</v>
      </c>
      <c r="M3805" t="s">
        <v>9633</v>
      </c>
      <c r="N3805" t="s">
        <v>9634</v>
      </c>
      <c r="O3805" t="s">
        <v>9635</v>
      </c>
      <c r="P3805" t="s">
        <v>9636</v>
      </c>
    </row>
    <row r="3806" spans="1:16" x14ac:dyDescent="0.35">
      <c r="A3806" t="s">
        <v>90</v>
      </c>
      <c r="B3806">
        <v>1701216091</v>
      </c>
      <c r="C3806" t="s">
        <v>19</v>
      </c>
      <c r="D3806" t="s">
        <v>21</v>
      </c>
      <c r="E3806" s="29">
        <v>46207</v>
      </c>
      <c r="F3806" t="s">
        <v>5</v>
      </c>
      <c r="G3806" s="28">
        <v>0.6743055555555556</v>
      </c>
      <c r="H3806" s="28">
        <v>0.71666666666666667</v>
      </c>
      <c r="I3806">
        <v>1</v>
      </c>
      <c r="J3806" t="s">
        <v>146</v>
      </c>
      <c r="K3806">
        <v>3</v>
      </c>
      <c r="L3806" t="s">
        <v>147</v>
      </c>
      <c r="M3806" t="s">
        <v>9622</v>
      </c>
      <c r="N3806" t="s">
        <v>9623</v>
      </c>
      <c r="O3806" t="s">
        <v>9624</v>
      </c>
      <c r="P3806" t="s">
        <v>9625</v>
      </c>
    </row>
    <row r="3807" spans="1:16" x14ac:dyDescent="0.35">
      <c r="A3807" t="s">
        <v>90</v>
      </c>
      <c r="B3807">
        <v>1701216091</v>
      </c>
      <c r="C3807" t="s">
        <v>19</v>
      </c>
      <c r="D3807" t="s">
        <v>21</v>
      </c>
      <c r="E3807" s="29">
        <v>46207</v>
      </c>
      <c r="F3807" t="s">
        <v>5</v>
      </c>
      <c r="G3807" s="28">
        <v>0.72361111111111109</v>
      </c>
      <c r="H3807" s="28">
        <v>0.72361111111111109</v>
      </c>
      <c r="I3807">
        <v>0</v>
      </c>
      <c r="J3807" t="s">
        <v>174</v>
      </c>
      <c r="K3807">
        <v>0</v>
      </c>
      <c r="L3807" t="s">
        <v>4195</v>
      </c>
      <c r="M3807" t="s">
        <v>9648</v>
      </c>
      <c r="N3807" t="s">
        <v>9649</v>
      </c>
      <c r="O3807" t="s">
        <v>9650</v>
      </c>
      <c r="P3807" t="s">
        <v>9651</v>
      </c>
    </row>
    <row r="3808" spans="1:16" x14ac:dyDescent="0.35">
      <c r="A3808" t="s">
        <v>90</v>
      </c>
      <c r="B3808">
        <v>1701216091</v>
      </c>
      <c r="C3808" t="s">
        <v>19</v>
      </c>
      <c r="D3808" t="s">
        <v>21</v>
      </c>
      <c r="E3808" s="29">
        <v>46207</v>
      </c>
      <c r="F3808" t="s">
        <v>5</v>
      </c>
      <c r="G3808" s="28">
        <v>0.72986111111111107</v>
      </c>
      <c r="H3808" s="28">
        <v>0.75138888888888888</v>
      </c>
      <c r="I3808">
        <v>1</v>
      </c>
      <c r="J3808" t="s">
        <v>146</v>
      </c>
      <c r="K3808">
        <v>2</v>
      </c>
      <c r="L3808" t="s">
        <v>147</v>
      </c>
      <c r="M3808" t="s">
        <v>9622</v>
      </c>
      <c r="N3808" t="s">
        <v>9623</v>
      </c>
      <c r="O3808" t="s">
        <v>9624</v>
      </c>
      <c r="P3808" t="s">
        <v>9625</v>
      </c>
    </row>
    <row r="3809" spans="1:16" x14ac:dyDescent="0.35">
      <c r="A3809" t="s">
        <v>90</v>
      </c>
      <c r="B3809">
        <v>1701216091</v>
      </c>
      <c r="C3809" t="s">
        <v>19</v>
      </c>
      <c r="D3809" t="s">
        <v>21</v>
      </c>
      <c r="E3809" s="29">
        <v>46207</v>
      </c>
      <c r="F3809" t="s">
        <v>5</v>
      </c>
      <c r="G3809" s="28">
        <v>0.75763888888888886</v>
      </c>
      <c r="H3809" s="28">
        <v>0.75763888888888886</v>
      </c>
      <c r="I3809">
        <v>0</v>
      </c>
      <c r="J3809" t="s">
        <v>174</v>
      </c>
      <c r="K3809">
        <v>0</v>
      </c>
      <c r="L3809" t="s">
        <v>4195</v>
      </c>
      <c r="M3809" t="s">
        <v>9648</v>
      </c>
      <c r="N3809" t="s">
        <v>9649</v>
      </c>
      <c r="O3809" t="s">
        <v>9650</v>
      </c>
      <c r="P3809" t="s">
        <v>9651</v>
      </c>
    </row>
    <row r="3810" spans="1:16" x14ac:dyDescent="0.35">
      <c r="A3810" t="s">
        <v>90</v>
      </c>
      <c r="B3810">
        <v>1701216091</v>
      </c>
      <c r="C3810" t="s">
        <v>19</v>
      </c>
      <c r="D3810" t="s">
        <v>21</v>
      </c>
      <c r="E3810" s="29">
        <v>46207</v>
      </c>
      <c r="F3810" t="s">
        <v>5</v>
      </c>
      <c r="G3810" s="28">
        <v>0.76458333333333328</v>
      </c>
      <c r="H3810" s="28">
        <v>0.80625000000000002</v>
      </c>
      <c r="I3810">
        <v>1</v>
      </c>
      <c r="J3810" t="s">
        <v>146</v>
      </c>
      <c r="K3810">
        <v>3</v>
      </c>
      <c r="L3810" t="s">
        <v>147</v>
      </c>
      <c r="M3810" t="s">
        <v>9622</v>
      </c>
      <c r="N3810" t="s">
        <v>9623</v>
      </c>
      <c r="O3810" t="s">
        <v>9624</v>
      </c>
      <c r="P3810" t="s">
        <v>9625</v>
      </c>
    </row>
    <row r="3811" spans="1:16" x14ac:dyDescent="0.35">
      <c r="A3811" t="s">
        <v>90</v>
      </c>
      <c r="B3811">
        <v>1701216091</v>
      </c>
      <c r="C3811" t="s">
        <v>19</v>
      </c>
      <c r="D3811" t="s">
        <v>21</v>
      </c>
      <c r="E3811" s="29">
        <v>46208</v>
      </c>
      <c r="F3811" t="s">
        <v>6</v>
      </c>
      <c r="G3811" s="28">
        <v>0.37638888888888888</v>
      </c>
      <c r="H3811" s="28">
        <v>0.37638888888888888</v>
      </c>
      <c r="I3811">
        <v>0</v>
      </c>
      <c r="J3811" t="s">
        <v>174</v>
      </c>
      <c r="K3811">
        <v>0</v>
      </c>
      <c r="L3811" t="s">
        <v>9653</v>
      </c>
      <c r="M3811" t="s">
        <v>4394</v>
      </c>
      <c r="N3811" t="s">
        <v>4395</v>
      </c>
      <c r="O3811" t="s">
        <v>4396</v>
      </c>
      <c r="P3811" t="s">
        <v>4397</v>
      </c>
    </row>
    <row r="3812" spans="1:16" x14ac:dyDescent="0.35">
      <c r="A3812" t="s">
        <v>90</v>
      </c>
      <c r="B3812">
        <v>1701216091</v>
      </c>
      <c r="C3812" t="s">
        <v>19</v>
      </c>
      <c r="D3812" t="s">
        <v>21</v>
      </c>
      <c r="E3812" s="29">
        <v>46208</v>
      </c>
      <c r="F3812" t="s">
        <v>6</v>
      </c>
      <c r="G3812" s="28">
        <v>0.38263888888888886</v>
      </c>
      <c r="H3812" s="28">
        <v>0.38263888888888886</v>
      </c>
      <c r="I3812">
        <v>0</v>
      </c>
      <c r="J3812" t="s">
        <v>174</v>
      </c>
      <c r="K3812">
        <v>0</v>
      </c>
      <c r="L3812" t="s">
        <v>5124</v>
      </c>
      <c r="M3812" t="s">
        <v>9654</v>
      </c>
      <c r="N3812" t="s">
        <v>9655</v>
      </c>
      <c r="O3812" t="s">
        <v>9656</v>
      </c>
      <c r="P3812" t="s">
        <v>9657</v>
      </c>
    </row>
    <row r="3813" spans="1:16" x14ac:dyDescent="0.35">
      <c r="A3813" t="s">
        <v>90</v>
      </c>
      <c r="B3813">
        <v>1701216091</v>
      </c>
      <c r="C3813" t="s">
        <v>19</v>
      </c>
      <c r="D3813" t="s">
        <v>21</v>
      </c>
      <c r="E3813" s="29">
        <v>46208</v>
      </c>
      <c r="F3813" t="s">
        <v>6</v>
      </c>
      <c r="G3813" s="28">
        <v>0.38958333333333334</v>
      </c>
      <c r="H3813" s="28">
        <v>0.38958333333333334</v>
      </c>
      <c r="I3813">
        <v>0</v>
      </c>
      <c r="J3813" t="s">
        <v>174</v>
      </c>
      <c r="K3813">
        <v>0</v>
      </c>
      <c r="L3813" t="s">
        <v>4381</v>
      </c>
      <c r="M3813" t="s">
        <v>4386</v>
      </c>
      <c r="N3813" t="s">
        <v>4387</v>
      </c>
      <c r="O3813" t="s">
        <v>4388</v>
      </c>
      <c r="P3813" t="s">
        <v>4389</v>
      </c>
    </row>
    <row r="3814" spans="1:16" x14ac:dyDescent="0.35">
      <c r="A3814" t="s">
        <v>90</v>
      </c>
      <c r="B3814">
        <v>1701216091</v>
      </c>
      <c r="C3814" t="s">
        <v>19</v>
      </c>
      <c r="D3814" t="s">
        <v>21</v>
      </c>
      <c r="E3814" s="29">
        <v>46208</v>
      </c>
      <c r="F3814" t="s">
        <v>6</v>
      </c>
      <c r="G3814" s="28">
        <v>0.39652777777777776</v>
      </c>
      <c r="H3814" s="28">
        <v>0.39652777777777776</v>
      </c>
      <c r="I3814">
        <v>0</v>
      </c>
      <c r="J3814" t="s">
        <v>174</v>
      </c>
      <c r="K3814">
        <v>0</v>
      </c>
      <c r="L3814" t="s">
        <v>8852</v>
      </c>
      <c r="M3814" t="s">
        <v>4382</v>
      </c>
      <c r="N3814" t="s">
        <v>4383</v>
      </c>
      <c r="O3814" t="s">
        <v>4384</v>
      </c>
      <c r="P3814" t="s">
        <v>4385</v>
      </c>
    </row>
    <row r="3815" spans="1:16" x14ac:dyDescent="0.35">
      <c r="A3815" t="s">
        <v>90</v>
      </c>
      <c r="B3815">
        <v>1701216091</v>
      </c>
      <c r="C3815" t="s">
        <v>19</v>
      </c>
      <c r="D3815" t="s">
        <v>21</v>
      </c>
      <c r="E3815" s="29">
        <v>46208</v>
      </c>
      <c r="F3815" t="s">
        <v>6</v>
      </c>
      <c r="G3815" s="28">
        <v>0.40347222222222223</v>
      </c>
      <c r="H3815" s="28">
        <v>0.40347222222222223</v>
      </c>
      <c r="I3815">
        <v>0</v>
      </c>
      <c r="J3815" t="s">
        <v>174</v>
      </c>
      <c r="K3815">
        <v>0</v>
      </c>
      <c r="L3815" t="s">
        <v>815</v>
      </c>
      <c r="M3815" t="s">
        <v>5258</v>
      </c>
      <c r="N3815" t="s">
        <v>5259</v>
      </c>
      <c r="O3815" t="s">
        <v>5260</v>
      </c>
      <c r="P3815" t="s">
        <v>5261</v>
      </c>
    </row>
    <row r="3816" spans="1:16" x14ac:dyDescent="0.35">
      <c r="A3816" t="s">
        <v>90</v>
      </c>
      <c r="B3816">
        <v>1701216091</v>
      </c>
      <c r="C3816" t="s">
        <v>19</v>
      </c>
      <c r="D3816" t="s">
        <v>21</v>
      </c>
      <c r="E3816" s="29">
        <v>46208</v>
      </c>
      <c r="F3816" t="s">
        <v>6</v>
      </c>
      <c r="G3816" s="28">
        <v>0.41041666666666665</v>
      </c>
      <c r="H3816" s="28">
        <v>0.41041666666666665</v>
      </c>
      <c r="I3816">
        <v>0</v>
      </c>
      <c r="J3816" t="s">
        <v>174</v>
      </c>
      <c r="K3816">
        <v>0</v>
      </c>
      <c r="L3816" t="s">
        <v>9658</v>
      </c>
      <c r="M3816" t="s">
        <v>5110</v>
      </c>
      <c r="N3816" t="s">
        <v>5111</v>
      </c>
      <c r="O3816" t="s">
        <v>5112</v>
      </c>
      <c r="P3816" t="s">
        <v>5113</v>
      </c>
    </row>
    <row r="3817" spans="1:16" x14ac:dyDescent="0.35">
      <c r="A3817" t="s">
        <v>90</v>
      </c>
      <c r="B3817">
        <v>1701216091</v>
      </c>
      <c r="C3817" t="s">
        <v>19</v>
      </c>
      <c r="D3817" t="s">
        <v>21</v>
      </c>
      <c r="E3817" s="29">
        <v>46208</v>
      </c>
      <c r="F3817" t="s">
        <v>6</v>
      </c>
      <c r="G3817" s="28">
        <v>0.41736111111111113</v>
      </c>
      <c r="H3817" s="28">
        <v>0.41736111111111113</v>
      </c>
      <c r="I3817">
        <v>0</v>
      </c>
      <c r="J3817" t="s">
        <v>174</v>
      </c>
      <c r="K3817">
        <v>0</v>
      </c>
      <c r="L3817" t="s">
        <v>8913</v>
      </c>
      <c r="M3817" t="s">
        <v>9659</v>
      </c>
      <c r="N3817" t="s">
        <v>9660</v>
      </c>
      <c r="O3817" t="s">
        <v>9661</v>
      </c>
      <c r="P3817" t="s">
        <v>9662</v>
      </c>
    </row>
    <row r="3818" spans="1:16" x14ac:dyDescent="0.35">
      <c r="A3818" t="s">
        <v>90</v>
      </c>
      <c r="B3818">
        <v>1701216091</v>
      </c>
      <c r="C3818" t="s">
        <v>19</v>
      </c>
      <c r="D3818" t="s">
        <v>21</v>
      </c>
      <c r="E3818" s="29">
        <v>46208</v>
      </c>
      <c r="F3818" t="s">
        <v>6</v>
      </c>
      <c r="G3818" s="28">
        <v>0.42430555555555555</v>
      </c>
      <c r="H3818" s="28">
        <v>0.42430555555555555</v>
      </c>
      <c r="I3818">
        <v>0</v>
      </c>
      <c r="J3818" t="s">
        <v>174</v>
      </c>
      <c r="K3818">
        <v>0</v>
      </c>
      <c r="L3818" t="s">
        <v>1183</v>
      </c>
      <c r="M3818" t="s">
        <v>4357</v>
      </c>
      <c r="N3818" t="s">
        <v>4358</v>
      </c>
      <c r="O3818" t="s">
        <v>4359</v>
      </c>
      <c r="P3818" t="s">
        <v>4360</v>
      </c>
    </row>
    <row r="3819" spans="1:16" x14ac:dyDescent="0.35">
      <c r="A3819" t="s">
        <v>90</v>
      </c>
      <c r="B3819">
        <v>1701216091</v>
      </c>
      <c r="C3819" t="s">
        <v>19</v>
      </c>
      <c r="D3819" t="s">
        <v>21</v>
      </c>
      <c r="E3819" s="29">
        <v>46208</v>
      </c>
      <c r="F3819" t="s">
        <v>6</v>
      </c>
      <c r="G3819" s="28">
        <v>0.43125000000000002</v>
      </c>
      <c r="H3819" s="28">
        <v>0.43125000000000002</v>
      </c>
      <c r="I3819">
        <v>0</v>
      </c>
      <c r="J3819" t="s">
        <v>174</v>
      </c>
      <c r="K3819">
        <v>0</v>
      </c>
      <c r="L3819" t="s">
        <v>3536</v>
      </c>
      <c r="M3819" t="s">
        <v>9663</v>
      </c>
      <c r="N3819" t="s">
        <v>9664</v>
      </c>
      <c r="O3819" t="s">
        <v>9665</v>
      </c>
      <c r="P3819" t="s">
        <v>9666</v>
      </c>
    </row>
    <row r="3820" spans="1:16" x14ac:dyDescent="0.35">
      <c r="A3820" t="s">
        <v>90</v>
      </c>
      <c r="B3820">
        <v>1701216091</v>
      </c>
      <c r="C3820" t="s">
        <v>19</v>
      </c>
      <c r="D3820" t="s">
        <v>21</v>
      </c>
      <c r="E3820" s="29">
        <v>46208</v>
      </c>
      <c r="F3820" t="s">
        <v>6</v>
      </c>
      <c r="G3820" s="28">
        <v>0.43819444444444444</v>
      </c>
      <c r="H3820" s="28">
        <v>0.43819444444444444</v>
      </c>
      <c r="I3820">
        <v>0</v>
      </c>
      <c r="J3820" t="s">
        <v>174</v>
      </c>
      <c r="K3820">
        <v>0</v>
      </c>
      <c r="L3820" t="s">
        <v>9667</v>
      </c>
      <c r="M3820" t="s">
        <v>5389</v>
      </c>
      <c r="N3820" t="s">
        <v>5390</v>
      </c>
      <c r="O3820" t="s">
        <v>5391</v>
      </c>
      <c r="P3820" t="s">
        <v>5392</v>
      </c>
    </row>
    <row r="3821" spans="1:16" x14ac:dyDescent="0.35">
      <c r="A3821" t="s">
        <v>90</v>
      </c>
      <c r="B3821">
        <v>1701216091</v>
      </c>
      <c r="C3821" t="s">
        <v>19</v>
      </c>
      <c r="D3821" t="s">
        <v>21</v>
      </c>
      <c r="E3821" s="29">
        <v>46208</v>
      </c>
      <c r="F3821" t="s">
        <v>6</v>
      </c>
      <c r="G3821" s="28">
        <v>0.44513888888888886</v>
      </c>
      <c r="H3821" s="28">
        <v>0.44513888888888886</v>
      </c>
      <c r="I3821">
        <v>0</v>
      </c>
      <c r="J3821" t="s">
        <v>174</v>
      </c>
      <c r="K3821">
        <v>0</v>
      </c>
      <c r="L3821" t="s">
        <v>5787</v>
      </c>
      <c r="M3821" t="s">
        <v>5397</v>
      </c>
      <c r="N3821" t="s">
        <v>5398</v>
      </c>
      <c r="O3821" t="s">
        <v>5399</v>
      </c>
      <c r="P3821" t="s">
        <v>5400</v>
      </c>
    </row>
    <row r="3822" spans="1:16" x14ac:dyDescent="0.35">
      <c r="A3822" t="s">
        <v>90</v>
      </c>
      <c r="B3822">
        <v>1701216091</v>
      </c>
      <c r="C3822" t="s">
        <v>19</v>
      </c>
      <c r="D3822" t="s">
        <v>21</v>
      </c>
      <c r="E3822" s="29">
        <v>46208</v>
      </c>
      <c r="F3822" t="s">
        <v>6</v>
      </c>
      <c r="G3822" s="28">
        <v>0.45208333333333334</v>
      </c>
      <c r="H3822" s="28">
        <v>0.45208333333333334</v>
      </c>
      <c r="I3822">
        <v>0</v>
      </c>
      <c r="J3822" t="s">
        <v>174</v>
      </c>
      <c r="K3822">
        <v>0</v>
      </c>
      <c r="L3822" t="s">
        <v>2194</v>
      </c>
      <c r="M3822" t="s">
        <v>5409</v>
      </c>
      <c r="N3822" t="s">
        <v>5410</v>
      </c>
      <c r="O3822" t="s">
        <v>5411</v>
      </c>
      <c r="P3822" t="s">
        <v>5412</v>
      </c>
    </row>
    <row r="3823" spans="1:16" x14ac:dyDescent="0.35">
      <c r="A3823" t="s">
        <v>90</v>
      </c>
      <c r="B3823">
        <v>1701216091</v>
      </c>
      <c r="C3823" t="s">
        <v>19</v>
      </c>
      <c r="D3823" t="s">
        <v>21</v>
      </c>
      <c r="E3823" s="29">
        <v>46208</v>
      </c>
      <c r="F3823" t="s">
        <v>6</v>
      </c>
      <c r="G3823" s="28">
        <v>0.45902777777777776</v>
      </c>
      <c r="H3823" s="28">
        <v>0.45902777777777776</v>
      </c>
      <c r="I3823">
        <v>0</v>
      </c>
      <c r="J3823" t="s">
        <v>174</v>
      </c>
      <c r="K3823">
        <v>0</v>
      </c>
      <c r="L3823" t="s">
        <v>2851</v>
      </c>
      <c r="M3823" t="s">
        <v>5389</v>
      </c>
      <c r="N3823" t="s">
        <v>5413</v>
      </c>
      <c r="O3823" t="s">
        <v>5414</v>
      </c>
      <c r="P3823" t="s">
        <v>5415</v>
      </c>
    </row>
    <row r="3824" spans="1:16" x14ac:dyDescent="0.35">
      <c r="A3824" t="s">
        <v>90</v>
      </c>
      <c r="B3824">
        <v>1701216091</v>
      </c>
      <c r="C3824" t="s">
        <v>19</v>
      </c>
      <c r="D3824" t="s">
        <v>21</v>
      </c>
      <c r="E3824" s="29">
        <v>46208</v>
      </c>
      <c r="F3824" t="s">
        <v>6</v>
      </c>
      <c r="G3824" s="28">
        <v>0.47986111111111113</v>
      </c>
      <c r="H3824" s="28">
        <v>0.49375000000000002</v>
      </c>
      <c r="I3824">
        <v>0</v>
      </c>
      <c r="J3824" t="s">
        <v>146</v>
      </c>
      <c r="K3824">
        <v>1</v>
      </c>
      <c r="L3824" t="s">
        <v>147</v>
      </c>
      <c r="M3824" t="s">
        <v>5311</v>
      </c>
      <c r="N3824" t="s">
        <v>8230</v>
      </c>
      <c r="O3824" t="s">
        <v>8231</v>
      </c>
      <c r="P3824" t="s">
        <v>8232</v>
      </c>
    </row>
    <row r="3825" spans="1:16" x14ac:dyDescent="0.35">
      <c r="A3825" t="s">
        <v>90</v>
      </c>
      <c r="B3825">
        <v>1701216091</v>
      </c>
      <c r="C3825" t="s">
        <v>19</v>
      </c>
      <c r="D3825" t="s">
        <v>21</v>
      </c>
      <c r="E3825" s="29">
        <v>46208</v>
      </c>
      <c r="F3825" t="s">
        <v>6</v>
      </c>
      <c r="G3825" s="28">
        <v>0.50069444444444444</v>
      </c>
      <c r="H3825" s="28">
        <v>0.50208333333333333</v>
      </c>
      <c r="I3825">
        <v>0</v>
      </c>
      <c r="J3825" t="s">
        <v>146</v>
      </c>
      <c r="K3825">
        <v>0</v>
      </c>
      <c r="L3825" t="s">
        <v>147</v>
      </c>
      <c r="M3825" t="s">
        <v>9668</v>
      </c>
      <c r="N3825" t="s">
        <v>9669</v>
      </c>
      <c r="O3825" t="s">
        <v>8231</v>
      </c>
      <c r="P3825" t="s">
        <v>9670</v>
      </c>
    </row>
    <row r="3826" spans="1:16" x14ac:dyDescent="0.35">
      <c r="A3826" t="s">
        <v>90</v>
      </c>
      <c r="B3826">
        <v>1701216091</v>
      </c>
      <c r="C3826" t="s">
        <v>19</v>
      </c>
      <c r="D3826" t="s">
        <v>21</v>
      </c>
      <c r="E3826" s="29">
        <v>46208</v>
      </c>
      <c r="F3826" t="s">
        <v>6</v>
      </c>
      <c r="G3826" s="28">
        <v>0.51458333333333328</v>
      </c>
      <c r="H3826" s="28">
        <v>0.54236111111111107</v>
      </c>
      <c r="I3826">
        <v>1</v>
      </c>
      <c r="J3826" t="s">
        <v>146</v>
      </c>
      <c r="K3826">
        <v>2</v>
      </c>
      <c r="L3826" t="s">
        <v>147</v>
      </c>
      <c r="M3826" t="s">
        <v>5311</v>
      </c>
      <c r="N3826" t="s">
        <v>8230</v>
      </c>
      <c r="O3826" t="s">
        <v>8231</v>
      </c>
      <c r="P3826" t="s">
        <v>8232</v>
      </c>
    </row>
    <row r="3827" spans="1:16" x14ac:dyDescent="0.35">
      <c r="A3827" t="s">
        <v>90</v>
      </c>
      <c r="B3827">
        <v>1701216091</v>
      </c>
      <c r="C3827" t="s">
        <v>19</v>
      </c>
      <c r="D3827" t="s">
        <v>21</v>
      </c>
      <c r="E3827" s="29">
        <v>46208</v>
      </c>
      <c r="F3827" t="s">
        <v>6</v>
      </c>
      <c r="G3827" s="28">
        <v>0.5493055555555556</v>
      </c>
      <c r="H3827" s="28">
        <v>0.55625000000000002</v>
      </c>
      <c r="I3827">
        <v>0</v>
      </c>
      <c r="J3827" t="s">
        <v>146</v>
      </c>
      <c r="K3827">
        <v>0</v>
      </c>
      <c r="L3827" t="s">
        <v>147</v>
      </c>
      <c r="M3827" t="s">
        <v>8233</v>
      </c>
      <c r="N3827" t="s">
        <v>8234</v>
      </c>
      <c r="O3827" t="s">
        <v>8235</v>
      </c>
      <c r="P3827" t="s">
        <v>8236</v>
      </c>
    </row>
    <row r="3828" spans="1:16" x14ac:dyDescent="0.35">
      <c r="A3828" t="s">
        <v>90</v>
      </c>
      <c r="B3828">
        <v>1701216091</v>
      </c>
      <c r="C3828" t="s">
        <v>19</v>
      </c>
      <c r="D3828" t="s">
        <v>21</v>
      </c>
      <c r="E3828" s="29">
        <v>46208</v>
      </c>
      <c r="F3828" t="s">
        <v>6</v>
      </c>
      <c r="G3828" s="28">
        <v>0.56319444444444444</v>
      </c>
      <c r="H3828" s="28">
        <v>0.56319444444444444</v>
      </c>
      <c r="I3828">
        <v>0</v>
      </c>
      <c r="J3828" t="s">
        <v>174</v>
      </c>
      <c r="K3828">
        <v>0</v>
      </c>
      <c r="L3828" t="s">
        <v>5416</v>
      </c>
      <c r="M3828" t="s">
        <v>5409</v>
      </c>
      <c r="N3828" t="s">
        <v>5410</v>
      </c>
      <c r="O3828" t="s">
        <v>5411</v>
      </c>
      <c r="P3828" t="s">
        <v>5412</v>
      </c>
    </row>
    <row r="3829" spans="1:16" x14ac:dyDescent="0.35">
      <c r="A3829" t="s">
        <v>90</v>
      </c>
      <c r="B3829">
        <v>1701216091</v>
      </c>
      <c r="C3829" t="s">
        <v>19</v>
      </c>
      <c r="D3829" t="s">
        <v>21</v>
      </c>
      <c r="E3829" s="29">
        <v>46208</v>
      </c>
      <c r="F3829" t="s">
        <v>6</v>
      </c>
      <c r="G3829" s="28">
        <v>0.57013888888888886</v>
      </c>
      <c r="H3829" s="28">
        <v>0.57013888888888886</v>
      </c>
      <c r="I3829">
        <v>0</v>
      </c>
      <c r="J3829" t="s">
        <v>174</v>
      </c>
      <c r="K3829">
        <v>0</v>
      </c>
      <c r="L3829" t="s">
        <v>685</v>
      </c>
      <c r="M3829" t="s">
        <v>8246</v>
      </c>
      <c r="N3829" t="s">
        <v>5418</v>
      </c>
      <c r="O3829" t="s">
        <v>5419</v>
      </c>
      <c r="P3829" t="s">
        <v>5420</v>
      </c>
    </row>
    <row r="3830" spans="1:16" x14ac:dyDescent="0.35">
      <c r="A3830" t="s">
        <v>90</v>
      </c>
      <c r="B3830">
        <v>1701216091</v>
      </c>
      <c r="C3830" t="s">
        <v>19</v>
      </c>
      <c r="D3830" t="s">
        <v>21</v>
      </c>
      <c r="E3830" s="29">
        <v>46208</v>
      </c>
      <c r="F3830" t="s">
        <v>6</v>
      </c>
      <c r="G3830" s="28">
        <v>0.58402777777777781</v>
      </c>
      <c r="H3830" s="28">
        <v>0.58402777777777781</v>
      </c>
      <c r="I3830">
        <v>0</v>
      </c>
      <c r="J3830" t="s">
        <v>174</v>
      </c>
      <c r="K3830">
        <v>0</v>
      </c>
      <c r="L3830" t="s">
        <v>4245</v>
      </c>
      <c r="M3830" t="s">
        <v>5397</v>
      </c>
      <c r="N3830" t="s">
        <v>5398</v>
      </c>
      <c r="O3830" t="s">
        <v>5399</v>
      </c>
      <c r="P3830" t="s">
        <v>5400</v>
      </c>
    </row>
    <row r="3831" spans="1:16" x14ac:dyDescent="0.35">
      <c r="A3831" t="s">
        <v>90</v>
      </c>
      <c r="B3831">
        <v>1701216091</v>
      </c>
      <c r="C3831" t="s">
        <v>19</v>
      </c>
      <c r="D3831" t="s">
        <v>21</v>
      </c>
      <c r="E3831" s="29">
        <v>46208</v>
      </c>
      <c r="F3831" t="s">
        <v>6</v>
      </c>
      <c r="G3831" s="28">
        <v>0.59097222222222223</v>
      </c>
      <c r="H3831" s="28">
        <v>0.59097222222222223</v>
      </c>
      <c r="I3831">
        <v>0</v>
      </c>
      <c r="J3831" t="s">
        <v>174</v>
      </c>
      <c r="K3831">
        <v>0</v>
      </c>
      <c r="L3831" t="s">
        <v>1420</v>
      </c>
      <c r="M3831" t="s">
        <v>5393</v>
      </c>
      <c r="N3831" t="s">
        <v>5394</v>
      </c>
      <c r="O3831" t="s">
        <v>5395</v>
      </c>
      <c r="P3831" t="s">
        <v>5396</v>
      </c>
    </row>
    <row r="3832" spans="1:16" x14ac:dyDescent="0.35">
      <c r="A3832" t="s">
        <v>90</v>
      </c>
      <c r="B3832">
        <v>1701216091</v>
      </c>
      <c r="C3832" t="s">
        <v>19</v>
      </c>
      <c r="D3832" t="s">
        <v>21</v>
      </c>
      <c r="E3832" s="29">
        <v>46208</v>
      </c>
      <c r="F3832" t="s">
        <v>6</v>
      </c>
      <c r="G3832" s="28">
        <v>0.59791666666666665</v>
      </c>
      <c r="H3832" s="28">
        <v>0.59791666666666665</v>
      </c>
      <c r="I3832">
        <v>0</v>
      </c>
      <c r="J3832" t="s">
        <v>174</v>
      </c>
      <c r="K3832">
        <v>0</v>
      </c>
      <c r="L3832" t="s">
        <v>1420</v>
      </c>
      <c r="M3832" t="s">
        <v>5401</v>
      </c>
      <c r="N3832" t="s">
        <v>5402</v>
      </c>
      <c r="O3832" t="s">
        <v>5403</v>
      </c>
      <c r="P3832" t="s">
        <v>5404</v>
      </c>
    </row>
    <row r="3833" spans="1:16" x14ac:dyDescent="0.35">
      <c r="A3833" t="s">
        <v>90</v>
      </c>
      <c r="B3833">
        <v>1701216091</v>
      </c>
      <c r="C3833" t="s">
        <v>19</v>
      </c>
      <c r="D3833" t="s">
        <v>21</v>
      </c>
      <c r="E3833" s="29">
        <v>46208</v>
      </c>
      <c r="F3833" t="s">
        <v>6</v>
      </c>
      <c r="G3833" s="28">
        <v>0.60486111111111107</v>
      </c>
      <c r="H3833" s="28">
        <v>0.6118055555555556</v>
      </c>
      <c r="I3833">
        <v>0</v>
      </c>
      <c r="J3833" t="s">
        <v>146</v>
      </c>
      <c r="K3833">
        <v>1</v>
      </c>
      <c r="L3833" t="s">
        <v>147</v>
      </c>
      <c r="M3833" t="s">
        <v>5393</v>
      </c>
      <c r="N3833" t="s">
        <v>5394</v>
      </c>
      <c r="O3833" t="s">
        <v>5395</v>
      </c>
      <c r="P3833" t="s">
        <v>5396</v>
      </c>
    </row>
    <row r="3834" spans="1:16" x14ac:dyDescent="0.35">
      <c r="A3834" t="s">
        <v>90</v>
      </c>
      <c r="B3834">
        <v>1701216091</v>
      </c>
      <c r="C3834" t="s">
        <v>19</v>
      </c>
      <c r="D3834" t="s">
        <v>21</v>
      </c>
      <c r="E3834" s="29">
        <v>46208</v>
      </c>
      <c r="F3834" t="s">
        <v>6</v>
      </c>
      <c r="G3834" s="28">
        <v>0.61875000000000002</v>
      </c>
      <c r="H3834" s="28">
        <v>0.61875000000000002</v>
      </c>
      <c r="I3834">
        <v>0</v>
      </c>
      <c r="J3834" t="s">
        <v>174</v>
      </c>
      <c r="K3834">
        <v>0</v>
      </c>
      <c r="L3834" t="s">
        <v>245</v>
      </c>
      <c r="M3834" t="s">
        <v>9671</v>
      </c>
      <c r="N3834" t="s">
        <v>9672</v>
      </c>
      <c r="O3834" t="s">
        <v>9673</v>
      </c>
      <c r="P3834" t="s">
        <v>9674</v>
      </c>
    </row>
    <row r="3835" spans="1:16" x14ac:dyDescent="0.35">
      <c r="A3835" t="s">
        <v>90</v>
      </c>
      <c r="B3835">
        <v>1701216091</v>
      </c>
      <c r="C3835" t="s">
        <v>19</v>
      </c>
      <c r="D3835" t="s">
        <v>21</v>
      </c>
      <c r="E3835" s="29">
        <v>46208</v>
      </c>
      <c r="F3835" t="s">
        <v>6</v>
      </c>
      <c r="G3835" s="28">
        <v>0.62569444444444444</v>
      </c>
      <c r="H3835" s="28">
        <v>0.62569444444444444</v>
      </c>
      <c r="I3835">
        <v>0</v>
      </c>
      <c r="J3835" t="s">
        <v>174</v>
      </c>
      <c r="K3835">
        <v>0</v>
      </c>
      <c r="L3835" t="s">
        <v>1195</v>
      </c>
      <c r="M3835" t="s">
        <v>5393</v>
      </c>
      <c r="N3835" t="s">
        <v>5394</v>
      </c>
      <c r="O3835" t="s">
        <v>5395</v>
      </c>
      <c r="P3835" t="s">
        <v>5396</v>
      </c>
    </row>
    <row r="3836" spans="1:16" x14ac:dyDescent="0.35">
      <c r="A3836" t="s">
        <v>90</v>
      </c>
      <c r="B3836">
        <v>1701216091</v>
      </c>
      <c r="C3836" t="s">
        <v>19</v>
      </c>
      <c r="D3836" t="s">
        <v>21</v>
      </c>
      <c r="E3836" s="29">
        <v>46208</v>
      </c>
      <c r="F3836" t="s">
        <v>6</v>
      </c>
      <c r="G3836" s="28">
        <v>0.63263888888888886</v>
      </c>
      <c r="H3836" s="28">
        <v>0.63263888888888886</v>
      </c>
      <c r="I3836">
        <v>0</v>
      </c>
      <c r="J3836" t="s">
        <v>174</v>
      </c>
      <c r="K3836">
        <v>0</v>
      </c>
      <c r="L3836" t="s">
        <v>2636</v>
      </c>
      <c r="M3836" t="s">
        <v>5405</v>
      </c>
      <c r="N3836" t="s">
        <v>5406</v>
      </c>
      <c r="O3836" t="s">
        <v>5407</v>
      </c>
      <c r="P3836" t="s">
        <v>5408</v>
      </c>
    </row>
    <row r="3837" spans="1:16" x14ac:dyDescent="0.35">
      <c r="A3837" t="s">
        <v>90</v>
      </c>
      <c r="B3837">
        <v>1701216091</v>
      </c>
      <c r="C3837" t="s">
        <v>19</v>
      </c>
      <c r="D3837" t="s">
        <v>21</v>
      </c>
      <c r="E3837" s="29">
        <v>46208</v>
      </c>
      <c r="F3837" t="s">
        <v>6</v>
      </c>
      <c r="G3837" s="28">
        <v>0.63958333333333328</v>
      </c>
      <c r="H3837" s="28">
        <v>0.66041666666666665</v>
      </c>
      <c r="I3837">
        <v>1</v>
      </c>
      <c r="J3837" t="s">
        <v>146</v>
      </c>
      <c r="K3837">
        <v>2</v>
      </c>
      <c r="L3837" t="s">
        <v>147</v>
      </c>
      <c r="M3837" t="s">
        <v>5409</v>
      </c>
      <c r="N3837" t="s">
        <v>5410</v>
      </c>
      <c r="O3837" t="s">
        <v>5411</v>
      </c>
      <c r="P3837" t="s">
        <v>5412</v>
      </c>
    </row>
    <row r="3838" spans="1:16" x14ac:dyDescent="0.35">
      <c r="A3838" t="s">
        <v>90</v>
      </c>
      <c r="B3838">
        <v>1701216091</v>
      </c>
      <c r="C3838" t="s">
        <v>19</v>
      </c>
      <c r="D3838" t="s">
        <v>21</v>
      </c>
      <c r="E3838" s="29">
        <v>46208</v>
      </c>
      <c r="F3838" t="s">
        <v>6</v>
      </c>
      <c r="G3838" s="28">
        <v>0.66736111111111107</v>
      </c>
      <c r="H3838" s="28">
        <v>0.66736111111111107</v>
      </c>
      <c r="I3838">
        <v>0</v>
      </c>
      <c r="J3838" t="s">
        <v>174</v>
      </c>
      <c r="K3838">
        <v>0</v>
      </c>
      <c r="L3838" t="s">
        <v>5416</v>
      </c>
      <c r="M3838" t="s">
        <v>5417</v>
      </c>
      <c r="N3838" t="s">
        <v>5418</v>
      </c>
      <c r="O3838" t="s">
        <v>5419</v>
      </c>
      <c r="P3838" t="s">
        <v>5420</v>
      </c>
    </row>
    <row r="3839" spans="1:16" x14ac:dyDescent="0.35">
      <c r="A3839" t="s">
        <v>90</v>
      </c>
      <c r="B3839">
        <v>1701216091</v>
      </c>
      <c r="C3839" t="s">
        <v>19</v>
      </c>
      <c r="D3839" t="s">
        <v>21</v>
      </c>
      <c r="E3839" s="29">
        <v>46208</v>
      </c>
      <c r="F3839" t="s">
        <v>6</v>
      </c>
      <c r="G3839" s="28">
        <v>0.6743055555555556</v>
      </c>
      <c r="H3839" s="28">
        <v>0.68125000000000002</v>
      </c>
      <c r="I3839">
        <v>0</v>
      </c>
      <c r="J3839" t="s">
        <v>146</v>
      </c>
      <c r="K3839">
        <v>0</v>
      </c>
      <c r="L3839" t="s">
        <v>147</v>
      </c>
      <c r="M3839" t="s">
        <v>5409</v>
      </c>
      <c r="N3839" t="s">
        <v>5410</v>
      </c>
      <c r="O3839" t="s">
        <v>5411</v>
      </c>
      <c r="P3839" t="s">
        <v>5412</v>
      </c>
    </row>
    <row r="3840" spans="1:16" x14ac:dyDescent="0.35">
      <c r="A3840" t="s">
        <v>90</v>
      </c>
      <c r="B3840">
        <v>1701216091</v>
      </c>
      <c r="C3840" t="s">
        <v>19</v>
      </c>
      <c r="D3840" t="s">
        <v>21</v>
      </c>
      <c r="E3840" s="29">
        <v>46208</v>
      </c>
      <c r="F3840" t="s">
        <v>6</v>
      </c>
      <c r="G3840" s="28">
        <v>0.68819444444444444</v>
      </c>
      <c r="H3840" s="28">
        <v>0.68819444444444444</v>
      </c>
      <c r="I3840">
        <v>0</v>
      </c>
      <c r="J3840" t="s">
        <v>174</v>
      </c>
      <c r="K3840">
        <v>0</v>
      </c>
      <c r="L3840" t="s">
        <v>624</v>
      </c>
      <c r="M3840" t="s">
        <v>8246</v>
      </c>
      <c r="N3840" t="s">
        <v>5418</v>
      </c>
      <c r="O3840" t="s">
        <v>5419</v>
      </c>
      <c r="P3840" t="s">
        <v>5420</v>
      </c>
    </row>
    <row r="3841" spans="1:16" x14ac:dyDescent="0.35">
      <c r="A3841" t="s">
        <v>90</v>
      </c>
      <c r="B3841">
        <v>1701216091</v>
      </c>
      <c r="C3841" t="s">
        <v>19</v>
      </c>
      <c r="D3841" t="s">
        <v>21</v>
      </c>
      <c r="E3841" s="29">
        <v>46208</v>
      </c>
      <c r="F3841" t="s">
        <v>6</v>
      </c>
      <c r="G3841" s="28">
        <v>0.69513888888888886</v>
      </c>
      <c r="H3841" s="28">
        <v>0.70208333333333328</v>
      </c>
      <c r="I3841">
        <v>0</v>
      </c>
      <c r="J3841" t="s">
        <v>146</v>
      </c>
      <c r="K3841">
        <v>0</v>
      </c>
      <c r="L3841" t="s">
        <v>147</v>
      </c>
      <c r="M3841" t="s">
        <v>5389</v>
      </c>
      <c r="N3841" t="s">
        <v>5413</v>
      </c>
      <c r="O3841" t="s">
        <v>5414</v>
      </c>
      <c r="P3841" t="s">
        <v>5415</v>
      </c>
    </row>
    <row r="3842" spans="1:16" x14ac:dyDescent="0.35">
      <c r="A3842" t="s">
        <v>90</v>
      </c>
      <c r="B3842">
        <v>1701216091</v>
      </c>
      <c r="C3842" t="s">
        <v>19</v>
      </c>
      <c r="D3842" t="s">
        <v>21</v>
      </c>
      <c r="E3842" s="29">
        <v>46208</v>
      </c>
      <c r="F3842" t="s">
        <v>6</v>
      </c>
      <c r="G3842" s="28">
        <v>0.70902777777777781</v>
      </c>
      <c r="H3842" s="28">
        <v>0.71597222222222223</v>
      </c>
      <c r="I3842">
        <v>0</v>
      </c>
      <c r="J3842" t="s">
        <v>146</v>
      </c>
      <c r="K3842">
        <v>0</v>
      </c>
      <c r="L3842" t="s">
        <v>147</v>
      </c>
      <c r="M3842" t="s">
        <v>5409</v>
      </c>
      <c r="N3842" t="s">
        <v>5410</v>
      </c>
      <c r="O3842" t="s">
        <v>5411</v>
      </c>
      <c r="P3842" t="s">
        <v>5412</v>
      </c>
    </row>
    <row r="3843" spans="1:16" x14ac:dyDescent="0.35">
      <c r="A3843" t="s">
        <v>90</v>
      </c>
      <c r="B3843">
        <v>1701216091</v>
      </c>
      <c r="C3843" t="s">
        <v>19</v>
      </c>
      <c r="D3843" t="s">
        <v>21</v>
      </c>
      <c r="E3843" s="29">
        <v>46208</v>
      </c>
      <c r="F3843" t="s">
        <v>6</v>
      </c>
      <c r="G3843" s="28">
        <v>0.72291666666666665</v>
      </c>
      <c r="H3843" s="28">
        <v>0.72291666666666665</v>
      </c>
      <c r="I3843">
        <v>0</v>
      </c>
      <c r="J3843" t="s">
        <v>174</v>
      </c>
      <c r="K3843">
        <v>0</v>
      </c>
      <c r="L3843" t="s">
        <v>2194</v>
      </c>
      <c r="M3843" t="s">
        <v>5389</v>
      </c>
      <c r="N3843" t="s">
        <v>5413</v>
      </c>
      <c r="O3843" t="s">
        <v>5414</v>
      </c>
      <c r="P3843" t="s">
        <v>5415</v>
      </c>
    </row>
    <row r="3844" spans="1:16" x14ac:dyDescent="0.35">
      <c r="A3844" t="s">
        <v>90</v>
      </c>
      <c r="B3844">
        <v>1701216091</v>
      </c>
      <c r="C3844" t="s">
        <v>19</v>
      </c>
      <c r="D3844" t="s">
        <v>21</v>
      </c>
      <c r="E3844" s="29">
        <v>46208</v>
      </c>
      <c r="F3844" t="s">
        <v>6</v>
      </c>
      <c r="G3844" s="28">
        <v>0.72986111111111107</v>
      </c>
      <c r="H3844" s="28">
        <v>0.72986111111111107</v>
      </c>
      <c r="I3844">
        <v>0</v>
      </c>
      <c r="J3844" t="s">
        <v>174</v>
      </c>
      <c r="K3844">
        <v>0</v>
      </c>
      <c r="L3844" t="s">
        <v>5416</v>
      </c>
      <c r="M3844" t="s">
        <v>5409</v>
      </c>
      <c r="N3844" t="s">
        <v>5410</v>
      </c>
      <c r="O3844" t="s">
        <v>5411</v>
      </c>
      <c r="P3844" t="s">
        <v>5412</v>
      </c>
    </row>
    <row r="3845" spans="1:16" x14ac:dyDescent="0.35">
      <c r="A3845" t="s">
        <v>90</v>
      </c>
      <c r="B3845">
        <v>1701216091</v>
      </c>
      <c r="C3845" t="s">
        <v>19</v>
      </c>
      <c r="D3845" t="s">
        <v>21</v>
      </c>
      <c r="E3845" s="29">
        <v>46208</v>
      </c>
      <c r="F3845" t="s">
        <v>6</v>
      </c>
      <c r="G3845" s="28">
        <v>0.7368055555555556</v>
      </c>
      <c r="H3845" s="28">
        <v>0.7368055555555556</v>
      </c>
      <c r="I3845">
        <v>0</v>
      </c>
      <c r="J3845" t="s">
        <v>174</v>
      </c>
      <c r="K3845">
        <v>0</v>
      </c>
      <c r="L3845" t="s">
        <v>5416</v>
      </c>
      <c r="M3845" t="s">
        <v>5417</v>
      </c>
      <c r="N3845" t="s">
        <v>5418</v>
      </c>
      <c r="O3845" t="s">
        <v>5419</v>
      </c>
      <c r="P3845" t="s">
        <v>5420</v>
      </c>
    </row>
    <row r="3846" spans="1:16" x14ac:dyDescent="0.35">
      <c r="A3846" t="s">
        <v>90</v>
      </c>
      <c r="B3846">
        <v>1701216091</v>
      </c>
      <c r="C3846" t="s">
        <v>19</v>
      </c>
      <c r="D3846" t="s">
        <v>21</v>
      </c>
      <c r="E3846" s="29">
        <v>46208</v>
      </c>
      <c r="F3846" t="s">
        <v>6</v>
      </c>
      <c r="G3846" s="28">
        <v>0.74375000000000002</v>
      </c>
      <c r="H3846" s="28">
        <v>0.74375000000000002</v>
      </c>
      <c r="I3846">
        <v>0</v>
      </c>
      <c r="J3846" t="s">
        <v>174</v>
      </c>
      <c r="K3846">
        <v>0</v>
      </c>
      <c r="L3846" t="s">
        <v>2879</v>
      </c>
      <c r="M3846" t="s">
        <v>5409</v>
      </c>
      <c r="N3846" t="s">
        <v>5410</v>
      </c>
      <c r="O3846" t="s">
        <v>5411</v>
      </c>
      <c r="P3846" t="s">
        <v>5412</v>
      </c>
    </row>
    <row r="3847" spans="1:16" x14ac:dyDescent="0.35">
      <c r="A3847" t="s">
        <v>90</v>
      </c>
      <c r="B3847">
        <v>1701216091</v>
      </c>
      <c r="C3847" t="s">
        <v>19</v>
      </c>
      <c r="D3847" t="s">
        <v>21</v>
      </c>
      <c r="E3847" s="29">
        <v>46208</v>
      </c>
      <c r="F3847" t="s">
        <v>6</v>
      </c>
      <c r="G3847" s="28">
        <v>0.75069444444444444</v>
      </c>
      <c r="H3847" s="28">
        <v>0.76458333333333328</v>
      </c>
      <c r="I3847">
        <v>0</v>
      </c>
      <c r="J3847" t="s">
        <v>146</v>
      </c>
      <c r="K3847">
        <v>1</v>
      </c>
      <c r="L3847" t="s">
        <v>147</v>
      </c>
      <c r="M3847" t="s">
        <v>9675</v>
      </c>
      <c r="N3847" t="s">
        <v>9676</v>
      </c>
      <c r="O3847" t="s">
        <v>9677</v>
      </c>
      <c r="P3847" t="s">
        <v>9678</v>
      </c>
    </row>
    <row r="3848" spans="1:16" x14ac:dyDescent="0.35">
      <c r="A3848" t="s">
        <v>90</v>
      </c>
      <c r="B3848">
        <v>1701216091</v>
      </c>
      <c r="C3848" t="s">
        <v>19</v>
      </c>
      <c r="D3848" t="s">
        <v>21</v>
      </c>
      <c r="E3848" s="29">
        <v>46208</v>
      </c>
      <c r="F3848" t="s">
        <v>6</v>
      </c>
      <c r="G3848" s="28">
        <v>0.77152777777777781</v>
      </c>
      <c r="H3848" s="28">
        <v>0.82013888888888886</v>
      </c>
      <c r="I3848">
        <v>1</v>
      </c>
      <c r="J3848" t="s">
        <v>146</v>
      </c>
      <c r="K3848">
        <v>4</v>
      </c>
      <c r="L3848" t="s">
        <v>147</v>
      </c>
      <c r="M3848" t="s">
        <v>5409</v>
      </c>
      <c r="N3848" t="s">
        <v>5410</v>
      </c>
      <c r="O3848" t="s">
        <v>5411</v>
      </c>
      <c r="P3848" t="s">
        <v>5412</v>
      </c>
    </row>
    <row r="3849" spans="1:16" x14ac:dyDescent="0.35">
      <c r="A3849" t="s">
        <v>127</v>
      </c>
      <c r="B3849">
        <v>1704124001</v>
      </c>
      <c r="C3849" t="s">
        <v>18</v>
      </c>
      <c r="D3849" t="s">
        <v>21</v>
      </c>
      <c r="E3849" s="29">
        <v>46204</v>
      </c>
      <c r="F3849" t="s">
        <v>3</v>
      </c>
      <c r="G3849" s="28">
        <v>0.37638888888888888</v>
      </c>
      <c r="H3849" s="28">
        <v>0.37638888888888888</v>
      </c>
      <c r="I3849">
        <v>0</v>
      </c>
      <c r="J3849" t="s">
        <v>174</v>
      </c>
      <c r="K3849">
        <v>0</v>
      </c>
      <c r="L3849" t="s">
        <v>8213</v>
      </c>
      <c r="M3849" t="s">
        <v>9679</v>
      </c>
      <c r="N3849" t="s">
        <v>9680</v>
      </c>
      <c r="O3849" t="s">
        <v>9681</v>
      </c>
      <c r="P3849" t="s">
        <v>9682</v>
      </c>
    </row>
    <row r="3850" spans="1:16" x14ac:dyDescent="0.35">
      <c r="A3850" t="s">
        <v>127</v>
      </c>
      <c r="B3850">
        <v>1704124001</v>
      </c>
      <c r="C3850" t="s">
        <v>18</v>
      </c>
      <c r="D3850" t="s">
        <v>21</v>
      </c>
      <c r="E3850" s="29">
        <v>46204</v>
      </c>
      <c r="F3850" t="s">
        <v>3</v>
      </c>
      <c r="G3850" s="28">
        <v>0.38263888888888886</v>
      </c>
      <c r="H3850" s="28">
        <v>0.38958333333333334</v>
      </c>
      <c r="I3850">
        <v>0</v>
      </c>
      <c r="J3850" t="s">
        <v>146</v>
      </c>
      <c r="K3850">
        <v>1</v>
      </c>
      <c r="L3850" t="s">
        <v>147</v>
      </c>
      <c r="M3850" t="s">
        <v>587</v>
      </c>
      <c r="N3850" t="s">
        <v>588</v>
      </c>
      <c r="O3850" t="s">
        <v>372</v>
      </c>
      <c r="P3850" t="s">
        <v>9683</v>
      </c>
    </row>
    <row r="3851" spans="1:16" x14ac:dyDescent="0.35">
      <c r="A3851" t="s">
        <v>127</v>
      </c>
      <c r="B3851">
        <v>1704124001</v>
      </c>
      <c r="C3851" t="s">
        <v>18</v>
      </c>
      <c r="D3851" t="s">
        <v>21</v>
      </c>
      <c r="E3851" s="29">
        <v>46204</v>
      </c>
      <c r="F3851" t="s">
        <v>3</v>
      </c>
      <c r="G3851" s="28">
        <v>0.39652777777777776</v>
      </c>
      <c r="H3851" s="28">
        <v>0.39652777777777776</v>
      </c>
      <c r="I3851">
        <v>0</v>
      </c>
      <c r="J3851" t="s">
        <v>174</v>
      </c>
      <c r="K3851">
        <v>0</v>
      </c>
      <c r="L3851" t="s">
        <v>8595</v>
      </c>
      <c r="M3851" t="s">
        <v>9684</v>
      </c>
      <c r="N3851" t="s">
        <v>9685</v>
      </c>
      <c r="O3851" t="s">
        <v>9686</v>
      </c>
      <c r="P3851" t="s">
        <v>9687</v>
      </c>
    </row>
    <row r="3852" spans="1:16" x14ac:dyDescent="0.35">
      <c r="A3852" t="s">
        <v>127</v>
      </c>
      <c r="B3852">
        <v>1704124001</v>
      </c>
      <c r="C3852" t="s">
        <v>18</v>
      </c>
      <c r="D3852" t="s">
        <v>21</v>
      </c>
      <c r="E3852" s="29">
        <v>46204</v>
      </c>
      <c r="F3852" t="s">
        <v>3</v>
      </c>
      <c r="G3852" s="28">
        <v>0.40347222222222223</v>
      </c>
      <c r="H3852" s="28">
        <v>0.40347222222222223</v>
      </c>
      <c r="I3852">
        <v>0</v>
      </c>
      <c r="J3852" t="s">
        <v>174</v>
      </c>
      <c r="K3852">
        <v>0</v>
      </c>
      <c r="L3852" t="s">
        <v>1435</v>
      </c>
      <c r="M3852" t="s">
        <v>9688</v>
      </c>
      <c r="N3852" t="s">
        <v>9689</v>
      </c>
      <c r="O3852" t="s">
        <v>9690</v>
      </c>
      <c r="P3852" t="s">
        <v>9691</v>
      </c>
    </row>
    <row r="3853" spans="1:16" x14ac:dyDescent="0.35">
      <c r="A3853" t="s">
        <v>127</v>
      </c>
      <c r="B3853">
        <v>1704124001</v>
      </c>
      <c r="C3853" t="s">
        <v>18</v>
      </c>
      <c r="D3853" t="s">
        <v>21</v>
      </c>
      <c r="E3853" s="29">
        <v>46204</v>
      </c>
      <c r="F3853" t="s">
        <v>3</v>
      </c>
      <c r="G3853" s="28">
        <v>0.41736111111111113</v>
      </c>
      <c r="H3853" s="28">
        <v>0.43125000000000002</v>
      </c>
      <c r="I3853">
        <v>0</v>
      </c>
      <c r="J3853" t="s">
        <v>146</v>
      </c>
      <c r="K3853">
        <v>1</v>
      </c>
      <c r="L3853" t="s">
        <v>147</v>
      </c>
      <c r="M3853" t="s">
        <v>630</v>
      </c>
      <c r="N3853" t="s">
        <v>631</v>
      </c>
      <c r="O3853" t="s">
        <v>632</v>
      </c>
      <c r="P3853" t="s">
        <v>3731</v>
      </c>
    </row>
    <row r="3854" spans="1:16" x14ac:dyDescent="0.35">
      <c r="A3854" t="s">
        <v>127</v>
      </c>
      <c r="B3854">
        <v>1704124001</v>
      </c>
      <c r="C3854" t="s">
        <v>18</v>
      </c>
      <c r="D3854" t="s">
        <v>21</v>
      </c>
      <c r="E3854" s="29">
        <v>46204</v>
      </c>
      <c r="F3854" t="s">
        <v>3</v>
      </c>
      <c r="G3854" s="28">
        <v>0.43819444444444444</v>
      </c>
      <c r="H3854" s="28">
        <v>0.44513888888888886</v>
      </c>
      <c r="I3854">
        <v>0</v>
      </c>
      <c r="J3854" t="s">
        <v>146</v>
      </c>
      <c r="K3854">
        <v>0</v>
      </c>
      <c r="L3854" t="s">
        <v>147</v>
      </c>
      <c r="M3854" t="s">
        <v>9692</v>
      </c>
      <c r="N3854" t="s">
        <v>9693</v>
      </c>
      <c r="O3854" t="s">
        <v>9694</v>
      </c>
      <c r="P3854" t="s">
        <v>9695</v>
      </c>
    </row>
    <row r="3855" spans="1:16" x14ac:dyDescent="0.35">
      <c r="A3855" t="s">
        <v>127</v>
      </c>
      <c r="B3855">
        <v>1704124001</v>
      </c>
      <c r="C3855" t="s">
        <v>18</v>
      </c>
      <c r="D3855" t="s">
        <v>21</v>
      </c>
      <c r="E3855" s="29">
        <v>46204</v>
      </c>
      <c r="F3855" t="s">
        <v>3</v>
      </c>
      <c r="G3855" s="28">
        <v>0.45208333333333334</v>
      </c>
      <c r="H3855" s="28">
        <v>0.47291666666666665</v>
      </c>
      <c r="I3855">
        <v>0</v>
      </c>
      <c r="J3855" t="s">
        <v>146</v>
      </c>
      <c r="K3855">
        <v>2</v>
      </c>
      <c r="L3855" t="s">
        <v>147</v>
      </c>
      <c r="M3855" t="s">
        <v>9696</v>
      </c>
      <c r="N3855" t="s">
        <v>9697</v>
      </c>
      <c r="O3855" t="s">
        <v>9698</v>
      </c>
      <c r="P3855" t="s">
        <v>9699</v>
      </c>
    </row>
    <row r="3856" spans="1:16" x14ac:dyDescent="0.35">
      <c r="A3856" t="s">
        <v>127</v>
      </c>
      <c r="B3856">
        <v>1704124001</v>
      </c>
      <c r="C3856" t="s">
        <v>18</v>
      </c>
      <c r="D3856" t="s">
        <v>21</v>
      </c>
      <c r="E3856" s="29">
        <v>46204</v>
      </c>
      <c r="F3856" t="s">
        <v>3</v>
      </c>
      <c r="G3856" s="28">
        <v>0.47986111111111113</v>
      </c>
      <c r="H3856" s="28">
        <v>0.47986111111111113</v>
      </c>
      <c r="I3856">
        <v>0</v>
      </c>
      <c r="J3856" t="s">
        <v>174</v>
      </c>
      <c r="K3856">
        <v>0</v>
      </c>
      <c r="L3856" t="s">
        <v>2785</v>
      </c>
      <c r="M3856" t="s">
        <v>630</v>
      </c>
      <c r="N3856" t="s">
        <v>631</v>
      </c>
      <c r="O3856" t="s">
        <v>632</v>
      </c>
      <c r="P3856" t="s">
        <v>3731</v>
      </c>
    </row>
    <row r="3857" spans="1:16" x14ac:dyDescent="0.35">
      <c r="A3857" t="s">
        <v>127</v>
      </c>
      <c r="B3857">
        <v>1704124001</v>
      </c>
      <c r="C3857" t="s">
        <v>18</v>
      </c>
      <c r="D3857" t="s">
        <v>21</v>
      </c>
      <c r="E3857" s="29">
        <v>46204</v>
      </c>
      <c r="F3857" t="s">
        <v>3</v>
      </c>
      <c r="G3857" s="28">
        <v>0.48680555555555555</v>
      </c>
      <c r="H3857" s="28">
        <v>0.48680555555555555</v>
      </c>
      <c r="I3857">
        <v>0</v>
      </c>
      <c r="J3857" t="s">
        <v>174</v>
      </c>
      <c r="K3857">
        <v>0</v>
      </c>
      <c r="L3857" t="s">
        <v>614</v>
      </c>
      <c r="M3857" t="s">
        <v>9692</v>
      </c>
      <c r="N3857" t="s">
        <v>9693</v>
      </c>
      <c r="O3857" t="s">
        <v>9694</v>
      </c>
      <c r="P3857" t="s">
        <v>9695</v>
      </c>
    </row>
    <row r="3858" spans="1:16" x14ac:dyDescent="0.35">
      <c r="A3858" t="s">
        <v>127</v>
      </c>
      <c r="B3858">
        <v>1704124001</v>
      </c>
      <c r="C3858" t="s">
        <v>18</v>
      </c>
      <c r="D3858" t="s">
        <v>21</v>
      </c>
      <c r="E3858" s="29">
        <v>46204</v>
      </c>
      <c r="F3858" t="s">
        <v>3</v>
      </c>
      <c r="G3858" s="28">
        <v>0.49375000000000002</v>
      </c>
      <c r="H3858" s="28">
        <v>0.49375000000000002</v>
      </c>
      <c r="I3858">
        <v>0</v>
      </c>
      <c r="J3858" t="s">
        <v>174</v>
      </c>
      <c r="K3858">
        <v>0</v>
      </c>
      <c r="L3858" t="s">
        <v>2636</v>
      </c>
      <c r="M3858" t="s">
        <v>9696</v>
      </c>
      <c r="N3858" t="s">
        <v>9697</v>
      </c>
      <c r="O3858" t="s">
        <v>9698</v>
      </c>
      <c r="P3858" t="s">
        <v>9699</v>
      </c>
    </row>
    <row r="3859" spans="1:16" x14ac:dyDescent="0.35">
      <c r="A3859" t="s">
        <v>127</v>
      </c>
      <c r="B3859">
        <v>1704124001</v>
      </c>
      <c r="C3859" t="s">
        <v>18</v>
      </c>
      <c r="D3859" t="s">
        <v>21</v>
      </c>
      <c r="E3859" s="29">
        <v>46204</v>
      </c>
      <c r="F3859" t="s">
        <v>3</v>
      </c>
      <c r="G3859" s="28">
        <v>0.50069444444444444</v>
      </c>
      <c r="H3859" s="28">
        <v>0.50069444444444444</v>
      </c>
      <c r="I3859">
        <v>0</v>
      </c>
      <c r="J3859" t="s">
        <v>174</v>
      </c>
      <c r="K3859">
        <v>0</v>
      </c>
      <c r="L3859" t="s">
        <v>9700</v>
      </c>
      <c r="M3859" t="s">
        <v>9701</v>
      </c>
      <c r="N3859" t="s">
        <v>9702</v>
      </c>
      <c r="O3859" t="s">
        <v>9703</v>
      </c>
      <c r="P3859" t="s">
        <v>9704</v>
      </c>
    </row>
    <row r="3860" spans="1:16" x14ac:dyDescent="0.35">
      <c r="A3860" t="s">
        <v>127</v>
      </c>
      <c r="B3860">
        <v>1704124001</v>
      </c>
      <c r="C3860" t="s">
        <v>18</v>
      </c>
      <c r="D3860" t="s">
        <v>21</v>
      </c>
      <c r="E3860" s="29">
        <v>46204</v>
      </c>
      <c r="F3860" t="s">
        <v>3</v>
      </c>
      <c r="G3860" s="28">
        <v>0.50763888888888886</v>
      </c>
      <c r="H3860" s="28">
        <v>0.50763888888888886</v>
      </c>
      <c r="I3860">
        <v>0</v>
      </c>
      <c r="J3860" t="s">
        <v>174</v>
      </c>
      <c r="K3860">
        <v>0</v>
      </c>
      <c r="L3860" t="s">
        <v>4412</v>
      </c>
      <c r="M3860" t="s">
        <v>644</v>
      </c>
      <c r="N3860" t="s">
        <v>645</v>
      </c>
      <c r="O3860" t="s">
        <v>646</v>
      </c>
      <c r="P3860" t="s">
        <v>9705</v>
      </c>
    </row>
    <row r="3861" spans="1:16" x14ac:dyDescent="0.35">
      <c r="A3861" t="s">
        <v>127</v>
      </c>
      <c r="B3861">
        <v>1704124001</v>
      </c>
      <c r="C3861" t="s">
        <v>18</v>
      </c>
      <c r="D3861" t="s">
        <v>21</v>
      </c>
      <c r="E3861" s="29">
        <v>46204</v>
      </c>
      <c r="F3861" t="s">
        <v>3</v>
      </c>
      <c r="G3861" s="28">
        <v>0.51527777777777772</v>
      </c>
      <c r="H3861" s="28">
        <v>0.52222222222222225</v>
      </c>
      <c r="I3861">
        <v>0</v>
      </c>
      <c r="J3861" t="s">
        <v>146</v>
      </c>
      <c r="K3861">
        <v>1</v>
      </c>
      <c r="L3861" t="s">
        <v>147</v>
      </c>
      <c r="M3861" t="s">
        <v>9706</v>
      </c>
      <c r="N3861" t="s">
        <v>9707</v>
      </c>
      <c r="O3861" t="s">
        <v>9708</v>
      </c>
      <c r="P3861" t="s">
        <v>9709</v>
      </c>
    </row>
    <row r="3862" spans="1:16" x14ac:dyDescent="0.35">
      <c r="A3862" t="s">
        <v>127</v>
      </c>
      <c r="B3862">
        <v>1704124001</v>
      </c>
      <c r="C3862" t="s">
        <v>18</v>
      </c>
      <c r="D3862" t="s">
        <v>21</v>
      </c>
      <c r="E3862" s="29">
        <v>46204</v>
      </c>
      <c r="F3862" t="s">
        <v>3</v>
      </c>
      <c r="G3862" s="28">
        <v>0.52847222222222223</v>
      </c>
      <c r="H3862" s="28">
        <v>0.55625000000000002</v>
      </c>
      <c r="I3862">
        <v>1</v>
      </c>
      <c r="J3862" t="s">
        <v>146</v>
      </c>
      <c r="K3862">
        <v>2</v>
      </c>
      <c r="L3862" t="s">
        <v>147</v>
      </c>
      <c r="M3862" t="s">
        <v>649</v>
      </c>
      <c r="N3862" t="s">
        <v>650</v>
      </c>
      <c r="O3862" t="s">
        <v>651</v>
      </c>
      <c r="P3862" t="s">
        <v>9710</v>
      </c>
    </row>
    <row r="3863" spans="1:16" x14ac:dyDescent="0.35">
      <c r="A3863" t="s">
        <v>127</v>
      </c>
      <c r="B3863">
        <v>1704124001</v>
      </c>
      <c r="C3863" t="s">
        <v>18</v>
      </c>
      <c r="D3863" t="s">
        <v>21</v>
      </c>
      <c r="E3863" s="29">
        <v>46204</v>
      </c>
      <c r="F3863" t="s">
        <v>3</v>
      </c>
      <c r="G3863" s="28">
        <v>0.56319444444444444</v>
      </c>
      <c r="H3863" s="28">
        <v>0.56319444444444444</v>
      </c>
      <c r="I3863">
        <v>0</v>
      </c>
      <c r="J3863" t="s">
        <v>174</v>
      </c>
      <c r="K3863">
        <v>0</v>
      </c>
      <c r="L3863" t="s">
        <v>9711</v>
      </c>
      <c r="M3863" t="s">
        <v>9706</v>
      </c>
      <c r="N3863" t="s">
        <v>9707</v>
      </c>
      <c r="O3863" t="s">
        <v>9708</v>
      </c>
      <c r="P3863" t="s">
        <v>9709</v>
      </c>
    </row>
    <row r="3864" spans="1:16" x14ac:dyDescent="0.35">
      <c r="A3864" t="s">
        <v>127</v>
      </c>
      <c r="B3864">
        <v>1704124001</v>
      </c>
      <c r="C3864" t="s">
        <v>18</v>
      </c>
      <c r="D3864" t="s">
        <v>21</v>
      </c>
      <c r="E3864" s="29">
        <v>46204</v>
      </c>
      <c r="F3864" t="s">
        <v>3</v>
      </c>
      <c r="G3864" s="28">
        <v>0.57013888888888886</v>
      </c>
      <c r="H3864" s="28">
        <v>0.57013888888888886</v>
      </c>
      <c r="I3864">
        <v>0</v>
      </c>
      <c r="J3864" t="s">
        <v>174</v>
      </c>
      <c r="K3864">
        <v>0</v>
      </c>
      <c r="L3864" t="s">
        <v>2412</v>
      </c>
      <c r="M3864" t="s">
        <v>649</v>
      </c>
      <c r="N3864" t="s">
        <v>650</v>
      </c>
      <c r="O3864" t="s">
        <v>651</v>
      </c>
      <c r="P3864" t="s">
        <v>9710</v>
      </c>
    </row>
    <row r="3865" spans="1:16" x14ac:dyDescent="0.35">
      <c r="A3865" t="s">
        <v>127</v>
      </c>
      <c r="B3865">
        <v>1704124001</v>
      </c>
      <c r="C3865" t="s">
        <v>18</v>
      </c>
      <c r="D3865" t="s">
        <v>21</v>
      </c>
      <c r="E3865" s="29">
        <v>46204</v>
      </c>
      <c r="F3865" t="s">
        <v>3</v>
      </c>
      <c r="G3865" s="28">
        <v>0.57708333333333328</v>
      </c>
      <c r="H3865" s="28">
        <v>0.61875000000000002</v>
      </c>
      <c r="I3865">
        <v>1</v>
      </c>
      <c r="J3865" t="s">
        <v>146</v>
      </c>
      <c r="K3865">
        <v>3</v>
      </c>
      <c r="L3865" t="s">
        <v>147</v>
      </c>
      <c r="M3865" t="s">
        <v>375</v>
      </c>
      <c r="N3865" t="s">
        <v>376</v>
      </c>
      <c r="O3865" t="s">
        <v>377</v>
      </c>
      <c r="P3865" t="s">
        <v>9712</v>
      </c>
    </row>
    <row r="3866" spans="1:16" x14ac:dyDescent="0.35">
      <c r="A3866" t="s">
        <v>127</v>
      </c>
      <c r="B3866">
        <v>1704124001</v>
      </c>
      <c r="C3866" t="s">
        <v>18</v>
      </c>
      <c r="D3866" t="s">
        <v>21</v>
      </c>
      <c r="E3866" s="29">
        <v>46204</v>
      </c>
      <c r="F3866" t="s">
        <v>3</v>
      </c>
      <c r="G3866" s="28">
        <v>0.62569444444444444</v>
      </c>
      <c r="H3866" s="28">
        <v>0.62569444444444444</v>
      </c>
      <c r="I3866">
        <v>0</v>
      </c>
      <c r="J3866" t="s">
        <v>174</v>
      </c>
      <c r="K3866">
        <v>0</v>
      </c>
      <c r="L3866" t="s">
        <v>7559</v>
      </c>
      <c r="M3866" t="s">
        <v>9713</v>
      </c>
      <c r="N3866" t="s">
        <v>9714</v>
      </c>
      <c r="O3866" t="s">
        <v>9715</v>
      </c>
      <c r="P3866" t="s">
        <v>9716</v>
      </c>
    </row>
    <row r="3867" spans="1:16" x14ac:dyDescent="0.35">
      <c r="A3867" t="s">
        <v>127</v>
      </c>
      <c r="B3867">
        <v>1704124001</v>
      </c>
      <c r="C3867" t="s">
        <v>18</v>
      </c>
      <c r="D3867" t="s">
        <v>21</v>
      </c>
      <c r="E3867" s="29">
        <v>46204</v>
      </c>
      <c r="F3867" t="s">
        <v>3</v>
      </c>
      <c r="G3867" s="28">
        <v>0.63263888888888886</v>
      </c>
      <c r="H3867" s="28">
        <v>0.63263888888888886</v>
      </c>
      <c r="I3867">
        <v>0</v>
      </c>
      <c r="J3867" t="s">
        <v>174</v>
      </c>
      <c r="K3867">
        <v>0</v>
      </c>
      <c r="L3867" t="s">
        <v>7559</v>
      </c>
      <c r="M3867" t="s">
        <v>375</v>
      </c>
      <c r="N3867" t="s">
        <v>376</v>
      </c>
      <c r="O3867" t="s">
        <v>377</v>
      </c>
      <c r="P3867" t="s">
        <v>9712</v>
      </c>
    </row>
    <row r="3868" spans="1:16" x14ac:dyDescent="0.35">
      <c r="A3868" t="s">
        <v>127</v>
      </c>
      <c r="B3868">
        <v>1704124001</v>
      </c>
      <c r="C3868" t="s">
        <v>18</v>
      </c>
      <c r="D3868" t="s">
        <v>21</v>
      </c>
      <c r="E3868" s="29">
        <v>46204</v>
      </c>
      <c r="F3868" t="s">
        <v>3</v>
      </c>
      <c r="G3868" s="28">
        <v>0.63958333333333328</v>
      </c>
      <c r="H3868" s="28">
        <v>0.63958333333333328</v>
      </c>
      <c r="I3868">
        <v>0</v>
      </c>
      <c r="J3868" t="s">
        <v>174</v>
      </c>
      <c r="K3868">
        <v>0</v>
      </c>
      <c r="L3868" t="s">
        <v>7559</v>
      </c>
      <c r="M3868" t="s">
        <v>9713</v>
      </c>
      <c r="N3868" t="s">
        <v>9714</v>
      </c>
      <c r="O3868" t="s">
        <v>9715</v>
      </c>
      <c r="P3868" t="s">
        <v>9716</v>
      </c>
    </row>
    <row r="3869" spans="1:16" x14ac:dyDescent="0.35">
      <c r="A3869" t="s">
        <v>127</v>
      </c>
      <c r="B3869">
        <v>1704124001</v>
      </c>
      <c r="C3869" t="s">
        <v>18</v>
      </c>
      <c r="D3869" t="s">
        <v>21</v>
      </c>
      <c r="E3869" s="29">
        <v>46204</v>
      </c>
      <c r="F3869" t="s">
        <v>3</v>
      </c>
      <c r="G3869" s="28">
        <v>0.64652777777777781</v>
      </c>
      <c r="H3869" s="28">
        <v>0.64652777777777781</v>
      </c>
      <c r="I3869">
        <v>0</v>
      </c>
      <c r="J3869" t="s">
        <v>174</v>
      </c>
      <c r="K3869">
        <v>0</v>
      </c>
      <c r="L3869" t="s">
        <v>7559</v>
      </c>
      <c r="M3869" t="s">
        <v>375</v>
      </c>
      <c r="N3869" t="s">
        <v>376</v>
      </c>
      <c r="O3869" t="s">
        <v>377</v>
      </c>
      <c r="P3869" t="s">
        <v>9712</v>
      </c>
    </row>
    <row r="3870" spans="1:16" x14ac:dyDescent="0.35">
      <c r="A3870" t="s">
        <v>127</v>
      </c>
      <c r="B3870">
        <v>1704124001</v>
      </c>
      <c r="C3870" t="s">
        <v>18</v>
      </c>
      <c r="D3870" t="s">
        <v>21</v>
      </c>
      <c r="E3870" s="29">
        <v>46204</v>
      </c>
      <c r="F3870" t="s">
        <v>3</v>
      </c>
      <c r="G3870" s="28">
        <v>0.65347222222222223</v>
      </c>
      <c r="H3870" s="28">
        <v>0.66041666666666665</v>
      </c>
      <c r="I3870">
        <v>0</v>
      </c>
      <c r="J3870" t="s">
        <v>146</v>
      </c>
      <c r="K3870">
        <v>0</v>
      </c>
      <c r="L3870" t="s">
        <v>147</v>
      </c>
      <c r="M3870" t="s">
        <v>9713</v>
      </c>
      <c r="N3870" t="s">
        <v>9714</v>
      </c>
      <c r="O3870" t="s">
        <v>9715</v>
      </c>
      <c r="P3870" t="s">
        <v>9716</v>
      </c>
    </row>
    <row r="3871" spans="1:16" x14ac:dyDescent="0.35">
      <c r="A3871" t="s">
        <v>127</v>
      </c>
      <c r="B3871">
        <v>1704124001</v>
      </c>
      <c r="C3871" t="s">
        <v>18</v>
      </c>
      <c r="D3871" t="s">
        <v>21</v>
      </c>
      <c r="E3871" s="29">
        <v>46204</v>
      </c>
      <c r="F3871" t="s">
        <v>3</v>
      </c>
      <c r="G3871" s="28">
        <v>0.66736111111111107</v>
      </c>
      <c r="H3871" s="28">
        <v>0.66736111111111107</v>
      </c>
      <c r="I3871">
        <v>0</v>
      </c>
      <c r="J3871" t="s">
        <v>174</v>
      </c>
      <c r="K3871">
        <v>0</v>
      </c>
      <c r="L3871" t="s">
        <v>7559</v>
      </c>
      <c r="M3871" t="s">
        <v>375</v>
      </c>
      <c r="N3871" t="s">
        <v>376</v>
      </c>
      <c r="O3871" t="s">
        <v>377</v>
      </c>
      <c r="P3871" t="s">
        <v>9712</v>
      </c>
    </row>
    <row r="3872" spans="1:16" x14ac:dyDescent="0.35">
      <c r="A3872" t="s">
        <v>127</v>
      </c>
      <c r="B3872">
        <v>1704124001</v>
      </c>
      <c r="C3872" t="s">
        <v>18</v>
      </c>
      <c r="D3872" t="s">
        <v>21</v>
      </c>
      <c r="E3872" s="29">
        <v>46204</v>
      </c>
      <c r="F3872" t="s">
        <v>3</v>
      </c>
      <c r="G3872" s="28">
        <v>0.6743055555555556</v>
      </c>
      <c r="H3872" s="28">
        <v>0.6743055555555556</v>
      </c>
      <c r="I3872">
        <v>0</v>
      </c>
      <c r="J3872" t="s">
        <v>174</v>
      </c>
      <c r="K3872">
        <v>0</v>
      </c>
      <c r="L3872" t="s">
        <v>7559</v>
      </c>
      <c r="M3872" t="s">
        <v>9713</v>
      </c>
      <c r="N3872" t="s">
        <v>9714</v>
      </c>
      <c r="O3872" t="s">
        <v>9715</v>
      </c>
      <c r="P3872" t="s">
        <v>9716</v>
      </c>
    </row>
    <row r="3873" spans="1:16" x14ac:dyDescent="0.35">
      <c r="A3873" t="s">
        <v>127</v>
      </c>
      <c r="B3873">
        <v>1704124001</v>
      </c>
      <c r="C3873" t="s">
        <v>18</v>
      </c>
      <c r="D3873" t="s">
        <v>21</v>
      </c>
      <c r="E3873" s="29">
        <v>46204</v>
      </c>
      <c r="F3873" t="s">
        <v>3</v>
      </c>
      <c r="G3873" s="28">
        <v>0.68125000000000002</v>
      </c>
      <c r="H3873" s="28">
        <v>0.75763888888888886</v>
      </c>
      <c r="I3873">
        <v>2</v>
      </c>
      <c r="J3873" t="s">
        <v>146</v>
      </c>
      <c r="K3873">
        <v>6</v>
      </c>
      <c r="L3873" t="s">
        <v>147</v>
      </c>
      <c r="M3873" t="s">
        <v>375</v>
      </c>
      <c r="N3873" t="s">
        <v>376</v>
      </c>
      <c r="O3873" t="s">
        <v>377</v>
      </c>
      <c r="P3873" t="s">
        <v>9712</v>
      </c>
    </row>
    <row r="3874" spans="1:16" x14ac:dyDescent="0.35">
      <c r="A3874" t="s">
        <v>127</v>
      </c>
      <c r="B3874">
        <v>1704124001</v>
      </c>
      <c r="C3874" t="s">
        <v>18</v>
      </c>
      <c r="D3874" t="s">
        <v>21</v>
      </c>
      <c r="E3874" s="29">
        <v>46204</v>
      </c>
      <c r="F3874" t="s">
        <v>3</v>
      </c>
      <c r="G3874" s="28">
        <v>0.76458333333333328</v>
      </c>
      <c r="H3874" s="28">
        <v>0.76458333333333328</v>
      </c>
      <c r="I3874">
        <v>0</v>
      </c>
      <c r="J3874" t="s">
        <v>174</v>
      </c>
      <c r="K3874">
        <v>0</v>
      </c>
      <c r="L3874" t="s">
        <v>7559</v>
      </c>
      <c r="M3874" t="s">
        <v>9713</v>
      </c>
      <c r="N3874" t="s">
        <v>9714</v>
      </c>
      <c r="O3874" t="s">
        <v>9715</v>
      </c>
      <c r="P3874" t="s">
        <v>9716</v>
      </c>
    </row>
    <row r="3875" spans="1:16" x14ac:dyDescent="0.35">
      <c r="A3875" t="s">
        <v>127</v>
      </c>
      <c r="B3875">
        <v>1704124001</v>
      </c>
      <c r="C3875" t="s">
        <v>18</v>
      </c>
      <c r="D3875" t="s">
        <v>21</v>
      </c>
      <c r="E3875" s="29">
        <v>46204</v>
      </c>
      <c r="F3875" t="s">
        <v>3</v>
      </c>
      <c r="G3875" s="28">
        <v>0.77152777777777781</v>
      </c>
      <c r="H3875" s="28">
        <v>0.78541666666666665</v>
      </c>
      <c r="I3875">
        <v>0</v>
      </c>
      <c r="J3875" t="s">
        <v>146</v>
      </c>
      <c r="K3875">
        <v>1</v>
      </c>
      <c r="L3875" t="s">
        <v>147</v>
      </c>
      <c r="M3875" t="s">
        <v>375</v>
      </c>
      <c r="N3875" t="s">
        <v>376</v>
      </c>
      <c r="O3875" t="s">
        <v>377</v>
      </c>
      <c r="P3875" t="s">
        <v>9712</v>
      </c>
    </row>
    <row r="3876" spans="1:16" x14ac:dyDescent="0.35">
      <c r="A3876" t="s">
        <v>127</v>
      </c>
      <c r="B3876">
        <v>1704124001</v>
      </c>
      <c r="C3876" t="s">
        <v>18</v>
      </c>
      <c r="D3876" t="s">
        <v>21</v>
      </c>
      <c r="E3876" s="29">
        <v>46205</v>
      </c>
      <c r="F3876" t="s">
        <v>4</v>
      </c>
      <c r="G3876" s="28">
        <v>0.38263888888888886</v>
      </c>
      <c r="H3876" s="28">
        <v>0.39652777777777776</v>
      </c>
      <c r="I3876">
        <v>0</v>
      </c>
      <c r="J3876" t="s">
        <v>146</v>
      </c>
      <c r="K3876">
        <v>1</v>
      </c>
      <c r="L3876" t="s">
        <v>147</v>
      </c>
      <c r="M3876" t="s">
        <v>380</v>
      </c>
      <c r="N3876" t="s">
        <v>381</v>
      </c>
      <c r="O3876" t="s">
        <v>382</v>
      </c>
      <c r="P3876" t="s">
        <v>2452</v>
      </c>
    </row>
    <row r="3877" spans="1:16" x14ac:dyDescent="0.35">
      <c r="A3877" t="s">
        <v>127</v>
      </c>
      <c r="B3877">
        <v>1704124001</v>
      </c>
      <c r="C3877" t="s">
        <v>18</v>
      </c>
      <c r="D3877" t="s">
        <v>21</v>
      </c>
      <c r="E3877" s="29">
        <v>46205</v>
      </c>
      <c r="F3877" t="s">
        <v>4</v>
      </c>
      <c r="G3877" s="28">
        <v>0.40347222222222223</v>
      </c>
      <c r="H3877" s="28">
        <v>0.40347222222222223</v>
      </c>
      <c r="I3877">
        <v>0</v>
      </c>
      <c r="J3877" t="s">
        <v>174</v>
      </c>
      <c r="K3877">
        <v>0</v>
      </c>
      <c r="L3877" t="s">
        <v>9717</v>
      </c>
      <c r="M3877" t="s">
        <v>9718</v>
      </c>
      <c r="N3877" t="s">
        <v>9719</v>
      </c>
      <c r="O3877" t="s">
        <v>9720</v>
      </c>
      <c r="P3877" t="s">
        <v>9721</v>
      </c>
    </row>
    <row r="3878" spans="1:16" x14ac:dyDescent="0.35">
      <c r="A3878" t="s">
        <v>127</v>
      </c>
      <c r="B3878">
        <v>1704124001</v>
      </c>
      <c r="C3878" t="s">
        <v>18</v>
      </c>
      <c r="D3878" t="s">
        <v>21</v>
      </c>
      <c r="E3878" s="29">
        <v>46205</v>
      </c>
      <c r="F3878" t="s">
        <v>4</v>
      </c>
      <c r="G3878" s="28">
        <v>0.41111111111111109</v>
      </c>
      <c r="H3878" s="28">
        <v>0.42499999999999999</v>
      </c>
      <c r="I3878">
        <v>0</v>
      </c>
      <c r="J3878" t="s">
        <v>146</v>
      </c>
      <c r="K3878">
        <v>1</v>
      </c>
      <c r="L3878" t="s">
        <v>147</v>
      </c>
      <c r="M3878" t="s">
        <v>2763</v>
      </c>
      <c r="N3878" t="s">
        <v>2764</v>
      </c>
      <c r="O3878" t="s">
        <v>2765</v>
      </c>
      <c r="P3878" t="s">
        <v>9722</v>
      </c>
    </row>
    <row r="3879" spans="1:16" x14ac:dyDescent="0.35">
      <c r="A3879" t="s">
        <v>127</v>
      </c>
      <c r="B3879">
        <v>1704124001</v>
      </c>
      <c r="C3879" t="s">
        <v>18</v>
      </c>
      <c r="D3879" t="s">
        <v>21</v>
      </c>
      <c r="E3879" s="29">
        <v>46205</v>
      </c>
      <c r="F3879" t="s">
        <v>4</v>
      </c>
      <c r="G3879" s="28">
        <v>0.43125000000000002</v>
      </c>
      <c r="H3879" s="28">
        <v>0.43125000000000002</v>
      </c>
      <c r="I3879">
        <v>0</v>
      </c>
      <c r="J3879" t="s">
        <v>174</v>
      </c>
      <c r="K3879">
        <v>0</v>
      </c>
      <c r="L3879" t="s">
        <v>3025</v>
      </c>
      <c r="M3879" t="s">
        <v>580</v>
      </c>
      <c r="N3879" t="s">
        <v>581</v>
      </c>
      <c r="O3879" t="s">
        <v>582</v>
      </c>
      <c r="P3879" t="s">
        <v>9723</v>
      </c>
    </row>
    <row r="3880" spans="1:16" x14ac:dyDescent="0.35">
      <c r="A3880" t="s">
        <v>127</v>
      </c>
      <c r="B3880">
        <v>1704124001</v>
      </c>
      <c r="C3880" t="s">
        <v>18</v>
      </c>
      <c r="D3880" t="s">
        <v>21</v>
      </c>
      <c r="E3880" s="29">
        <v>46205</v>
      </c>
      <c r="F3880" t="s">
        <v>4</v>
      </c>
      <c r="G3880" s="28">
        <v>0.43819444444444444</v>
      </c>
      <c r="H3880" s="28">
        <v>0.43819444444444444</v>
      </c>
      <c r="I3880">
        <v>0</v>
      </c>
      <c r="J3880" t="s">
        <v>174</v>
      </c>
      <c r="K3880">
        <v>0</v>
      </c>
      <c r="L3880" t="s">
        <v>1307</v>
      </c>
      <c r="M3880" t="s">
        <v>380</v>
      </c>
      <c r="N3880" t="s">
        <v>381</v>
      </c>
      <c r="O3880" t="s">
        <v>382</v>
      </c>
      <c r="P3880" t="s">
        <v>2452</v>
      </c>
    </row>
    <row r="3881" spans="1:16" x14ac:dyDescent="0.35">
      <c r="A3881" t="s">
        <v>127</v>
      </c>
      <c r="B3881">
        <v>1704124001</v>
      </c>
      <c r="C3881" t="s">
        <v>18</v>
      </c>
      <c r="D3881" t="s">
        <v>21</v>
      </c>
      <c r="E3881" s="29">
        <v>46205</v>
      </c>
      <c r="F3881" t="s">
        <v>4</v>
      </c>
      <c r="G3881" s="28">
        <v>0.44583333333333336</v>
      </c>
      <c r="H3881" s="28">
        <v>0.44583333333333336</v>
      </c>
      <c r="I3881">
        <v>0</v>
      </c>
      <c r="J3881" t="s">
        <v>174</v>
      </c>
      <c r="K3881">
        <v>0</v>
      </c>
      <c r="L3881" t="s">
        <v>638</v>
      </c>
      <c r="M3881" t="s">
        <v>9724</v>
      </c>
      <c r="N3881" t="s">
        <v>654</v>
      </c>
      <c r="O3881" t="s">
        <v>655</v>
      </c>
      <c r="P3881" t="s">
        <v>9725</v>
      </c>
    </row>
    <row r="3882" spans="1:16" x14ac:dyDescent="0.35">
      <c r="A3882" t="s">
        <v>127</v>
      </c>
      <c r="B3882">
        <v>1704124001</v>
      </c>
      <c r="C3882" t="s">
        <v>18</v>
      </c>
      <c r="D3882" t="s">
        <v>21</v>
      </c>
      <c r="E3882" s="29">
        <v>46205</v>
      </c>
      <c r="F3882" t="s">
        <v>4</v>
      </c>
      <c r="G3882" s="28">
        <v>0.45277777777777778</v>
      </c>
      <c r="H3882" s="28">
        <v>0.45277777777777778</v>
      </c>
      <c r="I3882">
        <v>0</v>
      </c>
      <c r="J3882" t="s">
        <v>174</v>
      </c>
      <c r="K3882">
        <v>0</v>
      </c>
      <c r="L3882" t="s">
        <v>9726</v>
      </c>
      <c r="M3882" t="s">
        <v>6837</v>
      </c>
      <c r="N3882" t="s">
        <v>6838</v>
      </c>
      <c r="O3882" t="s">
        <v>6839</v>
      </c>
      <c r="P3882" t="s">
        <v>9640</v>
      </c>
    </row>
    <row r="3883" spans="1:16" x14ac:dyDescent="0.35">
      <c r="A3883" t="s">
        <v>127</v>
      </c>
      <c r="B3883">
        <v>1704124001</v>
      </c>
      <c r="C3883" t="s">
        <v>18</v>
      </c>
      <c r="D3883" t="s">
        <v>21</v>
      </c>
      <c r="E3883" s="29">
        <v>46205</v>
      </c>
      <c r="F3883" t="s">
        <v>4</v>
      </c>
      <c r="G3883" s="28">
        <v>0.4597222222222222</v>
      </c>
      <c r="H3883" s="28">
        <v>0.4597222222222222</v>
      </c>
      <c r="I3883">
        <v>0</v>
      </c>
      <c r="J3883" t="s">
        <v>174</v>
      </c>
      <c r="K3883">
        <v>0</v>
      </c>
      <c r="L3883" t="s">
        <v>9726</v>
      </c>
      <c r="M3883" t="s">
        <v>9727</v>
      </c>
      <c r="N3883" t="s">
        <v>9728</v>
      </c>
      <c r="O3883" t="s">
        <v>9729</v>
      </c>
      <c r="P3883" t="s">
        <v>9730</v>
      </c>
    </row>
    <row r="3884" spans="1:16" x14ac:dyDescent="0.35">
      <c r="A3884" t="s">
        <v>127</v>
      </c>
      <c r="B3884">
        <v>1704124001</v>
      </c>
      <c r="C3884" t="s">
        <v>18</v>
      </c>
      <c r="D3884" t="s">
        <v>21</v>
      </c>
      <c r="E3884" s="29">
        <v>46205</v>
      </c>
      <c r="F3884" t="s">
        <v>4</v>
      </c>
      <c r="G3884" s="28">
        <v>0.46666666666666667</v>
      </c>
      <c r="H3884" s="28">
        <v>0.46666666666666667</v>
      </c>
      <c r="I3884">
        <v>0</v>
      </c>
      <c r="J3884" t="s">
        <v>174</v>
      </c>
      <c r="K3884">
        <v>0</v>
      </c>
      <c r="L3884" t="s">
        <v>9731</v>
      </c>
      <c r="M3884" t="s">
        <v>6837</v>
      </c>
      <c r="N3884" t="s">
        <v>6838</v>
      </c>
      <c r="O3884" t="s">
        <v>6839</v>
      </c>
      <c r="P3884" t="s">
        <v>9640</v>
      </c>
    </row>
    <row r="3885" spans="1:16" x14ac:dyDescent="0.35">
      <c r="A3885" t="s">
        <v>127</v>
      </c>
      <c r="B3885">
        <v>1704124001</v>
      </c>
      <c r="C3885" t="s">
        <v>18</v>
      </c>
      <c r="D3885" t="s">
        <v>21</v>
      </c>
      <c r="E3885" s="29">
        <v>46205</v>
      </c>
      <c r="F3885" t="s">
        <v>4</v>
      </c>
      <c r="G3885" s="28">
        <v>0.47291666666666665</v>
      </c>
      <c r="H3885" s="28">
        <v>0.47291666666666665</v>
      </c>
      <c r="I3885">
        <v>0</v>
      </c>
      <c r="J3885" t="s">
        <v>174</v>
      </c>
      <c r="K3885">
        <v>0</v>
      </c>
      <c r="L3885" t="s">
        <v>657</v>
      </c>
      <c r="M3885" t="s">
        <v>2763</v>
      </c>
      <c r="N3885" t="s">
        <v>2764</v>
      </c>
      <c r="O3885" t="s">
        <v>2765</v>
      </c>
      <c r="P3885" t="s">
        <v>9722</v>
      </c>
    </row>
    <row r="3886" spans="1:16" x14ac:dyDescent="0.35">
      <c r="A3886" t="s">
        <v>127</v>
      </c>
      <c r="B3886">
        <v>1704124001</v>
      </c>
      <c r="C3886" t="s">
        <v>18</v>
      </c>
      <c r="D3886" t="s">
        <v>21</v>
      </c>
      <c r="E3886" s="29">
        <v>46205</v>
      </c>
      <c r="F3886" t="s">
        <v>4</v>
      </c>
      <c r="G3886" s="28">
        <v>0.48055555555555557</v>
      </c>
      <c r="H3886" s="28">
        <v>0.48055555555555557</v>
      </c>
      <c r="I3886">
        <v>0</v>
      </c>
      <c r="J3886" t="s">
        <v>174</v>
      </c>
      <c r="K3886">
        <v>0</v>
      </c>
      <c r="L3886" t="s">
        <v>466</v>
      </c>
      <c r="M3886" t="s">
        <v>375</v>
      </c>
      <c r="N3886" t="s">
        <v>376</v>
      </c>
      <c r="O3886" t="s">
        <v>377</v>
      </c>
      <c r="P3886" t="s">
        <v>9712</v>
      </c>
    </row>
    <row r="3887" spans="1:16" x14ac:dyDescent="0.35">
      <c r="A3887" t="s">
        <v>127</v>
      </c>
      <c r="B3887">
        <v>1704124001</v>
      </c>
      <c r="C3887" t="s">
        <v>18</v>
      </c>
      <c r="D3887" t="s">
        <v>21</v>
      </c>
      <c r="E3887" s="29">
        <v>46205</v>
      </c>
      <c r="F3887" t="s">
        <v>4</v>
      </c>
      <c r="G3887" s="28">
        <v>0.48749999999999999</v>
      </c>
      <c r="H3887" s="28">
        <v>0.50138888888888888</v>
      </c>
      <c r="I3887">
        <v>0</v>
      </c>
      <c r="J3887" t="s">
        <v>146</v>
      </c>
      <c r="K3887">
        <v>1</v>
      </c>
      <c r="L3887" t="s">
        <v>147</v>
      </c>
      <c r="M3887" t="s">
        <v>9732</v>
      </c>
      <c r="N3887" t="s">
        <v>9733</v>
      </c>
      <c r="O3887" t="s">
        <v>9734</v>
      </c>
      <c r="P3887" t="s">
        <v>9735</v>
      </c>
    </row>
    <row r="3888" spans="1:16" x14ac:dyDescent="0.35">
      <c r="A3888" t="s">
        <v>127</v>
      </c>
      <c r="B3888">
        <v>1704124001</v>
      </c>
      <c r="C3888" t="s">
        <v>18</v>
      </c>
      <c r="D3888" t="s">
        <v>21</v>
      </c>
      <c r="E3888" s="29">
        <v>46205</v>
      </c>
      <c r="F3888" t="s">
        <v>4</v>
      </c>
      <c r="G3888" s="28">
        <v>0.5083333333333333</v>
      </c>
      <c r="H3888" s="28">
        <v>0.52222222222222225</v>
      </c>
      <c r="I3888">
        <v>0</v>
      </c>
      <c r="J3888" t="s">
        <v>146</v>
      </c>
      <c r="K3888">
        <v>1</v>
      </c>
      <c r="L3888" t="s">
        <v>147</v>
      </c>
      <c r="M3888" t="s">
        <v>9736</v>
      </c>
      <c r="N3888" t="s">
        <v>9737</v>
      </c>
      <c r="O3888" t="s">
        <v>9738</v>
      </c>
      <c r="P3888" t="s">
        <v>9739</v>
      </c>
    </row>
    <row r="3889" spans="1:16" x14ac:dyDescent="0.35">
      <c r="A3889" t="s">
        <v>127</v>
      </c>
      <c r="B3889">
        <v>1704124001</v>
      </c>
      <c r="C3889" t="s">
        <v>18</v>
      </c>
      <c r="D3889" t="s">
        <v>21</v>
      </c>
      <c r="E3889" s="29">
        <v>46205</v>
      </c>
      <c r="F3889" t="s">
        <v>4</v>
      </c>
      <c r="G3889" s="28">
        <v>0.52916666666666667</v>
      </c>
      <c r="H3889" s="28">
        <v>0.52916666666666667</v>
      </c>
      <c r="I3889">
        <v>0</v>
      </c>
      <c r="J3889" t="s">
        <v>174</v>
      </c>
      <c r="K3889">
        <v>0</v>
      </c>
      <c r="L3889" t="s">
        <v>9740</v>
      </c>
      <c r="M3889" t="s">
        <v>9741</v>
      </c>
      <c r="N3889" t="s">
        <v>9742</v>
      </c>
      <c r="O3889" t="s">
        <v>9743</v>
      </c>
      <c r="P3889" t="s">
        <v>9744</v>
      </c>
    </row>
    <row r="3890" spans="1:16" x14ac:dyDescent="0.35">
      <c r="A3890" t="s">
        <v>127</v>
      </c>
      <c r="B3890">
        <v>1704124001</v>
      </c>
      <c r="C3890" t="s">
        <v>18</v>
      </c>
      <c r="D3890" t="s">
        <v>21</v>
      </c>
      <c r="E3890" s="29">
        <v>46205</v>
      </c>
      <c r="F3890" t="s">
        <v>4</v>
      </c>
      <c r="G3890" s="28">
        <v>0.53611111111111109</v>
      </c>
      <c r="H3890" s="28">
        <v>0.53611111111111109</v>
      </c>
      <c r="I3890">
        <v>0</v>
      </c>
      <c r="J3890" t="s">
        <v>174</v>
      </c>
      <c r="K3890">
        <v>0</v>
      </c>
      <c r="L3890" t="s">
        <v>5152</v>
      </c>
      <c r="M3890" t="s">
        <v>9736</v>
      </c>
      <c r="N3890" t="s">
        <v>9737</v>
      </c>
      <c r="O3890" t="s">
        <v>9738</v>
      </c>
      <c r="P3890" t="s">
        <v>9739</v>
      </c>
    </row>
    <row r="3891" spans="1:16" x14ac:dyDescent="0.35">
      <c r="A3891" t="s">
        <v>127</v>
      </c>
      <c r="B3891">
        <v>1704124001</v>
      </c>
      <c r="C3891" t="s">
        <v>18</v>
      </c>
      <c r="D3891" t="s">
        <v>21</v>
      </c>
      <c r="E3891" s="29">
        <v>46205</v>
      </c>
      <c r="F3891" t="s">
        <v>4</v>
      </c>
      <c r="G3891" s="28">
        <v>0.55000000000000004</v>
      </c>
      <c r="H3891" s="28">
        <v>0.55000000000000004</v>
      </c>
      <c r="I3891">
        <v>0</v>
      </c>
      <c r="J3891" t="s">
        <v>174</v>
      </c>
      <c r="K3891">
        <v>0</v>
      </c>
      <c r="L3891" t="s">
        <v>1466</v>
      </c>
      <c r="M3891" t="s">
        <v>9745</v>
      </c>
      <c r="N3891" t="s">
        <v>9746</v>
      </c>
      <c r="O3891" t="s">
        <v>9747</v>
      </c>
      <c r="P3891" t="s">
        <v>9748</v>
      </c>
    </row>
    <row r="3892" spans="1:16" x14ac:dyDescent="0.35">
      <c r="A3892" t="s">
        <v>127</v>
      </c>
      <c r="B3892">
        <v>1704124001</v>
      </c>
      <c r="C3892" t="s">
        <v>18</v>
      </c>
      <c r="D3892" t="s">
        <v>21</v>
      </c>
      <c r="E3892" s="29">
        <v>46205</v>
      </c>
      <c r="F3892" t="s">
        <v>4</v>
      </c>
      <c r="G3892" s="28">
        <v>0.55694444444444446</v>
      </c>
      <c r="H3892" s="28">
        <v>0.55694444444444446</v>
      </c>
      <c r="I3892">
        <v>0</v>
      </c>
      <c r="J3892" t="s">
        <v>174</v>
      </c>
      <c r="K3892">
        <v>0</v>
      </c>
      <c r="L3892" t="s">
        <v>1855</v>
      </c>
      <c r="M3892" t="s">
        <v>9749</v>
      </c>
      <c r="N3892" t="s">
        <v>9750</v>
      </c>
      <c r="O3892" t="s">
        <v>9751</v>
      </c>
      <c r="P3892" t="s">
        <v>9752</v>
      </c>
    </row>
    <row r="3893" spans="1:16" x14ac:dyDescent="0.35">
      <c r="A3893" t="s">
        <v>127</v>
      </c>
      <c r="B3893">
        <v>1704124001</v>
      </c>
      <c r="C3893" t="s">
        <v>18</v>
      </c>
      <c r="D3893" t="s">
        <v>21</v>
      </c>
      <c r="E3893" s="29">
        <v>46205</v>
      </c>
      <c r="F3893" t="s">
        <v>4</v>
      </c>
      <c r="G3893" s="28">
        <v>0.56388888888888888</v>
      </c>
      <c r="H3893" s="28">
        <v>0.56388888888888888</v>
      </c>
      <c r="I3893">
        <v>0</v>
      </c>
      <c r="J3893" t="s">
        <v>174</v>
      </c>
      <c r="K3893">
        <v>0</v>
      </c>
      <c r="L3893" t="s">
        <v>9753</v>
      </c>
      <c r="M3893" t="s">
        <v>9754</v>
      </c>
      <c r="N3893" t="s">
        <v>9755</v>
      </c>
      <c r="O3893" t="s">
        <v>9756</v>
      </c>
      <c r="P3893" t="s">
        <v>9757</v>
      </c>
    </row>
    <row r="3894" spans="1:16" x14ac:dyDescent="0.35">
      <c r="A3894" t="s">
        <v>127</v>
      </c>
      <c r="B3894">
        <v>1704124001</v>
      </c>
      <c r="C3894" t="s">
        <v>18</v>
      </c>
      <c r="D3894" t="s">
        <v>21</v>
      </c>
      <c r="E3894" s="29">
        <v>46205</v>
      </c>
      <c r="F3894" t="s">
        <v>4</v>
      </c>
      <c r="G3894" s="28">
        <v>0.5708333333333333</v>
      </c>
      <c r="H3894" s="28">
        <v>0.5708333333333333</v>
      </c>
      <c r="I3894">
        <v>0</v>
      </c>
      <c r="J3894" t="s">
        <v>174</v>
      </c>
      <c r="K3894">
        <v>0</v>
      </c>
      <c r="L3894" t="s">
        <v>9758</v>
      </c>
      <c r="M3894" t="s">
        <v>9745</v>
      </c>
      <c r="N3894" t="s">
        <v>9746</v>
      </c>
      <c r="O3894" t="s">
        <v>9747</v>
      </c>
      <c r="P3894" t="s">
        <v>9748</v>
      </c>
    </row>
    <row r="3895" spans="1:16" x14ac:dyDescent="0.35">
      <c r="A3895" t="s">
        <v>127</v>
      </c>
      <c r="B3895">
        <v>1704124001</v>
      </c>
      <c r="C3895" t="s">
        <v>18</v>
      </c>
      <c r="D3895" t="s">
        <v>21</v>
      </c>
      <c r="E3895" s="29">
        <v>46205</v>
      </c>
      <c r="F3895" t="s">
        <v>4</v>
      </c>
      <c r="G3895" s="28">
        <v>0.57777777777777772</v>
      </c>
      <c r="H3895" s="28">
        <v>0.59166666666666667</v>
      </c>
      <c r="I3895">
        <v>0</v>
      </c>
      <c r="J3895" t="s">
        <v>146</v>
      </c>
      <c r="K3895">
        <v>1</v>
      </c>
      <c r="L3895" t="s">
        <v>147</v>
      </c>
      <c r="M3895" t="s">
        <v>9759</v>
      </c>
      <c r="N3895" t="s">
        <v>9760</v>
      </c>
      <c r="O3895" t="s">
        <v>9761</v>
      </c>
      <c r="P3895" t="s">
        <v>9762</v>
      </c>
    </row>
    <row r="3896" spans="1:16" x14ac:dyDescent="0.35">
      <c r="A3896" t="s">
        <v>127</v>
      </c>
      <c r="B3896">
        <v>1704124001</v>
      </c>
      <c r="C3896" t="s">
        <v>18</v>
      </c>
      <c r="D3896" t="s">
        <v>21</v>
      </c>
      <c r="E3896" s="29">
        <v>46205</v>
      </c>
      <c r="F3896" t="s">
        <v>4</v>
      </c>
      <c r="G3896" s="28">
        <v>0.60486111111111107</v>
      </c>
      <c r="H3896" s="28">
        <v>0.60486111111111107</v>
      </c>
      <c r="I3896">
        <v>0</v>
      </c>
      <c r="J3896" t="s">
        <v>174</v>
      </c>
      <c r="K3896">
        <v>0</v>
      </c>
      <c r="L3896" t="s">
        <v>1430</v>
      </c>
      <c r="M3896" t="s">
        <v>9763</v>
      </c>
      <c r="N3896" t="s">
        <v>9764</v>
      </c>
      <c r="O3896" t="s">
        <v>9765</v>
      </c>
      <c r="P3896" t="s">
        <v>9766</v>
      </c>
    </row>
    <row r="3897" spans="1:16" x14ac:dyDescent="0.35">
      <c r="A3897" t="s">
        <v>127</v>
      </c>
      <c r="B3897">
        <v>1704124001</v>
      </c>
      <c r="C3897" t="s">
        <v>18</v>
      </c>
      <c r="D3897" t="s">
        <v>21</v>
      </c>
      <c r="E3897" s="29">
        <v>46205</v>
      </c>
      <c r="F3897" t="s">
        <v>4</v>
      </c>
      <c r="G3897" s="28">
        <v>0.6118055555555556</v>
      </c>
      <c r="H3897" s="28">
        <v>0.6118055555555556</v>
      </c>
      <c r="I3897">
        <v>0</v>
      </c>
      <c r="J3897" t="s">
        <v>174</v>
      </c>
      <c r="K3897">
        <v>0</v>
      </c>
      <c r="L3897" t="s">
        <v>323</v>
      </c>
      <c r="M3897" t="s">
        <v>9767</v>
      </c>
      <c r="N3897" t="s">
        <v>9768</v>
      </c>
      <c r="O3897" t="s">
        <v>9769</v>
      </c>
      <c r="P3897" t="s">
        <v>9770</v>
      </c>
    </row>
    <row r="3898" spans="1:16" x14ac:dyDescent="0.35">
      <c r="A3898" t="s">
        <v>127</v>
      </c>
      <c r="B3898">
        <v>1704124001</v>
      </c>
      <c r="C3898" t="s">
        <v>18</v>
      </c>
      <c r="D3898" t="s">
        <v>21</v>
      </c>
      <c r="E3898" s="29">
        <v>46205</v>
      </c>
      <c r="F3898" t="s">
        <v>4</v>
      </c>
      <c r="G3898" s="28">
        <v>0.61875000000000002</v>
      </c>
      <c r="H3898" s="28">
        <v>0.62638888888888888</v>
      </c>
      <c r="I3898">
        <v>0</v>
      </c>
      <c r="J3898" t="s">
        <v>146</v>
      </c>
      <c r="K3898">
        <v>1</v>
      </c>
      <c r="L3898" t="s">
        <v>147</v>
      </c>
      <c r="M3898" t="s">
        <v>9771</v>
      </c>
      <c r="N3898" t="s">
        <v>9772</v>
      </c>
      <c r="O3898" t="s">
        <v>9773</v>
      </c>
      <c r="P3898" t="s">
        <v>9774</v>
      </c>
    </row>
    <row r="3899" spans="1:16" x14ac:dyDescent="0.35">
      <c r="A3899" t="s">
        <v>127</v>
      </c>
      <c r="B3899">
        <v>1704124001</v>
      </c>
      <c r="C3899" t="s">
        <v>18</v>
      </c>
      <c r="D3899" t="s">
        <v>21</v>
      </c>
      <c r="E3899" s="29">
        <v>46205</v>
      </c>
      <c r="F3899" t="s">
        <v>4</v>
      </c>
      <c r="G3899" s="28">
        <v>0.6333333333333333</v>
      </c>
      <c r="H3899" s="28">
        <v>0.6333333333333333</v>
      </c>
      <c r="I3899">
        <v>0</v>
      </c>
      <c r="J3899" t="s">
        <v>174</v>
      </c>
      <c r="K3899">
        <v>0</v>
      </c>
      <c r="L3899" t="s">
        <v>3454</v>
      </c>
      <c r="M3899" t="s">
        <v>9775</v>
      </c>
      <c r="N3899" t="s">
        <v>9776</v>
      </c>
      <c r="O3899" t="s">
        <v>9777</v>
      </c>
      <c r="P3899" t="s">
        <v>9778</v>
      </c>
    </row>
    <row r="3900" spans="1:16" x14ac:dyDescent="0.35">
      <c r="A3900" t="s">
        <v>127</v>
      </c>
      <c r="B3900">
        <v>1704124001</v>
      </c>
      <c r="C3900" t="s">
        <v>18</v>
      </c>
      <c r="D3900" t="s">
        <v>21</v>
      </c>
      <c r="E3900" s="29">
        <v>46205</v>
      </c>
      <c r="F3900" t="s">
        <v>4</v>
      </c>
      <c r="G3900" s="28">
        <v>0.64027777777777772</v>
      </c>
      <c r="H3900" s="28">
        <v>0.64652777777777781</v>
      </c>
      <c r="I3900">
        <v>0</v>
      </c>
      <c r="J3900" t="s">
        <v>146</v>
      </c>
      <c r="K3900">
        <v>0</v>
      </c>
      <c r="L3900" t="s">
        <v>147</v>
      </c>
      <c r="M3900" t="s">
        <v>630</v>
      </c>
      <c r="N3900" t="s">
        <v>631</v>
      </c>
      <c r="O3900" t="s">
        <v>632</v>
      </c>
      <c r="P3900" t="s">
        <v>3731</v>
      </c>
    </row>
    <row r="3901" spans="1:16" x14ac:dyDescent="0.35">
      <c r="A3901" t="s">
        <v>127</v>
      </c>
      <c r="B3901">
        <v>1704124001</v>
      </c>
      <c r="C3901" t="s">
        <v>18</v>
      </c>
      <c r="D3901" t="s">
        <v>21</v>
      </c>
      <c r="E3901" s="29">
        <v>46205</v>
      </c>
      <c r="F3901" t="s">
        <v>4</v>
      </c>
      <c r="G3901" s="28">
        <v>0.65347222222222223</v>
      </c>
      <c r="H3901" s="28">
        <v>0.65347222222222223</v>
      </c>
      <c r="I3901">
        <v>0</v>
      </c>
      <c r="J3901" t="s">
        <v>174</v>
      </c>
      <c r="K3901">
        <v>0</v>
      </c>
      <c r="L3901" t="s">
        <v>9779</v>
      </c>
      <c r="M3901" t="s">
        <v>9696</v>
      </c>
      <c r="N3901" t="s">
        <v>9697</v>
      </c>
      <c r="O3901" t="s">
        <v>9698</v>
      </c>
      <c r="P3901" t="s">
        <v>9699</v>
      </c>
    </row>
    <row r="3902" spans="1:16" x14ac:dyDescent="0.35">
      <c r="A3902" t="s">
        <v>127</v>
      </c>
      <c r="B3902">
        <v>1704124001</v>
      </c>
      <c r="C3902" t="s">
        <v>18</v>
      </c>
      <c r="D3902" t="s">
        <v>21</v>
      </c>
      <c r="E3902" s="29">
        <v>46205</v>
      </c>
      <c r="F3902" t="s">
        <v>4</v>
      </c>
      <c r="G3902" s="28">
        <v>0.66041666666666665</v>
      </c>
      <c r="H3902" s="28">
        <v>0.6743055555555556</v>
      </c>
      <c r="I3902">
        <v>0</v>
      </c>
      <c r="J3902" t="s">
        <v>146</v>
      </c>
      <c r="K3902">
        <v>1</v>
      </c>
      <c r="L3902" t="s">
        <v>147</v>
      </c>
      <c r="M3902" t="s">
        <v>630</v>
      </c>
      <c r="N3902" t="s">
        <v>631</v>
      </c>
      <c r="O3902" t="s">
        <v>632</v>
      </c>
      <c r="P3902" t="s">
        <v>3731</v>
      </c>
    </row>
    <row r="3903" spans="1:16" x14ac:dyDescent="0.35">
      <c r="A3903" t="s">
        <v>127</v>
      </c>
      <c r="B3903">
        <v>1704124001</v>
      </c>
      <c r="C3903" t="s">
        <v>18</v>
      </c>
      <c r="D3903" t="s">
        <v>21</v>
      </c>
      <c r="E3903" s="29">
        <v>46205</v>
      </c>
      <c r="F3903" t="s">
        <v>4</v>
      </c>
      <c r="G3903" s="28">
        <v>0.68125000000000002</v>
      </c>
      <c r="H3903" s="28">
        <v>0.68125000000000002</v>
      </c>
      <c r="I3903">
        <v>0</v>
      </c>
      <c r="J3903" t="s">
        <v>174</v>
      </c>
      <c r="K3903">
        <v>0</v>
      </c>
      <c r="L3903" t="s">
        <v>5682</v>
      </c>
      <c r="M3903" t="s">
        <v>9696</v>
      </c>
      <c r="N3903" t="s">
        <v>9697</v>
      </c>
      <c r="O3903" t="s">
        <v>9698</v>
      </c>
      <c r="P3903" t="s">
        <v>9699</v>
      </c>
    </row>
    <row r="3904" spans="1:16" x14ac:dyDescent="0.35">
      <c r="A3904" t="s">
        <v>127</v>
      </c>
      <c r="B3904">
        <v>1704124001</v>
      </c>
      <c r="C3904" t="s">
        <v>18</v>
      </c>
      <c r="D3904" t="s">
        <v>21</v>
      </c>
      <c r="E3904" s="29">
        <v>46205</v>
      </c>
      <c r="F3904" t="s">
        <v>4</v>
      </c>
      <c r="G3904" s="28">
        <v>0.68819444444444444</v>
      </c>
      <c r="H3904" s="28">
        <v>0.69513888888888886</v>
      </c>
      <c r="I3904">
        <v>0</v>
      </c>
      <c r="J3904" t="s">
        <v>146</v>
      </c>
      <c r="K3904">
        <v>0</v>
      </c>
      <c r="L3904" t="s">
        <v>147</v>
      </c>
      <c r="M3904" t="s">
        <v>9780</v>
      </c>
      <c r="N3904" t="s">
        <v>9781</v>
      </c>
      <c r="O3904" t="s">
        <v>9782</v>
      </c>
      <c r="P3904" t="s">
        <v>618</v>
      </c>
    </row>
    <row r="3905" spans="1:16" x14ac:dyDescent="0.35">
      <c r="A3905" t="s">
        <v>127</v>
      </c>
      <c r="B3905">
        <v>1704124001</v>
      </c>
      <c r="C3905" t="s">
        <v>18</v>
      </c>
      <c r="D3905" t="s">
        <v>21</v>
      </c>
      <c r="E3905" s="29">
        <v>46205</v>
      </c>
      <c r="F3905" t="s">
        <v>4</v>
      </c>
      <c r="G3905" s="28">
        <v>0.70208333333333328</v>
      </c>
      <c r="H3905" s="28">
        <v>0.70208333333333328</v>
      </c>
      <c r="I3905">
        <v>0</v>
      </c>
      <c r="J3905" t="s">
        <v>174</v>
      </c>
      <c r="K3905">
        <v>0</v>
      </c>
      <c r="L3905" t="s">
        <v>1125</v>
      </c>
      <c r="M3905" t="s">
        <v>9783</v>
      </c>
      <c r="N3905" t="s">
        <v>9784</v>
      </c>
      <c r="O3905" t="s">
        <v>9785</v>
      </c>
      <c r="P3905" t="s">
        <v>9786</v>
      </c>
    </row>
    <row r="3906" spans="1:16" x14ac:dyDescent="0.35">
      <c r="A3906" t="s">
        <v>127</v>
      </c>
      <c r="B3906">
        <v>1704124001</v>
      </c>
      <c r="C3906" t="s">
        <v>18</v>
      </c>
      <c r="D3906" t="s">
        <v>21</v>
      </c>
      <c r="E3906" s="29">
        <v>46205</v>
      </c>
      <c r="F3906" t="s">
        <v>4</v>
      </c>
      <c r="G3906" s="28">
        <v>0.70902777777777781</v>
      </c>
      <c r="H3906" s="28">
        <v>0.70902777777777781</v>
      </c>
      <c r="I3906">
        <v>0</v>
      </c>
      <c r="J3906" t="s">
        <v>174</v>
      </c>
      <c r="K3906">
        <v>0</v>
      </c>
      <c r="L3906" t="s">
        <v>379</v>
      </c>
      <c r="M3906" t="s">
        <v>9787</v>
      </c>
      <c r="N3906" t="s">
        <v>9788</v>
      </c>
      <c r="O3906" t="s">
        <v>9789</v>
      </c>
      <c r="P3906" t="s">
        <v>9790</v>
      </c>
    </row>
    <row r="3907" spans="1:16" x14ac:dyDescent="0.35">
      <c r="A3907" t="s">
        <v>127</v>
      </c>
      <c r="B3907">
        <v>1704124001</v>
      </c>
      <c r="C3907" t="s">
        <v>18</v>
      </c>
      <c r="D3907" t="s">
        <v>21</v>
      </c>
      <c r="E3907" s="29">
        <v>46205</v>
      </c>
      <c r="F3907" t="s">
        <v>4</v>
      </c>
      <c r="G3907" s="28">
        <v>0.71597222222222223</v>
      </c>
      <c r="H3907" s="28">
        <v>0.71597222222222223</v>
      </c>
      <c r="I3907">
        <v>0</v>
      </c>
      <c r="J3907" t="s">
        <v>174</v>
      </c>
      <c r="K3907">
        <v>0</v>
      </c>
      <c r="L3907" t="s">
        <v>9791</v>
      </c>
      <c r="M3907" t="s">
        <v>644</v>
      </c>
      <c r="N3907" t="s">
        <v>645</v>
      </c>
      <c r="O3907" t="s">
        <v>646</v>
      </c>
      <c r="P3907" t="s">
        <v>9705</v>
      </c>
    </row>
    <row r="3908" spans="1:16" x14ac:dyDescent="0.35">
      <c r="A3908" t="s">
        <v>127</v>
      </c>
      <c r="B3908">
        <v>1704124001</v>
      </c>
      <c r="C3908" t="s">
        <v>18</v>
      </c>
      <c r="D3908" t="s">
        <v>21</v>
      </c>
      <c r="E3908" s="29">
        <v>46205</v>
      </c>
      <c r="F3908" t="s">
        <v>4</v>
      </c>
      <c r="G3908" s="28">
        <v>0.72222222222222221</v>
      </c>
      <c r="H3908" s="28">
        <v>0.72222222222222221</v>
      </c>
      <c r="I3908">
        <v>0</v>
      </c>
      <c r="J3908" t="s">
        <v>174</v>
      </c>
      <c r="K3908">
        <v>0</v>
      </c>
      <c r="L3908" t="s">
        <v>9792</v>
      </c>
      <c r="M3908" t="s">
        <v>9793</v>
      </c>
      <c r="N3908" t="s">
        <v>9794</v>
      </c>
      <c r="O3908" t="s">
        <v>9795</v>
      </c>
      <c r="P3908" t="s">
        <v>9796</v>
      </c>
    </row>
    <row r="3909" spans="1:16" x14ac:dyDescent="0.35">
      <c r="A3909" t="s">
        <v>127</v>
      </c>
      <c r="B3909">
        <v>1704124001</v>
      </c>
      <c r="C3909" t="s">
        <v>18</v>
      </c>
      <c r="D3909" t="s">
        <v>21</v>
      </c>
      <c r="E3909" s="29">
        <v>46205</v>
      </c>
      <c r="F3909" t="s">
        <v>4</v>
      </c>
      <c r="G3909" s="28">
        <v>0.72986111111111107</v>
      </c>
      <c r="H3909" s="28">
        <v>0.72986111111111107</v>
      </c>
      <c r="I3909">
        <v>0</v>
      </c>
      <c r="J3909" t="s">
        <v>174</v>
      </c>
      <c r="K3909">
        <v>0</v>
      </c>
      <c r="L3909" t="s">
        <v>1400</v>
      </c>
      <c r="M3909" t="s">
        <v>9797</v>
      </c>
      <c r="N3909" t="s">
        <v>9798</v>
      </c>
      <c r="O3909" t="s">
        <v>9799</v>
      </c>
      <c r="P3909" t="s">
        <v>3910</v>
      </c>
    </row>
    <row r="3910" spans="1:16" x14ac:dyDescent="0.35">
      <c r="A3910" t="s">
        <v>127</v>
      </c>
      <c r="B3910">
        <v>1704124001</v>
      </c>
      <c r="C3910" t="s">
        <v>18</v>
      </c>
      <c r="D3910" t="s">
        <v>21</v>
      </c>
      <c r="E3910" s="29">
        <v>46205</v>
      </c>
      <c r="F3910" t="s">
        <v>4</v>
      </c>
      <c r="G3910" s="28">
        <v>0.7368055555555556</v>
      </c>
      <c r="H3910" s="28">
        <v>0.7368055555555556</v>
      </c>
      <c r="I3910">
        <v>0</v>
      </c>
      <c r="J3910" t="s">
        <v>174</v>
      </c>
      <c r="K3910">
        <v>0</v>
      </c>
      <c r="L3910" t="s">
        <v>9800</v>
      </c>
      <c r="M3910" t="s">
        <v>587</v>
      </c>
      <c r="N3910" t="s">
        <v>588</v>
      </c>
      <c r="O3910" t="s">
        <v>372</v>
      </c>
      <c r="P3910" t="s">
        <v>9683</v>
      </c>
    </row>
    <row r="3911" spans="1:16" x14ac:dyDescent="0.35">
      <c r="A3911" t="s">
        <v>127</v>
      </c>
      <c r="B3911">
        <v>1704124001</v>
      </c>
      <c r="C3911" t="s">
        <v>18</v>
      </c>
      <c r="D3911" t="s">
        <v>21</v>
      </c>
      <c r="E3911" s="29">
        <v>46205</v>
      </c>
      <c r="F3911" t="s">
        <v>4</v>
      </c>
      <c r="G3911" s="28">
        <v>0.74375000000000002</v>
      </c>
      <c r="H3911" s="28">
        <v>0.74375000000000002</v>
      </c>
      <c r="I3911">
        <v>0</v>
      </c>
      <c r="J3911" t="s">
        <v>174</v>
      </c>
      <c r="K3911">
        <v>0</v>
      </c>
      <c r="L3911" t="s">
        <v>4343</v>
      </c>
      <c r="M3911" t="s">
        <v>9801</v>
      </c>
      <c r="N3911" t="s">
        <v>9802</v>
      </c>
      <c r="O3911" t="s">
        <v>9803</v>
      </c>
      <c r="P3911" t="s">
        <v>9804</v>
      </c>
    </row>
    <row r="3912" spans="1:16" x14ac:dyDescent="0.35">
      <c r="A3912" t="s">
        <v>127</v>
      </c>
      <c r="B3912">
        <v>1704124001</v>
      </c>
      <c r="C3912" t="s">
        <v>18</v>
      </c>
      <c r="D3912" t="s">
        <v>21</v>
      </c>
      <c r="E3912" s="29">
        <v>46205</v>
      </c>
      <c r="F3912" t="s">
        <v>4</v>
      </c>
      <c r="G3912" s="28">
        <v>0.75069444444444444</v>
      </c>
      <c r="H3912" s="28">
        <v>0.75069444444444444</v>
      </c>
      <c r="I3912">
        <v>0</v>
      </c>
      <c r="J3912" t="s">
        <v>174</v>
      </c>
      <c r="K3912">
        <v>0</v>
      </c>
      <c r="L3912" t="s">
        <v>648</v>
      </c>
      <c r="M3912" t="s">
        <v>649</v>
      </c>
      <c r="N3912" t="s">
        <v>650</v>
      </c>
      <c r="O3912" t="s">
        <v>651</v>
      </c>
      <c r="P3912" t="s">
        <v>9710</v>
      </c>
    </row>
    <row r="3913" spans="1:16" x14ac:dyDescent="0.35">
      <c r="A3913" t="s">
        <v>127</v>
      </c>
      <c r="B3913">
        <v>1704124001</v>
      </c>
      <c r="C3913" t="s">
        <v>18</v>
      </c>
      <c r="D3913" t="s">
        <v>21</v>
      </c>
      <c r="E3913" s="29">
        <v>46205</v>
      </c>
      <c r="F3913" t="s">
        <v>4</v>
      </c>
      <c r="G3913" s="28">
        <v>0.7583333333333333</v>
      </c>
      <c r="H3913" s="28">
        <v>0.76527777777777772</v>
      </c>
      <c r="I3913">
        <v>0</v>
      </c>
      <c r="J3913" t="s">
        <v>146</v>
      </c>
      <c r="K3913">
        <v>0</v>
      </c>
      <c r="L3913" t="s">
        <v>147</v>
      </c>
      <c r="M3913" t="s">
        <v>9805</v>
      </c>
      <c r="N3913" t="s">
        <v>381</v>
      </c>
      <c r="O3913" t="s">
        <v>382</v>
      </c>
      <c r="P3913" t="s">
        <v>2452</v>
      </c>
    </row>
    <row r="3914" spans="1:16" x14ac:dyDescent="0.35">
      <c r="A3914" t="s">
        <v>127</v>
      </c>
      <c r="B3914">
        <v>1704124001</v>
      </c>
      <c r="C3914" t="s">
        <v>18</v>
      </c>
      <c r="D3914" t="s">
        <v>21</v>
      </c>
      <c r="E3914" s="29">
        <v>46205</v>
      </c>
      <c r="F3914" t="s">
        <v>4</v>
      </c>
      <c r="G3914" s="28">
        <v>0.77222222222222225</v>
      </c>
      <c r="H3914" s="28">
        <v>0.77222222222222225</v>
      </c>
      <c r="I3914">
        <v>0</v>
      </c>
      <c r="J3914" t="s">
        <v>174</v>
      </c>
      <c r="K3914">
        <v>0</v>
      </c>
      <c r="L3914" t="s">
        <v>252</v>
      </c>
      <c r="M3914" t="s">
        <v>9724</v>
      </c>
      <c r="N3914" t="s">
        <v>654</v>
      </c>
      <c r="O3914" t="s">
        <v>655</v>
      </c>
      <c r="P3914" t="s">
        <v>9725</v>
      </c>
    </row>
    <row r="3915" spans="1:16" x14ac:dyDescent="0.35">
      <c r="A3915" t="s">
        <v>127</v>
      </c>
      <c r="B3915">
        <v>1704124001</v>
      </c>
      <c r="C3915" t="s">
        <v>18</v>
      </c>
      <c r="D3915" t="s">
        <v>21</v>
      </c>
      <c r="E3915" s="29">
        <v>46205</v>
      </c>
      <c r="F3915" t="s">
        <v>4</v>
      </c>
      <c r="G3915" s="28">
        <v>0.77916666666666667</v>
      </c>
      <c r="H3915" s="28">
        <v>0.78611111111111109</v>
      </c>
      <c r="I3915">
        <v>0</v>
      </c>
      <c r="J3915" t="s">
        <v>146</v>
      </c>
      <c r="K3915">
        <v>0</v>
      </c>
      <c r="L3915" t="s">
        <v>147</v>
      </c>
      <c r="M3915" t="s">
        <v>370</v>
      </c>
      <c r="N3915" t="s">
        <v>371</v>
      </c>
      <c r="O3915" t="s">
        <v>372</v>
      </c>
      <c r="P3915" t="s">
        <v>2878</v>
      </c>
    </row>
    <row r="3916" spans="1:16" x14ac:dyDescent="0.35">
      <c r="A3916" t="s">
        <v>127</v>
      </c>
      <c r="B3916">
        <v>1704124001</v>
      </c>
      <c r="C3916" t="s">
        <v>18</v>
      </c>
      <c r="D3916" t="s">
        <v>21</v>
      </c>
      <c r="E3916" s="29">
        <v>46207</v>
      </c>
      <c r="F3916" t="s">
        <v>5</v>
      </c>
      <c r="G3916" s="28">
        <v>0.37638888888888888</v>
      </c>
      <c r="H3916" s="28">
        <v>0.37638888888888888</v>
      </c>
      <c r="I3916">
        <v>0</v>
      </c>
      <c r="J3916" t="s">
        <v>174</v>
      </c>
      <c r="K3916">
        <v>0</v>
      </c>
      <c r="L3916" t="s">
        <v>9806</v>
      </c>
      <c r="M3916" t="s">
        <v>9807</v>
      </c>
      <c r="N3916" t="s">
        <v>9808</v>
      </c>
      <c r="O3916" t="s">
        <v>9809</v>
      </c>
      <c r="P3916" t="s">
        <v>9810</v>
      </c>
    </row>
    <row r="3917" spans="1:16" x14ac:dyDescent="0.35">
      <c r="A3917" t="s">
        <v>127</v>
      </c>
      <c r="B3917">
        <v>1704124001</v>
      </c>
      <c r="C3917" t="s">
        <v>18</v>
      </c>
      <c r="D3917" t="s">
        <v>21</v>
      </c>
      <c r="E3917" s="29">
        <v>46207</v>
      </c>
      <c r="F3917" t="s">
        <v>5</v>
      </c>
      <c r="G3917" s="28">
        <v>0.41041666666666665</v>
      </c>
      <c r="H3917" s="28">
        <v>0.41041666666666665</v>
      </c>
      <c r="I3917">
        <v>0</v>
      </c>
      <c r="J3917" t="s">
        <v>174</v>
      </c>
      <c r="K3917">
        <v>0</v>
      </c>
      <c r="L3917" t="s">
        <v>2018</v>
      </c>
      <c r="M3917" t="s">
        <v>9811</v>
      </c>
      <c r="N3917" t="s">
        <v>9812</v>
      </c>
      <c r="O3917" t="s">
        <v>9813</v>
      </c>
      <c r="P3917" t="s">
        <v>9814</v>
      </c>
    </row>
    <row r="3918" spans="1:16" x14ac:dyDescent="0.35">
      <c r="A3918" t="s">
        <v>127</v>
      </c>
      <c r="B3918">
        <v>1704124001</v>
      </c>
      <c r="C3918" t="s">
        <v>18</v>
      </c>
      <c r="D3918" t="s">
        <v>21</v>
      </c>
      <c r="E3918" s="29">
        <v>46207</v>
      </c>
      <c r="F3918" t="s">
        <v>5</v>
      </c>
      <c r="G3918" s="28">
        <v>0.41736111111111113</v>
      </c>
      <c r="H3918" s="28">
        <v>0.41736111111111113</v>
      </c>
      <c r="I3918">
        <v>0</v>
      </c>
      <c r="J3918" t="s">
        <v>174</v>
      </c>
      <c r="K3918">
        <v>0</v>
      </c>
      <c r="L3918" t="s">
        <v>9815</v>
      </c>
      <c r="M3918" t="s">
        <v>9816</v>
      </c>
      <c r="N3918" t="s">
        <v>9817</v>
      </c>
      <c r="O3918" t="s">
        <v>9818</v>
      </c>
      <c r="P3918" t="s">
        <v>9819</v>
      </c>
    </row>
    <row r="3919" spans="1:16" x14ac:dyDescent="0.35">
      <c r="A3919" t="s">
        <v>127</v>
      </c>
      <c r="B3919">
        <v>1704124001</v>
      </c>
      <c r="C3919" t="s">
        <v>18</v>
      </c>
      <c r="D3919" t="s">
        <v>21</v>
      </c>
      <c r="E3919" s="29">
        <v>46207</v>
      </c>
      <c r="F3919" t="s">
        <v>5</v>
      </c>
      <c r="G3919" s="28">
        <v>0.42430555555555555</v>
      </c>
      <c r="H3919" s="28">
        <v>0.42430555555555555</v>
      </c>
      <c r="I3919">
        <v>0</v>
      </c>
      <c r="J3919" t="s">
        <v>174</v>
      </c>
      <c r="K3919">
        <v>0</v>
      </c>
      <c r="L3919" t="s">
        <v>2851</v>
      </c>
      <c r="M3919" t="s">
        <v>9820</v>
      </c>
      <c r="N3919" t="s">
        <v>9821</v>
      </c>
      <c r="O3919" t="s">
        <v>9822</v>
      </c>
      <c r="P3919" t="s">
        <v>9823</v>
      </c>
    </row>
    <row r="3920" spans="1:16" x14ac:dyDescent="0.35">
      <c r="A3920" t="s">
        <v>127</v>
      </c>
      <c r="B3920">
        <v>1704124001</v>
      </c>
      <c r="C3920" t="s">
        <v>18</v>
      </c>
      <c r="D3920" t="s">
        <v>21</v>
      </c>
      <c r="E3920" s="29">
        <v>46207</v>
      </c>
      <c r="F3920" t="s">
        <v>5</v>
      </c>
      <c r="G3920" s="28">
        <v>0.43125000000000002</v>
      </c>
      <c r="H3920" s="28">
        <v>0.43125000000000002</v>
      </c>
      <c r="I3920">
        <v>0</v>
      </c>
      <c r="J3920" t="s">
        <v>174</v>
      </c>
      <c r="K3920">
        <v>0</v>
      </c>
      <c r="L3920" t="s">
        <v>3536</v>
      </c>
      <c r="M3920" t="s">
        <v>9824</v>
      </c>
      <c r="N3920" t="s">
        <v>9825</v>
      </c>
      <c r="O3920" t="s">
        <v>9826</v>
      </c>
      <c r="P3920" t="s">
        <v>9827</v>
      </c>
    </row>
    <row r="3921" spans="1:16" x14ac:dyDescent="0.35">
      <c r="A3921" t="s">
        <v>127</v>
      </c>
      <c r="B3921">
        <v>1704124001</v>
      </c>
      <c r="C3921" t="s">
        <v>18</v>
      </c>
      <c r="D3921" t="s">
        <v>21</v>
      </c>
      <c r="E3921" s="29">
        <v>46207</v>
      </c>
      <c r="F3921" t="s">
        <v>5</v>
      </c>
      <c r="G3921" s="28">
        <v>0.43819444444444444</v>
      </c>
      <c r="H3921" s="28">
        <v>0.45208333333333334</v>
      </c>
      <c r="I3921">
        <v>0</v>
      </c>
      <c r="J3921" t="s">
        <v>146</v>
      </c>
      <c r="K3921">
        <v>1</v>
      </c>
      <c r="L3921" t="s">
        <v>147</v>
      </c>
      <c r="M3921" t="s">
        <v>9828</v>
      </c>
      <c r="N3921" t="s">
        <v>9829</v>
      </c>
      <c r="O3921" t="s">
        <v>9830</v>
      </c>
      <c r="P3921" t="s">
        <v>9831</v>
      </c>
    </row>
    <row r="3922" spans="1:16" x14ac:dyDescent="0.35">
      <c r="A3922" t="s">
        <v>127</v>
      </c>
      <c r="B3922">
        <v>1704124001</v>
      </c>
      <c r="C3922" t="s">
        <v>18</v>
      </c>
      <c r="D3922" t="s">
        <v>21</v>
      </c>
      <c r="E3922" s="29">
        <v>46207</v>
      </c>
      <c r="F3922" t="s">
        <v>5</v>
      </c>
      <c r="G3922" s="28">
        <v>0.45902777777777776</v>
      </c>
      <c r="H3922" s="28">
        <v>0.45902777777777776</v>
      </c>
      <c r="I3922">
        <v>0</v>
      </c>
      <c r="J3922" t="s">
        <v>174</v>
      </c>
      <c r="K3922">
        <v>0</v>
      </c>
      <c r="L3922" t="s">
        <v>9832</v>
      </c>
      <c r="M3922" t="s">
        <v>9833</v>
      </c>
      <c r="N3922" t="s">
        <v>9834</v>
      </c>
      <c r="O3922" t="s">
        <v>9835</v>
      </c>
      <c r="P3922" t="s">
        <v>9836</v>
      </c>
    </row>
    <row r="3923" spans="1:16" x14ac:dyDescent="0.35">
      <c r="A3923" t="s">
        <v>127</v>
      </c>
      <c r="B3923">
        <v>1704124001</v>
      </c>
      <c r="C3923" t="s">
        <v>18</v>
      </c>
      <c r="D3923" t="s">
        <v>21</v>
      </c>
      <c r="E3923" s="29">
        <v>46207</v>
      </c>
      <c r="F3923" t="s">
        <v>5</v>
      </c>
      <c r="G3923" s="28">
        <v>0.46597222222222223</v>
      </c>
      <c r="H3923" s="28">
        <v>0.49375000000000002</v>
      </c>
      <c r="I3923">
        <v>1</v>
      </c>
      <c r="J3923" t="s">
        <v>146</v>
      </c>
      <c r="K3923">
        <v>2</v>
      </c>
      <c r="L3923" t="s">
        <v>147</v>
      </c>
      <c r="M3923" t="s">
        <v>9837</v>
      </c>
      <c r="N3923" t="s">
        <v>9825</v>
      </c>
      <c r="O3923" t="s">
        <v>9826</v>
      </c>
      <c r="P3923" t="s">
        <v>9827</v>
      </c>
    </row>
    <row r="3924" spans="1:16" x14ac:dyDescent="0.35">
      <c r="A3924" t="s">
        <v>127</v>
      </c>
      <c r="B3924">
        <v>1704124001</v>
      </c>
      <c r="C3924" t="s">
        <v>18</v>
      </c>
      <c r="D3924" t="s">
        <v>21</v>
      </c>
      <c r="E3924" s="29">
        <v>46207</v>
      </c>
      <c r="F3924" t="s">
        <v>5</v>
      </c>
      <c r="G3924" s="28">
        <v>0.50069444444444444</v>
      </c>
      <c r="H3924" s="28">
        <v>0.50763888888888886</v>
      </c>
      <c r="I3924">
        <v>0</v>
      </c>
      <c r="J3924" t="s">
        <v>146</v>
      </c>
      <c r="K3924">
        <v>0</v>
      </c>
      <c r="L3924" t="s">
        <v>147</v>
      </c>
      <c r="M3924" t="s">
        <v>9838</v>
      </c>
      <c r="N3924" t="s">
        <v>9839</v>
      </c>
      <c r="O3924" t="s">
        <v>9840</v>
      </c>
      <c r="P3924" t="s">
        <v>9841</v>
      </c>
    </row>
    <row r="3925" spans="1:16" x14ac:dyDescent="0.35">
      <c r="A3925" t="s">
        <v>127</v>
      </c>
      <c r="B3925">
        <v>1704124001</v>
      </c>
      <c r="C3925" t="s">
        <v>18</v>
      </c>
      <c r="D3925" t="s">
        <v>21</v>
      </c>
      <c r="E3925" s="29">
        <v>46207</v>
      </c>
      <c r="F3925" t="s">
        <v>5</v>
      </c>
      <c r="G3925" s="28">
        <v>0.51458333333333328</v>
      </c>
      <c r="H3925" s="28">
        <v>0.52152777777777781</v>
      </c>
      <c r="I3925">
        <v>0</v>
      </c>
      <c r="J3925" t="s">
        <v>146</v>
      </c>
      <c r="K3925">
        <v>1</v>
      </c>
      <c r="L3925" t="s">
        <v>147</v>
      </c>
      <c r="M3925" t="s">
        <v>9842</v>
      </c>
      <c r="N3925" t="s">
        <v>9843</v>
      </c>
      <c r="O3925" t="s">
        <v>9844</v>
      </c>
      <c r="P3925" t="s">
        <v>9845</v>
      </c>
    </row>
    <row r="3926" spans="1:16" x14ac:dyDescent="0.35">
      <c r="A3926" t="s">
        <v>127</v>
      </c>
      <c r="B3926">
        <v>1704124001</v>
      </c>
      <c r="C3926" t="s">
        <v>18</v>
      </c>
      <c r="D3926" t="s">
        <v>21</v>
      </c>
      <c r="E3926" s="29">
        <v>46207</v>
      </c>
      <c r="F3926" t="s">
        <v>5</v>
      </c>
      <c r="G3926" s="28">
        <v>0.52847222222222223</v>
      </c>
      <c r="H3926" s="28">
        <v>0.52847222222222223</v>
      </c>
      <c r="I3926">
        <v>0</v>
      </c>
      <c r="J3926" t="s">
        <v>174</v>
      </c>
      <c r="K3926">
        <v>0</v>
      </c>
      <c r="L3926" t="s">
        <v>340</v>
      </c>
      <c r="M3926" t="s">
        <v>9846</v>
      </c>
      <c r="N3926" t="s">
        <v>9847</v>
      </c>
      <c r="O3926" t="s">
        <v>9848</v>
      </c>
      <c r="P3926" t="s">
        <v>9849</v>
      </c>
    </row>
    <row r="3927" spans="1:16" x14ac:dyDescent="0.35">
      <c r="A3927" t="s">
        <v>127</v>
      </c>
      <c r="B3927">
        <v>1704124001</v>
      </c>
      <c r="C3927" t="s">
        <v>18</v>
      </c>
      <c r="D3927" t="s">
        <v>21</v>
      </c>
      <c r="E3927" s="29">
        <v>46207</v>
      </c>
      <c r="F3927" t="s">
        <v>5</v>
      </c>
      <c r="G3927" s="28">
        <v>0.53541666666666665</v>
      </c>
      <c r="H3927" s="28">
        <v>0.55625000000000002</v>
      </c>
      <c r="I3927">
        <v>1</v>
      </c>
      <c r="J3927" t="s">
        <v>146</v>
      </c>
      <c r="K3927">
        <v>2</v>
      </c>
      <c r="L3927" t="s">
        <v>147</v>
      </c>
      <c r="M3927" t="s">
        <v>9850</v>
      </c>
      <c r="N3927" t="s">
        <v>9851</v>
      </c>
      <c r="O3927" t="s">
        <v>9852</v>
      </c>
      <c r="P3927" t="s">
        <v>9853</v>
      </c>
    </row>
    <row r="3928" spans="1:16" x14ac:dyDescent="0.35">
      <c r="A3928" t="s">
        <v>127</v>
      </c>
      <c r="B3928">
        <v>1704124001</v>
      </c>
      <c r="C3928" t="s">
        <v>18</v>
      </c>
      <c r="D3928" t="s">
        <v>21</v>
      </c>
      <c r="E3928" s="29">
        <v>46207</v>
      </c>
      <c r="F3928" t="s">
        <v>5</v>
      </c>
      <c r="G3928" s="28">
        <v>0.56319444444444444</v>
      </c>
      <c r="H3928" s="28">
        <v>0.57013888888888886</v>
      </c>
      <c r="I3928">
        <v>0</v>
      </c>
      <c r="J3928" t="s">
        <v>146</v>
      </c>
      <c r="K3928">
        <v>0</v>
      </c>
      <c r="L3928" t="s">
        <v>147</v>
      </c>
      <c r="M3928" t="s">
        <v>9854</v>
      </c>
      <c r="N3928" t="s">
        <v>9855</v>
      </c>
      <c r="O3928" t="s">
        <v>9856</v>
      </c>
      <c r="P3928" t="s">
        <v>9857</v>
      </c>
    </row>
    <row r="3929" spans="1:16" x14ac:dyDescent="0.35">
      <c r="A3929" t="s">
        <v>127</v>
      </c>
      <c r="B3929">
        <v>1704124001</v>
      </c>
      <c r="C3929" t="s">
        <v>18</v>
      </c>
      <c r="D3929" t="s">
        <v>21</v>
      </c>
      <c r="E3929" s="29">
        <v>46207</v>
      </c>
      <c r="F3929" t="s">
        <v>5</v>
      </c>
      <c r="G3929" s="28">
        <v>0.57708333333333328</v>
      </c>
      <c r="H3929" s="28">
        <v>0.57708333333333328</v>
      </c>
      <c r="I3929">
        <v>0</v>
      </c>
      <c r="J3929" t="s">
        <v>174</v>
      </c>
      <c r="K3929">
        <v>0</v>
      </c>
      <c r="L3929" t="s">
        <v>4640</v>
      </c>
      <c r="M3929" t="s">
        <v>9858</v>
      </c>
      <c r="N3929" t="s">
        <v>9859</v>
      </c>
      <c r="O3929" t="s">
        <v>9860</v>
      </c>
      <c r="P3929" t="s">
        <v>9861</v>
      </c>
    </row>
    <row r="3930" spans="1:16" x14ac:dyDescent="0.35">
      <c r="A3930" t="s">
        <v>127</v>
      </c>
      <c r="B3930">
        <v>1704124001</v>
      </c>
      <c r="C3930" t="s">
        <v>18</v>
      </c>
      <c r="D3930" t="s">
        <v>21</v>
      </c>
      <c r="E3930" s="29">
        <v>46207</v>
      </c>
      <c r="F3930" t="s">
        <v>5</v>
      </c>
      <c r="G3930" s="28">
        <v>0.58402777777777781</v>
      </c>
      <c r="H3930" s="28">
        <v>0.58402777777777781</v>
      </c>
      <c r="I3930">
        <v>0</v>
      </c>
      <c r="J3930" t="s">
        <v>174</v>
      </c>
      <c r="K3930">
        <v>0</v>
      </c>
      <c r="L3930" t="s">
        <v>569</v>
      </c>
      <c r="M3930" t="s">
        <v>9862</v>
      </c>
      <c r="N3930" t="s">
        <v>9863</v>
      </c>
      <c r="O3930" t="s">
        <v>9864</v>
      </c>
      <c r="P3930" t="s">
        <v>9865</v>
      </c>
    </row>
    <row r="3931" spans="1:16" x14ac:dyDescent="0.35">
      <c r="A3931" t="s">
        <v>127</v>
      </c>
      <c r="B3931">
        <v>1704124001</v>
      </c>
      <c r="C3931" t="s">
        <v>18</v>
      </c>
      <c r="D3931" t="s">
        <v>21</v>
      </c>
      <c r="E3931" s="29">
        <v>46207</v>
      </c>
      <c r="F3931" t="s">
        <v>5</v>
      </c>
      <c r="G3931" s="28">
        <v>0.59097222222222223</v>
      </c>
      <c r="H3931" s="28">
        <v>0.59097222222222223</v>
      </c>
      <c r="I3931">
        <v>0</v>
      </c>
      <c r="J3931" t="s">
        <v>174</v>
      </c>
      <c r="K3931">
        <v>0</v>
      </c>
      <c r="L3931" t="s">
        <v>2416</v>
      </c>
      <c r="M3931" t="s">
        <v>9866</v>
      </c>
      <c r="N3931" t="s">
        <v>9867</v>
      </c>
      <c r="O3931" t="s">
        <v>9868</v>
      </c>
      <c r="P3931" t="s">
        <v>9869</v>
      </c>
    </row>
    <row r="3932" spans="1:16" x14ac:dyDescent="0.35">
      <c r="A3932" t="s">
        <v>127</v>
      </c>
      <c r="B3932">
        <v>1704124001</v>
      </c>
      <c r="C3932" t="s">
        <v>18</v>
      </c>
      <c r="D3932" t="s">
        <v>21</v>
      </c>
      <c r="E3932" s="29">
        <v>46207</v>
      </c>
      <c r="F3932" t="s">
        <v>5</v>
      </c>
      <c r="G3932" s="28">
        <v>0.59791666666666665</v>
      </c>
      <c r="H3932" s="28">
        <v>0.60486111111111107</v>
      </c>
      <c r="I3932">
        <v>0</v>
      </c>
      <c r="J3932" t="s">
        <v>146</v>
      </c>
      <c r="K3932">
        <v>0</v>
      </c>
      <c r="L3932" t="s">
        <v>147</v>
      </c>
      <c r="M3932" t="s">
        <v>9870</v>
      </c>
      <c r="N3932" t="s">
        <v>9871</v>
      </c>
      <c r="O3932" t="s">
        <v>9872</v>
      </c>
      <c r="P3932" t="s">
        <v>9873</v>
      </c>
    </row>
    <row r="3933" spans="1:16" x14ac:dyDescent="0.35">
      <c r="A3933" t="s">
        <v>127</v>
      </c>
      <c r="B3933">
        <v>1704124001</v>
      </c>
      <c r="C3933" t="s">
        <v>18</v>
      </c>
      <c r="D3933" t="s">
        <v>21</v>
      </c>
      <c r="E3933" s="29">
        <v>46207</v>
      </c>
      <c r="F3933" t="s">
        <v>5</v>
      </c>
      <c r="G3933" s="28">
        <v>0.6118055555555556</v>
      </c>
      <c r="H3933" s="28">
        <v>0.6118055555555556</v>
      </c>
      <c r="I3933">
        <v>0</v>
      </c>
      <c r="J3933" t="s">
        <v>174</v>
      </c>
      <c r="K3933">
        <v>0</v>
      </c>
      <c r="L3933" t="s">
        <v>2884</v>
      </c>
      <c r="M3933" t="s">
        <v>9874</v>
      </c>
      <c r="N3933" t="s">
        <v>9875</v>
      </c>
      <c r="O3933" t="s">
        <v>9876</v>
      </c>
      <c r="P3933" t="s">
        <v>9877</v>
      </c>
    </row>
    <row r="3934" spans="1:16" x14ac:dyDescent="0.35">
      <c r="A3934" t="s">
        <v>127</v>
      </c>
      <c r="B3934">
        <v>1704124001</v>
      </c>
      <c r="C3934" t="s">
        <v>18</v>
      </c>
      <c r="D3934" t="s">
        <v>21</v>
      </c>
      <c r="E3934" s="29">
        <v>46207</v>
      </c>
      <c r="F3934" t="s">
        <v>5</v>
      </c>
      <c r="G3934" s="28">
        <v>0.61944444444444446</v>
      </c>
      <c r="H3934" s="28">
        <v>0.6333333333333333</v>
      </c>
      <c r="I3934">
        <v>0</v>
      </c>
      <c r="J3934" t="s">
        <v>146</v>
      </c>
      <c r="K3934">
        <v>1</v>
      </c>
      <c r="L3934" t="s">
        <v>147</v>
      </c>
      <c r="M3934" t="s">
        <v>9878</v>
      </c>
      <c r="N3934" t="s">
        <v>9879</v>
      </c>
      <c r="O3934" t="s">
        <v>9880</v>
      </c>
      <c r="P3934" t="s">
        <v>9881</v>
      </c>
    </row>
    <row r="3935" spans="1:16" x14ac:dyDescent="0.35">
      <c r="A3935" t="s">
        <v>127</v>
      </c>
      <c r="B3935">
        <v>1704124001</v>
      </c>
      <c r="C3935" t="s">
        <v>18</v>
      </c>
      <c r="D3935" t="s">
        <v>21</v>
      </c>
      <c r="E3935" s="29">
        <v>46207</v>
      </c>
      <c r="F3935" t="s">
        <v>5</v>
      </c>
      <c r="G3935" s="28">
        <v>0.64027777777777772</v>
      </c>
      <c r="H3935" s="28">
        <v>0.64722222222222225</v>
      </c>
      <c r="I3935">
        <v>0</v>
      </c>
      <c r="J3935" t="s">
        <v>146</v>
      </c>
      <c r="K3935">
        <v>1</v>
      </c>
      <c r="L3935" t="s">
        <v>147</v>
      </c>
      <c r="M3935" t="s">
        <v>9870</v>
      </c>
      <c r="N3935" t="s">
        <v>9871</v>
      </c>
      <c r="O3935" t="s">
        <v>9872</v>
      </c>
      <c r="P3935" t="s">
        <v>9873</v>
      </c>
    </row>
    <row r="3936" spans="1:16" x14ac:dyDescent="0.35">
      <c r="A3936" t="s">
        <v>127</v>
      </c>
      <c r="B3936">
        <v>1704124001</v>
      </c>
      <c r="C3936" t="s">
        <v>18</v>
      </c>
      <c r="D3936" t="s">
        <v>21</v>
      </c>
      <c r="E3936" s="29">
        <v>46207</v>
      </c>
      <c r="F3936" t="s">
        <v>5</v>
      </c>
      <c r="G3936" s="28">
        <v>0.65416666666666667</v>
      </c>
      <c r="H3936" s="28">
        <v>0.65416666666666667</v>
      </c>
      <c r="I3936">
        <v>0</v>
      </c>
      <c r="J3936" t="s">
        <v>174</v>
      </c>
      <c r="K3936">
        <v>0</v>
      </c>
      <c r="L3936" t="s">
        <v>2242</v>
      </c>
      <c r="M3936" t="s">
        <v>9882</v>
      </c>
      <c r="N3936" t="s">
        <v>9883</v>
      </c>
      <c r="O3936" t="s">
        <v>9884</v>
      </c>
      <c r="P3936" t="s">
        <v>9885</v>
      </c>
    </row>
    <row r="3937" spans="1:16" x14ac:dyDescent="0.35">
      <c r="A3937" t="s">
        <v>127</v>
      </c>
      <c r="B3937">
        <v>1704124001</v>
      </c>
      <c r="C3937" t="s">
        <v>18</v>
      </c>
      <c r="D3937" t="s">
        <v>21</v>
      </c>
      <c r="E3937" s="29">
        <v>46207</v>
      </c>
      <c r="F3937" t="s">
        <v>5</v>
      </c>
      <c r="G3937" s="28">
        <v>0.66111111111111109</v>
      </c>
      <c r="H3937" s="28">
        <v>0.66805555555555551</v>
      </c>
      <c r="I3937">
        <v>0</v>
      </c>
      <c r="J3937" t="s">
        <v>146</v>
      </c>
      <c r="K3937">
        <v>0</v>
      </c>
      <c r="L3937" t="s">
        <v>147</v>
      </c>
      <c r="M3937" t="s">
        <v>9886</v>
      </c>
      <c r="N3937" t="s">
        <v>9887</v>
      </c>
      <c r="O3937" t="s">
        <v>9888</v>
      </c>
      <c r="P3937" t="s">
        <v>9889</v>
      </c>
    </row>
    <row r="3938" spans="1:16" x14ac:dyDescent="0.35">
      <c r="A3938" t="s">
        <v>127</v>
      </c>
      <c r="B3938">
        <v>1704124001</v>
      </c>
      <c r="C3938" t="s">
        <v>18</v>
      </c>
      <c r="D3938" t="s">
        <v>21</v>
      </c>
      <c r="E3938" s="29">
        <v>46207</v>
      </c>
      <c r="F3938" t="s">
        <v>5</v>
      </c>
      <c r="G3938" s="28">
        <v>0.67500000000000004</v>
      </c>
      <c r="H3938" s="28">
        <v>0.70208333333333328</v>
      </c>
      <c r="I3938">
        <v>1</v>
      </c>
      <c r="J3938" t="s">
        <v>146</v>
      </c>
      <c r="K3938">
        <v>2</v>
      </c>
      <c r="L3938" t="s">
        <v>147</v>
      </c>
      <c r="M3938" t="s">
        <v>9878</v>
      </c>
      <c r="N3938" t="s">
        <v>9879</v>
      </c>
      <c r="O3938" t="s">
        <v>9880</v>
      </c>
      <c r="P3938" t="s">
        <v>9881</v>
      </c>
    </row>
    <row r="3939" spans="1:16" x14ac:dyDescent="0.35">
      <c r="A3939" t="s">
        <v>127</v>
      </c>
      <c r="B3939">
        <v>1704124001</v>
      </c>
      <c r="C3939" t="s">
        <v>18</v>
      </c>
      <c r="D3939" t="s">
        <v>21</v>
      </c>
      <c r="E3939" s="29">
        <v>46207</v>
      </c>
      <c r="F3939" t="s">
        <v>5</v>
      </c>
      <c r="G3939" s="28">
        <v>0.70972222222222225</v>
      </c>
      <c r="H3939" s="28">
        <v>0.72291666666666665</v>
      </c>
      <c r="I3939">
        <v>0</v>
      </c>
      <c r="J3939" t="s">
        <v>146</v>
      </c>
      <c r="K3939">
        <v>1</v>
      </c>
      <c r="L3939" t="s">
        <v>147</v>
      </c>
      <c r="M3939" t="s">
        <v>9866</v>
      </c>
      <c r="N3939" t="s">
        <v>9867</v>
      </c>
      <c r="O3939" t="s">
        <v>9868</v>
      </c>
      <c r="P3939" t="s">
        <v>9869</v>
      </c>
    </row>
    <row r="3940" spans="1:16" x14ac:dyDescent="0.35">
      <c r="A3940" t="s">
        <v>127</v>
      </c>
      <c r="B3940">
        <v>1704124001</v>
      </c>
      <c r="C3940" t="s">
        <v>18</v>
      </c>
      <c r="D3940" t="s">
        <v>21</v>
      </c>
      <c r="E3940" s="29">
        <v>46207</v>
      </c>
      <c r="F3940" t="s">
        <v>5</v>
      </c>
      <c r="G3940" s="28">
        <v>0.72986111111111107</v>
      </c>
      <c r="H3940" s="28">
        <v>0.72986111111111107</v>
      </c>
      <c r="I3940">
        <v>0</v>
      </c>
      <c r="J3940" t="s">
        <v>174</v>
      </c>
      <c r="K3940">
        <v>0</v>
      </c>
      <c r="L3940" t="s">
        <v>9890</v>
      </c>
      <c r="M3940" t="s">
        <v>9870</v>
      </c>
      <c r="N3940" t="s">
        <v>9871</v>
      </c>
      <c r="O3940" t="s">
        <v>9872</v>
      </c>
      <c r="P3940" t="s">
        <v>9873</v>
      </c>
    </row>
    <row r="3941" spans="1:16" x14ac:dyDescent="0.35">
      <c r="A3941" t="s">
        <v>127</v>
      </c>
      <c r="B3941">
        <v>1704124001</v>
      </c>
      <c r="C3941" t="s">
        <v>18</v>
      </c>
      <c r="D3941" t="s">
        <v>21</v>
      </c>
      <c r="E3941" s="29">
        <v>46207</v>
      </c>
      <c r="F3941" t="s">
        <v>5</v>
      </c>
      <c r="G3941" s="28">
        <v>0.7368055555555556</v>
      </c>
      <c r="H3941" s="28">
        <v>0.7368055555555556</v>
      </c>
      <c r="I3941">
        <v>0</v>
      </c>
      <c r="J3941" t="s">
        <v>174</v>
      </c>
      <c r="K3941">
        <v>0</v>
      </c>
      <c r="L3941" t="s">
        <v>257</v>
      </c>
      <c r="M3941" t="s">
        <v>9891</v>
      </c>
      <c r="N3941" t="s">
        <v>9892</v>
      </c>
      <c r="O3941" t="s">
        <v>9893</v>
      </c>
      <c r="P3941" t="s">
        <v>9894</v>
      </c>
    </row>
    <row r="3942" spans="1:16" x14ac:dyDescent="0.35">
      <c r="A3942" t="s">
        <v>127</v>
      </c>
      <c r="B3942">
        <v>1704124001</v>
      </c>
      <c r="C3942" t="s">
        <v>18</v>
      </c>
      <c r="D3942" t="s">
        <v>21</v>
      </c>
      <c r="E3942" s="29">
        <v>46207</v>
      </c>
      <c r="F3942" t="s">
        <v>5</v>
      </c>
      <c r="G3942" s="28">
        <v>0.74375000000000002</v>
      </c>
      <c r="H3942" s="28">
        <v>0.74375000000000002</v>
      </c>
      <c r="I3942">
        <v>0</v>
      </c>
      <c r="J3942" t="s">
        <v>174</v>
      </c>
      <c r="K3942">
        <v>0</v>
      </c>
      <c r="L3942" t="s">
        <v>4230</v>
      </c>
      <c r="M3942" t="s">
        <v>9895</v>
      </c>
      <c r="N3942" t="s">
        <v>9896</v>
      </c>
      <c r="O3942" t="s">
        <v>9897</v>
      </c>
      <c r="P3942" t="s">
        <v>9898</v>
      </c>
    </row>
    <row r="3943" spans="1:16" x14ac:dyDescent="0.35">
      <c r="A3943" t="s">
        <v>127</v>
      </c>
      <c r="B3943">
        <v>1704124001</v>
      </c>
      <c r="C3943" t="s">
        <v>18</v>
      </c>
      <c r="D3943" t="s">
        <v>21</v>
      </c>
      <c r="E3943" s="29">
        <v>46207</v>
      </c>
      <c r="F3943" t="s">
        <v>5</v>
      </c>
      <c r="G3943" s="28">
        <v>0.75069444444444444</v>
      </c>
      <c r="H3943" s="28">
        <v>0.75069444444444444</v>
      </c>
      <c r="I3943">
        <v>0</v>
      </c>
      <c r="J3943" t="s">
        <v>174</v>
      </c>
      <c r="K3943">
        <v>0</v>
      </c>
      <c r="L3943" t="s">
        <v>9899</v>
      </c>
      <c r="M3943" t="s">
        <v>9900</v>
      </c>
      <c r="N3943" t="s">
        <v>9901</v>
      </c>
      <c r="O3943" t="s">
        <v>9902</v>
      </c>
      <c r="P3943" t="s">
        <v>9903</v>
      </c>
    </row>
    <row r="3944" spans="1:16" x14ac:dyDescent="0.35">
      <c r="A3944" t="s">
        <v>127</v>
      </c>
      <c r="B3944">
        <v>1704124001</v>
      </c>
      <c r="C3944" t="s">
        <v>18</v>
      </c>
      <c r="D3944" t="s">
        <v>21</v>
      </c>
      <c r="E3944" s="29">
        <v>46207</v>
      </c>
      <c r="F3944" t="s">
        <v>5</v>
      </c>
      <c r="G3944" s="28">
        <v>0.75763888888888886</v>
      </c>
      <c r="H3944" s="28">
        <v>0.75763888888888886</v>
      </c>
      <c r="I3944">
        <v>0</v>
      </c>
      <c r="J3944" t="s">
        <v>174</v>
      </c>
      <c r="K3944">
        <v>0</v>
      </c>
      <c r="L3944" t="s">
        <v>2109</v>
      </c>
      <c r="M3944" t="s">
        <v>9904</v>
      </c>
      <c r="N3944" t="s">
        <v>9905</v>
      </c>
      <c r="O3944" t="s">
        <v>9906</v>
      </c>
      <c r="P3944" t="s">
        <v>9907</v>
      </c>
    </row>
    <row r="3945" spans="1:16" x14ac:dyDescent="0.35">
      <c r="A3945" t="s">
        <v>127</v>
      </c>
      <c r="B3945">
        <v>1704124001</v>
      </c>
      <c r="C3945" t="s">
        <v>18</v>
      </c>
      <c r="D3945" t="s">
        <v>21</v>
      </c>
      <c r="E3945" s="29">
        <v>46207</v>
      </c>
      <c r="F3945" t="s">
        <v>5</v>
      </c>
      <c r="G3945" s="28">
        <v>0.76458333333333328</v>
      </c>
      <c r="H3945" s="28">
        <v>0.76458333333333328</v>
      </c>
      <c r="I3945">
        <v>0</v>
      </c>
      <c r="J3945" t="s">
        <v>174</v>
      </c>
      <c r="K3945">
        <v>0</v>
      </c>
      <c r="L3945" t="s">
        <v>4461</v>
      </c>
      <c r="M3945" t="s">
        <v>9908</v>
      </c>
      <c r="N3945" t="s">
        <v>9909</v>
      </c>
      <c r="O3945" t="s">
        <v>9910</v>
      </c>
      <c r="P3945" t="s">
        <v>5618</v>
      </c>
    </row>
    <row r="3946" spans="1:16" x14ac:dyDescent="0.35">
      <c r="A3946" t="s">
        <v>127</v>
      </c>
      <c r="B3946">
        <v>1704124001</v>
      </c>
      <c r="C3946" t="s">
        <v>18</v>
      </c>
      <c r="D3946" t="s">
        <v>21</v>
      </c>
      <c r="E3946" s="29">
        <v>46207</v>
      </c>
      <c r="F3946" t="s">
        <v>5</v>
      </c>
      <c r="G3946" s="28">
        <v>0.77152777777777781</v>
      </c>
      <c r="H3946" s="28">
        <v>0.77152777777777781</v>
      </c>
      <c r="I3946">
        <v>0</v>
      </c>
      <c r="J3946" t="s">
        <v>174</v>
      </c>
      <c r="K3946">
        <v>0</v>
      </c>
      <c r="L3946" t="s">
        <v>4660</v>
      </c>
      <c r="M3946" t="s">
        <v>9911</v>
      </c>
      <c r="N3946" t="s">
        <v>9912</v>
      </c>
      <c r="O3946" t="s">
        <v>9913</v>
      </c>
      <c r="P3946" t="s">
        <v>9914</v>
      </c>
    </row>
    <row r="3947" spans="1:16" x14ac:dyDescent="0.35">
      <c r="A3947" t="s">
        <v>127</v>
      </c>
      <c r="B3947">
        <v>1704124001</v>
      </c>
      <c r="C3947" t="s">
        <v>18</v>
      </c>
      <c r="D3947" t="s">
        <v>21</v>
      </c>
      <c r="E3947" s="29">
        <v>46207</v>
      </c>
      <c r="F3947" t="s">
        <v>5</v>
      </c>
      <c r="G3947" s="28">
        <v>0.77847222222222223</v>
      </c>
      <c r="H3947" s="28">
        <v>0.77847222222222223</v>
      </c>
      <c r="I3947">
        <v>0</v>
      </c>
      <c r="J3947" t="s">
        <v>174</v>
      </c>
      <c r="K3947">
        <v>0</v>
      </c>
      <c r="L3947" t="s">
        <v>8973</v>
      </c>
      <c r="M3947" t="s">
        <v>9915</v>
      </c>
      <c r="N3947" t="s">
        <v>9916</v>
      </c>
      <c r="O3947" t="s">
        <v>9917</v>
      </c>
      <c r="P3947" t="s">
        <v>9918</v>
      </c>
    </row>
    <row r="3948" spans="1:16" x14ac:dyDescent="0.35">
      <c r="A3948" t="s">
        <v>127</v>
      </c>
      <c r="B3948">
        <v>1704124001</v>
      </c>
      <c r="C3948" t="s">
        <v>18</v>
      </c>
      <c r="D3948" t="s">
        <v>21</v>
      </c>
      <c r="E3948" s="29">
        <v>46207</v>
      </c>
      <c r="F3948" t="s">
        <v>5</v>
      </c>
      <c r="G3948" s="28">
        <v>0.78541666666666665</v>
      </c>
      <c r="H3948" s="28">
        <v>0.78541666666666665</v>
      </c>
      <c r="I3948">
        <v>0</v>
      </c>
      <c r="J3948" t="s">
        <v>174</v>
      </c>
      <c r="K3948">
        <v>0</v>
      </c>
      <c r="L3948" t="s">
        <v>9919</v>
      </c>
      <c r="M3948" t="s">
        <v>9920</v>
      </c>
      <c r="N3948" t="s">
        <v>9921</v>
      </c>
      <c r="O3948" t="s">
        <v>9922</v>
      </c>
      <c r="P3948" t="s">
        <v>9923</v>
      </c>
    </row>
    <row r="3949" spans="1:16" x14ac:dyDescent="0.35">
      <c r="A3949" t="s">
        <v>127</v>
      </c>
      <c r="B3949">
        <v>1704124001</v>
      </c>
      <c r="C3949" t="s">
        <v>18</v>
      </c>
      <c r="D3949" t="s">
        <v>21</v>
      </c>
      <c r="E3949" s="29">
        <v>46208</v>
      </c>
      <c r="F3949" t="s">
        <v>6</v>
      </c>
      <c r="G3949" s="28">
        <v>0.37569444444444444</v>
      </c>
      <c r="H3949" s="28">
        <v>0.41041666666666665</v>
      </c>
      <c r="I3949">
        <v>1</v>
      </c>
      <c r="J3949" t="s">
        <v>146</v>
      </c>
      <c r="K3949">
        <v>2</v>
      </c>
      <c r="L3949" t="s">
        <v>147</v>
      </c>
      <c r="M3949" t="s">
        <v>9801</v>
      </c>
      <c r="N3949" t="s">
        <v>9802</v>
      </c>
      <c r="O3949" t="s">
        <v>9803</v>
      </c>
      <c r="P3949" t="s">
        <v>9804</v>
      </c>
    </row>
    <row r="3950" spans="1:16" x14ac:dyDescent="0.35">
      <c r="A3950" t="s">
        <v>127</v>
      </c>
      <c r="B3950">
        <v>1704124001</v>
      </c>
      <c r="C3950" t="s">
        <v>18</v>
      </c>
      <c r="D3950" t="s">
        <v>21</v>
      </c>
      <c r="E3950" s="29">
        <v>46208</v>
      </c>
      <c r="F3950" t="s">
        <v>6</v>
      </c>
      <c r="G3950" s="28">
        <v>0.41736111111111113</v>
      </c>
      <c r="H3950" s="28">
        <v>0.41736111111111113</v>
      </c>
      <c r="I3950">
        <v>0</v>
      </c>
      <c r="J3950" t="s">
        <v>174</v>
      </c>
      <c r="K3950">
        <v>0</v>
      </c>
      <c r="L3950" t="s">
        <v>4343</v>
      </c>
      <c r="M3950" t="s">
        <v>649</v>
      </c>
      <c r="N3950" t="s">
        <v>650</v>
      </c>
      <c r="O3950" t="s">
        <v>651</v>
      </c>
      <c r="P3950" t="s">
        <v>9710</v>
      </c>
    </row>
    <row r="3951" spans="1:16" x14ac:dyDescent="0.35">
      <c r="A3951" t="s">
        <v>127</v>
      </c>
      <c r="B3951">
        <v>1704124001</v>
      </c>
      <c r="C3951" t="s">
        <v>18</v>
      </c>
      <c r="D3951" t="s">
        <v>21</v>
      </c>
      <c r="E3951" s="29">
        <v>46208</v>
      </c>
      <c r="F3951" t="s">
        <v>6</v>
      </c>
      <c r="G3951" s="28">
        <v>0.42430555555555555</v>
      </c>
      <c r="H3951" s="28">
        <v>0.42430555555555555</v>
      </c>
      <c r="I3951">
        <v>0</v>
      </c>
      <c r="J3951" t="s">
        <v>174</v>
      </c>
      <c r="K3951">
        <v>0</v>
      </c>
      <c r="L3951" t="s">
        <v>5300</v>
      </c>
      <c r="M3951" t="s">
        <v>9801</v>
      </c>
      <c r="N3951" t="s">
        <v>9802</v>
      </c>
      <c r="O3951" t="s">
        <v>9803</v>
      </c>
      <c r="P3951" t="s">
        <v>9804</v>
      </c>
    </row>
    <row r="3952" spans="1:16" x14ac:dyDescent="0.35">
      <c r="A3952" t="s">
        <v>127</v>
      </c>
      <c r="B3952">
        <v>1704124001</v>
      </c>
      <c r="C3952" t="s">
        <v>18</v>
      </c>
      <c r="D3952" t="s">
        <v>21</v>
      </c>
      <c r="E3952" s="29">
        <v>46208</v>
      </c>
      <c r="F3952" t="s">
        <v>6</v>
      </c>
      <c r="G3952" s="28">
        <v>0.43125000000000002</v>
      </c>
      <c r="H3952" s="28">
        <v>0.43125000000000002</v>
      </c>
      <c r="I3952">
        <v>0</v>
      </c>
      <c r="J3952" t="s">
        <v>174</v>
      </c>
      <c r="K3952">
        <v>0</v>
      </c>
      <c r="L3952" t="s">
        <v>1851</v>
      </c>
      <c r="M3952" t="s">
        <v>9688</v>
      </c>
      <c r="N3952" t="s">
        <v>9689</v>
      </c>
      <c r="O3952" t="s">
        <v>9690</v>
      </c>
      <c r="P3952" t="s">
        <v>9691</v>
      </c>
    </row>
    <row r="3953" spans="1:16" x14ac:dyDescent="0.35">
      <c r="A3953" t="s">
        <v>127</v>
      </c>
      <c r="B3953">
        <v>1704124001</v>
      </c>
      <c r="C3953" t="s">
        <v>18</v>
      </c>
      <c r="D3953" t="s">
        <v>21</v>
      </c>
      <c r="E3953" s="29">
        <v>46208</v>
      </c>
      <c r="F3953" t="s">
        <v>6</v>
      </c>
      <c r="G3953" s="28">
        <v>0.43819444444444444</v>
      </c>
      <c r="H3953" s="28">
        <v>0.45208333333333334</v>
      </c>
      <c r="I3953">
        <v>0</v>
      </c>
      <c r="J3953" t="s">
        <v>146</v>
      </c>
      <c r="K3953">
        <v>1</v>
      </c>
      <c r="L3953" t="s">
        <v>147</v>
      </c>
      <c r="M3953" t="s">
        <v>9783</v>
      </c>
      <c r="N3953" t="s">
        <v>9784</v>
      </c>
      <c r="O3953" t="s">
        <v>9785</v>
      </c>
      <c r="P3953" t="s">
        <v>9786</v>
      </c>
    </row>
    <row r="3954" spans="1:16" x14ac:dyDescent="0.35">
      <c r="A3954" t="s">
        <v>127</v>
      </c>
      <c r="B3954">
        <v>1704124001</v>
      </c>
      <c r="C3954" t="s">
        <v>18</v>
      </c>
      <c r="D3954" t="s">
        <v>21</v>
      </c>
      <c r="E3954" s="29">
        <v>46208</v>
      </c>
      <c r="F3954" t="s">
        <v>6</v>
      </c>
      <c r="G3954" s="28">
        <v>0.45902777777777776</v>
      </c>
      <c r="H3954" s="28">
        <v>0.45902777777777776</v>
      </c>
      <c r="I3954">
        <v>0</v>
      </c>
      <c r="J3954" t="s">
        <v>174</v>
      </c>
      <c r="K3954">
        <v>0</v>
      </c>
      <c r="L3954" t="s">
        <v>2785</v>
      </c>
      <c r="M3954" t="s">
        <v>630</v>
      </c>
      <c r="N3954" t="s">
        <v>631</v>
      </c>
      <c r="O3954" t="s">
        <v>632</v>
      </c>
      <c r="P3954" t="s">
        <v>3731</v>
      </c>
    </row>
    <row r="3955" spans="1:16" x14ac:dyDescent="0.35">
      <c r="A3955" t="s">
        <v>127</v>
      </c>
      <c r="B3955">
        <v>1704124001</v>
      </c>
      <c r="C3955" t="s">
        <v>18</v>
      </c>
      <c r="D3955" t="s">
        <v>21</v>
      </c>
      <c r="E3955" s="29">
        <v>46208</v>
      </c>
      <c r="F3955" t="s">
        <v>6</v>
      </c>
      <c r="G3955" s="28">
        <v>0.46597222222222223</v>
      </c>
      <c r="H3955" s="28">
        <v>0.46597222222222223</v>
      </c>
      <c r="I3955">
        <v>0</v>
      </c>
      <c r="J3955" t="s">
        <v>174</v>
      </c>
      <c r="K3955">
        <v>0</v>
      </c>
      <c r="L3955" t="s">
        <v>9924</v>
      </c>
      <c r="M3955" t="s">
        <v>9692</v>
      </c>
      <c r="N3955" t="s">
        <v>9693</v>
      </c>
      <c r="O3955" t="s">
        <v>9694</v>
      </c>
      <c r="P3955" t="s">
        <v>9695</v>
      </c>
    </row>
    <row r="3956" spans="1:16" x14ac:dyDescent="0.35">
      <c r="A3956" t="s">
        <v>127</v>
      </c>
      <c r="B3956">
        <v>1704124001</v>
      </c>
      <c r="C3956" t="s">
        <v>18</v>
      </c>
      <c r="D3956" t="s">
        <v>21</v>
      </c>
      <c r="E3956" s="29">
        <v>46208</v>
      </c>
      <c r="F3956" t="s">
        <v>6</v>
      </c>
      <c r="G3956" s="28">
        <v>0.47291666666666665</v>
      </c>
      <c r="H3956" s="28">
        <v>0.47291666666666665</v>
      </c>
      <c r="I3956">
        <v>0</v>
      </c>
      <c r="J3956" t="s">
        <v>174</v>
      </c>
      <c r="K3956">
        <v>0</v>
      </c>
      <c r="L3956" t="s">
        <v>8796</v>
      </c>
      <c r="M3956" t="s">
        <v>615</v>
      </c>
      <c r="N3956" t="s">
        <v>616</v>
      </c>
      <c r="O3956" t="s">
        <v>617</v>
      </c>
      <c r="P3956" t="s">
        <v>9925</v>
      </c>
    </row>
    <row r="3957" spans="1:16" x14ac:dyDescent="0.35">
      <c r="A3957" t="s">
        <v>127</v>
      </c>
      <c r="B3957">
        <v>1704124001</v>
      </c>
      <c r="C3957" t="s">
        <v>18</v>
      </c>
      <c r="D3957" t="s">
        <v>21</v>
      </c>
      <c r="E3957" s="29">
        <v>46208</v>
      </c>
      <c r="F3957" t="s">
        <v>6</v>
      </c>
      <c r="G3957" s="28">
        <v>0.47986111111111113</v>
      </c>
      <c r="H3957" s="28">
        <v>0.51458333333333328</v>
      </c>
      <c r="I3957">
        <v>1</v>
      </c>
      <c r="J3957" t="s">
        <v>146</v>
      </c>
      <c r="K3957">
        <v>2</v>
      </c>
      <c r="L3957" t="s">
        <v>147</v>
      </c>
      <c r="M3957" t="s">
        <v>9696</v>
      </c>
      <c r="N3957" t="s">
        <v>9697</v>
      </c>
      <c r="O3957" t="s">
        <v>9698</v>
      </c>
      <c r="P3957" t="s">
        <v>9699</v>
      </c>
    </row>
    <row r="3958" spans="1:16" x14ac:dyDescent="0.35">
      <c r="A3958" t="s">
        <v>127</v>
      </c>
      <c r="B3958">
        <v>1704124001</v>
      </c>
      <c r="C3958" t="s">
        <v>18</v>
      </c>
      <c r="D3958" t="s">
        <v>21</v>
      </c>
      <c r="E3958" s="29">
        <v>46208</v>
      </c>
      <c r="F3958" t="s">
        <v>6</v>
      </c>
      <c r="G3958" s="28">
        <v>0.52152777777777781</v>
      </c>
      <c r="H3958" s="28">
        <v>0.52152777777777781</v>
      </c>
      <c r="I3958">
        <v>0</v>
      </c>
      <c r="J3958" t="s">
        <v>174</v>
      </c>
      <c r="K3958">
        <v>0</v>
      </c>
      <c r="L3958" t="s">
        <v>9924</v>
      </c>
      <c r="M3958" t="s">
        <v>615</v>
      </c>
      <c r="N3958" t="s">
        <v>616</v>
      </c>
      <c r="O3958" t="s">
        <v>617</v>
      </c>
      <c r="P3958" t="s">
        <v>9925</v>
      </c>
    </row>
    <row r="3959" spans="1:16" x14ac:dyDescent="0.35">
      <c r="A3959" t="s">
        <v>127</v>
      </c>
      <c r="B3959">
        <v>1704124001</v>
      </c>
      <c r="C3959" t="s">
        <v>18</v>
      </c>
      <c r="D3959" t="s">
        <v>21</v>
      </c>
      <c r="E3959" s="29">
        <v>46208</v>
      </c>
      <c r="F3959" t="s">
        <v>6</v>
      </c>
      <c r="G3959" s="28">
        <v>0.52847222222222223</v>
      </c>
      <c r="H3959" s="28">
        <v>0.52847222222222223</v>
      </c>
      <c r="I3959">
        <v>0</v>
      </c>
      <c r="J3959" t="s">
        <v>174</v>
      </c>
      <c r="K3959">
        <v>0</v>
      </c>
      <c r="L3959" t="s">
        <v>614</v>
      </c>
      <c r="M3959" t="s">
        <v>9692</v>
      </c>
      <c r="N3959" t="s">
        <v>9693</v>
      </c>
      <c r="O3959" t="s">
        <v>9694</v>
      </c>
      <c r="P3959" t="s">
        <v>9695</v>
      </c>
    </row>
    <row r="3960" spans="1:16" x14ac:dyDescent="0.35">
      <c r="A3960" t="s">
        <v>127</v>
      </c>
      <c r="B3960">
        <v>1704124001</v>
      </c>
      <c r="C3960" t="s">
        <v>18</v>
      </c>
      <c r="D3960" t="s">
        <v>21</v>
      </c>
      <c r="E3960" s="29">
        <v>46208</v>
      </c>
      <c r="F3960" t="s">
        <v>6</v>
      </c>
      <c r="G3960" s="28">
        <v>0.53541666666666665</v>
      </c>
      <c r="H3960" s="28">
        <v>0.59097222222222223</v>
      </c>
      <c r="I3960">
        <v>1</v>
      </c>
      <c r="J3960" t="s">
        <v>146</v>
      </c>
      <c r="K3960">
        <v>4</v>
      </c>
      <c r="L3960" t="s">
        <v>147</v>
      </c>
      <c r="M3960" t="s">
        <v>9696</v>
      </c>
      <c r="N3960" t="s">
        <v>9697</v>
      </c>
      <c r="O3960" t="s">
        <v>9698</v>
      </c>
      <c r="P3960" t="s">
        <v>9699</v>
      </c>
    </row>
    <row r="3961" spans="1:16" x14ac:dyDescent="0.35">
      <c r="A3961" t="s">
        <v>127</v>
      </c>
      <c r="B3961">
        <v>1704124001</v>
      </c>
      <c r="C3961" t="s">
        <v>18</v>
      </c>
      <c r="D3961" t="s">
        <v>21</v>
      </c>
      <c r="E3961" s="29">
        <v>46208</v>
      </c>
      <c r="F3961" t="s">
        <v>6</v>
      </c>
      <c r="G3961" s="28">
        <v>0.59791666666666665</v>
      </c>
      <c r="H3961" s="28">
        <v>0.59791666666666665</v>
      </c>
      <c r="I3961">
        <v>0</v>
      </c>
      <c r="J3961" t="s">
        <v>174</v>
      </c>
      <c r="K3961">
        <v>0</v>
      </c>
      <c r="L3961" t="s">
        <v>9926</v>
      </c>
      <c r="M3961" t="s">
        <v>620</v>
      </c>
      <c r="N3961" t="s">
        <v>621</v>
      </c>
      <c r="O3961" t="s">
        <v>622</v>
      </c>
      <c r="P3961" t="s">
        <v>9927</v>
      </c>
    </row>
    <row r="3962" spans="1:16" x14ac:dyDescent="0.35">
      <c r="A3962" t="s">
        <v>127</v>
      </c>
      <c r="B3962">
        <v>1704124001</v>
      </c>
      <c r="C3962" t="s">
        <v>18</v>
      </c>
      <c r="D3962" t="s">
        <v>21</v>
      </c>
      <c r="E3962" s="29">
        <v>46208</v>
      </c>
      <c r="F3962" t="s">
        <v>6</v>
      </c>
      <c r="G3962" s="28">
        <v>0.60486111111111107</v>
      </c>
      <c r="H3962" s="28">
        <v>0.6118055555555556</v>
      </c>
      <c r="I3962">
        <v>0</v>
      </c>
      <c r="J3962" t="s">
        <v>146</v>
      </c>
      <c r="K3962">
        <v>1</v>
      </c>
      <c r="L3962" t="s">
        <v>147</v>
      </c>
      <c r="M3962" t="s">
        <v>9696</v>
      </c>
      <c r="N3962" t="s">
        <v>9697</v>
      </c>
      <c r="O3962" t="s">
        <v>9698</v>
      </c>
      <c r="P3962" t="s">
        <v>9699</v>
      </c>
    </row>
    <row r="3963" spans="1:16" x14ac:dyDescent="0.35">
      <c r="A3963" t="s">
        <v>127</v>
      </c>
      <c r="B3963">
        <v>1704124001</v>
      </c>
      <c r="C3963" t="s">
        <v>18</v>
      </c>
      <c r="D3963" t="s">
        <v>21</v>
      </c>
      <c r="E3963" s="29">
        <v>46208</v>
      </c>
      <c r="F3963" t="s">
        <v>6</v>
      </c>
      <c r="G3963" s="28">
        <v>0.61875000000000002</v>
      </c>
      <c r="H3963" s="28">
        <v>0.63263888888888886</v>
      </c>
      <c r="I3963">
        <v>0</v>
      </c>
      <c r="J3963" t="s">
        <v>146</v>
      </c>
      <c r="K3963">
        <v>1</v>
      </c>
      <c r="L3963" t="s">
        <v>147</v>
      </c>
      <c r="M3963" t="s">
        <v>630</v>
      </c>
      <c r="N3963" t="s">
        <v>631</v>
      </c>
      <c r="O3963" t="s">
        <v>632</v>
      </c>
      <c r="P3963" t="s">
        <v>3731</v>
      </c>
    </row>
    <row r="3964" spans="1:16" x14ac:dyDescent="0.35">
      <c r="A3964" t="s">
        <v>127</v>
      </c>
      <c r="B3964">
        <v>1704124001</v>
      </c>
      <c r="C3964" t="s">
        <v>18</v>
      </c>
      <c r="D3964" t="s">
        <v>21</v>
      </c>
      <c r="E3964" s="29">
        <v>46208</v>
      </c>
      <c r="F3964" t="s">
        <v>6</v>
      </c>
      <c r="G3964" s="28">
        <v>0.63958333333333328</v>
      </c>
      <c r="H3964" s="28">
        <v>0.66736111111111107</v>
      </c>
      <c r="I3964">
        <v>1</v>
      </c>
      <c r="J3964" t="s">
        <v>146</v>
      </c>
      <c r="K3964">
        <v>2</v>
      </c>
      <c r="L3964" t="s">
        <v>147</v>
      </c>
      <c r="M3964" t="s">
        <v>9696</v>
      </c>
      <c r="N3964" t="s">
        <v>9697</v>
      </c>
      <c r="O3964" t="s">
        <v>9698</v>
      </c>
      <c r="P3964" t="s">
        <v>9699</v>
      </c>
    </row>
    <row r="3965" spans="1:16" x14ac:dyDescent="0.35">
      <c r="A3965" t="s">
        <v>127</v>
      </c>
      <c r="B3965">
        <v>1704124001</v>
      </c>
      <c r="C3965" t="s">
        <v>18</v>
      </c>
      <c r="D3965" t="s">
        <v>21</v>
      </c>
      <c r="E3965" s="29">
        <v>46208</v>
      </c>
      <c r="F3965" t="s">
        <v>6</v>
      </c>
      <c r="G3965" s="28">
        <v>0.6743055555555556</v>
      </c>
      <c r="H3965" s="28">
        <v>0.6743055555555556</v>
      </c>
      <c r="I3965">
        <v>0</v>
      </c>
      <c r="J3965" t="s">
        <v>174</v>
      </c>
      <c r="K3965">
        <v>0</v>
      </c>
      <c r="L3965" t="s">
        <v>4865</v>
      </c>
      <c r="M3965" t="s">
        <v>9928</v>
      </c>
      <c r="N3965" t="s">
        <v>9929</v>
      </c>
      <c r="O3965" t="s">
        <v>9930</v>
      </c>
      <c r="P3965" t="s">
        <v>9931</v>
      </c>
    </row>
    <row r="3966" spans="1:16" x14ac:dyDescent="0.35">
      <c r="A3966" t="s">
        <v>127</v>
      </c>
      <c r="B3966">
        <v>1704124001</v>
      </c>
      <c r="C3966" t="s">
        <v>18</v>
      </c>
      <c r="D3966" t="s">
        <v>21</v>
      </c>
      <c r="E3966" s="29">
        <v>46208</v>
      </c>
      <c r="F3966" t="s">
        <v>6</v>
      </c>
      <c r="G3966" s="28">
        <v>0.68125000000000002</v>
      </c>
      <c r="H3966" s="28">
        <v>0.68125000000000002</v>
      </c>
      <c r="I3966">
        <v>0</v>
      </c>
      <c r="J3966" t="s">
        <v>174</v>
      </c>
      <c r="K3966">
        <v>0</v>
      </c>
      <c r="L3966" t="s">
        <v>6659</v>
      </c>
      <c r="M3966" t="s">
        <v>9688</v>
      </c>
      <c r="N3966" t="s">
        <v>9689</v>
      </c>
      <c r="O3966" t="s">
        <v>9690</v>
      </c>
      <c r="P3966" t="s">
        <v>9691</v>
      </c>
    </row>
    <row r="3967" spans="1:16" x14ac:dyDescent="0.35">
      <c r="A3967" t="s">
        <v>127</v>
      </c>
      <c r="B3967">
        <v>1704124001</v>
      </c>
      <c r="C3967" t="s">
        <v>18</v>
      </c>
      <c r="D3967" t="s">
        <v>21</v>
      </c>
      <c r="E3967" s="29">
        <v>46208</v>
      </c>
      <c r="F3967" t="s">
        <v>6</v>
      </c>
      <c r="G3967" s="28">
        <v>0.68819444444444444</v>
      </c>
      <c r="H3967" s="28">
        <v>0.68819444444444444</v>
      </c>
      <c r="I3967">
        <v>0</v>
      </c>
      <c r="J3967" t="s">
        <v>174</v>
      </c>
      <c r="K3967">
        <v>0</v>
      </c>
      <c r="L3967" t="s">
        <v>2593</v>
      </c>
      <c r="M3967" t="s">
        <v>9932</v>
      </c>
      <c r="N3967" t="s">
        <v>9933</v>
      </c>
      <c r="O3967" t="s">
        <v>9934</v>
      </c>
      <c r="P3967" t="s">
        <v>9935</v>
      </c>
    </row>
    <row r="3968" spans="1:16" x14ac:dyDescent="0.35">
      <c r="A3968" t="s">
        <v>127</v>
      </c>
      <c r="B3968">
        <v>1704124001</v>
      </c>
      <c r="C3968" t="s">
        <v>18</v>
      </c>
      <c r="D3968" t="s">
        <v>21</v>
      </c>
      <c r="E3968" s="29">
        <v>46208</v>
      </c>
      <c r="F3968" t="s">
        <v>6</v>
      </c>
      <c r="G3968" s="28">
        <v>0.69513888888888886</v>
      </c>
      <c r="H3968" s="28">
        <v>0.69513888888888886</v>
      </c>
      <c r="I3968">
        <v>0</v>
      </c>
      <c r="J3968" t="s">
        <v>174</v>
      </c>
      <c r="K3968">
        <v>0</v>
      </c>
      <c r="L3968" t="s">
        <v>4343</v>
      </c>
      <c r="M3968" t="s">
        <v>9936</v>
      </c>
      <c r="N3968" t="s">
        <v>9937</v>
      </c>
      <c r="O3968" t="s">
        <v>9938</v>
      </c>
      <c r="P3968" t="s">
        <v>2496</v>
      </c>
    </row>
    <row r="3969" spans="1:16" x14ac:dyDescent="0.35">
      <c r="A3969" t="s">
        <v>127</v>
      </c>
      <c r="B3969">
        <v>1704124001</v>
      </c>
      <c r="C3969" t="s">
        <v>18</v>
      </c>
      <c r="D3969" t="s">
        <v>21</v>
      </c>
      <c r="E3969" s="29">
        <v>46208</v>
      </c>
      <c r="F3969" t="s">
        <v>6</v>
      </c>
      <c r="G3969" s="28">
        <v>0.70208333333333328</v>
      </c>
      <c r="H3969" s="28">
        <v>0.70902777777777781</v>
      </c>
      <c r="I3969">
        <v>0</v>
      </c>
      <c r="J3969" t="s">
        <v>146</v>
      </c>
      <c r="K3969">
        <v>1</v>
      </c>
      <c r="L3969" t="s">
        <v>147</v>
      </c>
      <c r="M3969" t="s">
        <v>587</v>
      </c>
      <c r="N3969" t="s">
        <v>588</v>
      </c>
      <c r="O3969" t="s">
        <v>372</v>
      </c>
      <c r="P3969" t="s">
        <v>9683</v>
      </c>
    </row>
    <row r="3970" spans="1:16" x14ac:dyDescent="0.35">
      <c r="A3970" t="s">
        <v>127</v>
      </c>
      <c r="B3970">
        <v>1704124001</v>
      </c>
      <c r="C3970" t="s">
        <v>18</v>
      </c>
      <c r="D3970" t="s">
        <v>21</v>
      </c>
      <c r="E3970" s="29">
        <v>46208</v>
      </c>
      <c r="F3970" t="s">
        <v>6</v>
      </c>
      <c r="G3970" s="28">
        <v>0.71597222222222223</v>
      </c>
      <c r="H3970" s="28">
        <v>0.71597222222222223</v>
      </c>
      <c r="I3970">
        <v>0</v>
      </c>
      <c r="J3970" t="s">
        <v>174</v>
      </c>
      <c r="K3970">
        <v>0</v>
      </c>
      <c r="L3970" t="s">
        <v>9939</v>
      </c>
      <c r="M3970" t="s">
        <v>9940</v>
      </c>
      <c r="N3970" t="s">
        <v>9941</v>
      </c>
      <c r="O3970" t="s">
        <v>9942</v>
      </c>
      <c r="P3970" t="s">
        <v>9943</v>
      </c>
    </row>
    <row r="3971" spans="1:16" x14ac:dyDescent="0.35">
      <c r="A3971" t="s">
        <v>127</v>
      </c>
      <c r="B3971">
        <v>1704124001</v>
      </c>
      <c r="C3971" t="s">
        <v>18</v>
      </c>
      <c r="D3971" t="s">
        <v>21</v>
      </c>
      <c r="E3971" s="29">
        <v>46208</v>
      </c>
      <c r="F3971" t="s">
        <v>6</v>
      </c>
      <c r="G3971" s="28">
        <v>0.72291666666666665</v>
      </c>
      <c r="H3971" s="28">
        <v>0.7368055555555556</v>
      </c>
      <c r="I3971">
        <v>0</v>
      </c>
      <c r="J3971" t="s">
        <v>146</v>
      </c>
      <c r="K3971">
        <v>1</v>
      </c>
      <c r="L3971" t="s">
        <v>147</v>
      </c>
      <c r="M3971" t="s">
        <v>9944</v>
      </c>
      <c r="N3971" t="s">
        <v>9945</v>
      </c>
      <c r="O3971" t="s">
        <v>9946</v>
      </c>
      <c r="P3971" t="s">
        <v>9947</v>
      </c>
    </row>
    <row r="3972" spans="1:16" x14ac:dyDescent="0.35">
      <c r="A3972" t="s">
        <v>127</v>
      </c>
      <c r="B3972">
        <v>1704124001</v>
      </c>
      <c r="C3972" t="s">
        <v>18</v>
      </c>
      <c r="D3972" t="s">
        <v>21</v>
      </c>
      <c r="E3972" s="29">
        <v>46208</v>
      </c>
      <c r="F3972" t="s">
        <v>6</v>
      </c>
      <c r="G3972" s="28">
        <v>0.74375000000000002</v>
      </c>
      <c r="H3972" s="28">
        <v>0.75763888888888886</v>
      </c>
      <c r="I3972">
        <v>0</v>
      </c>
      <c r="J3972" t="s">
        <v>146</v>
      </c>
      <c r="K3972">
        <v>1</v>
      </c>
      <c r="L3972" t="s">
        <v>147</v>
      </c>
      <c r="M3972" t="s">
        <v>9948</v>
      </c>
      <c r="N3972" t="s">
        <v>9949</v>
      </c>
      <c r="O3972" t="s">
        <v>9950</v>
      </c>
      <c r="P3972" t="s">
        <v>8577</v>
      </c>
    </row>
    <row r="3973" spans="1:16" x14ac:dyDescent="0.35">
      <c r="A3973" t="s">
        <v>127</v>
      </c>
      <c r="B3973">
        <v>1704124001</v>
      </c>
      <c r="C3973" t="s">
        <v>18</v>
      </c>
      <c r="D3973" t="s">
        <v>21</v>
      </c>
      <c r="E3973" s="29">
        <v>46208</v>
      </c>
      <c r="F3973" t="s">
        <v>6</v>
      </c>
      <c r="G3973" s="28">
        <v>0.76458333333333328</v>
      </c>
      <c r="H3973" s="28">
        <v>0.79236111111111107</v>
      </c>
      <c r="I3973">
        <v>1</v>
      </c>
      <c r="J3973" t="s">
        <v>146</v>
      </c>
      <c r="K3973">
        <v>2</v>
      </c>
      <c r="L3973" t="s">
        <v>147</v>
      </c>
      <c r="M3973" t="s">
        <v>9951</v>
      </c>
      <c r="N3973" t="s">
        <v>9952</v>
      </c>
      <c r="O3973" t="s">
        <v>9953</v>
      </c>
      <c r="P3973" t="s">
        <v>9954</v>
      </c>
    </row>
    <row r="3974" spans="1:16" x14ac:dyDescent="0.35">
      <c r="A3974" t="s">
        <v>123</v>
      </c>
      <c r="B3974">
        <v>1701216133</v>
      </c>
      <c r="C3974" t="s">
        <v>18</v>
      </c>
      <c r="D3974" t="s">
        <v>21</v>
      </c>
      <c r="E3974" s="29">
        <v>46204</v>
      </c>
      <c r="F3974" t="s">
        <v>3</v>
      </c>
      <c r="G3974" s="28">
        <v>0.46736111111111112</v>
      </c>
      <c r="H3974" s="28">
        <v>0.46736111111111112</v>
      </c>
      <c r="I3974">
        <v>0</v>
      </c>
      <c r="J3974" t="s">
        <v>174</v>
      </c>
      <c r="K3974">
        <v>0</v>
      </c>
      <c r="L3974" t="s">
        <v>5769</v>
      </c>
      <c r="M3974" t="s">
        <v>9955</v>
      </c>
      <c r="N3974" t="s">
        <v>9956</v>
      </c>
      <c r="O3974" t="s">
        <v>9957</v>
      </c>
      <c r="P3974" t="s">
        <v>9958</v>
      </c>
    </row>
    <row r="3975" spans="1:16" x14ac:dyDescent="0.35">
      <c r="A3975" t="s">
        <v>123</v>
      </c>
      <c r="B3975">
        <v>1701216133</v>
      </c>
      <c r="C3975" t="s">
        <v>18</v>
      </c>
      <c r="D3975" t="s">
        <v>21</v>
      </c>
      <c r="E3975" s="29">
        <v>46204</v>
      </c>
      <c r="F3975" t="s">
        <v>3</v>
      </c>
      <c r="G3975" s="28">
        <v>0.47430555555555554</v>
      </c>
      <c r="H3975" s="28">
        <v>0.47430555555555554</v>
      </c>
      <c r="I3975">
        <v>0</v>
      </c>
      <c r="J3975" t="s">
        <v>174</v>
      </c>
      <c r="K3975">
        <v>0</v>
      </c>
      <c r="L3975" t="s">
        <v>9959</v>
      </c>
      <c r="M3975" t="s">
        <v>9960</v>
      </c>
      <c r="N3975" t="s">
        <v>9961</v>
      </c>
      <c r="O3975" t="s">
        <v>9962</v>
      </c>
      <c r="P3975" t="s">
        <v>9963</v>
      </c>
    </row>
    <row r="3976" spans="1:16" x14ac:dyDescent="0.35">
      <c r="A3976" t="s">
        <v>123</v>
      </c>
      <c r="B3976">
        <v>1701216133</v>
      </c>
      <c r="C3976" t="s">
        <v>18</v>
      </c>
      <c r="D3976" t="s">
        <v>21</v>
      </c>
      <c r="E3976" s="29">
        <v>46204</v>
      </c>
      <c r="F3976" t="s">
        <v>3</v>
      </c>
      <c r="G3976" s="28">
        <v>0.48125000000000001</v>
      </c>
      <c r="H3976" s="28">
        <v>0.49513888888888891</v>
      </c>
      <c r="I3976">
        <v>0</v>
      </c>
      <c r="J3976" t="s">
        <v>146</v>
      </c>
      <c r="K3976">
        <v>1</v>
      </c>
      <c r="L3976" t="s">
        <v>147</v>
      </c>
      <c r="M3976" t="s">
        <v>9964</v>
      </c>
      <c r="N3976" t="s">
        <v>9965</v>
      </c>
      <c r="O3976" t="s">
        <v>9966</v>
      </c>
      <c r="P3976" t="s">
        <v>9967</v>
      </c>
    </row>
    <row r="3977" spans="1:16" x14ac:dyDescent="0.35">
      <c r="A3977" t="s">
        <v>123</v>
      </c>
      <c r="B3977">
        <v>1701216133</v>
      </c>
      <c r="C3977" t="s">
        <v>18</v>
      </c>
      <c r="D3977" t="s">
        <v>21</v>
      </c>
      <c r="E3977" s="29">
        <v>46204</v>
      </c>
      <c r="F3977" t="s">
        <v>3</v>
      </c>
      <c r="G3977" s="28">
        <v>0.50208333333333333</v>
      </c>
      <c r="H3977" s="28">
        <v>0.78680555555555554</v>
      </c>
      <c r="I3977">
        <v>7</v>
      </c>
      <c r="J3977" t="s">
        <v>146</v>
      </c>
      <c r="K3977">
        <v>20</v>
      </c>
      <c r="L3977" t="s">
        <v>147</v>
      </c>
      <c r="M3977" t="s">
        <v>9968</v>
      </c>
      <c r="N3977" t="s">
        <v>9969</v>
      </c>
      <c r="O3977" t="s">
        <v>9970</v>
      </c>
      <c r="P3977" t="s">
        <v>9971</v>
      </c>
    </row>
    <row r="3978" spans="1:16" x14ac:dyDescent="0.35">
      <c r="A3978" t="s">
        <v>123</v>
      </c>
      <c r="B3978">
        <v>1701216133</v>
      </c>
      <c r="C3978" t="s">
        <v>18</v>
      </c>
      <c r="D3978" t="s">
        <v>21</v>
      </c>
      <c r="E3978" s="29">
        <v>46205</v>
      </c>
      <c r="F3978" t="s">
        <v>4</v>
      </c>
      <c r="G3978" s="28">
        <v>0.48125000000000001</v>
      </c>
      <c r="H3978" s="28">
        <v>0.5229166666666667</v>
      </c>
      <c r="I3978">
        <v>1</v>
      </c>
      <c r="J3978" t="s">
        <v>146</v>
      </c>
      <c r="K3978">
        <v>3</v>
      </c>
      <c r="L3978" t="s">
        <v>147</v>
      </c>
      <c r="M3978" t="s">
        <v>9972</v>
      </c>
      <c r="N3978" t="s">
        <v>9973</v>
      </c>
      <c r="O3978" t="s">
        <v>9974</v>
      </c>
      <c r="P3978" t="s">
        <v>9975</v>
      </c>
    </row>
    <row r="3979" spans="1:16" x14ac:dyDescent="0.35">
      <c r="A3979" t="s">
        <v>123</v>
      </c>
      <c r="B3979">
        <v>1701216133</v>
      </c>
      <c r="C3979" t="s">
        <v>18</v>
      </c>
      <c r="D3979" t="s">
        <v>21</v>
      </c>
      <c r="E3979" s="29">
        <v>46205</v>
      </c>
      <c r="F3979" t="s">
        <v>4</v>
      </c>
      <c r="G3979" s="28">
        <v>0.52986111111111112</v>
      </c>
      <c r="H3979" s="28">
        <v>0.52986111111111112</v>
      </c>
      <c r="I3979">
        <v>0</v>
      </c>
      <c r="J3979" t="s">
        <v>174</v>
      </c>
      <c r="K3979">
        <v>0</v>
      </c>
      <c r="L3979" t="s">
        <v>4083</v>
      </c>
      <c r="M3979" t="s">
        <v>9976</v>
      </c>
      <c r="N3979" t="s">
        <v>9977</v>
      </c>
      <c r="O3979" t="s">
        <v>9978</v>
      </c>
      <c r="P3979" t="s">
        <v>9979</v>
      </c>
    </row>
    <row r="3980" spans="1:16" x14ac:dyDescent="0.35">
      <c r="A3980" t="s">
        <v>123</v>
      </c>
      <c r="B3980">
        <v>1701216133</v>
      </c>
      <c r="C3980" t="s">
        <v>18</v>
      </c>
      <c r="D3980" t="s">
        <v>21</v>
      </c>
      <c r="E3980" s="29">
        <v>46205</v>
      </c>
      <c r="F3980" t="s">
        <v>4</v>
      </c>
      <c r="G3980" s="28">
        <v>0.53680555555555554</v>
      </c>
      <c r="H3980" s="28">
        <v>0.70347222222222228</v>
      </c>
      <c r="I3980">
        <v>4</v>
      </c>
      <c r="J3980" t="s">
        <v>146</v>
      </c>
      <c r="K3980">
        <v>12</v>
      </c>
      <c r="L3980" t="s">
        <v>147</v>
      </c>
      <c r="M3980" t="s">
        <v>9968</v>
      </c>
      <c r="N3980" t="s">
        <v>9969</v>
      </c>
      <c r="O3980" t="s">
        <v>9970</v>
      </c>
      <c r="P3980" t="s">
        <v>9971</v>
      </c>
    </row>
    <row r="3981" spans="1:16" x14ac:dyDescent="0.35">
      <c r="A3981" t="s">
        <v>123</v>
      </c>
      <c r="B3981">
        <v>1701216133</v>
      </c>
      <c r="C3981" t="s">
        <v>18</v>
      </c>
      <c r="D3981" t="s">
        <v>21</v>
      </c>
      <c r="E3981" s="29">
        <v>46205</v>
      </c>
      <c r="F3981" t="s">
        <v>4</v>
      </c>
      <c r="G3981" s="28">
        <v>0.7104166666666667</v>
      </c>
      <c r="H3981" s="28">
        <v>0.71736111111111112</v>
      </c>
      <c r="I3981">
        <v>0</v>
      </c>
      <c r="J3981" t="s">
        <v>146</v>
      </c>
      <c r="K3981">
        <v>0</v>
      </c>
      <c r="L3981" t="s">
        <v>147</v>
      </c>
      <c r="M3981" t="s">
        <v>6232</v>
      </c>
      <c r="N3981" t="s">
        <v>9980</v>
      </c>
      <c r="O3981" t="s">
        <v>9981</v>
      </c>
      <c r="P3981" t="s">
        <v>9982</v>
      </c>
    </row>
    <row r="3982" spans="1:16" x14ac:dyDescent="0.35">
      <c r="A3982" t="s">
        <v>123</v>
      </c>
      <c r="B3982">
        <v>1701216133</v>
      </c>
      <c r="C3982" t="s">
        <v>18</v>
      </c>
      <c r="D3982" t="s">
        <v>21</v>
      </c>
      <c r="E3982" s="29">
        <v>46205</v>
      </c>
      <c r="F3982" t="s">
        <v>4</v>
      </c>
      <c r="G3982" s="28">
        <v>0.72430555555555554</v>
      </c>
      <c r="H3982" s="28">
        <v>0.84930555555555554</v>
      </c>
      <c r="I3982">
        <v>3</v>
      </c>
      <c r="J3982" t="s">
        <v>146</v>
      </c>
      <c r="K3982">
        <v>9</v>
      </c>
      <c r="L3982" t="s">
        <v>147</v>
      </c>
      <c r="M3982" t="s">
        <v>9968</v>
      </c>
      <c r="N3982" t="s">
        <v>9969</v>
      </c>
      <c r="O3982" t="s">
        <v>9970</v>
      </c>
      <c r="P3982" t="s">
        <v>9971</v>
      </c>
    </row>
    <row r="3983" spans="1:16" x14ac:dyDescent="0.35">
      <c r="A3983" t="s">
        <v>123</v>
      </c>
      <c r="B3983">
        <v>1701216133</v>
      </c>
      <c r="C3983" t="s">
        <v>18</v>
      </c>
      <c r="D3983" t="s">
        <v>21</v>
      </c>
      <c r="E3983" s="29">
        <v>46207</v>
      </c>
      <c r="F3983" t="s">
        <v>5</v>
      </c>
      <c r="G3983" s="28">
        <v>0.37708333333333333</v>
      </c>
      <c r="H3983" s="28">
        <v>0.37708333333333333</v>
      </c>
      <c r="I3983">
        <v>0</v>
      </c>
      <c r="J3983" t="s">
        <v>174</v>
      </c>
      <c r="K3983">
        <v>0</v>
      </c>
      <c r="L3983" t="s">
        <v>9983</v>
      </c>
      <c r="M3983" t="s">
        <v>9984</v>
      </c>
      <c r="N3983" t="s">
        <v>9985</v>
      </c>
      <c r="O3983" t="s">
        <v>9986</v>
      </c>
      <c r="P3983" t="s">
        <v>867</v>
      </c>
    </row>
    <row r="3984" spans="1:16" x14ac:dyDescent="0.35">
      <c r="A3984" t="s">
        <v>123</v>
      </c>
      <c r="B3984">
        <v>1701216133</v>
      </c>
      <c r="C3984" t="s">
        <v>18</v>
      </c>
      <c r="D3984" t="s">
        <v>21</v>
      </c>
      <c r="E3984" s="29">
        <v>46207</v>
      </c>
      <c r="F3984" t="s">
        <v>5</v>
      </c>
      <c r="G3984" s="28">
        <v>0.3840277777777778</v>
      </c>
      <c r="H3984" s="28">
        <v>0.3840277777777778</v>
      </c>
      <c r="I3984">
        <v>0</v>
      </c>
      <c r="J3984" t="s">
        <v>174</v>
      </c>
      <c r="K3984">
        <v>0</v>
      </c>
      <c r="L3984" t="s">
        <v>9987</v>
      </c>
      <c r="M3984" t="s">
        <v>9988</v>
      </c>
      <c r="N3984" t="s">
        <v>9989</v>
      </c>
      <c r="O3984" t="s">
        <v>9990</v>
      </c>
      <c r="P3984" t="s">
        <v>9991</v>
      </c>
    </row>
    <row r="3985" spans="1:16" x14ac:dyDescent="0.35">
      <c r="A3985" t="s">
        <v>123</v>
      </c>
      <c r="B3985">
        <v>1701216133</v>
      </c>
      <c r="C3985" t="s">
        <v>18</v>
      </c>
      <c r="D3985" t="s">
        <v>21</v>
      </c>
      <c r="E3985" s="29">
        <v>46207</v>
      </c>
      <c r="F3985" t="s">
        <v>5</v>
      </c>
      <c r="G3985" s="28">
        <v>0.39097222222222222</v>
      </c>
      <c r="H3985" s="28">
        <v>0.39097222222222222</v>
      </c>
      <c r="I3985">
        <v>0</v>
      </c>
      <c r="J3985" t="s">
        <v>174</v>
      </c>
      <c r="K3985">
        <v>0</v>
      </c>
      <c r="L3985" t="s">
        <v>7181</v>
      </c>
      <c r="M3985" t="s">
        <v>9992</v>
      </c>
      <c r="N3985" t="s">
        <v>9993</v>
      </c>
      <c r="O3985" t="s">
        <v>9994</v>
      </c>
      <c r="P3985" t="s">
        <v>3392</v>
      </c>
    </row>
    <row r="3986" spans="1:16" x14ac:dyDescent="0.35">
      <c r="A3986" t="s">
        <v>123</v>
      </c>
      <c r="B3986">
        <v>1701216133</v>
      </c>
      <c r="C3986" t="s">
        <v>18</v>
      </c>
      <c r="D3986" t="s">
        <v>21</v>
      </c>
      <c r="E3986" s="29">
        <v>46207</v>
      </c>
      <c r="F3986" t="s">
        <v>5</v>
      </c>
      <c r="G3986" s="28">
        <v>0.39791666666666664</v>
      </c>
      <c r="H3986" s="28">
        <v>0.39791666666666664</v>
      </c>
      <c r="I3986">
        <v>0</v>
      </c>
      <c r="J3986" t="s">
        <v>174</v>
      </c>
      <c r="K3986">
        <v>0</v>
      </c>
      <c r="L3986" t="s">
        <v>9995</v>
      </c>
      <c r="M3986" t="s">
        <v>9996</v>
      </c>
      <c r="N3986" t="s">
        <v>9997</v>
      </c>
      <c r="O3986" t="s">
        <v>9998</v>
      </c>
      <c r="P3986" t="s">
        <v>9999</v>
      </c>
    </row>
    <row r="3987" spans="1:16" x14ac:dyDescent="0.35">
      <c r="A3987" t="s">
        <v>123</v>
      </c>
      <c r="B3987">
        <v>1701216133</v>
      </c>
      <c r="C3987" t="s">
        <v>18</v>
      </c>
      <c r="D3987" t="s">
        <v>21</v>
      </c>
      <c r="E3987" s="29">
        <v>46207</v>
      </c>
      <c r="F3987" t="s">
        <v>5</v>
      </c>
      <c r="G3987" s="28">
        <v>0.40486111111111112</v>
      </c>
      <c r="H3987" s="28">
        <v>0.40486111111111112</v>
      </c>
      <c r="I3987">
        <v>0</v>
      </c>
      <c r="J3987" t="s">
        <v>174</v>
      </c>
      <c r="K3987">
        <v>0</v>
      </c>
      <c r="L3987" t="s">
        <v>10000</v>
      </c>
      <c r="M3987" t="s">
        <v>10001</v>
      </c>
      <c r="N3987" t="s">
        <v>10002</v>
      </c>
      <c r="O3987" t="s">
        <v>10003</v>
      </c>
      <c r="P3987" t="s">
        <v>10004</v>
      </c>
    </row>
    <row r="3988" spans="1:16" x14ac:dyDescent="0.35">
      <c r="A3988" t="s">
        <v>123</v>
      </c>
      <c r="B3988">
        <v>1701216133</v>
      </c>
      <c r="C3988" t="s">
        <v>18</v>
      </c>
      <c r="D3988" t="s">
        <v>21</v>
      </c>
      <c r="E3988" s="29">
        <v>46207</v>
      </c>
      <c r="F3988" t="s">
        <v>5</v>
      </c>
      <c r="G3988" s="28">
        <v>0.41180555555555554</v>
      </c>
      <c r="H3988" s="28">
        <v>0.41180555555555554</v>
      </c>
      <c r="I3988">
        <v>0</v>
      </c>
      <c r="J3988" t="s">
        <v>174</v>
      </c>
      <c r="K3988">
        <v>0</v>
      </c>
      <c r="L3988" t="s">
        <v>2003</v>
      </c>
      <c r="M3988" t="s">
        <v>10005</v>
      </c>
      <c r="N3988" t="s">
        <v>10006</v>
      </c>
      <c r="O3988" t="s">
        <v>10007</v>
      </c>
      <c r="P3988" t="s">
        <v>960</v>
      </c>
    </row>
    <row r="3989" spans="1:16" x14ac:dyDescent="0.35">
      <c r="A3989" t="s">
        <v>123</v>
      </c>
      <c r="B3989">
        <v>1701216133</v>
      </c>
      <c r="C3989" t="s">
        <v>18</v>
      </c>
      <c r="D3989" t="s">
        <v>21</v>
      </c>
      <c r="E3989" s="29">
        <v>46207</v>
      </c>
      <c r="F3989" t="s">
        <v>5</v>
      </c>
      <c r="G3989" s="28">
        <v>0.41875000000000001</v>
      </c>
      <c r="H3989" s="28">
        <v>0.41875000000000001</v>
      </c>
      <c r="I3989">
        <v>0</v>
      </c>
      <c r="J3989" t="s">
        <v>174</v>
      </c>
      <c r="K3989">
        <v>0</v>
      </c>
      <c r="L3989" t="s">
        <v>1966</v>
      </c>
      <c r="M3989" t="s">
        <v>10008</v>
      </c>
      <c r="N3989" t="s">
        <v>10009</v>
      </c>
      <c r="O3989" t="s">
        <v>10010</v>
      </c>
      <c r="P3989" t="s">
        <v>10011</v>
      </c>
    </row>
    <row r="3990" spans="1:16" x14ac:dyDescent="0.35">
      <c r="A3990" t="s">
        <v>123</v>
      </c>
      <c r="B3990">
        <v>1701216133</v>
      </c>
      <c r="C3990" t="s">
        <v>18</v>
      </c>
      <c r="D3990" t="s">
        <v>21</v>
      </c>
      <c r="E3990" s="29">
        <v>46207</v>
      </c>
      <c r="F3990" t="s">
        <v>5</v>
      </c>
      <c r="G3990" s="28">
        <v>0.42569444444444443</v>
      </c>
      <c r="H3990" s="28">
        <v>0.43263888888888891</v>
      </c>
      <c r="I3990">
        <v>0</v>
      </c>
      <c r="J3990" t="s">
        <v>146</v>
      </c>
      <c r="K3990">
        <v>1</v>
      </c>
      <c r="L3990" t="s">
        <v>147</v>
      </c>
      <c r="M3990" t="s">
        <v>10012</v>
      </c>
      <c r="N3990" t="s">
        <v>10013</v>
      </c>
      <c r="O3990" t="s">
        <v>10014</v>
      </c>
      <c r="P3990" t="s">
        <v>10015</v>
      </c>
    </row>
    <row r="3991" spans="1:16" x14ac:dyDescent="0.35">
      <c r="A3991" t="s">
        <v>123</v>
      </c>
      <c r="B3991">
        <v>1701216133</v>
      </c>
      <c r="C3991" t="s">
        <v>18</v>
      </c>
      <c r="D3991" t="s">
        <v>21</v>
      </c>
      <c r="E3991" s="29">
        <v>46207</v>
      </c>
      <c r="F3991" t="s">
        <v>5</v>
      </c>
      <c r="G3991" s="28">
        <v>0.43958333333333333</v>
      </c>
      <c r="H3991" s="28">
        <v>0.43958333333333333</v>
      </c>
      <c r="I3991">
        <v>0</v>
      </c>
      <c r="J3991" t="s">
        <v>174</v>
      </c>
      <c r="K3991">
        <v>0</v>
      </c>
      <c r="L3991" t="s">
        <v>8324</v>
      </c>
      <c r="M3991" t="s">
        <v>10016</v>
      </c>
      <c r="N3991" t="s">
        <v>10017</v>
      </c>
      <c r="O3991" t="s">
        <v>10018</v>
      </c>
      <c r="P3991" t="s">
        <v>10019</v>
      </c>
    </row>
    <row r="3992" spans="1:16" x14ac:dyDescent="0.35">
      <c r="A3992" t="s">
        <v>123</v>
      </c>
      <c r="B3992">
        <v>1701216133</v>
      </c>
      <c r="C3992" t="s">
        <v>18</v>
      </c>
      <c r="D3992" t="s">
        <v>21</v>
      </c>
      <c r="E3992" s="29">
        <v>46207</v>
      </c>
      <c r="F3992" t="s">
        <v>5</v>
      </c>
      <c r="G3992" s="28">
        <v>0.4465277777777778</v>
      </c>
      <c r="H3992" s="28">
        <v>0.4465277777777778</v>
      </c>
      <c r="I3992">
        <v>0</v>
      </c>
      <c r="J3992" t="s">
        <v>174</v>
      </c>
      <c r="K3992">
        <v>0</v>
      </c>
      <c r="L3992" t="s">
        <v>9030</v>
      </c>
      <c r="M3992" t="s">
        <v>10020</v>
      </c>
      <c r="N3992" t="s">
        <v>10021</v>
      </c>
      <c r="O3992" t="s">
        <v>10022</v>
      </c>
      <c r="P3992" t="s">
        <v>10023</v>
      </c>
    </row>
    <row r="3993" spans="1:16" x14ac:dyDescent="0.35">
      <c r="A3993" t="s">
        <v>123</v>
      </c>
      <c r="B3993">
        <v>1701216133</v>
      </c>
      <c r="C3993" t="s">
        <v>18</v>
      </c>
      <c r="D3993" t="s">
        <v>21</v>
      </c>
      <c r="E3993" s="29">
        <v>46207</v>
      </c>
      <c r="F3993" t="s">
        <v>5</v>
      </c>
      <c r="G3993" s="28">
        <v>0.45347222222222222</v>
      </c>
      <c r="H3993" s="28">
        <v>0.45347222222222222</v>
      </c>
      <c r="I3993">
        <v>0</v>
      </c>
      <c r="J3993" t="s">
        <v>174</v>
      </c>
      <c r="K3993">
        <v>0</v>
      </c>
      <c r="L3993" t="s">
        <v>4630</v>
      </c>
      <c r="M3993" t="s">
        <v>10024</v>
      </c>
      <c r="N3993" t="s">
        <v>10025</v>
      </c>
      <c r="O3993" t="s">
        <v>10026</v>
      </c>
      <c r="P3993" t="s">
        <v>10027</v>
      </c>
    </row>
    <row r="3994" spans="1:16" x14ac:dyDescent="0.35">
      <c r="A3994" t="s">
        <v>123</v>
      </c>
      <c r="B3994">
        <v>1701216133</v>
      </c>
      <c r="C3994" t="s">
        <v>18</v>
      </c>
      <c r="D3994" t="s">
        <v>21</v>
      </c>
      <c r="E3994" s="29">
        <v>46207</v>
      </c>
      <c r="F3994" t="s">
        <v>5</v>
      </c>
      <c r="G3994" s="28">
        <v>0.46041666666666664</v>
      </c>
      <c r="H3994" s="28">
        <v>0.51597222222222228</v>
      </c>
      <c r="I3994">
        <v>1</v>
      </c>
      <c r="J3994" t="s">
        <v>146</v>
      </c>
      <c r="K3994">
        <v>4</v>
      </c>
      <c r="L3994" t="s">
        <v>147</v>
      </c>
      <c r="M3994" t="s">
        <v>10028</v>
      </c>
      <c r="N3994" t="s">
        <v>10029</v>
      </c>
      <c r="O3994" t="s">
        <v>10030</v>
      </c>
      <c r="P3994" t="s">
        <v>10031</v>
      </c>
    </row>
    <row r="3995" spans="1:16" x14ac:dyDescent="0.35">
      <c r="A3995" t="s">
        <v>123</v>
      </c>
      <c r="B3995">
        <v>1701216133</v>
      </c>
      <c r="C3995" t="s">
        <v>18</v>
      </c>
      <c r="D3995" t="s">
        <v>21</v>
      </c>
      <c r="E3995" s="29">
        <v>46207</v>
      </c>
      <c r="F3995" t="s">
        <v>5</v>
      </c>
      <c r="G3995" s="28">
        <v>0.5229166666666667</v>
      </c>
      <c r="H3995" s="28">
        <v>0.5229166666666667</v>
      </c>
      <c r="I3995">
        <v>0</v>
      </c>
      <c r="J3995" t="s">
        <v>174</v>
      </c>
      <c r="K3995">
        <v>0</v>
      </c>
      <c r="L3995" t="s">
        <v>10032</v>
      </c>
      <c r="M3995" t="s">
        <v>10033</v>
      </c>
      <c r="N3995" t="s">
        <v>10025</v>
      </c>
      <c r="O3995" t="s">
        <v>10026</v>
      </c>
      <c r="P3995" t="s">
        <v>10027</v>
      </c>
    </row>
    <row r="3996" spans="1:16" x14ac:dyDescent="0.35">
      <c r="A3996" t="s">
        <v>123</v>
      </c>
      <c r="B3996">
        <v>1701216133</v>
      </c>
      <c r="C3996" t="s">
        <v>18</v>
      </c>
      <c r="D3996" t="s">
        <v>21</v>
      </c>
      <c r="E3996" s="29">
        <v>46207</v>
      </c>
      <c r="F3996" t="s">
        <v>5</v>
      </c>
      <c r="G3996" s="28">
        <v>0.52916666666666667</v>
      </c>
      <c r="H3996" s="28">
        <v>0.52916666666666667</v>
      </c>
      <c r="I3996">
        <v>0</v>
      </c>
      <c r="J3996" t="s">
        <v>174</v>
      </c>
      <c r="K3996">
        <v>0</v>
      </c>
      <c r="L3996" t="s">
        <v>247</v>
      </c>
      <c r="M3996" t="s">
        <v>10034</v>
      </c>
      <c r="N3996" t="s">
        <v>10035</v>
      </c>
      <c r="O3996" t="s">
        <v>10036</v>
      </c>
      <c r="P3996" t="s">
        <v>10037</v>
      </c>
    </row>
    <row r="3997" spans="1:16" x14ac:dyDescent="0.35">
      <c r="A3997" t="s">
        <v>123</v>
      </c>
      <c r="B3997">
        <v>1701216133</v>
      </c>
      <c r="C3997" t="s">
        <v>18</v>
      </c>
      <c r="D3997" t="s">
        <v>21</v>
      </c>
      <c r="E3997" s="29">
        <v>46207</v>
      </c>
      <c r="F3997" t="s">
        <v>5</v>
      </c>
      <c r="G3997" s="28">
        <v>0.53680555555555554</v>
      </c>
      <c r="H3997" s="28">
        <v>0.53680555555555554</v>
      </c>
      <c r="I3997">
        <v>0</v>
      </c>
      <c r="J3997" t="s">
        <v>174</v>
      </c>
      <c r="K3997">
        <v>0</v>
      </c>
      <c r="L3997" t="s">
        <v>466</v>
      </c>
      <c r="M3997" t="s">
        <v>10038</v>
      </c>
      <c r="N3997" t="s">
        <v>10039</v>
      </c>
      <c r="O3997" t="s">
        <v>10040</v>
      </c>
      <c r="P3997" t="s">
        <v>10041</v>
      </c>
    </row>
    <row r="3998" spans="1:16" x14ac:dyDescent="0.35">
      <c r="A3998" t="s">
        <v>123</v>
      </c>
      <c r="B3998">
        <v>1701216133</v>
      </c>
      <c r="C3998" t="s">
        <v>18</v>
      </c>
      <c r="D3998" t="s">
        <v>21</v>
      </c>
      <c r="E3998" s="29">
        <v>46207</v>
      </c>
      <c r="F3998" t="s">
        <v>5</v>
      </c>
      <c r="G3998" s="28">
        <v>0.54374999999999996</v>
      </c>
      <c r="H3998" s="28">
        <v>0.55069444444444449</v>
      </c>
      <c r="I3998">
        <v>0</v>
      </c>
      <c r="J3998" t="s">
        <v>146</v>
      </c>
      <c r="K3998">
        <v>1</v>
      </c>
      <c r="L3998" t="s">
        <v>147</v>
      </c>
      <c r="M3998" t="s">
        <v>10042</v>
      </c>
      <c r="N3998" t="s">
        <v>10043</v>
      </c>
      <c r="O3998" t="s">
        <v>10044</v>
      </c>
      <c r="P3998" t="s">
        <v>10045</v>
      </c>
    </row>
    <row r="3999" spans="1:16" x14ac:dyDescent="0.35">
      <c r="A3999" t="s">
        <v>123</v>
      </c>
      <c r="B3999">
        <v>1701216133</v>
      </c>
      <c r="C3999" t="s">
        <v>18</v>
      </c>
      <c r="D3999" t="s">
        <v>21</v>
      </c>
      <c r="E3999" s="29">
        <v>46207</v>
      </c>
      <c r="F3999" t="s">
        <v>5</v>
      </c>
      <c r="G3999" s="28">
        <v>0.55763888888888891</v>
      </c>
      <c r="H3999" s="28">
        <v>0.55763888888888891</v>
      </c>
      <c r="I3999">
        <v>0</v>
      </c>
      <c r="J3999" t="s">
        <v>174</v>
      </c>
      <c r="K3999">
        <v>0</v>
      </c>
      <c r="L3999" t="s">
        <v>8944</v>
      </c>
      <c r="M3999" t="s">
        <v>10038</v>
      </c>
      <c r="N3999" t="s">
        <v>10039</v>
      </c>
      <c r="O3999" t="s">
        <v>10040</v>
      </c>
      <c r="P3999" t="s">
        <v>10041</v>
      </c>
    </row>
    <row r="4000" spans="1:16" x14ac:dyDescent="0.35">
      <c r="A4000" t="s">
        <v>123</v>
      </c>
      <c r="B4000">
        <v>1701216133</v>
      </c>
      <c r="C4000" t="s">
        <v>18</v>
      </c>
      <c r="D4000" t="s">
        <v>21</v>
      </c>
      <c r="E4000" s="29">
        <v>46207</v>
      </c>
      <c r="F4000" t="s">
        <v>5</v>
      </c>
      <c r="G4000" s="28">
        <v>0.56458333333333333</v>
      </c>
      <c r="H4000" s="28">
        <v>0.63402777777777775</v>
      </c>
      <c r="I4000">
        <v>2</v>
      </c>
      <c r="J4000" t="s">
        <v>146</v>
      </c>
      <c r="K4000">
        <v>5</v>
      </c>
      <c r="L4000" t="s">
        <v>147</v>
      </c>
      <c r="M4000" t="s">
        <v>10046</v>
      </c>
      <c r="N4000" t="s">
        <v>10047</v>
      </c>
      <c r="O4000" t="s">
        <v>10048</v>
      </c>
      <c r="P4000" t="s">
        <v>10049</v>
      </c>
    </row>
    <row r="4001" spans="1:16" x14ac:dyDescent="0.35">
      <c r="A4001" t="s">
        <v>123</v>
      </c>
      <c r="B4001">
        <v>1701216133</v>
      </c>
      <c r="C4001" t="s">
        <v>18</v>
      </c>
      <c r="D4001" t="s">
        <v>21</v>
      </c>
      <c r="E4001" s="29">
        <v>46207</v>
      </c>
      <c r="F4001" t="s">
        <v>5</v>
      </c>
      <c r="G4001" s="28">
        <v>0.64097222222222228</v>
      </c>
      <c r="H4001" s="28">
        <v>0.72430555555555554</v>
      </c>
      <c r="I4001">
        <v>2</v>
      </c>
      <c r="J4001" t="s">
        <v>146</v>
      </c>
      <c r="K4001">
        <v>6</v>
      </c>
      <c r="L4001" t="s">
        <v>147</v>
      </c>
      <c r="M4001" t="s">
        <v>10050</v>
      </c>
      <c r="N4001" t="s">
        <v>10051</v>
      </c>
      <c r="O4001" t="s">
        <v>10052</v>
      </c>
      <c r="P4001" t="s">
        <v>10053</v>
      </c>
    </row>
    <row r="4002" spans="1:16" x14ac:dyDescent="0.35">
      <c r="A4002" t="s">
        <v>123</v>
      </c>
      <c r="B4002">
        <v>1701216133</v>
      </c>
      <c r="C4002" t="s">
        <v>18</v>
      </c>
      <c r="D4002" t="s">
        <v>21</v>
      </c>
      <c r="E4002" s="29">
        <v>46207</v>
      </c>
      <c r="F4002" t="s">
        <v>5</v>
      </c>
      <c r="G4002" s="28">
        <v>0.73124999999999996</v>
      </c>
      <c r="H4002" s="28">
        <v>0.73124999999999996</v>
      </c>
      <c r="I4002">
        <v>0</v>
      </c>
      <c r="J4002" t="s">
        <v>174</v>
      </c>
      <c r="K4002">
        <v>0</v>
      </c>
      <c r="L4002" t="s">
        <v>5719</v>
      </c>
      <c r="M4002" t="s">
        <v>10054</v>
      </c>
      <c r="N4002" t="s">
        <v>10055</v>
      </c>
      <c r="O4002" t="s">
        <v>10056</v>
      </c>
      <c r="P4002" t="s">
        <v>10057</v>
      </c>
    </row>
    <row r="4003" spans="1:16" x14ac:dyDescent="0.35">
      <c r="A4003" t="s">
        <v>123</v>
      </c>
      <c r="B4003">
        <v>1701216133</v>
      </c>
      <c r="C4003" t="s">
        <v>18</v>
      </c>
      <c r="D4003" t="s">
        <v>21</v>
      </c>
      <c r="E4003" s="29">
        <v>46207</v>
      </c>
      <c r="F4003" t="s">
        <v>5</v>
      </c>
      <c r="G4003" s="28">
        <v>0.73819444444444449</v>
      </c>
      <c r="H4003" s="28">
        <v>0.73819444444444449</v>
      </c>
      <c r="I4003">
        <v>0</v>
      </c>
      <c r="J4003" t="s">
        <v>174</v>
      </c>
      <c r="K4003">
        <v>0</v>
      </c>
      <c r="L4003" t="s">
        <v>4417</v>
      </c>
      <c r="M4003" t="s">
        <v>10042</v>
      </c>
      <c r="N4003" t="s">
        <v>10043</v>
      </c>
      <c r="O4003" t="s">
        <v>10044</v>
      </c>
      <c r="P4003" t="s">
        <v>10045</v>
      </c>
    </row>
    <row r="4004" spans="1:16" x14ac:dyDescent="0.35">
      <c r="A4004" t="s">
        <v>123</v>
      </c>
      <c r="B4004">
        <v>1701216133</v>
      </c>
      <c r="C4004" t="s">
        <v>18</v>
      </c>
      <c r="D4004" t="s">
        <v>21</v>
      </c>
      <c r="E4004" s="29">
        <v>46207</v>
      </c>
      <c r="F4004" t="s">
        <v>5</v>
      </c>
      <c r="G4004" s="28">
        <v>0.74513888888888891</v>
      </c>
      <c r="H4004" s="28">
        <v>0.74513888888888891</v>
      </c>
      <c r="I4004">
        <v>0</v>
      </c>
      <c r="J4004" t="s">
        <v>174</v>
      </c>
      <c r="K4004">
        <v>0</v>
      </c>
      <c r="L4004" t="s">
        <v>5371</v>
      </c>
      <c r="M4004" t="s">
        <v>10058</v>
      </c>
      <c r="N4004" t="s">
        <v>10059</v>
      </c>
      <c r="O4004" t="s">
        <v>10060</v>
      </c>
      <c r="P4004" t="s">
        <v>10061</v>
      </c>
    </row>
    <row r="4005" spans="1:16" x14ac:dyDescent="0.35">
      <c r="A4005" t="s">
        <v>123</v>
      </c>
      <c r="B4005">
        <v>1701216133</v>
      </c>
      <c r="C4005" t="s">
        <v>18</v>
      </c>
      <c r="D4005" t="s">
        <v>21</v>
      </c>
      <c r="E4005" s="29">
        <v>46207</v>
      </c>
      <c r="F4005" t="s">
        <v>5</v>
      </c>
      <c r="G4005" s="28">
        <v>0.75208333333333333</v>
      </c>
      <c r="H4005" s="28">
        <v>0.75208333333333333</v>
      </c>
      <c r="I4005">
        <v>0</v>
      </c>
      <c r="J4005" t="s">
        <v>174</v>
      </c>
      <c r="K4005">
        <v>0</v>
      </c>
      <c r="L4005" t="s">
        <v>4726</v>
      </c>
      <c r="M4005" t="s">
        <v>10062</v>
      </c>
      <c r="N4005" t="s">
        <v>10063</v>
      </c>
      <c r="O4005" t="s">
        <v>10064</v>
      </c>
      <c r="P4005" t="s">
        <v>10065</v>
      </c>
    </row>
    <row r="4006" spans="1:16" x14ac:dyDescent="0.35">
      <c r="A4006" t="s">
        <v>123</v>
      </c>
      <c r="B4006">
        <v>1701216133</v>
      </c>
      <c r="C4006" t="s">
        <v>18</v>
      </c>
      <c r="D4006" t="s">
        <v>21</v>
      </c>
      <c r="E4006" s="29">
        <v>46207</v>
      </c>
      <c r="F4006" t="s">
        <v>5</v>
      </c>
      <c r="G4006" s="28">
        <v>0.75902777777777775</v>
      </c>
      <c r="H4006" s="28">
        <v>0.75902777777777775</v>
      </c>
      <c r="I4006">
        <v>0</v>
      </c>
      <c r="J4006" t="s">
        <v>174</v>
      </c>
      <c r="K4006">
        <v>0</v>
      </c>
      <c r="L4006" t="s">
        <v>10066</v>
      </c>
      <c r="M4006" t="s">
        <v>10067</v>
      </c>
      <c r="N4006" t="s">
        <v>10068</v>
      </c>
      <c r="O4006" t="s">
        <v>10069</v>
      </c>
      <c r="P4006" t="s">
        <v>10070</v>
      </c>
    </row>
    <row r="4007" spans="1:16" x14ac:dyDescent="0.35">
      <c r="A4007" t="s">
        <v>123</v>
      </c>
      <c r="B4007">
        <v>1701216133</v>
      </c>
      <c r="C4007" t="s">
        <v>18</v>
      </c>
      <c r="D4007" t="s">
        <v>21</v>
      </c>
      <c r="E4007" s="29">
        <v>46207</v>
      </c>
      <c r="F4007" t="s">
        <v>5</v>
      </c>
      <c r="G4007" s="28">
        <v>0.76597222222222228</v>
      </c>
      <c r="H4007" s="28">
        <v>0.76597222222222228</v>
      </c>
      <c r="I4007">
        <v>0</v>
      </c>
      <c r="J4007" t="s">
        <v>174</v>
      </c>
      <c r="K4007">
        <v>0</v>
      </c>
      <c r="L4007" t="s">
        <v>10071</v>
      </c>
      <c r="M4007" t="s">
        <v>10072</v>
      </c>
      <c r="N4007" t="s">
        <v>10073</v>
      </c>
      <c r="O4007" t="s">
        <v>10074</v>
      </c>
      <c r="P4007" t="s">
        <v>10075</v>
      </c>
    </row>
    <row r="4008" spans="1:16" x14ac:dyDescent="0.35">
      <c r="A4008" t="s">
        <v>123</v>
      </c>
      <c r="B4008">
        <v>1701216133</v>
      </c>
      <c r="C4008" t="s">
        <v>18</v>
      </c>
      <c r="D4008" t="s">
        <v>21</v>
      </c>
      <c r="E4008" s="29">
        <v>46207</v>
      </c>
      <c r="F4008" t="s">
        <v>5</v>
      </c>
      <c r="G4008" s="28">
        <v>0.7729166666666667</v>
      </c>
      <c r="H4008" s="28">
        <v>0.7729166666666667</v>
      </c>
      <c r="I4008">
        <v>0</v>
      </c>
      <c r="J4008" t="s">
        <v>174</v>
      </c>
      <c r="K4008">
        <v>0</v>
      </c>
      <c r="L4008" t="s">
        <v>1965</v>
      </c>
      <c r="M4008" t="s">
        <v>10076</v>
      </c>
      <c r="N4008" t="s">
        <v>10077</v>
      </c>
      <c r="O4008" t="s">
        <v>10078</v>
      </c>
      <c r="P4008" t="s">
        <v>10079</v>
      </c>
    </row>
    <row r="4009" spans="1:16" x14ac:dyDescent="0.35">
      <c r="A4009" t="s">
        <v>123</v>
      </c>
      <c r="B4009">
        <v>1701216133</v>
      </c>
      <c r="C4009" t="s">
        <v>18</v>
      </c>
      <c r="D4009" t="s">
        <v>21</v>
      </c>
      <c r="E4009" s="29">
        <v>46207</v>
      </c>
      <c r="F4009" t="s">
        <v>5</v>
      </c>
      <c r="G4009" s="28">
        <v>0.77986111111111112</v>
      </c>
      <c r="H4009" s="28">
        <v>0.77986111111111112</v>
      </c>
      <c r="I4009">
        <v>0</v>
      </c>
      <c r="J4009" t="s">
        <v>174</v>
      </c>
      <c r="K4009">
        <v>0</v>
      </c>
      <c r="L4009" t="s">
        <v>1947</v>
      </c>
      <c r="M4009" t="s">
        <v>10080</v>
      </c>
      <c r="N4009" t="s">
        <v>10081</v>
      </c>
      <c r="O4009" t="s">
        <v>10082</v>
      </c>
      <c r="P4009" t="s">
        <v>10083</v>
      </c>
    </row>
    <row r="4010" spans="1:16" x14ac:dyDescent="0.35">
      <c r="A4010" t="s">
        <v>123</v>
      </c>
      <c r="B4010">
        <v>1701216133</v>
      </c>
      <c r="C4010" t="s">
        <v>18</v>
      </c>
      <c r="D4010" t="s">
        <v>21</v>
      </c>
      <c r="E4010" s="29">
        <v>46207</v>
      </c>
      <c r="F4010" t="s">
        <v>5</v>
      </c>
      <c r="G4010" s="28">
        <v>0.78680555555555554</v>
      </c>
      <c r="H4010" s="28">
        <v>0.78680555555555554</v>
      </c>
      <c r="I4010">
        <v>0</v>
      </c>
      <c r="J4010" t="s">
        <v>174</v>
      </c>
      <c r="K4010">
        <v>0</v>
      </c>
      <c r="L4010" t="s">
        <v>3518</v>
      </c>
      <c r="M4010" t="s">
        <v>10084</v>
      </c>
      <c r="N4010" t="s">
        <v>10085</v>
      </c>
      <c r="O4010" t="s">
        <v>10086</v>
      </c>
      <c r="P4010" t="s">
        <v>6404</v>
      </c>
    </row>
    <row r="4011" spans="1:16" x14ac:dyDescent="0.35">
      <c r="A4011" t="s">
        <v>123</v>
      </c>
      <c r="B4011">
        <v>1701216133</v>
      </c>
      <c r="C4011" t="s">
        <v>18</v>
      </c>
      <c r="D4011" t="s">
        <v>21</v>
      </c>
      <c r="E4011" s="29">
        <v>46208</v>
      </c>
      <c r="F4011" t="s">
        <v>6</v>
      </c>
      <c r="G4011" s="28">
        <v>0.37708333333333333</v>
      </c>
      <c r="H4011" s="28">
        <v>0.37708333333333333</v>
      </c>
      <c r="I4011">
        <v>0</v>
      </c>
      <c r="J4011" t="s">
        <v>174</v>
      </c>
      <c r="K4011">
        <v>0</v>
      </c>
      <c r="L4011" t="s">
        <v>1176</v>
      </c>
      <c r="M4011" t="s">
        <v>10087</v>
      </c>
      <c r="N4011" t="s">
        <v>10088</v>
      </c>
      <c r="O4011" t="s">
        <v>10089</v>
      </c>
      <c r="P4011" t="s">
        <v>10090</v>
      </c>
    </row>
    <row r="4012" spans="1:16" x14ac:dyDescent="0.35">
      <c r="A4012" t="s">
        <v>123</v>
      </c>
      <c r="B4012">
        <v>1701216133</v>
      </c>
      <c r="C4012" t="s">
        <v>18</v>
      </c>
      <c r="D4012" t="s">
        <v>21</v>
      </c>
      <c r="E4012" s="29">
        <v>46208</v>
      </c>
      <c r="F4012" t="s">
        <v>6</v>
      </c>
      <c r="G4012" s="28">
        <v>0.3840277777777778</v>
      </c>
      <c r="H4012" s="28">
        <v>0.3840277777777778</v>
      </c>
      <c r="I4012">
        <v>0</v>
      </c>
      <c r="J4012" t="s">
        <v>174</v>
      </c>
      <c r="K4012">
        <v>0</v>
      </c>
      <c r="L4012" t="s">
        <v>1380</v>
      </c>
      <c r="M4012" t="s">
        <v>10091</v>
      </c>
      <c r="N4012" t="s">
        <v>10092</v>
      </c>
      <c r="O4012" t="s">
        <v>10093</v>
      </c>
      <c r="P4012" t="s">
        <v>10094</v>
      </c>
    </row>
    <row r="4013" spans="1:16" x14ac:dyDescent="0.35">
      <c r="A4013" t="s">
        <v>123</v>
      </c>
      <c r="B4013">
        <v>1701216133</v>
      </c>
      <c r="C4013" t="s">
        <v>18</v>
      </c>
      <c r="D4013" t="s">
        <v>21</v>
      </c>
      <c r="E4013" s="29">
        <v>46208</v>
      </c>
      <c r="F4013" t="s">
        <v>6</v>
      </c>
      <c r="G4013" s="28">
        <v>0.39097222222222222</v>
      </c>
      <c r="H4013" s="28">
        <v>0.39097222222222222</v>
      </c>
      <c r="I4013">
        <v>0</v>
      </c>
      <c r="J4013" t="s">
        <v>174</v>
      </c>
      <c r="K4013">
        <v>0</v>
      </c>
      <c r="L4013" t="s">
        <v>6717</v>
      </c>
      <c r="M4013" t="s">
        <v>10095</v>
      </c>
      <c r="N4013" t="s">
        <v>10096</v>
      </c>
      <c r="O4013" t="s">
        <v>10097</v>
      </c>
      <c r="P4013" t="s">
        <v>7713</v>
      </c>
    </row>
    <row r="4014" spans="1:16" x14ac:dyDescent="0.35">
      <c r="A4014" t="s">
        <v>123</v>
      </c>
      <c r="B4014">
        <v>1701216133</v>
      </c>
      <c r="C4014" t="s">
        <v>18</v>
      </c>
      <c r="D4014" t="s">
        <v>21</v>
      </c>
      <c r="E4014" s="29">
        <v>46208</v>
      </c>
      <c r="F4014" t="s">
        <v>6</v>
      </c>
      <c r="G4014" s="28">
        <v>0.39791666666666664</v>
      </c>
      <c r="H4014" s="28">
        <v>0.39791666666666664</v>
      </c>
      <c r="I4014">
        <v>0</v>
      </c>
      <c r="J4014" t="s">
        <v>174</v>
      </c>
      <c r="K4014">
        <v>0</v>
      </c>
      <c r="L4014" t="s">
        <v>6659</v>
      </c>
      <c r="M4014" t="s">
        <v>10098</v>
      </c>
      <c r="N4014" t="s">
        <v>10099</v>
      </c>
      <c r="O4014" t="s">
        <v>10100</v>
      </c>
      <c r="P4014" t="s">
        <v>10101</v>
      </c>
    </row>
    <row r="4015" spans="1:16" x14ac:dyDescent="0.35">
      <c r="A4015" t="s">
        <v>123</v>
      </c>
      <c r="B4015">
        <v>1701216133</v>
      </c>
      <c r="C4015" t="s">
        <v>18</v>
      </c>
      <c r="D4015" t="s">
        <v>21</v>
      </c>
      <c r="E4015" s="29">
        <v>46208</v>
      </c>
      <c r="F4015" t="s">
        <v>6</v>
      </c>
      <c r="G4015" s="28">
        <v>0.40486111111111112</v>
      </c>
      <c r="H4015" s="28">
        <v>0.40486111111111112</v>
      </c>
      <c r="I4015">
        <v>0</v>
      </c>
      <c r="J4015" t="s">
        <v>174</v>
      </c>
      <c r="K4015">
        <v>0</v>
      </c>
      <c r="L4015" t="s">
        <v>3500</v>
      </c>
      <c r="M4015" t="s">
        <v>10102</v>
      </c>
      <c r="N4015" t="s">
        <v>10103</v>
      </c>
      <c r="O4015" t="s">
        <v>10104</v>
      </c>
      <c r="P4015" t="s">
        <v>3090</v>
      </c>
    </row>
    <row r="4016" spans="1:16" x14ac:dyDescent="0.35">
      <c r="A4016" t="s">
        <v>123</v>
      </c>
      <c r="B4016">
        <v>1701216133</v>
      </c>
      <c r="C4016" t="s">
        <v>18</v>
      </c>
      <c r="D4016" t="s">
        <v>21</v>
      </c>
      <c r="E4016" s="29">
        <v>46208</v>
      </c>
      <c r="F4016" t="s">
        <v>6</v>
      </c>
      <c r="G4016" s="28">
        <v>0.41180555555555554</v>
      </c>
      <c r="H4016" s="28">
        <v>0.41180555555555554</v>
      </c>
      <c r="I4016">
        <v>0</v>
      </c>
      <c r="J4016" t="s">
        <v>174</v>
      </c>
      <c r="K4016">
        <v>0</v>
      </c>
      <c r="L4016" t="s">
        <v>2623</v>
      </c>
      <c r="M4016" t="s">
        <v>10105</v>
      </c>
      <c r="N4016" t="s">
        <v>10106</v>
      </c>
      <c r="O4016" t="s">
        <v>10107</v>
      </c>
      <c r="P4016" t="s">
        <v>10108</v>
      </c>
    </row>
    <row r="4017" spans="1:16" x14ac:dyDescent="0.35">
      <c r="A4017" t="s">
        <v>123</v>
      </c>
      <c r="B4017">
        <v>1701216133</v>
      </c>
      <c r="C4017" t="s">
        <v>18</v>
      </c>
      <c r="D4017" t="s">
        <v>21</v>
      </c>
      <c r="E4017" s="29">
        <v>46208</v>
      </c>
      <c r="F4017" t="s">
        <v>6</v>
      </c>
      <c r="G4017" s="28">
        <v>0.41875000000000001</v>
      </c>
      <c r="H4017" s="28">
        <v>0.41875000000000001</v>
      </c>
      <c r="I4017">
        <v>0</v>
      </c>
      <c r="J4017" t="s">
        <v>174</v>
      </c>
      <c r="K4017">
        <v>0</v>
      </c>
      <c r="L4017" t="s">
        <v>1851</v>
      </c>
      <c r="M4017" t="s">
        <v>10109</v>
      </c>
      <c r="N4017" t="s">
        <v>10110</v>
      </c>
      <c r="O4017" t="s">
        <v>10111</v>
      </c>
      <c r="P4017" t="s">
        <v>10112</v>
      </c>
    </row>
    <row r="4018" spans="1:16" x14ac:dyDescent="0.35">
      <c r="A4018" t="s">
        <v>123</v>
      </c>
      <c r="B4018">
        <v>1701216133</v>
      </c>
      <c r="C4018" t="s">
        <v>18</v>
      </c>
      <c r="D4018" t="s">
        <v>21</v>
      </c>
      <c r="E4018" s="29">
        <v>46208</v>
      </c>
      <c r="F4018" t="s">
        <v>6</v>
      </c>
      <c r="G4018" s="28">
        <v>0.42569444444444443</v>
      </c>
      <c r="H4018" s="28">
        <v>0.42569444444444443</v>
      </c>
      <c r="I4018">
        <v>0</v>
      </c>
      <c r="J4018" t="s">
        <v>174</v>
      </c>
      <c r="K4018">
        <v>0</v>
      </c>
      <c r="L4018" t="s">
        <v>624</v>
      </c>
      <c r="M4018" t="s">
        <v>10113</v>
      </c>
      <c r="N4018" t="s">
        <v>10114</v>
      </c>
      <c r="O4018" t="s">
        <v>10115</v>
      </c>
      <c r="P4018" t="s">
        <v>10116</v>
      </c>
    </row>
    <row r="4019" spans="1:16" x14ac:dyDescent="0.35">
      <c r="A4019" t="s">
        <v>123</v>
      </c>
      <c r="B4019">
        <v>1701216133</v>
      </c>
      <c r="C4019" t="s">
        <v>18</v>
      </c>
      <c r="D4019" t="s">
        <v>21</v>
      </c>
      <c r="E4019" s="29">
        <v>46208</v>
      </c>
      <c r="F4019" t="s">
        <v>6</v>
      </c>
      <c r="G4019" s="28">
        <v>0.43263888888888891</v>
      </c>
      <c r="H4019" s="28">
        <v>0.46041666666666664</v>
      </c>
      <c r="I4019">
        <v>1</v>
      </c>
      <c r="J4019" t="s">
        <v>146</v>
      </c>
      <c r="K4019">
        <v>2</v>
      </c>
      <c r="L4019" t="s">
        <v>147</v>
      </c>
      <c r="M4019" t="s">
        <v>10117</v>
      </c>
      <c r="N4019" t="s">
        <v>10118</v>
      </c>
      <c r="O4019" t="s">
        <v>10119</v>
      </c>
      <c r="P4019" t="s">
        <v>10120</v>
      </c>
    </row>
    <row r="4020" spans="1:16" x14ac:dyDescent="0.35">
      <c r="A4020" t="s">
        <v>123</v>
      </c>
      <c r="B4020">
        <v>1701216133</v>
      </c>
      <c r="C4020" t="s">
        <v>18</v>
      </c>
      <c r="D4020" t="s">
        <v>21</v>
      </c>
      <c r="E4020" s="29">
        <v>46208</v>
      </c>
      <c r="F4020" t="s">
        <v>6</v>
      </c>
      <c r="G4020" s="28">
        <v>0.46736111111111112</v>
      </c>
      <c r="H4020" s="28">
        <v>0.46736111111111112</v>
      </c>
      <c r="I4020">
        <v>0</v>
      </c>
      <c r="J4020" t="s">
        <v>174</v>
      </c>
      <c r="K4020">
        <v>0</v>
      </c>
      <c r="L4020" t="s">
        <v>6956</v>
      </c>
      <c r="M4020" t="s">
        <v>10113</v>
      </c>
      <c r="N4020" t="s">
        <v>10114</v>
      </c>
      <c r="O4020" t="s">
        <v>10115</v>
      </c>
      <c r="P4020" t="s">
        <v>10116</v>
      </c>
    </row>
    <row r="4021" spans="1:16" x14ac:dyDescent="0.35">
      <c r="A4021" t="s">
        <v>123</v>
      </c>
      <c r="B4021">
        <v>1701216133</v>
      </c>
      <c r="C4021" t="s">
        <v>18</v>
      </c>
      <c r="D4021" t="s">
        <v>21</v>
      </c>
      <c r="E4021" s="29">
        <v>46208</v>
      </c>
      <c r="F4021" t="s">
        <v>6</v>
      </c>
      <c r="G4021" s="28">
        <v>0.47430555555555554</v>
      </c>
      <c r="H4021" s="28">
        <v>0.47430555555555554</v>
      </c>
      <c r="I4021">
        <v>0</v>
      </c>
      <c r="J4021" t="s">
        <v>174</v>
      </c>
      <c r="K4021">
        <v>0</v>
      </c>
      <c r="L4021" t="s">
        <v>5114</v>
      </c>
      <c r="M4021" t="s">
        <v>10121</v>
      </c>
      <c r="N4021" t="s">
        <v>10122</v>
      </c>
      <c r="O4021" t="s">
        <v>10123</v>
      </c>
      <c r="P4021" t="s">
        <v>10124</v>
      </c>
    </row>
    <row r="4022" spans="1:16" x14ac:dyDescent="0.35">
      <c r="A4022" t="s">
        <v>123</v>
      </c>
      <c r="B4022">
        <v>1701216133</v>
      </c>
      <c r="C4022" t="s">
        <v>18</v>
      </c>
      <c r="D4022" t="s">
        <v>21</v>
      </c>
      <c r="E4022" s="29">
        <v>46208</v>
      </c>
      <c r="F4022" t="s">
        <v>6</v>
      </c>
      <c r="G4022" s="28">
        <v>0.48125000000000001</v>
      </c>
      <c r="H4022" s="28">
        <v>0.48125000000000001</v>
      </c>
      <c r="I4022">
        <v>0</v>
      </c>
      <c r="J4022" t="s">
        <v>174</v>
      </c>
      <c r="K4022">
        <v>0</v>
      </c>
      <c r="L4022" t="s">
        <v>245</v>
      </c>
      <c r="M4022" t="s">
        <v>10125</v>
      </c>
      <c r="N4022" t="s">
        <v>10126</v>
      </c>
      <c r="O4022" t="s">
        <v>10127</v>
      </c>
      <c r="P4022" t="s">
        <v>10128</v>
      </c>
    </row>
    <row r="4023" spans="1:16" x14ac:dyDescent="0.35">
      <c r="A4023" t="s">
        <v>123</v>
      </c>
      <c r="B4023">
        <v>1701216133</v>
      </c>
      <c r="C4023" t="s">
        <v>18</v>
      </c>
      <c r="D4023" t="s">
        <v>21</v>
      </c>
      <c r="E4023" s="29">
        <v>46208</v>
      </c>
      <c r="F4023" t="s">
        <v>6</v>
      </c>
      <c r="G4023" s="28">
        <v>0.48819444444444443</v>
      </c>
      <c r="H4023" s="28">
        <v>0.48819444444444443</v>
      </c>
      <c r="I4023">
        <v>0</v>
      </c>
      <c r="J4023" t="s">
        <v>174</v>
      </c>
      <c r="K4023">
        <v>0</v>
      </c>
      <c r="L4023" t="s">
        <v>349</v>
      </c>
      <c r="M4023" t="s">
        <v>10129</v>
      </c>
      <c r="N4023" t="s">
        <v>10130</v>
      </c>
      <c r="O4023" t="s">
        <v>10131</v>
      </c>
      <c r="P4023" t="s">
        <v>10132</v>
      </c>
    </row>
    <row r="4024" spans="1:16" x14ac:dyDescent="0.35">
      <c r="A4024" t="s">
        <v>123</v>
      </c>
      <c r="B4024">
        <v>1701216133</v>
      </c>
      <c r="C4024" t="s">
        <v>18</v>
      </c>
      <c r="D4024" t="s">
        <v>21</v>
      </c>
      <c r="E4024" s="29">
        <v>46208</v>
      </c>
      <c r="F4024" t="s">
        <v>6</v>
      </c>
      <c r="G4024" s="28">
        <v>0.49513888888888891</v>
      </c>
      <c r="H4024" s="28">
        <v>0.53680555555555554</v>
      </c>
      <c r="I4024">
        <v>1</v>
      </c>
      <c r="J4024" t="s">
        <v>146</v>
      </c>
      <c r="K4024">
        <v>3</v>
      </c>
      <c r="L4024" t="s">
        <v>147</v>
      </c>
      <c r="M4024" t="s">
        <v>10133</v>
      </c>
      <c r="N4024" t="s">
        <v>10134</v>
      </c>
      <c r="O4024" t="s">
        <v>10135</v>
      </c>
      <c r="P4024" t="s">
        <v>10136</v>
      </c>
    </row>
    <row r="4025" spans="1:16" x14ac:dyDescent="0.35">
      <c r="A4025" t="s">
        <v>123</v>
      </c>
      <c r="B4025">
        <v>1701216133</v>
      </c>
      <c r="C4025" t="s">
        <v>18</v>
      </c>
      <c r="D4025" t="s">
        <v>21</v>
      </c>
      <c r="E4025" s="29">
        <v>46208</v>
      </c>
      <c r="F4025" t="s">
        <v>6</v>
      </c>
      <c r="G4025" s="28">
        <v>0.54374999999999996</v>
      </c>
      <c r="H4025" s="28">
        <v>0.54374999999999996</v>
      </c>
      <c r="I4025">
        <v>0</v>
      </c>
      <c r="J4025" t="s">
        <v>174</v>
      </c>
      <c r="K4025">
        <v>0</v>
      </c>
      <c r="L4025" t="s">
        <v>186</v>
      </c>
      <c r="M4025" t="s">
        <v>10137</v>
      </c>
      <c r="N4025" t="s">
        <v>10138</v>
      </c>
      <c r="O4025" t="s">
        <v>10139</v>
      </c>
      <c r="P4025" t="s">
        <v>10140</v>
      </c>
    </row>
    <row r="4026" spans="1:16" x14ac:dyDescent="0.35">
      <c r="A4026" t="s">
        <v>123</v>
      </c>
      <c r="B4026">
        <v>1701216133</v>
      </c>
      <c r="C4026" t="s">
        <v>18</v>
      </c>
      <c r="D4026" t="s">
        <v>21</v>
      </c>
      <c r="E4026" s="29">
        <v>46208</v>
      </c>
      <c r="F4026" t="s">
        <v>6</v>
      </c>
      <c r="G4026" s="28">
        <v>0.55069444444444449</v>
      </c>
      <c r="H4026" s="28">
        <v>0.55069444444444449</v>
      </c>
      <c r="I4026">
        <v>0</v>
      </c>
      <c r="J4026" t="s">
        <v>174</v>
      </c>
      <c r="K4026">
        <v>0</v>
      </c>
      <c r="L4026" t="s">
        <v>186</v>
      </c>
      <c r="M4026" t="s">
        <v>10141</v>
      </c>
      <c r="N4026" t="s">
        <v>10130</v>
      </c>
      <c r="O4026" t="s">
        <v>10131</v>
      </c>
      <c r="P4026" t="s">
        <v>10132</v>
      </c>
    </row>
    <row r="4027" spans="1:16" x14ac:dyDescent="0.35">
      <c r="A4027" t="s">
        <v>123</v>
      </c>
      <c r="B4027">
        <v>1701216133</v>
      </c>
      <c r="C4027" t="s">
        <v>18</v>
      </c>
      <c r="D4027" t="s">
        <v>21</v>
      </c>
      <c r="E4027" s="29">
        <v>46208</v>
      </c>
      <c r="F4027" t="s">
        <v>6</v>
      </c>
      <c r="G4027" s="28">
        <v>0.55763888888888891</v>
      </c>
      <c r="H4027" s="28">
        <v>0.60624999999999996</v>
      </c>
      <c r="I4027">
        <v>1</v>
      </c>
      <c r="J4027" t="s">
        <v>146</v>
      </c>
      <c r="K4027">
        <v>4</v>
      </c>
      <c r="L4027" t="s">
        <v>147</v>
      </c>
      <c r="M4027" t="s">
        <v>10137</v>
      </c>
      <c r="N4027" t="s">
        <v>10138</v>
      </c>
      <c r="O4027" t="s">
        <v>10139</v>
      </c>
      <c r="P4027" t="s">
        <v>10140</v>
      </c>
    </row>
    <row r="4028" spans="1:16" x14ac:dyDescent="0.35">
      <c r="A4028" t="s">
        <v>123</v>
      </c>
      <c r="B4028">
        <v>1701216133</v>
      </c>
      <c r="C4028" t="s">
        <v>18</v>
      </c>
      <c r="D4028" t="s">
        <v>21</v>
      </c>
      <c r="E4028" s="29">
        <v>46208</v>
      </c>
      <c r="F4028" t="s">
        <v>6</v>
      </c>
      <c r="G4028" s="28">
        <v>0.61319444444444449</v>
      </c>
      <c r="H4028" s="28">
        <v>0.61319444444444449</v>
      </c>
      <c r="I4028">
        <v>0</v>
      </c>
      <c r="J4028" t="s">
        <v>174</v>
      </c>
      <c r="K4028">
        <v>0</v>
      </c>
      <c r="L4028" t="s">
        <v>349</v>
      </c>
      <c r="M4028" t="s">
        <v>10133</v>
      </c>
      <c r="N4028" t="s">
        <v>10134</v>
      </c>
      <c r="O4028" t="s">
        <v>10135</v>
      </c>
      <c r="P4028" t="s">
        <v>10136</v>
      </c>
    </row>
    <row r="4029" spans="1:16" x14ac:dyDescent="0.35">
      <c r="A4029" t="s">
        <v>123</v>
      </c>
      <c r="B4029">
        <v>1701216133</v>
      </c>
      <c r="C4029" t="s">
        <v>18</v>
      </c>
      <c r="D4029" t="s">
        <v>21</v>
      </c>
      <c r="E4029" s="29">
        <v>46208</v>
      </c>
      <c r="F4029" t="s">
        <v>6</v>
      </c>
      <c r="G4029" s="28">
        <v>0.62013888888888891</v>
      </c>
      <c r="H4029" s="28">
        <v>0.62708333333333333</v>
      </c>
      <c r="I4029">
        <v>0</v>
      </c>
      <c r="J4029" t="s">
        <v>146</v>
      </c>
      <c r="K4029">
        <v>0</v>
      </c>
      <c r="L4029" t="s">
        <v>147</v>
      </c>
      <c r="M4029" t="s">
        <v>10129</v>
      </c>
      <c r="N4029" t="s">
        <v>10130</v>
      </c>
      <c r="O4029" t="s">
        <v>10131</v>
      </c>
      <c r="P4029" t="s">
        <v>10132</v>
      </c>
    </row>
    <row r="4030" spans="1:16" x14ac:dyDescent="0.35">
      <c r="A4030" t="s">
        <v>123</v>
      </c>
      <c r="B4030">
        <v>1701216133</v>
      </c>
      <c r="C4030" t="s">
        <v>18</v>
      </c>
      <c r="D4030" t="s">
        <v>21</v>
      </c>
      <c r="E4030" s="29">
        <v>46208</v>
      </c>
      <c r="F4030" t="s">
        <v>6</v>
      </c>
      <c r="G4030" s="28">
        <v>0.63402777777777775</v>
      </c>
      <c r="H4030" s="28">
        <v>0.63402777777777775</v>
      </c>
      <c r="I4030">
        <v>0</v>
      </c>
      <c r="J4030" t="s">
        <v>174</v>
      </c>
      <c r="K4030">
        <v>0</v>
      </c>
      <c r="L4030" t="s">
        <v>349</v>
      </c>
      <c r="M4030" t="s">
        <v>10133</v>
      </c>
      <c r="N4030" t="s">
        <v>10134</v>
      </c>
      <c r="O4030" t="s">
        <v>10135</v>
      </c>
      <c r="P4030" t="s">
        <v>10136</v>
      </c>
    </row>
    <row r="4031" spans="1:16" x14ac:dyDescent="0.35">
      <c r="A4031" t="s">
        <v>123</v>
      </c>
      <c r="B4031">
        <v>1701216133</v>
      </c>
      <c r="C4031" t="s">
        <v>18</v>
      </c>
      <c r="D4031" t="s">
        <v>21</v>
      </c>
      <c r="E4031" s="29">
        <v>46208</v>
      </c>
      <c r="F4031" t="s">
        <v>6</v>
      </c>
      <c r="G4031" s="28">
        <v>0.64097222222222228</v>
      </c>
      <c r="H4031" s="28">
        <v>0.64097222222222228</v>
      </c>
      <c r="I4031">
        <v>0</v>
      </c>
      <c r="J4031" t="s">
        <v>174</v>
      </c>
      <c r="K4031">
        <v>0</v>
      </c>
      <c r="L4031" t="s">
        <v>349</v>
      </c>
      <c r="M4031" t="s">
        <v>10129</v>
      </c>
      <c r="N4031" t="s">
        <v>10130</v>
      </c>
      <c r="O4031" t="s">
        <v>10131</v>
      </c>
      <c r="P4031" t="s">
        <v>10132</v>
      </c>
    </row>
    <row r="4032" spans="1:16" x14ac:dyDescent="0.35">
      <c r="A4032" t="s">
        <v>123</v>
      </c>
      <c r="B4032">
        <v>1701216133</v>
      </c>
      <c r="C4032" t="s">
        <v>18</v>
      </c>
      <c r="D4032" t="s">
        <v>21</v>
      </c>
      <c r="E4032" s="29">
        <v>46208</v>
      </c>
      <c r="F4032" t="s">
        <v>6</v>
      </c>
      <c r="G4032" s="28">
        <v>0.6479166666666667</v>
      </c>
      <c r="H4032" s="28">
        <v>0.6479166666666667</v>
      </c>
      <c r="I4032">
        <v>0</v>
      </c>
      <c r="J4032" t="s">
        <v>174</v>
      </c>
      <c r="K4032">
        <v>0</v>
      </c>
      <c r="L4032" t="s">
        <v>10142</v>
      </c>
      <c r="M4032" t="s">
        <v>10133</v>
      </c>
      <c r="N4032" t="s">
        <v>10134</v>
      </c>
      <c r="O4032" t="s">
        <v>10135</v>
      </c>
      <c r="P4032" t="s">
        <v>10136</v>
      </c>
    </row>
    <row r="4033" spans="1:16" x14ac:dyDescent="0.35">
      <c r="A4033" t="s">
        <v>123</v>
      </c>
      <c r="B4033">
        <v>1701216133</v>
      </c>
      <c r="C4033" t="s">
        <v>18</v>
      </c>
      <c r="D4033" t="s">
        <v>21</v>
      </c>
      <c r="E4033" s="29">
        <v>46208</v>
      </c>
      <c r="F4033" t="s">
        <v>6</v>
      </c>
      <c r="G4033" s="28">
        <v>0.65486111111111112</v>
      </c>
      <c r="H4033" s="28">
        <v>0.65486111111111112</v>
      </c>
      <c r="I4033">
        <v>0</v>
      </c>
      <c r="J4033" t="s">
        <v>174</v>
      </c>
      <c r="K4033">
        <v>0</v>
      </c>
      <c r="L4033" t="s">
        <v>10143</v>
      </c>
      <c r="M4033" t="s">
        <v>10144</v>
      </c>
      <c r="N4033" t="s">
        <v>10145</v>
      </c>
      <c r="O4033" t="s">
        <v>10146</v>
      </c>
      <c r="P4033" t="s">
        <v>10147</v>
      </c>
    </row>
    <row r="4034" spans="1:16" x14ac:dyDescent="0.35">
      <c r="A4034" t="s">
        <v>123</v>
      </c>
      <c r="B4034">
        <v>1701216133</v>
      </c>
      <c r="C4034" t="s">
        <v>18</v>
      </c>
      <c r="D4034" t="s">
        <v>21</v>
      </c>
      <c r="E4034" s="29">
        <v>46208</v>
      </c>
      <c r="F4034" t="s">
        <v>6</v>
      </c>
      <c r="G4034" s="28">
        <v>0.66180555555555554</v>
      </c>
      <c r="H4034" s="28">
        <v>0.66180555555555554</v>
      </c>
      <c r="I4034">
        <v>0</v>
      </c>
      <c r="J4034" t="s">
        <v>174</v>
      </c>
      <c r="K4034">
        <v>0</v>
      </c>
      <c r="L4034" t="s">
        <v>2018</v>
      </c>
      <c r="M4034" t="s">
        <v>10148</v>
      </c>
      <c r="N4034" t="s">
        <v>10149</v>
      </c>
      <c r="O4034" t="s">
        <v>10150</v>
      </c>
      <c r="P4034" t="s">
        <v>10151</v>
      </c>
    </row>
    <row r="4035" spans="1:16" x14ac:dyDescent="0.35">
      <c r="A4035" t="s">
        <v>123</v>
      </c>
      <c r="B4035">
        <v>1701216133</v>
      </c>
      <c r="C4035" t="s">
        <v>18</v>
      </c>
      <c r="D4035" t="s">
        <v>21</v>
      </c>
      <c r="E4035" s="29">
        <v>46208</v>
      </c>
      <c r="F4035" t="s">
        <v>6</v>
      </c>
      <c r="G4035" s="28">
        <v>0.66874999999999996</v>
      </c>
      <c r="H4035" s="28">
        <v>0.66874999999999996</v>
      </c>
      <c r="I4035">
        <v>0</v>
      </c>
      <c r="J4035" t="s">
        <v>174</v>
      </c>
      <c r="K4035">
        <v>0</v>
      </c>
      <c r="L4035" t="s">
        <v>1851</v>
      </c>
      <c r="M4035" t="s">
        <v>10152</v>
      </c>
      <c r="N4035" t="s">
        <v>10114</v>
      </c>
      <c r="O4035" t="s">
        <v>10115</v>
      </c>
      <c r="P4035" t="s">
        <v>10116</v>
      </c>
    </row>
    <row r="4036" spans="1:16" x14ac:dyDescent="0.35">
      <c r="A4036" t="s">
        <v>123</v>
      </c>
      <c r="B4036">
        <v>1701216133</v>
      </c>
      <c r="C4036" t="s">
        <v>18</v>
      </c>
      <c r="D4036" t="s">
        <v>21</v>
      </c>
      <c r="E4036" s="29">
        <v>46208</v>
      </c>
      <c r="F4036" t="s">
        <v>6</v>
      </c>
      <c r="G4036" s="28">
        <v>0.67569444444444449</v>
      </c>
      <c r="H4036" s="28">
        <v>0.67569444444444449</v>
      </c>
      <c r="I4036">
        <v>0</v>
      </c>
      <c r="J4036" t="s">
        <v>174</v>
      </c>
      <c r="K4036">
        <v>0</v>
      </c>
      <c r="L4036" t="s">
        <v>1183</v>
      </c>
      <c r="M4036" t="s">
        <v>10109</v>
      </c>
      <c r="N4036" t="s">
        <v>10110</v>
      </c>
      <c r="O4036" t="s">
        <v>10111</v>
      </c>
      <c r="P4036" t="s">
        <v>10112</v>
      </c>
    </row>
    <row r="4037" spans="1:16" x14ac:dyDescent="0.35">
      <c r="A4037" t="s">
        <v>123</v>
      </c>
      <c r="B4037">
        <v>1701216133</v>
      </c>
      <c r="C4037" t="s">
        <v>18</v>
      </c>
      <c r="D4037" t="s">
        <v>21</v>
      </c>
      <c r="E4037" s="29">
        <v>46208</v>
      </c>
      <c r="F4037" t="s">
        <v>6</v>
      </c>
      <c r="G4037" s="28">
        <v>0.68263888888888891</v>
      </c>
      <c r="H4037" s="28">
        <v>0.68263888888888891</v>
      </c>
      <c r="I4037">
        <v>0</v>
      </c>
      <c r="J4037" t="s">
        <v>174</v>
      </c>
      <c r="K4037">
        <v>0</v>
      </c>
      <c r="L4037" t="s">
        <v>1351</v>
      </c>
      <c r="M4037" t="s">
        <v>10153</v>
      </c>
      <c r="N4037" t="s">
        <v>10154</v>
      </c>
      <c r="O4037" t="s">
        <v>10155</v>
      </c>
      <c r="P4037" t="s">
        <v>10156</v>
      </c>
    </row>
    <row r="4038" spans="1:16" x14ac:dyDescent="0.35">
      <c r="A4038" t="s">
        <v>123</v>
      </c>
      <c r="B4038">
        <v>1701216133</v>
      </c>
      <c r="C4038" t="s">
        <v>18</v>
      </c>
      <c r="D4038" t="s">
        <v>21</v>
      </c>
      <c r="E4038" s="29">
        <v>46208</v>
      </c>
      <c r="F4038" t="s">
        <v>6</v>
      </c>
      <c r="G4038" s="28">
        <v>0.68958333333333333</v>
      </c>
      <c r="H4038" s="28">
        <v>0.68958333333333333</v>
      </c>
      <c r="I4038">
        <v>0</v>
      </c>
      <c r="J4038" t="s">
        <v>174</v>
      </c>
      <c r="K4038">
        <v>0</v>
      </c>
      <c r="L4038" t="s">
        <v>3500</v>
      </c>
      <c r="M4038" t="s">
        <v>10105</v>
      </c>
      <c r="N4038" t="s">
        <v>10106</v>
      </c>
      <c r="O4038" t="s">
        <v>10107</v>
      </c>
      <c r="P4038" t="s">
        <v>10108</v>
      </c>
    </row>
    <row r="4039" spans="1:16" x14ac:dyDescent="0.35">
      <c r="A4039" t="s">
        <v>123</v>
      </c>
      <c r="B4039">
        <v>1701216133</v>
      </c>
      <c r="C4039" t="s">
        <v>18</v>
      </c>
      <c r="D4039" t="s">
        <v>21</v>
      </c>
      <c r="E4039" s="29">
        <v>46208</v>
      </c>
      <c r="F4039" t="s">
        <v>6</v>
      </c>
      <c r="G4039" s="28">
        <v>0.69652777777777775</v>
      </c>
      <c r="H4039" s="28">
        <v>0.69652777777777775</v>
      </c>
      <c r="I4039">
        <v>0</v>
      </c>
      <c r="J4039" t="s">
        <v>174</v>
      </c>
      <c r="K4039">
        <v>0</v>
      </c>
      <c r="L4039" t="s">
        <v>2672</v>
      </c>
      <c r="M4039" t="s">
        <v>10157</v>
      </c>
      <c r="N4039" t="s">
        <v>10103</v>
      </c>
      <c r="O4039" t="s">
        <v>10104</v>
      </c>
      <c r="P4039" t="s">
        <v>3090</v>
      </c>
    </row>
    <row r="4040" spans="1:16" x14ac:dyDescent="0.35">
      <c r="A4040" t="s">
        <v>123</v>
      </c>
      <c r="B4040">
        <v>1701216133</v>
      </c>
      <c r="C4040" t="s">
        <v>18</v>
      </c>
      <c r="D4040" t="s">
        <v>21</v>
      </c>
      <c r="E4040" s="29">
        <v>46208</v>
      </c>
      <c r="F4040" t="s">
        <v>6</v>
      </c>
      <c r="G4040" s="28">
        <v>0.70347222222222228</v>
      </c>
      <c r="H4040" s="28">
        <v>0.70347222222222228</v>
      </c>
      <c r="I4040">
        <v>0</v>
      </c>
      <c r="J4040" t="s">
        <v>174</v>
      </c>
      <c r="K4040">
        <v>0</v>
      </c>
      <c r="L4040" t="s">
        <v>6133</v>
      </c>
      <c r="M4040" t="s">
        <v>10158</v>
      </c>
      <c r="N4040" t="s">
        <v>10159</v>
      </c>
      <c r="O4040" t="s">
        <v>10160</v>
      </c>
      <c r="P4040" t="s">
        <v>10161</v>
      </c>
    </row>
    <row r="4041" spans="1:16" x14ac:dyDescent="0.35">
      <c r="A4041" t="s">
        <v>123</v>
      </c>
      <c r="B4041">
        <v>1701216133</v>
      </c>
      <c r="C4041" t="s">
        <v>18</v>
      </c>
      <c r="D4041" t="s">
        <v>21</v>
      </c>
      <c r="E4041" s="29">
        <v>46208</v>
      </c>
      <c r="F4041" t="s">
        <v>6</v>
      </c>
      <c r="G4041" s="28">
        <v>0.7104166666666667</v>
      </c>
      <c r="H4041" s="28">
        <v>0.7104166666666667</v>
      </c>
      <c r="I4041">
        <v>0</v>
      </c>
      <c r="J4041" t="s">
        <v>174</v>
      </c>
      <c r="K4041">
        <v>0</v>
      </c>
      <c r="L4041" t="s">
        <v>5103</v>
      </c>
      <c r="M4041" t="s">
        <v>10162</v>
      </c>
      <c r="N4041" t="s">
        <v>10163</v>
      </c>
      <c r="O4041" t="s">
        <v>10164</v>
      </c>
      <c r="P4041" t="s">
        <v>10165</v>
      </c>
    </row>
    <row r="4042" spans="1:16" x14ac:dyDescent="0.35">
      <c r="A4042" t="s">
        <v>123</v>
      </c>
      <c r="B4042">
        <v>1701216133</v>
      </c>
      <c r="C4042" t="s">
        <v>18</v>
      </c>
      <c r="D4042" t="s">
        <v>21</v>
      </c>
      <c r="E4042" s="29">
        <v>46208</v>
      </c>
      <c r="F4042" t="s">
        <v>6</v>
      </c>
      <c r="G4042" s="28">
        <v>0.71736111111111112</v>
      </c>
      <c r="H4042" s="28">
        <v>0.72430555555555554</v>
      </c>
      <c r="I4042">
        <v>0</v>
      </c>
      <c r="J4042" t="s">
        <v>146</v>
      </c>
      <c r="K4042">
        <v>0</v>
      </c>
      <c r="L4042" t="s">
        <v>147</v>
      </c>
      <c r="M4042" t="s">
        <v>10166</v>
      </c>
      <c r="N4042" t="s">
        <v>10167</v>
      </c>
      <c r="O4042" t="s">
        <v>10168</v>
      </c>
      <c r="P4042" t="s">
        <v>3329</v>
      </c>
    </row>
    <row r="4043" spans="1:16" x14ac:dyDescent="0.35">
      <c r="A4043" t="s">
        <v>123</v>
      </c>
      <c r="B4043">
        <v>1701216133</v>
      </c>
      <c r="C4043" t="s">
        <v>18</v>
      </c>
      <c r="D4043" t="s">
        <v>21</v>
      </c>
      <c r="E4043" s="29">
        <v>46208</v>
      </c>
      <c r="F4043" t="s">
        <v>6</v>
      </c>
      <c r="G4043" s="28">
        <v>0.73124999999999996</v>
      </c>
      <c r="H4043" s="28">
        <v>0.81458333333333333</v>
      </c>
      <c r="I4043">
        <v>2</v>
      </c>
      <c r="J4043" t="s">
        <v>146</v>
      </c>
      <c r="K4043">
        <v>6</v>
      </c>
      <c r="L4043" t="s">
        <v>147</v>
      </c>
      <c r="M4043" t="s">
        <v>9968</v>
      </c>
      <c r="N4043" t="s">
        <v>9969</v>
      </c>
      <c r="O4043" t="s">
        <v>9970</v>
      </c>
      <c r="P4043" t="s">
        <v>9971</v>
      </c>
    </row>
    <row r="4044" spans="1:16" x14ac:dyDescent="0.35">
      <c r="A4044" t="s">
        <v>84</v>
      </c>
      <c r="B4044">
        <v>1322845171</v>
      </c>
      <c r="C4044" t="s">
        <v>19</v>
      </c>
      <c r="D4044" t="s">
        <v>20</v>
      </c>
      <c r="E4044" s="29">
        <v>46204</v>
      </c>
      <c r="F4044" t="s">
        <v>3</v>
      </c>
      <c r="G4044" s="28">
        <v>0.41805555555555557</v>
      </c>
      <c r="H4044" s="28">
        <v>0.47986111111111113</v>
      </c>
      <c r="I4044">
        <v>1</v>
      </c>
      <c r="J4044" t="s">
        <v>146</v>
      </c>
      <c r="K4044">
        <v>4</v>
      </c>
      <c r="L4044" t="s">
        <v>147</v>
      </c>
      <c r="M4044" t="s">
        <v>5868</v>
      </c>
      <c r="N4044" t="s">
        <v>5869</v>
      </c>
      <c r="O4044" t="s">
        <v>5870</v>
      </c>
      <c r="P4044" t="s">
        <v>10169</v>
      </c>
    </row>
    <row r="4045" spans="1:16" x14ac:dyDescent="0.35">
      <c r="A4045" t="s">
        <v>84</v>
      </c>
      <c r="B4045">
        <v>1322845171</v>
      </c>
      <c r="C4045" t="s">
        <v>19</v>
      </c>
      <c r="D4045" t="s">
        <v>20</v>
      </c>
      <c r="E4045" s="29">
        <v>46204</v>
      </c>
      <c r="F4045" t="s">
        <v>3</v>
      </c>
      <c r="G4045" s="28">
        <v>0.48680555555555555</v>
      </c>
      <c r="H4045" s="28">
        <v>0.48680555555555555</v>
      </c>
      <c r="I4045">
        <v>0</v>
      </c>
      <c r="J4045" t="s">
        <v>174</v>
      </c>
      <c r="K4045">
        <v>0</v>
      </c>
      <c r="L4045" t="s">
        <v>1369</v>
      </c>
      <c r="M4045" t="s">
        <v>5872</v>
      </c>
      <c r="N4045" t="s">
        <v>5873</v>
      </c>
      <c r="O4045" t="s">
        <v>5874</v>
      </c>
      <c r="P4045" t="s">
        <v>10170</v>
      </c>
    </row>
    <row r="4046" spans="1:16" x14ac:dyDescent="0.35">
      <c r="A4046" t="s">
        <v>84</v>
      </c>
      <c r="B4046">
        <v>1322845171</v>
      </c>
      <c r="C4046" t="s">
        <v>19</v>
      </c>
      <c r="D4046" t="s">
        <v>20</v>
      </c>
      <c r="E4046" s="29">
        <v>46204</v>
      </c>
      <c r="F4046" t="s">
        <v>3</v>
      </c>
      <c r="G4046" s="28">
        <v>0.49305555555555558</v>
      </c>
      <c r="H4046" s="28">
        <v>0.54236111111111107</v>
      </c>
      <c r="I4046">
        <v>1</v>
      </c>
      <c r="J4046" t="s">
        <v>146</v>
      </c>
      <c r="K4046">
        <v>4</v>
      </c>
      <c r="L4046" t="s">
        <v>147</v>
      </c>
      <c r="M4046" t="s">
        <v>5868</v>
      </c>
      <c r="N4046" t="s">
        <v>5869</v>
      </c>
      <c r="O4046" t="s">
        <v>5870</v>
      </c>
      <c r="P4046" t="s">
        <v>10169</v>
      </c>
    </row>
    <row r="4047" spans="1:16" x14ac:dyDescent="0.35">
      <c r="A4047" t="s">
        <v>84</v>
      </c>
      <c r="B4047">
        <v>1322845171</v>
      </c>
      <c r="C4047" t="s">
        <v>19</v>
      </c>
      <c r="D4047" t="s">
        <v>20</v>
      </c>
      <c r="E4047" s="29">
        <v>46204</v>
      </c>
      <c r="F4047" t="s">
        <v>3</v>
      </c>
      <c r="G4047" s="28">
        <v>0.5493055555555556</v>
      </c>
      <c r="H4047" s="28">
        <v>0.5493055555555556</v>
      </c>
      <c r="I4047">
        <v>0</v>
      </c>
      <c r="J4047" t="s">
        <v>174</v>
      </c>
      <c r="K4047">
        <v>0</v>
      </c>
      <c r="L4047" t="s">
        <v>4630</v>
      </c>
      <c r="M4047" t="s">
        <v>10171</v>
      </c>
      <c r="N4047" t="s">
        <v>10172</v>
      </c>
      <c r="O4047" t="s">
        <v>10173</v>
      </c>
      <c r="P4047" t="s">
        <v>10174</v>
      </c>
    </row>
    <row r="4048" spans="1:16" x14ac:dyDescent="0.35">
      <c r="A4048" t="s">
        <v>84</v>
      </c>
      <c r="B4048">
        <v>1322845171</v>
      </c>
      <c r="C4048" t="s">
        <v>19</v>
      </c>
      <c r="D4048" t="s">
        <v>20</v>
      </c>
      <c r="E4048" s="29">
        <v>46204</v>
      </c>
      <c r="F4048" t="s">
        <v>3</v>
      </c>
      <c r="G4048" s="28">
        <v>0.55625000000000002</v>
      </c>
      <c r="H4048" s="28">
        <v>0.60486111111111107</v>
      </c>
      <c r="I4048">
        <v>1</v>
      </c>
      <c r="J4048" t="s">
        <v>146</v>
      </c>
      <c r="K4048">
        <v>4</v>
      </c>
      <c r="L4048" t="s">
        <v>147</v>
      </c>
      <c r="M4048" t="s">
        <v>5868</v>
      </c>
      <c r="N4048" t="s">
        <v>5869</v>
      </c>
      <c r="O4048" t="s">
        <v>5870</v>
      </c>
      <c r="P4048" t="s">
        <v>10169</v>
      </c>
    </row>
    <row r="4049" spans="1:16" x14ac:dyDescent="0.35">
      <c r="A4049" t="s">
        <v>84</v>
      </c>
      <c r="B4049">
        <v>1322845171</v>
      </c>
      <c r="C4049" t="s">
        <v>19</v>
      </c>
      <c r="D4049" t="s">
        <v>20</v>
      </c>
      <c r="E4049" s="29">
        <v>46204</v>
      </c>
      <c r="F4049" t="s">
        <v>3</v>
      </c>
      <c r="G4049" s="28">
        <v>0.6118055555555556</v>
      </c>
      <c r="H4049" s="28">
        <v>0.6118055555555556</v>
      </c>
      <c r="I4049">
        <v>0</v>
      </c>
      <c r="J4049" t="s">
        <v>174</v>
      </c>
      <c r="K4049">
        <v>0</v>
      </c>
      <c r="L4049" t="s">
        <v>1369</v>
      </c>
      <c r="M4049" t="s">
        <v>5872</v>
      </c>
      <c r="N4049" t="s">
        <v>5873</v>
      </c>
      <c r="O4049" t="s">
        <v>5874</v>
      </c>
      <c r="P4049" t="s">
        <v>10170</v>
      </c>
    </row>
    <row r="4050" spans="1:16" x14ac:dyDescent="0.35">
      <c r="A4050" t="s">
        <v>84</v>
      </c>
      <c r="B4050">
        <v>1322845171</v>
      </c>
      <c r="C4050" t="s">
        <v>19</v>
      </c>
      <c r="D4050" t="s">
        <v>20</v>
      </c>
      <c r="E4050" s="29">
        <v>46204</v>
      </c>
      <c r="F4050" t="s">
        <v>3</v>
      </c>
      <c r="G4050" s="28">
        <v>0.61875000000000002</v>
      </c>
      <c r="H4050" s="28">
        <v>0.63263888888888886</v>
      </c>
      <c r="I4050">
        <v>0</v>
      </c>
      <c r="J4050" t="s">
        <v>146</v>
      </c>
      <c r="K4050">
        <v>1</v>
      </c>
      <c r="L4050" t="s">
        <v>147</v>
      </c>
      <c r="M4050" t="s">
        <v>5868</v>
      </c>
      <c r="N4050" t="s">
        <v>5869</v>
      </c>
      <c r="O4050" t="s">
        <v>5870</v>
      </c>
      <c r="P4050" t="s">
        <v>10169</v>
      </c>
    </row>
    <row r="4051" spans="1:16" x14ac:dyDescent="0.35">
      <c r="A4051" t="s">
        <v>84</v>
      </c>
      <c r="B4051">
        <v>1322845171</v>
      </c>
      <c r="C4051" t="s">
        <v>19</v>
      </c>
      <c r="D4051" t="s">
        <v>20</v>
      </c>
      <c r="E4051" s="29">
        <v>46204</v>
      </c>
      <c r="F4051" t="s">
        <v>3</v>
      </c>
      <c r="G4051" s="28">
        <v>0.63958333333333328</v>
      </c>
      <c r="H4051" s="28">
        <v>0.64652777777777781</v>
      </c>
      <c r="I4051">
        <v>0</v>
      </c>
      <c r="J4051" t="s">
        <v>146</v>
      </c>
      <c r="K4051">
        <v>1</v>
      </c>
      <c r="L4051" t="s">
        <v>147</v>
      </c>
      <c r="M4051" t="s">
        <v>5872</v>
      </c>
      <c r="N4051" t="s">
        <v>5873</v>
      </c>
      <c r="O4051" t="s">
        <v>5874</v>
      </c>
      <c r="P4051" t="s">
        <v>10170</v>
      </c>
    </row>
    <row r="4052" spans="1:16" x14ac:dyDescent="0.35">
      <c r="A4052" t="s">
        <v>84</v>
      </c>
      <c r="B4052">
        <v>1322845171</v>
      </c>
      <c r="C4052" t="s">
        <v>19</v>
      </c>
      <c r="D4052" t="s">
        <v>20</v>
      </c>
      <c r="E4052" s="29">
        <v>46204</v>
      </c>
      <c r="F4052" t="s">
        <v>3</v>
      </c>
      <c r="G4052" s="28">
        <v>0.65347222222222223</v>
      </c>
      <c r="H4052" s="28">
        <v>0.67361111111111116</v>
      </c>
      <c r="I4052">
        <v>0</v>
      </c>
      <c r="J4052" t="s">
        <v>146</v>
      </c>
      <c r="K4052">
        <v>1</v>
      </c>
      <c r="L4052" t="s">
        <v>147</v>
      </c>
      <c r="M4052" t="s">
        <v>5868</v>
      </c>
      <c r="N4052" t="s">
        <v>5869</v>
      </c>
      <c r="O4052" t="s">
        <v>5870</v>
      </c>
      <c r="P4052" t="s">
        <v>10169</v>
      </c>
    </row>
    <row r="4053" spans="1:16" x14ac:dyDescent="0.35">
      <c r="A4053" t="s">
        <v>84</v>
      </c>
      <c r="B4053">
        <v>1322845171</v>
      </c>
      <c r="C4053" t="s">
        <v>19</v>
      </c>
      <c r="D4053" t="s">
        <v>20</v>
      </c>
      <c r="E4053" s="29">
        <v>46204</v>
      </c>
      <c r="F4053" t="s">
        <v>3</v>
      </c>
      <c r="G4053" s="28">
        <v>0.68125000000000002</v>
      </c>
      <c r="H4053" s="28">
        <v>0.68125000000000002</v>
      </c>
      <c r="I4053">
        <v>0</v>
      </c>
      <c r="J4053" t="s">
        <v>174</v>
      </c>
      <c r="K4053">
        <v>0</v>
      </c>
      <c r="L4053" t="s">
        <v>10175</v>
      </c>
      <c r="M4053" t="s">
        <v>10176</v>
      </c>
      <c r="N4053" t="s">
        <v>10177</v>
      </c>
      <c r="O4053" t="s">
        <v>10178</v>
      </c>
      <c r="P4053" t="s">
        <v>10179</v>
      </c>
    </row>
    <row r="4054" spans="1:16" x14ac:dyDescent="0.35">
      <c r="A4054" t="s">
        <v>84</v>
      </c>
      <c r="B4054">
        <v>1322845171</v>
      </c>
      <c r="C4054" t="s">
        <v>19</v>
      </c>
      <c r="D4054" t="s">
        <v>20</v>
      </c>
      <c r="E4054" s="29">
        <v>46204</v>
      </c>
      <c r="F4054" t="s">
        <v>3</v>
      </c>
      <c r="G4054" s="28">
        <v>0.68819444444444444</v>
      </c>
      <c r="H4054" s="28">
        <v>0.68819444444444444</v>
      </c>
      <c r="I4054">
        <v>0</v>
      </c>
      <c r="J4054" t="s">
        <v>174</v>
      </c>
      <c r="K4054">
        <v>0</v>
      </c>
      <c r="L4054" t="s">
        <v>10180</v>
      </c>
      <c r="M4054" t="s">
        <v>10181</v>
      </c>
      <c r="N4054" t="s">
        <v>10182</v>
      </c>
      <c r="O4054" t="s">
        <v>10183</v>
      </c>
      <c r="P4054" t="s">
        <v>9336</v>
      </c>
    </row>
    <row r="4055" spans="1:16" x14ac:dyDescent="0.35">
      <c r="A4055" t="s">
        <v>84</v>
      </c>
      <c r="B4055">
        <v>1322845171</v>
      </c>
      <c r="C4055" t="s">
        <v>19</v>
      </c>
      <c r="D4055" t="s">
        <v>20</v>
      </c>
      <c r="E4055" s="29">
        <v>46204</v>
      </c>
      <c r="F4055" t="s">
        <v>3</v>
      </c>
      <c r="G4055" s="28">
        <v>0.71597222222222223</v>
      </c>
      <c r="H4055" s="28">
        <v>0.71597222222222223</v>
      </c>
      <c r="I4055">
        <v>0</v>
      </c>
      <c r="J4055" t="s">
        <v>174</v>
      </c>
      <c r="K4055">
        <v>0</v>
      </c>
      <c r="L4055" t="s">
        <v>10184</v>
      </c>
      <c r="M4055" t="s">
        <v>10185</v>
      </c>
      <c r="N4055" t="s">
        <v>10186</v>
      </c>
      <c r="O4055" t="s">
        <v>10187</v>
      </c>
      <c r="P4055" t="s">
        <v>3020</v>
      </c>
    </row>
    <row r="4056" spans="1:16" x14ac:dyDescent="0.35">
      <c r="A4056" t="s">
        <v>84</v>
      </c>
      <c r="B4056">
        <v>1322845171</v>
      </c>
      <c r="C4056" t="s">
        <v>19</v>
      </c>
      <c r="D4056" t="s">
        <v>20</v>
      </c>
      <c r="E4056" s="29">
        <v>46204</v>
      </c>
      <c r="F4056" t="s">
        <v>3</v>
      </c>
      <c r="G4056" s="28">
        <v>0.75763888888888886</v>
      </c>
      <c r="H4056" s="28">
        <v>0.78402777777777777</v>
      </c>
      <c r="I4056">
        <v>1</v>
      </c>
      <c r="J4056" t="s">
        <v>146</v>
      </c>
      <c r="K4056">
        <v>2</v>
      </c>
      <c r="L4056" t="s">
        <v>147</v>
      </c>
      <c r="M4056" t="s">
        <v>10188</v>
      </c>
      <c r="N4056" t="s">
        <v>10189</v>
      </c>
      <c r="O4056" t="s">
        <v>10190</v>
      </c>
      <c r="P4056" t="s">
        <v>10191</v>
      </c>
    </row>
    <row r="4057" spans="1:16" x14ac:dyDescent="0.35">
      <c r="A4057" t="s">
        <v>84</v>
      </c>
      <c r="B4057">
        <v>1322845171</v>
      </c>
      <c r="C4057" t="s">
        <v>19</v>
      </c>
      <c r="D4057" t="s">
        <v>20</v>
      </c>
      <c r="E4057" s="29">
        <v>46205</v>
      </c>
      <c r="F4057" t="s">
        <v>4</v>
      </c>
      <c r="G4057" s="28">
        <v>0.38263888888888886</v>
      </c>
      <c r="H4057" s="28">
        <v>0.38263888888888886</v>
      </c>
      <c r="I4057">
        <v>0</v>
      </c>
      <c r="J4057" t="s">
        <v>174</v>
      </c>
      <c r="K4057">
        <v>0</v>
      </c>
      <c r="L4057" t="s">
        <v>10192</v>
      </c>
      <c r="M4057" t="s">
        <v>10193</v>
      </c>
      <c r="N4057" t="s">
        <v>10194</v>
      </c>
      <c r="O4057" t="s">
        <v>10195</v>
      </c>
      <c r="P4057" t="s">
        <v>10196</v>
      </c>
    </row>
    <row r="4058" spans="1:16" x14ac:dyDescent="0.35">
      <c r="A4058" t="s">
        <v>84</v>
      </c>
      <c r="B4058">
        <v>1322845171</v>
      </c>
      <c r="C4058" t="s">
        <v>19</v>
      </c>
      <c r="D4058" t="s">
        <v>20</v>
      </c>
      <c r="E4058" s="29">
        <v>46205</v>
      </c>
      <c r="F4058" t="s">
        <v>4</v>
      </c>
      <c r="G4058" s="28">
        <v>0.38958333333333334</v>
      </c>
      <c r="H4058" s="28">
        <v>0.41736111111111113</v>
      </c>
      <c r="I4058">
        <v>1</v>
      </c>
      <c r="J4058" t="s">
        <v>146</v>
      </c>
      <c r="K4058">
        <v>2</v>
      </c>
      <c r="L4058" t="s">
        <v>147</v>
      </c>
      <c r="M4058" t="s">
        <v>5888</v>
      </c>
      <c r="N4058" t="s">
        <v>5889</v>
      </c>
      <c r="O4058" t="s">
        <v>5890</v>
      </c>
      <c r="P4058" t="s">
        <v>10197</v>
      </c>
    </row>
    <row r="4059" spans="1:16" x14ac:dyDescent="0.35">
      <c r="A4059" t="s">
        <v>84</v>
      </c>
      <c r="B4059">
        <v>1322845171</v>
      </c>
      <c r="C4059" t="s">
        <v>19</v>
      </c>
      <c r="D4059" t="s">
        <v>20</v>
      </c>
      <c r="E4059" s="29">
        <v>46205</v>
      </c>
      <c r="F4059" t="s">
        <v>4</v>
      </c>
      <c r="G4059" s="28">
        <v>0.42430555555555555</v>
      </c>
      <c r="H4059" s="28">
        <v>0.43125000000000002</v>
      </c>
      <c r="I4059">
        <v>0</v>
      </c>
      <c r="J4059" t="s">
        <v>146</v>
      </c>
      <c r="K4059">
        <v>1</v>
      </c>
      <c r="L4059" t="s">
        <v>147</v>
      </c>
      <c r="M4059" t="s">
        <v>10198</v>
      </c>
      <c r="N4059" t="s">
        <v>10199</v>
      </c>
      <c r="O4059" t="s">
        <v>10200</v>
      </c>
      <c r="P4059" t="s">
        <v>10201</v>
      </c>
    </row>
    <row r="4060" spans="1:16" x14ac:dyDescent="0.35">
      <c r="A4060" t="s">
        <v>84</v>
      </c>
      <c r="B4060">
        <v>1322845171</v>
      </c>
      <c r="C4060" t="s">
        <v>19</v>
      </c>
      <c r="D4060" t="s">
        <v>20</v>
      </c>
      <c r="E4060" s="29">
        <v>46205</v>
      </c>
      <c r="F4060" t="s">
        <v>4</v>
      </c>
      <c r="G4060" s="28">
        <v>0.43819444444444444</v>
      </c>
      <c r="H4060" s="28">
        <v>0.43819444444444444</v>
      </c>
      <c r="I4060">
        <v>0</v>
      </c>
      <c r="J4060" t="s">
        <v>174</v>
      </c>
      <c r="K4060">
        <v>0</v>
      </c>
      <c r="L4060" t="s">
        <v>10202</v>
      </c>
      <c r="M4060" t="s">
        <v>5893</v>
      </c>
      <c r="N4060" t="s">
        <v>5894</v>
      </c>
      <c r="O4060" t="s">
        <v>5895</v>
      </c>
      <c r="P4060" t="s">
        <v>5875</v>
      </c>
    </row>
    <row r="4061" spans="1:16" x14ac:dyDescent="0.35">
      <c r="A4061" t="s">
        <v>84</v>
      </c>
      <c r="B4061">
        <v>1322845171</v>
      </c>
      <c r="C4061" t="s">
        <v>19</v>
      </c>
      <c r="D4061" t="s">
        <v>20</v>
      </c>
      <c r="E4061" s="29">
        <v>46205</v>
      </c>
      <c r="F4061" t="s">
        <v>4</v>
      </c>
      <c r="G4061" s="28">
        <v>0.44513888888888886</v>
      </c>
      <c r="H4061" s="28">
        <v>0.44513888888888886</v>
      </c>
      <c r="I4061">
        <v>0</v>
      </c>
      <c r="J4061" t="s">
        <v>174</v>
      </c>
      <c r="K4061">
        <v>0</v>
      </c>
      <c r="L4061" t="s">
        <v>262</v>
      </c>
      <c r="M4061" t="s">
        <v>10203</v>
      </c>
      <c r="N4061" t="s">
        <v>10204</v>
      </c>
      <c r="O4061" t="s">
        <v>10205</v>
      </c>
      <c r="P4061" t="s">
        <v>8991</v>
      </c>
    </row>
    <row r="4062" spans="1:16" x14ac:dyDescent="0.35">
      <c r="A4062" t="s">
        <v>84</v>
      </c>
      <c r="B4062">
        <v>1322845171</v>
      </c>
      <c r="C4062" t="s">
        <v>19</v>
      </c>
      <c r="D4062" t="s">
        <v>20</v>
      </c>
      <c r="E4062" s="29">
        <v>46205</v>
      </c>
      <c r="F4062" t="s">
        <v>4</v>
      </c>
      <c r="G4062" s="28">
        <v>0.45208333333333334</v>
      </c>
      <c r="H4062" s="28">
        <v>0.45208333333333334</v>
      </c>
      <c r="I4062">
        <v>0</v>
      </c>
      <c r="J4062" t="s">
        <v>174</v>
      </c>
      <c r="K4062">
        <v>0</v>
      </c>
      <c r="L4062" t="s">
        <v>2953</v>
      </c>
      <c r="M4062" t="s">
        <v>10206</v>
      </c>
      <c r="N4062" t="s">
        <v>10207</v>
      </c>
      <c r="O4062" t="s">
        <v>10208</v>
      </c>
      <c r="P4062" t="s">
        <v>10209</v>
      </c>
    </row>
    <row r="4063" spans="1:16" x14ac:dyDescent="0.35">
      <c r="A4063" t="s">
        <v>84</v>
      </c>
      <c r="B4063">
        <v>1322845171</v>
      </c>
      <c r="C4063" t="s">
        <v>19</v>
      </c>
      <c r="D4063" t="s">
        <v>20</v>
      </c>
      <c r="E4063" s="29">
        <v>46205</v>
      </c>
      <c r="F4063" t="s">
        <v>4</v>
      </c>
      <c r="G4063" s="28">
        <v>0.45902777777777776</v>
      </c>
      <c r="H4063" s="28">
        <v>0.45902777777777776</v>
      </c>
      <c r="I4063">
        <v>0</v>
      </c>
      <c r="J4063" t="s">
        <v>174</v>
      </c>
      <c r="K4063">
        <v>0</v>
      </c>
      <c r="L4063" t="s">
        <v>1369</v>
      </c>
      <c r="M4063" t="s">
        <v>5872</v>
      </c>
      <c r="N4063" t="s">
        <v>5873</v>
      </c>
      <c r="O4063" t="s">
        <v>5874</v>
      </c>
      <c r="P4063" t="s">
        <v>10170</v>
      </c>
    </row>
    <row r="4064" spans="1:16" x14ac:dyDescent="0.35">
      <c r="A4064" t="s">
        <v>84</v>
      </c>
      <c r="B4064">
        <v>1322845171</v>
      </c>
      <c r="C4064" t="s">
        <v>19</v>
      </c>
      <c r="D4064" t="s">
        <v>20</v>
      </c>
      <c r="E4064" s="29">
        <v>46205</v>
      </c>
      <c r="F4064" t="s">
        <v>4</v>
      </c>
      <c r="G4064" s="28">
        <v>0.46597222222222223</v>
      </c>
      <c r="H4064" s="28">
        <v>0.61875000000000002</v>
      </c>
      <c r="I4064">
        <v>4</v>
      </c>
      <c r="J4064" t="s">
        <v>146</v>
      </c>
      <c r="K4064">
        <v>11</v>
      </c>
      <c r="L4064" t="s">
        <v>147</v>
      </c>
      <c r="M4064" t="s">
        <v>5868</v>
      </c>
      <c r="N4064" t="s">
        <v>5869</v>
      </c>
      <c r="O4064" t="s">
        <v>5870</v>
      </c>
      <c r="P4064" t="s">
        <v>10169</v>
      </c>
    </row>
    <row r="4065" spans="1:16" x14ac:dyDescent="0.35">
      <c r="A4065" t="s">
        <v>84</v>
      </c>
      <c r="B4065">
        <v>1322845171</v>
      </c>
      <c r="C4065" t="s">
        <v>19</v>
      </c>
      <c r="D4065" t="s">
        <v>20</v>
      </c>
      <c r="E4065" s="29">
        <v>46205</v>
      </c>
      <c r="F4065" t="s">
        <v>4</v>
      </c>
      <c r="G4065" s="28">
        <v>0.62569444444444444</v>
      </c>
      <c r="H4065" s="28">
        <v>0.63263888888888886</v>
      </c>
      <c r="I4065">
        <v>0</v>
      </c>
      <c r="J4065" t="s">
        <v>146</v>
      </c>
      <c r="K4065">
        <v>0</v>
      </c>
      <c r="L4065" t="s">
        <v>147</v>
      </c>
      <c r="M4065" t="s">
        <v>5872</v>
      </c>
      <c r="N4065" t="s">
        <v>5873</v>
      </c>
      <c r="O4065" t="s">
        <v>5874</v>
      </c>
      <c r="P4065" t="s">
        <v>10170</v>
      </c>
    </row>
    <row r="4066" spans="1:16" x14ac:dyDescent="0.35">
      <c r="A4066" t="s">
        <v>84</v>
      </c>
      <c r="B4066">
        <v>1322845171</v>
      </c>
      <c r="C4066" t="s">
        <v>19</v>
      </c>
      <c r="D4066" t="s">
        <v>20</v>
      </c>
      <c r="E4066" s="29">
        <v>46205</v>
      </c>
      <c r="F4066" t="s">
        <v>4</v>
      </c>
      <c r="G4066" s="28">
        <v>0.63958333333333328</v>
      </c>
      <c r="H4066" s="28">
        <v>0.68125000000000002</v>
      </c>
      <c r="I4066">
        <v>1</v>
      </c>
      <c r="J4066" t="s">
        <v>146</v>
      </c>
      <c r="K4066">
        <v>3</v>
      </c>
      <c r="L4066" t="s">
        <v>147</v>
      </c>
      <c r="M4066" t="s">
        <v>5868</v>
      </c>
      <c r="N4066" t="s">
        <v>5869</v>
      </c>
      <c r="O4066" t="s">
        <v>5870</v>
      </c>
      <c r="P4066" t="s">
        <v>10169</v>
      </c>
    </row>
    <row r="4067" spans="1:16" x14ac:dyDescent="0.35">
      <c r="A4067" t="s">
        <v>84</v>
      </c>
      <c r="B4067">
        <v>1322845171</v>
      </c>
      <c r="C4067" t="s">
        <v>19</v>
      </c>
      <c r="D4067" t="s">
        <v>20</v>
      </c>
      <c r="E4067" s="29">
        <v>46205</v>
      </c>
      <c r="F4067" t="s">
        <v>4</v>
      </c>
      <c r="G4067" s="28">
        <v>0.68819444444444444</v>
      </c>
      <c r="H4067" s="28">
        <v>0.68819444444444444</v>
      </c>
      <c r="I4067">
        <v>0</v>
      </c>
      <c r="J4067" t="s">
        <v>174</v>
      </c>
      <c r="K4067">
        <v>0</v>
      </c>
      <c r="L4067" t="s">
        <v>1369</v>
      </c>
      <c r="M4067" t="s">
        <v>5872</v>
      </c>
      <c r="N4067" t="s">
        <v>5873</v>
      </c>
      <c r="O4067" t="s">
        <v>5874</v>
      </c>
      <c r="P4067" t="s">
        <v>10170</v>
      </c>
    </row>
    <row r="4068" spans="1:16" x14ac:dyDescent="0.35">
      <c r="A4068" t="s">
        <v>84</v>
      </c>
      <c r="B4068">
        <v>1322845171</v>
      </c>
      <c r="C4068" t="s">
        <v>19</v>
      </c>
      <c r="D4068" t="s">
        <v>20</v>
      </c>
      <c r="E4068" s="29">
        <v>46205</v>
      </c>
      <c r="F4068" t="s">
        <v>4</v>
      </c>
      <c r="G4068" s="28">
        <v>0.69513888888888886</v>
      </c>
      <c r="H4068" s="28">
        <v>0.75069444444444444</v>
      </c>
      <c r="I4068">
        <v>1</v>
      </c>
      <c r="J4068" t="s">
        <v>146</v>
      </c>
      <c r="K4068">
        <v>4</v>
      </c>
      <c r="L4068" t="s">
        <v>147</v>
      </c>
      <c r="M4068" t="s">
        <v>5868</v>
      </c>
      <c r="N4068" t="s">
        <v>5869</v>
      </c>
      <c r="O4068" t="s">
        <v>5870</v>
      </c>
      <c r="P4068" t="s">
        <v>10169</v>
      </c>
    </row>
    <row r="4069" spans="1:16" x14ac:dyDescent="0.35">
      <c r="A4069" t="s">
        <v>84</v>
      </c>
      <c r="B4069">
        <v>1322845171</v>
      </c>
      <c r="C4069" t="s">
        <v>19</v>
      </c>
      <c r="D4069" t="s">
        <v>20</v>
      </c>
      <c r="E4069" s="29">
        <v>46205</v>
      </c>
      <c r="F4069" t="s">
        <v>4</v>
      </c>
      <c r="G4069" s="28">
        <v>0.75763888888888886</v>
      </c>
      <c r="H4069" s="28">
        <v>0.75763888888888886</v>
      </c>
      <c r="I4069">
        <v>0</v>
      </c>
      <c r="J4069" t="s">
        <v>174</v>
      </c>
      <c r="K4069">
        <v>0</v>
      </c>
      <c r="L4069" t="s">
        <v>1369</v>
      </c>
      <c r="M4069" t="s">
        <v>5872</v>
      </c>
      <c r="N4069" t="s">
        <v>5873</v>
      </c>
      <c r="O4069" t="s">
        <v>5874</v>
      </c>
      <c r="P4069" t="s">
        <v>10170</v>
      </c>
    </row>
    <row r="4070" spans="1:16" x14ac:dyDescent="0.35">
      <c r="A4070" t="s">
        <v>84</v>
      </c>
      <c r="B4070">
        <v>1322845171</v>
      </c>
      <c r="C4070" t="s">
        <v>19</v>
      </c>
      <c r="D4070" t="s">
        <v>20</v>
      </c>
      <c r="E4070" s="29">
        <v>46205</v>
      </c>
      <c r="F4070" t="s">
        <v>4</v>
      </c>
      <c r="G4070" s="28">
        <v>0.76458333333333328</v>
      </c>
      <c r="H4070" s="28">
        <v>0.77847222222222223</v>
      </c>
      <c r="I4070">
        <v>0</v>
      </c>
      <c r="J4070" t="s">
        <v>146</v>
      </c>
      <c r="K4070">
        <v>1</v>
      </c>
      <c r="L4070" t="s">
        <v>147</v>
      </c>
      <c r="M4070" t="s">
        <v>5868</v>
      </c>
      <c r="N4070" t="s">
        <v>5869</v>
      </c>
      <c r="O4070" t="s">
        <v>5870</v>
      </c>
      <c r="P4070" t="s">
        <v>10169</v>
      </c>
    </row>
    <row r="4071" spans="1:16" x14ac:dyDescent="0.35">
      <c r="A4071" t="s">
        <v>84</v>
      </c>
      <c r="B4071">
        <v>1322845171</v>
      </c>
      <c r="C4071" t="s">
        <v>19</v>
      </c>
      <c r="D4071" t="s">
        <v>20</v>
      </c>
      <c r="E4071" s="29">
        <v>46205</v>
      </c>
      <c r="F4071" t="s">
        <v>4</v>
      </c>
      <c r="G4071" s="28">
        <v>0.78541666666666665</v>
      </c>
      <c r="H4071" s="28">
        <v>0.7993055555555556</v>
      </c>
      <c r="I4071">
        <v>0</v>
      </c>
      <c r="J4071" t="s">
        <v>146</v>
      </c>
      <c r="K4071">
        <v>1</v>
      </c>
      <c r="L4071" t="s">
        <v>147</v>
      </c>
      <c r="M4071" t="s">
        <v>10210</v>
      </c>
      <c r="N4071" t="s">
        <v>10211</v>
      </c>
      <c r="O4071" t="s">
        <v>10212</v>
      </c>
      <c r="P4071" t="s">
        <v>10213</v>
      </c>
    </row>
    <row r="4072" spans="1:16" x14ac:dyDescent="0.35">
      <c r="A4072" t="s">
        <v>84</v>
      </c>
      <c r="B4072">
        <v>1322845171</v>
      </c>
      <c r="C4072" t="s">
        <v>19</v>
      </c>
      <c r="D4072" t="s">
        <v>20</v>
      </c>
      <c r="E4072" s="29">
        <v>46207</v>
      </c>
      <c r="F4072" t="s">
        <v>5</v>
      </c>
      <c r="G4072" s="28">
        <v>0.50763888888888886</v>
      </c>
      <c r="H4072" s="28">
        <v>0.51388888888888884</v>
      </c>
      <c r="I4072">
        <v>0</v>
      </c>
      <c r="J4072" t="s">
        <v>146</v>
      </c>
      <c r="K4072">
        <v>0</v>
      </c>
      <c r="L4072" t="s">
        <v>147</v>
      </c>
      <c r="M4072" t="s">
        <v>10214</v>
      </c>
      <c r="N4072" t="s">
        <v>10215</v>
      </c>
      <c r="O4072" t="s">
        <v>10216</v>
      </c>
      <c r="P4072" t="s">
        <v>10217</v>
      </c>
    </row>
    <row r="4073" spans="1:16" x14ac:dyDescent="0.35">
      <c r="A4073" t="s">
        <v>84</v>
      </c>
      <c r="B4073">
        <v>1322845171</v>
      </c>
      <c r="C4073" t="s">
        <v>19</v>
      </c>
      <c r="D4073" t="s">
        <v>20</v>
      </c>
      <c r="E4073" s="29">
        <v>46207</v>
      </c>
      <c r="F4073" t="s">
        <v>5</v>
      </c>
      <c r="G4073" s="28">
        <v>0.52152777777777781</v>
      </c>
      <c r="H4073" s="28">
        <v>0.52152777777777781</v>
      </c>
      <c r="I4073">
        <v>0</v>
      </c>
      <c r="J4073" t="s">
        <v>174</v>
      </c>
      <c r="K4073">
        <v>0</v>
      </c>
      <c r="L4073" t="s">
        <v>10218</v>
      </c>
      <c r="M4073" t="s">
        <v>10219</v>
      </c>
      <c r="N4073" t="s">
        <v>10220</v>
      </c>
      <c r="O4073" t="s">
        <v>10221</v>
      </c>
      <c r="P4073" t="s">
        <v>503</v>
      </c>
    </row>
    <row r="4074" spans="1:16" x14ac:dyDescent="0.35">
      <c r="A4074" t="s">
        <v>84</v>
      </c>
      <c r="B4074">
        <v>1322845171</v>
      </c>
      <c r="C4074" t="s">
        <v>19</v>
      </c>
      <c r="D4074" t="s">
        <v>20</v>
      </c>
      <c r="E4074" s="29">
        <v>46207</v>
      </c>
      <c r="F4074" t="s">
        <v>5</v>
      </c>
      <c r="G4074" s="28">
        <v>0.52708333333333335</v>
      </c>
      <c r="H4074" s="28">
        <v>0.52708333333333335</v>
      </c>
      <c r="I4074">
        <v>0</v>
      </c>
      <c r="J4074" t="s">
        <v>174</v>
      </c>
      <c r="K4074">
        <v>0</v>
      </c>
      <c r="L4074" t="s">
        <v>10218</v>
      </c>
      <c r="M4074" t="s">
        <v>10214</v>
      </c>
      <c r="N4074" t="s">
        <v>10215</v>
      </c>
      <c r="O4074" t="s">
        <v>10216</v>
      </c>
      <c r="P4074" t="s">
        <v>10217</v>
      </c>
    </row>
    <row r="4075" spans="1:16" x14ac:dyDescent="0.35">
      <c r="A4075" t="s">
        <v>84</v>
      </c>
      <c r="B4075">
        <v>1322845171</v>
      </c>
      <c r="C4075" t="s">
        <v>19</v>
      </c>
      <c r="D4075" t="s">
        <v>20</v>
      </c>
      <c r="E4075" s="29">
        <v>46207</v>
      </c>
      <c r="F4075" t="s">
        <v>5</v>
      </c>
      <c r="G4075" s="28">
        <v>0.53541666666666665</v>
      </c>
      <c r="H4075" s="28">
        <v>0.77847222222222223</v>
      </c>
      <c r="I4075">
        <v>6</v>
      </c>
      <c r="J4075" t="s">
        <v>146</v>
      </c>
      <c r="K4075">
        <v>18</v>
      </c>
      <c r="L4075" t="s">
        <v>147</v>
      </c>
      <c r="M4075" t="s">
        <v>10219</v>
      </c>
      <c r="N4075" t="s">
        <v>10220</v>
      </c>
      <c r="O4075" t="s">
        <v>10221</v>
      </c>
      <c r="P4075" t="s">
        <v>503</v>
      </c>
    </row>
    <row r="4076" spans="1:16" x14ac:dyDescent="0.35">
      <c r="A4076" t="s">
        <v>84</v>
      </c>
      <c r="B4076">
        <v>1322845171</v>
      </c>
      <c r="C4076" t="s">
        <v>19</v>
      </c>
      <c r="D4076" t="s">
        <v>20</v>
      </c>
      <c r="E4076" s="29">
        <v>46207</v>
      </c>
      <c r="F4076" t="s">
        <v>5</v>
      </c>
      <c r="G4076" s="28">
        <v>0.78541666666666665</v>
      </c>
      <c r="H4076" s="28">
        <v>0.78541666666666665</v>
      </c>
      <c r="I4076">
        <v>0</v>
      </c>
      <c r="J4076" t="s">
        <v>174</v>
      </c>
      <c r="K4076">
        <v>0</v>
      </c>
      <c r="L4076" t="s">
        <v>10222</v>
      </c>
      <c r="M4076" t="s">
        <v>10223</v>
      </c>
      <c r="N4076" t="s">
        <v>10224</v>
      </c>
      <c r="O4076" t="s">
        <v>10225</v>
      </c>
      <c r="P4076" t="s">
        <v>10226</v>
      </c>
    </row>
    <row r="4077" spans="1:16" x14ac:dyDescent="0.35">
      <c r="A4077" t="s">
        <v>84</v>
      </c>
      <c r="B4077">
        <v>1322845171</v>
      </c>
      <c r="C4077" t="s">
        <v>19</v>
      </c>
      <c r="D4077" t="s">
        <v>20</v>
      </c>
      <c r="E4077" s="29">
        <v>46208</v>
      </c>
      <c r="F4077" t="s">
        <v>6</v>
      </c>
      <c r="G4077" s="28">
        <v>0.40347222222222223</v>
      </c>
      <c r="H4077" s="28">
        <v>0.40347222222222223</v>
      </c>
      <c r="I4077">
        <v>0</v>
      </c>
      <c r="J4077" t="s">
        <v>174</v>
      </c>
      <c r="K4077">
        <v>0</v>
      </c>
      <c r="L4077" t="s">
        <v>10227</v>
      </c>
      <c r="M4077" t="s">
        <v>10228</v>
      </c>
      <c r="N4077" t="s">
        <v>10229</v>
      </c>
      <c r="O4077" t="s">
        <v>10230</v>
      </c>
      <c r="P4077" t="s">
        <v>10231</v>
      </c>
    </row>
    <row r="4078" spans="1:16" x14ac:dyDescent="0.35">
      <c r="A4078" t="s">
        <v>84</v>
      </c>
      <c r="B4078">
        <v>1322845171</v>
      </c>
      <c r="C4078" t="s">
        <v>19</v>
      </c>
      <c r="D4078" t="s">
        <v>20</v>
      </c>
      <c r="E4078" s="29">
        <v>46208</v>
      </c>
      <c r="F4078" t="s">
        <v>6</v>
      </c>
      <c r="G4078" s="28">
        <v>0.41041666666666665</v>
      </c>
      <c r="H4078" s="28">
        <v>0.61875000000000002</v>
      </c>
      <c r="I4078">
        <v>5</v>
      </c>
      <c r="J4078" t="s">
        <v>146</v>
      </c>
      <c r="K4078">
        <v>15</v>
      </c>
      <c r="L4078" t="s">
        <v>147</v>
      </c>
      <c r="M4078" t="s">
        <v>10219</v>
      </c>
      <c r="N4078" t="s">
        <v>10220</v>
      </c>
      <c r="O4078" t="s">
        <v>10221</v>
      </c>
      <c r="P4078" t="s">
        <v>503</v>
      </c>
    </row>
    <row r="4079" spans="1:16" x14ac:dyDescent="0.35">
      <c r="A4079" t="s">
        <v>84</v>
      </c>
      <c r="B4079">
        <v>1322845171</v>
      </c>
      <c r="C4079" t="s">
        <v>19</v>
      </c>
      <c r="D4079" t="s">
        <v>20</v>
      </c>
      <c r="E4079" s="29">
        <v>46208</v>
      </c>
      <c r="F4079" t="s">
        <v>6</v>
      </c>
      <c r="G4079" s="28">
        <v>0.62569444444444444</v>
      </c>
      <c r="H4079" s="28">
        <v>0.62569444444444444</v>
      </c>
      <c r="I4079">
        <v>0</v>
      </c>
      <c r="J4079" t="s">
        <v>174</v>
      </c>
      <c r="K4079">
        <v>0</v>
      </c>
      <c r="L4079" t="s">
        <v>10232</v>
      </c>
      <c r="M4079" t="s">
        <v>10233</v>
      </c>
      <c r="N4079" t="s">
        <v>10234</v>
      </c>
      <c r="O4079" t="s">
        <v>10235</v>
      </c>
      <c r="P4079" t="s">
        <v>10236</v>
      </c>
    </row>
    <row r="4080" spans="1:16" x14ac:dyDescent="0.35">
      <c r="A4080" t="s">
        <v>84</v>
      </c>
      <c r="B4080">
        <v>1322845171</v>
      </c>
      <c r="C4080" t="s">
        <v>19</v>
      </c>
      <c r="D4080" t="s">
        <v>20</v>
      </c>
      <c r="E4080" s="29">
        <v>46208</v>
      </c>
      <c r="F4080" t="s">
        <v>6</v>
      </c>
      <c r="G4080" s="28">
        <v>0.63263888888888886</v>
      </c>
      <c r="H4080" s="28">
        <v>0.66041666666666665</v>
      </c>
      <c r="I4080">
        <v>1</v>
      </c>
      <c r="J4080" t="s">
        <v>146</v>
      </c>
      <c r="K4080">
        <v>2</v>
      </c>
      <c r="L4080" t="s">
        <v>147</v>
      </c>
      <c r="M4080" t="s">
        <v>10237</v>
      </c>
      <c r="N4080" t="s">
        <v>10238</v>
      </c>
      <c r="O4080" t="s">
        <v>10239</v>
      </c>
      <c r="P4080" t="s">
        <v>10240</v>
      </c>
    </row>
    <row r="4081" spans="1:16" x14ac:dyDescent="0.35">
      <c r="A4081" t="s">
        <v>84</v>
      </c>
      <c r="B4081">
        <v>1322845171</v>
      </c>
      <c r="C4081" t="s">
        <v>19</v>
      </c>
      <c r="D4081" t="s">
        <v>20</v>
      </c>
      <c r="E4081" s="29">
        <v>46208</v>
      </c>
      <c r="F4081" t="s">
        <v>6</v>
      </c>
      <c r="G4081" s="28">
        <v>0.66736111111111107</v>
      </c>
      <c r="H4081" s="28">
        <v>0.66736111111111107</v>
      </c>
      <c r="I4081">
        <v>0</v>
      </c>
      <c r="J4081" t="s">
        <v>174</v>
      </c>
      <c r="K4081">
        <v>0</v>
      </c>
      <c r="L4081" t="s">
        <v>10241</v>
      </c>
      <c r="M4081" t="s">
        <v>10242</v>
      </c>
      <c r="N4081" t="s">
        <v>10243</v>
      </c>
      <c r="O4081" t="s">
        <v>10244</v>
      </c>
      <c r="P4081" t="s">
        <v>10245</v>
      </c>
    </row>
    <row r="4082" spans="1:16" x14ac:dyDescent="0.35">
      <c r="A4082" t="s">
        <v>84</v>
      </c>
      <c r="B4082">
        <v>1322845171</v>
      </c>
      <c r="C4082" t="s">
        <v>19</v>
      </c>
      <c r="D4082" t="s">
        <v>20</v>
      </c>
      <c r="E4082" s="29">
        <v>46208</v>
      </c>
      <c r="F4082" t="s">
        <v>6</v>
      </c>
      <c r="G4082" s="28">
        <v>0.6743055555555556</v>
      </c>
      <c r="H4082" s="28">
        <v>0.77152777777777781</v>
      </c>
      <c r="I4082">
        <v>2</v>
      </c>
      <c r="J4082" t="s">
        <v>146</v>
      </c>
      <c r="K4082">
        <v>7</v>
      </c>
      <c r="L4082" t="s">
        <v>147</v>
      </c>
      <c r="M4082" t="s">
        <v>10219</v>
      </c>
      <c r="N4082" t="s">
        <v>10220</v>
      </c>
      <c r="O4082" t="s">
        <v>10221</v>
      </c>
      <c r="P4082" t="s">
        <v>503</v>
      </c>
    </row>
    <row r="4083" spans="1:16" x14ac:dyDescent="0.35">
      <c r="A4083" t="s">
        <v>84</v>
      </c>
      <c r="B4083">
        <v>1322845171</v>
      </c>
      <c r="C4083" t="s">
        <v>19</v>
      </c>
      <c r="D4083" t="s">
        <v>20</v>
      </c>
      <c r="E4083" s="29">
        <v>46208</v>
      </c>
      <c r="F4083" t="s">
        <v>6</v>
      </c>
      <c r="G4083" s="28">
        <v>0.77847222222222223</v>
      </c>
      <c r="H4083" s="28">
        <v>0.77847222222222223</v>
      </c>
      <c r="I4083">
        <v>0</v>
      </c>
      <c r="J4083" t="s">
        <v>174</v>
      </c>
      <c r="K4083">
        <v>0</v>
      </c>
      <c r="L4083" t="s">
        <v>10246</v>
      </c>
      <c r="M4083" t="s">
        <v>10228</v>
      </c>
      <c r="N4083" t="s">
        <v>10229</v>
      </c>
      <c r="O4083" t="s">
        <v>10230</v>
      </c>
      <c r="P4083" t="s">
        <v>10231</v>
      </c>
    </row>
    <row r="4084" spans="1:16" x14ac:dyDescent="0.35">
      <c r="A4084" t="s">
        <v>84</v>
      </c>
      <c r="B4084">
        <v>1322845171</v>
      </c>
      <c r="C4084" t="s">
        <v>19</v>
      </c>
      <c r="D4084" t="s">
        <v>20</v>
      </c>
      <c r="E4084" s="29">
        <v>46208</v>
      </c>
      <c r="F4084" t="s">
        <v>6</v>
      </c>
      <c r="G4084" s="28">
        <v>0.78541666666666665</v>
      </c>
      <c r="H4084" s="28">
        <v>0.7993055555555556</v>
      </c>
      <c r="I4084">
        <v>0</v>
      </c>
      <c r="J4084" t="s">
        <v>146</v>
      </c>
      <c r="K4084">
        <v>1</v>
      </c>
      <c r="L4084" t="s">
        <v>147</v>
      </c>
      <c r="M4084" t="s">
        <v>10247</v>
      </c>
      <c r="N4084" t="s">
        <v>10248</v>
      </c>
      <c r="O4084" t="s">
        <v>10249</v>
      </c>
      <c r="P4084" t="s">
        <v>10250</v>
      </c>
    </row>
    <row r="4085" spans="1:16" x14ac:dyDescent="0.35">
      <c r="A4085" t="s">
        <v>107</v>
      </c>
      <c r="B4085">
        <v>1324725678</v>
      </c>
      <c r="C4085" t="s">
        <v>18</v>
      </c>
      <c r="D4085" t="s">
        <v>21</v>
      </c>
      <c r="E4085" s="29">
        <v>46204</v>
      </c>
      <c r="F4085" t="s">
        <v>3</v>
      </c>
      <c r="G4085" s="28">
        <v>0.37569444444444444</v>
      </c>
      <c r="H4085" s="28">
        <v>0.43055555555555558</v>
      </c>
      <c r="I4085">
        <v>1</v>
      </c>
      <c r="J4085" t="s">
        <v>146</v>
      </c>
      <c r="K4085">
        <v>4</v>
      </c>
      <c r="L4085" t="s">
        <v>147</v>
      </c>
      <c r="M4085" t="s">
        <v>10251</v>
      </c>
      <c r="N4085" t="s">
        <v>10252</v>
      </c>
      <c r="O4085" t="s">
        <v>10253</v>
      </c>
      <c r="P4085" t="s">
        <v>10254</v>
      </c>
    </row>
    <row r="4086" spans="1:16" x14ac:dyDescent="0.35">
      <c r="A4086" t="s">
        <v>107</v>
      </c>
      <c r="B4086">
        <v>1324725678</v>
      </c>
      <c r="C4086" t="s">
        <v>18</v>
      </c>
      <c r="D4086" t="s">
        <v>21</v>
      </c>
      <c r="E4086" s="29">
        <v>46204</v>
      </c>
      <c r="F4086" t="s">
        <v>3</v>
      </c>
      <c r="G4086" s="28">
        <v>0.4375</v>
      </c>
      <c r="H4086" s="28">
        <v>0.4375</v>
      </c>
      <c r="I4086">
        <v>0</v>
      </c>
      <c r="J4086" t="s">
        <v>174</v>
      </c>
      <c r="K4086">
        <v>0</v>
      </c>
      <c r="L4086" t="s">
        <v>10255</v>
      </c>
      <c r="M4086" t="s">
        <v>10256</v>
      </c>
      <c r="N4086" t="s">
        <v>10257</v>
      </c>
      <c r="O4086" t="s">
        <v>10258</v>
      </c>
      <c r="P4086" t="s">
        <v>2729</v>
      </c>
    </row>
    <row r="4087" spans="1:16" x14ac:dyDescent="0.35">
      <c r="A4087" t="s">
        <v>107</v>
      </c>
      <c r="B4087">
        <v>1324725678</v>
      </c>
      <c r="C4087" t="s">
        <v>18</v>
      </c>
      <c r="D4087" t="s">
        <v>21</v>
      </c>
      <c r="E4087" s="29">
        <v>46204</v>
      </c>
      <c r="F4087" t="s">
        <v>3</v>
      </c>
      <c r="G4087" s="28">
        <v>0.44444444444444442</v>
      </c>
      <c r="H4087" s="28">
        <v>0.44444444444444442</v>
      </c>
      <c r="I4087">
        <v>0</v>
      </c>
      <c r="J4087" t="s">
        <v>174</v>
      </c>
      <c r="K4087">
        <v>0</v>
      </c>
      <c r="L4087" t="s">
        <v>442</v>
      </c>
      <c r="M4087" t="s">
        <v>10259</v>
      </c>
      <c r="N4087" t="s">
        <v>10260</v>
      </c>
      <c r="O4087" t="s">
        <v>10261</v>
      </c>
      <c r="P4087" t="s">
        <v>10262</v>
      </c>
    </row>
    <row r="4088" spans="1:16" x14ac:dyDescent="0.35">
      <c r="A4088" t="s">
        <v>107</v>
      </c>
      <c r="B4088">
        <v>1324725678</v>
      </c>
      <c r="C4088" t="s">
        <v>18</v>
      </c>
      <c r="D4088" t="s">
        <v>21</v>
      </c>
      <c r="E4088" s="29">
        <v>46204</v>
      </c>
      <c r="F4088" t="s">
        <v>3</v>
      </c>
      <c r="G4088" s="28">
        <v>0.4513888888888889</v>
      </c>
      <c r="H4088" s="28">
        <v>0.4513888888888889</v>
      </c>
      <c r="I4088">
        <v>0</v>
      </c>
      <c r="J4088" t="s">
        <v>174</v>
      </c>
      <c r="K4088">
        <v>0</v>
      </c>
      <c r="L4088" t="s">
        <v>10263</v>
      </c>
      <c r="M4088" t="s">
        <v>10264</v>
      </c>
      <c r="N4088" t="s">
        <v>10265</v>
      </c>
      <c r="O4088" t="s">
        <v>10266</v>
      </c>
      <c r="P4088" t="s">
        <v>2569</v>
      </c>
    </row>
    <row r="4089" spans="1:16" x14ac:dyDescent="0.35">
      <c r="A4089" t="s">
        <v>107</v>
      </c>
      <c r="B4089">
        <v>1324725678</v>
      </c>
      <c r="C4089" t="s">
        <v>18</v>
      </c>
      <c r="D4089" t="s">
        <v>21</v>
      </c>
      <c r="E4089" s="29">
        <v>46204</v>
      </c>
      <c r="F4089" t="s">
        <v>3</v>
      </c>
      <c r="G4089" s="28">
        <v>0.45833333333333331</v>
      </c>
      <c r="H4089" s="28">
        <v>0.45833333333333331</v>
      </c>
      <c r="I4089">
        <v>0</v>
      </c>
      <c r="J4089" t="s">
        <v>174</v>
      </c>
      <c r="K4089">
        <v>0</v>
      </c>
      <c r="L4089" t="s">
        <v>8680</v>
      </c>
      <c r="M4089" t="s">
        <v>10267</v>
      </c>
      <c r="N4089" t="s">
        <v>10268</v>
      </c>
      <c r="O4089" t="s">
        <v>10269</v>
      </c>
      <c r="P4089" t="s">
        <v>10270</v>
      </c>
    </row>
    <row r="4090" spans="1:16" x14ac:dyDescent="0.35">
      <c r="A4090" t="s">
        <v>107</v>
      </c>
      <c r="B4090">
        <v>1324725678</v>
      </c>
      <c r="C4090" t="s">
        <v>18</v>
      </c>
      <c r="D4090" t="s">
        <v>21</v>
      </c>
      <c r="E4090" s="29">
        <v>46204</v>
      </c>
      <c r="F4090" t="s">
        <v>3</v>
      </c>
      <c r="G4090" s="28">
        <v>0.46527777777777779</v>
      </c>
      <c r="H4090" s="28">
        <v>0.46527777777777779</v>
      </c>
      <c r="I4090">
        <v>0</v>
      </c>
      <c r="J4090" t="s">
        <v>174</v>
      </c>
      <c r="K4090">
        <v>0</v>
      </c>
      <c r="L4090" t="s">
        <v>10271</v>
      </c>
      <c r="M4090" t="s">
        <v>10272</v>
      </c>
      <c r="N4090" t="s">
        <v>10273</v>
      </c>
      <c r="O4090" t="s">
        <v>10274</v>
      </c>
      <c r="P4090" t="s">
        <v>10275</v>
      </c>
    </row>
    <row r="4091" spans="1:16" x14ac:dyDescent="0.35">
      <c r="A4091" t="s">
        <v>107</v>
      </c>
      <c r="B4091">
        <v>1324725678</v>
      </c>
      <c r="C4091" t="s">
        <v>18</v>
      </c>
      <c r="D4091" t="s">
        <v>21</v>
      </c>
      <c r="E4091" s="29">
        <v>46204</v>
      </c>
      <c r="F4091" t="s">
        <v>3</v>
      </c>
      <c r="G4091" s="28">
        <v>0.47916666666666669</v>
      </c>
      <c r="H4091" s="28">
        <v>0.47916666666666669</v>
      </c>
      <c r="I4091">
        <v>0</v>
      </c>
      <c r="J4091" t="s">
        <v>174</v>
      </c>
      <c r="K4091">
        <v>0</v>
      </c>
      <c r="L4091" t="s">
        <v>1089</v>
      </c>
      <c r="M4091" t="s">
        <v>10276</v>
      </c>
      <c r="N4091" t="s">
        <v>10277</v>
      </c>
      <c r="O4091" t="s">
        <v>10278</v>
      </c>
      <c r="P4091" t="s">
        <v>10279</v>
      </c>
    </row>
    <row r="4092" spans="1:16" x14ac:dyDescent="0.35">
      <c r="A4092" t="s">
        <v>107</v>
      </c>
      <c r="B4092">
        <v>1324725678</v>
      </c>
      <c r="C4092" t="s">
        <v>18</v>
      </c>
      <c r="D4092" t="s">
        <v>21</v>
      </c>
      <c r="E4092" s="29">
        <v>46204</v>
      </c>
      <c r="F4092" t="s">
        <v>3</v>
      </c>
      <c r="G4092" s="28">
        <v>0.4861111111111111</v>
      </c>
      <c r="H4092" s="28">
        <v>0.54861111111111116</v>
      </c>
      <c r="I4092">
        <v>2</v>
      </c>
      <c r="J4092" t="s">
        <v>146</v>
      </c>
      <c r="K4092">
        <v>4</v>
      </c>
      <c r="L4092" t="s">
        <v>147</v>
      </c>
      <c r="M4092" t="s">
        <v>10280</v>
      </c>
      <c r="N4092" t="s">
        <v>7735</v>
      </c>
      <c r="O4092" t="s">
        <v>7736</v>
      </c>
      <c r="P4092" t="s">
        <v>10281</v>
      </c>
    </row>
    <row r="4093" spans="1:16" x14ac:dyDescent="0.35">
      <c r="A4093" t="s">
        <v>107</v>
      </c>
      <c r="B4093">
        <v>1324725678</v>
      </c>
      <c r="C4093" t="s">
        <v>18</v>
      </c>
      <c r="D4093" t="s">
        <v>21</v>
      </c>
      <c r="E4093" s="29">
        <v>46204</v>
      </c>
      <c r="F4093" t="s">
        <v>3</v>
      </c>
      <c r="G4093" s="28">
        <v>0.55555555555555558</v>
      </c>
      <c r="H4093" s="28">
        <v>0.55555555555555558</v>
      </c>
      <c r="I4093">
        <v>0</v>
      </c>
      <c r="J4093" t="s">
        <v>174</v>
      </c>
      <c r="K4093">
        <v>0</v>
      </c>
      <c r="L4093" t="s">
        <v>6718</v>
      </c>
      <c r="M4093" t="s">
        <v>10282</v>
      </c>
      <c r="N4093" t="s">
        <v>10283</v>
      </c>
      <c r="O4093" t="s">
        <v>10284</v>
      </c>
      <c r="P4093" t="s">
        <v>8606</v>
      </c>
    </row>
    <row r="4094" spans="1:16" x14ac:dyDescent="0.35">
      <c r="A4094" t="s">
        <v>107</v>
      </c>
      <c r="B4094">
        <v>1324725678</v>
      </c>
      <c r="C4094" t="s">
        <v>18</v>
      </c>
      <c r="D4094" t="s">
        <v>21</v>
      </c>
      <c r="E4094" s="29">
        <v>46204</v>
      </c>
      <c r="F4094" t="s">
        <v>3</v>
      </c>
      <c r="G4094" s="28">
        <v>0.5625</v>
      </c>
      <c r="H4094" s="28">
        <v>0.5625</v>
      </c>
      <c r="I4094">
        <v>0</v>
      </c>
      <c r="J4094" t="s">
        <v>174</v>
      </c>
      <c r="K4094">
        <v>0</v>
      </c>
      <c r="L4094" t="s">
        <v>3608</v>
      </c>
      <c r="M4094" t="s">
        <v>10285</v>
      </c>
      <c r="N4094" t="s">
        <v>10286</v>
      </c>
      <c r="O4094" t="s">
        <v>10287</v>
      </c>
      <c r="P4094" t="s">
        <v>2896</v>
      </c>
    </row>
    <row r="4095" spans="1:16" x14ac:dyDescent="0.35">
      <c r="A4095" t="s">
        <v>107</v>
      </c>
      <c r="B4095">
        <v>1324725678</v>
      </c>
      <c r="C4095" t="s">
        <v>18</v>
      </c>
      <c r="D4095" t="s">
        <v>21</v>
      </c>
      <c r="E4095" s="29">
        <v>46204</v>
      </c>
      <c r="F4095" t="s">
        <v>3</v>
      </c>
      <c r="G4095" s="28">
        <v>0.56944444444444442</v>
      </c>
      <c r="H4095" s="28">
        <v>0.56944444444444442</v>
      </c>
      <c r="I4095">
        <v>0</v>
      </c>
      <c r="J4095" t="s">
        <v>174</v>
      </c>
      <c r="K4095">
        <v>0</v>
      </c>
      <c r="L4095" t="s">
        <v>674</v>
      </c>
      <c r="M4095" t="s">
        <v>10288</v>
      </c>
      <c r="N4095" t="s">
        <v>10289</v>
      </c>
      <c r="O4095" t="s">
        <v>10290</v>
      </c>
      <c r="P4095" t="s">
        <v>10291</v>
      </c>
    </row>
    <row r="4096" spans="1:16" x14ac:dyDescent="0.35">
      <c r="A4096" t="s">
        <v>107</v>
      </c>
      <c r="B4096">
        <v>1324725678</v>
      </c>
      <c r="C4096" t="s">
        <v>18</v>
      </c>
      <c r="D4096" t="s">
        <v>21</v>
      </c>
      <c r="E4096" s="29">
        <v>46204</v>
      </c>
      <c r="F4096" t="s">
        <v>3</v>
      </c>
      <c r="G4096" s="28">
        <v>0.57638888888888884</v>
      </c>
      <c r="H4096" s="28">
        <v>0.57638888888888884</v>
      </c>
      <c r="I4096">
        <v>0</v>
      </c>
      <c r="J4096" t="s">
        <v>174</v>
      </c>
      <c r="K4096">
        <v>0</v>
      </c>
      <c r="L4096" t="s">
        <v>442</v>
      </c>
      <c r="M4096" t="s">
        <v>10264</v>
      </c>
      <c r="N4096" t="s">
        <v>10265</v>
      </c>
      <c r="O4096" t="s">
        <v>10266</v>
      </c>
      <c r="P4096" t="s">
        <v>2569</v>
      </c>
    </row>
    <row r="4097" spans="1:16" x14ac:dyDescent="0.35">
      <c r="A4097" t="s">
        <v>107</v>
      </c>
      <c r="B4097">
        <v>1324725678</v>
      </c>
      <c r="C4097" t="s">
        <v>18</v>
      </c>
      <c r="D4097" t="s">
        <v>21</v>
      </c>
      <c r="E4097" s="29">
        <v>46204</v>
      </c>
      <c r="F4097" t="s">
        <v>3</v>
      </c>
      <c r="G4097" s="28">
        <v>0.58333333333333337</v>
      </c>
      <c r="H4097" s="28">
        <v>0.58333333333333337</v>
      </c>
      <c r="I4097">
        <v>0</v>
      </c>
      <c r="J4097" t="s">
        <v>174</v>
      </c>
      <c r="K4097">
        <v>0</v>
      </c>
      <c r="L4097" t="s">
        <v>10292</v>
      </c>
      <c r="M4097" t="s">
        <v>10259</v>
      </c>
      <c r="N4097" t="s">
        <v>10260</v>
      </c>
      <c r="O4097" t="s">
        <v>10261</v>
      </c>
      <c r="P4097" t="s">
        <v>10262</v>
      </c>
    </row>
    <row r="4098" spans="1:16" x14ac:dyDescent="0.35">
      <c r="A4098" t="s">
        <v>107</v>
      </c>
      <c r="B4098">
        <v>1324725678</v>
      </c>
      <c r="C4098" t="s">
        <v>18</v>
      </c>
      <c r="D4098" t="s">
        <v>21</v>
      </c>
      <c r="E4098" s="29">
        <v>46204</v>
      </c>
      <c r="F4098" t="s">
        <v>3</v>
      </c>
      <c r="G4098" s="28">
        <v>0.59027777777777779</v>
      </c>
      <c r="H4098" s="28">
        <v>0.59027777777777779</v>
      </c>
      <c r="I4098">
        <v>0</v>
      </c>
      <c r="J4098" t="s">
        <v>174</v>
      </c>
      <c r="K4098">
        <v>0</v>
      </c>
      <c r="L4098" t="s">
        <v>10293</v>
      </c>
      <c r="M4098" t="s">
        <v>10294</v>
      </c>
      <c r="N4098" t="s">
        <v>10295</v>
      </c>
      <c r="O4098" t="s">
        <v>10296</v>
      </c>
      <c r="P4098" t="s">
        <v>10297</v>
      </c>
    </row>
    <row r="4099" spans="1:16" x14ac:dyDescent="0.35">
      <c r="A4099" t="s">
        <v>107</v>
      </c>
      <c r="B4099">
        <v>1324725678</v>
      </c>
      <c r="C4099" t="s">
        <v>18</v>
      </c>
      <c r="D4099" t="s">
        <v>21</v>
      </c>
      <c r="E4099" s="29">
        <v>46204</v>
      </c>
      <c r="F4099" t="s">
        <v>3</v>
      </c>
      <c r="G4099" s="28">
        <v>0.59722222222222221</v>
      </c>
      <c r="H4099" s="28">
        <v>0.61805555555555558</v>
      </c>
      <c r="I4099">
        <v>1</v>
      </c>
      <c r="J4099" t="s">
        <v>146</v>
      </c>
      <c r="K4099">
        <v>2</v>
      </c>
      <c r="L4099" t="s">
        <v>147</v>
      </c>
      <c r="M4099" t="s">
        <v>10256</v>
      </c>
      <c r="N4099" t="s">
        <v>10257</v>
      </c>
      <c r="O4099" t="s">
        <v>10258</v>
      </c>
      <c r="P4099" t="s">
        <v>2729</v>
      </c>
    </row>
    <row r="4100" spans="1:16" x14ac:dyDescent="0.35">
      <c r="A4100" t="s">
        <v>107</v>
      </c>
      <c r="B4100">
        <v>1324725678</v>
      </c>
      <c r="C4100" t="s">
        <v>18</v>
      </c>
      <c r="D4100" t="s">
        <v>21</v>
      </c>
      <c r="E4100" s="29">
        <v>46204</v>
      </c>
      <c r="F4100" t="s">
        <v>3</v>
      </c>
      <c r="G4100" s="28">
        <v>0.625</v>
      </c>
      <c r="H4100" s="28">
        <v>0.85416666666666663</v>
      </c>
      <c r="I4100">
        <v>6</v>
      </c>
      <c r="J4100" t="s">
        <v>146</v>
      </c>
      <c r="K4100">
        <v>16</v>
      </c>
      <c r="L4100" t="s">
        <v>147</v>
      </c>
      <c r="M4100" t="s">
        <v>10251</v>
      </c>
      <c r="N4100" t="s">
        <v>10252</v>
      </c>
      <c r="O4100" t="s">
        <v>10253</v>
      </c>
      <c r="P4100" t="s">
        <v>10254</v>
      </c>
    </row>
    <row r="4101" spans="1:16" x14ac:dyDescent="0.35">
      <c r="A4101" t="s">
        <v>107</v>
      </c>
      <c r="B4101">
        <v>1324725678</v>
      </c>
      <c r="C4101" t="s">
        <v>18</v>
      </c>
      <c r="D4101" t="s">
        <v>21</v>
      </c>
      <c r="E4101" s="29">
        <v>46205</v>
      </c>
      <c r="F4101" t="s">
        <v>4</v>
      </c>
      <c r="G4101" s="28">
        <v>0.40277777777777779</v>
      </c>
      <c r="H4101" s="28">
        <v>0.40277777777777779</v>
      </c>
      <c r="I4101">
        <v>0</v>
      </c>
      <c r="J4101" t="s">
        <v>174</v>
      </c>
      <c r="K4101">
        <v>0</v>
      </c>
      <c r="L4101" t="s">
        <v>10255</v>
      </c>
      <c r="M4101" t="s">
        <v>10256</v>
      </c>
      <c r="N4101" t="s">
        <v>10257</v>
      </c>
      <c r="O4101" t="s">
        <v>10258</v>
      </c>
      <c r="P4101" t="s">
        <v>2729</v>
      </c>
    </row>
    <row r="4102" spans="1:16" x14ac:dyDescent="0.35">
      <c r="A4102" t="s">
        <v>107</v>
      </c>
      <c r="B4102">
        <v>1324725678</v>
      </c>
      <c r="C4102" t="s">
        <v>18</v>
      </c>
      <c r="D4102" t="s">
        <v>21</v>
      </c>
      <c r="E4102" s="29">
        <v>46205</v>
      </c>
      <c r="F4102" t="s">
        <v>4</v>
      </c>
      <c r="G4102" s="28">
        <v>0.40972222222222221</v>
      </c>
      <c r="H4102" s="28">
        <v>0.40972222222222221</v>
      </c>
      <c r="I4102">
        <v>0</v>
      </c>
      <c r="J4102" t="s">
        <v>174</v>
      </c>
      <c r="K4102">
        <v>0</v>
      </c>
      <c r="L4102" t="s">
        <v>10298</v>
      </c>
      <c r="M4102" t="s">
        <v>10259</v>
      </c>
      <c r="N4102" t="s">
        <v>10260</v>
      </c>
      <c r="O4102" t="s">
        <v>10261</v>
      </c>
      <c r="P4102" t="s">
        <v>10262</v>
      </c>
    </row>
    <row r="4103" spans="1:16" x14ac:dyDescent="0.35">
      <c r="A4103" t="s">
        <v>107</v>
      </c>
      <c r="B4103">
        <v>1324725678</v>
      </c>
      <c r="C4103" t="s">
        <v>18</v>
      </c>
      <c r="D4103" t="s">
        <v>21</v>
      </c>
      <c r="E4103" s="29">
        <v>46205</v>
      </c>
      <c r="F4103" t="s">
        <v>4</v>
      </c>
      <c r="G4103" s="28">
        <v>0.41666666666666669</v>
      </c>
      <c r="H4103" s="28">
        <v>0.41666666666666669</v>
      </c>
      <c r="I4103">
        <v>0</v>
      </c>
      <c r="J4103" t="s">
        <v>174</v>
      </c>
      <c r="K4103">
        <v>0</v>
      </c>
      <c r="L4103" t="s">
        <v>10298</v>
      </c>
      <c r="M4103" t="s">
        <v>10299</v>
      </c>
      <c r="N4103" t="s">
        <v>10300</v>
      </c>
      <c r="O4103" t="s">
        <v>10301</v>
      </c>
      <c r="P4103" t="s">
        <v>10302</v>
      </c>
    </row>
    <row r="4104" spans="1:16" x14ac:dyDescent="0.35">
      <c r="A4104" t="s">
        <v>107</v>
      </c>
      <c r="B4104">
        <v>1324725678</v>
      </c>
      <c r="C4104" t="s">
        <v>18</v>
      </c>
      <c r="D4104" t="s">
        <v>21</v>
      </c>
      <c r="E4104" s="29">
        <v>46205</v>
      </c>
      <c r="F4104" t="s">
        <v>4</v>
      </c>
      <c r="G4104" s="28">
        <v>0.4236111111111111</v>
      </c>
      <c r="H4104" s="28">
        <v>0.4236111111111111</v>
      </c>
      <c r="I4104">
        <v>0</v>
      </c>
      <c r="J4104" t="s">
        <v>174</v>
      </c>
      <c r="K4104">
        <v>0</v>
      </c>
      <c r="L4104" t="s">
        <v>10303</v>
      </c>
      <c r="M4104" t="s">
        <v>10259</v>
      </c>
      <c r="N4104" t="s">
        <v>10260</v>
      </c>
      <c r="O4104" t="s">
        <v>10261</v>
      </c>
      <c r="P4104" t="s">
        <v>10262</v>
      </c>
    </row>
    <row r="4105" spans="1:16" x14ac:dyDescent="0.35">
      <c r="A4105" t="s">
        <v>107</v>
      </c>
      <c r="B4105">
        <v>1324725678</v>
      </c>
      <c r="C4105" t="s">
        <v>18</v>
      </c>
      <c r="D4105" t="s">
        <v>21</v>
      </c>
      <c r="E4105" s="29">
        <v>46205</v>
      </c>
      <c r="F4105" t="s">
        <v>4</v>
      </c>
      <c r="G4105" s="28">
        <v>0.43055555555555558</v>
      </c>
      <c r="H4105" s="28">
        <v>0.43055555555555558</v>
      </c>
      <c r="I4105">
        <v>0</v>
      </c>
      <c r="J4105" t="s">
        <v>174</v>
      </c>
      <c r="K4105">
        <v>0</v>
      </c>
      <c r="L4105" t="s">
        <v>2851</v>
      </c>
      <c r="M4105" t="s">
        <v>10304</v>
      </c>
      <c r="N4105" t="s">
        <v>10305</v>
      </c>
      <c r="O4105" t="s">
        <v>10306</v>
      </c>
      <c r="P4105" t="s">
        <v>10307</v>
      </c>
    </row>
    <row r="4106" spans="1:16" x14ac:dyDescent="0.35">
      <c r="A4106" t="s">
        <v>107</v>
      </c>
      <c r="B4106">
        <v>1324725678</v>
      </c>
      <c r="C4106" t="s">
        <v>18</v>
      </c>
      <c r="D4106" t="s">
        <v>21</v>
      </c>
      <c r="E4106" s="29">
        <v>46205</v>
      </c>
      <c r="F4106" t="s">
        <v>4</v>
      </c>
      <c r="G4106" s="28">
        <v>0.4375</v>
      </c>
      <c r="H4106" s="28">
        <v>0.4375</v>
      </c>
      <c r="I4106">
        <v>0</v>
      </c>
      <c r="J4106" t="s">
        <v>174</v>
      </c>
      <c r="K4106">
        <v>0</v>
      </c>
      <c r="L4106" t="s">
        <v>10308</v>
      </c>
      <c r="M4106" t="s">
        <v>10309</v>
      </c>
      <c r="N4106" t="s">
        <v>10310</v>
      </c>
      <c r="O4106" t="s">
        <v>2652</v>
      </c>
      <c r="P4106" t="s">
        <v>10311</v>
      </c>
    </row>
    <row r="4107" spans="1:16" x14ac:dyDescent="0.35">
      <c r="A4107" t="s">
        <v>107</v>
      </c>
      <c r="B4107">
        <v>1324725678</v>
      </c>
      <c r="C4107" t="s">
        <v>18</v>
      </c>
      <c r="D4107" t="s">
        <v>21</v>
      </c>
      <c r="E4107" s="29">
        <v>46205</v>
      </c>
      <c r="F4107" t="s">
        <v>4</v>
      </c>
      <c r="G4107" s="28">
        <v>0.44444444444444442</v>
      </c>
      <c r="H4107" s="28">
        <v>0.54166666666666663</v>
      </c>
      <c r="I4107">
        <v>2</v>
      </c>
      <c r="J4107" t="s">
        <v>146</v>
      </c>
      <c r="K4107">
        <v>7</v>
      </c>
      <c r="L4107" t="s">
        <v>147</v>
      </c>
      <c r="M4107" t="s">
        <v>10312</v>
      </c>
      <c r="N4107" t="s">
        <v>10313</v>
      </c>
      <c r="O4107" t="s">
        <v>10314</v>
      </c>
      <c r="P4107" t="s">
        <v>10315</v>
      </c>
    </row>
    <row r="4108" spans="1:16" x14ac:dyDescent="0.35">
      <c r="A4108" t="s">
        <v>107</v>
      </c>
      <c r="B4108">
        <v>1324725678</v>
      </c>
      <c r="C4108" t="s">
        <v>18</v>
      </c>
      <c r="D4108" t="s">
        <v>21</v>
      </c>
      <c r="E4108" s="29">
        <v>46205</v>
      </c>
      <c r="F4108" t="s">
        <v>4</v>
      </c>
      <c r="G4108" s="28">
        <v>0.54861111111111116</v>
      </c>
      <c r="H4108" s="28">
        <v>0.54861111111111116</v>
      </c>
      <c r="I4108">
        <v>0</v>
      </c>
      <c r="J4108" t="s">
        <v>174</v>
      </c>
      <c r="K4108">
        <v>0</v>
      </c>
      <c r="L4108" t="s">
        <v>485</v>
      </c>
      <c r="M4108" t="s">
        <v>10309</v>
      </c>
      <c r="N4108" t="s">
        <v>10310</v>
      </c>
      <c r="O4108" t="s">
        <v>2652</v>
      </c>
      <c r="P4108" t="s">
        <v>10311</v>
      </c>
    </row>
    <row r="4109" spans="1:16" x14ac:dyDescent="0.35">
      <c r="A4109" t="s">
        <v>107</v>
      </c>
      <c r="B4109">
        <v>1324725678</v>
      </c>
      <c r="C4109" t="s">
        <v>18</v>
      </c>
      <c r="D4109" t="s">
        <v>21</v>
      </c>
      <c r="E4109" s="29">
        <v>46205</v>
      </c>
      <c r="F4109" t="s">
        <v>4</v>
      </c>
      <c r="G4109" s="28">
        <v>0.55555555555555558</v>
      </c>
      <c r="H4109" s="28">
        <v>0.55555555555555558</v>
      </c>
      <c r="I4109">
        <v>0</v>
      </c>
      <c r="J4109" t="s">
        <v>174</v>
      </c>
      <c r="K4109">
        <v>0</v>
      </c>
      <c r="L4109" t="s">
        <v>10316</v>
      </c>
      <c r="M4109" t="s">
        <v>10317</v>
      </c>
      <c r="N4109" t="s">
        <v>10318</v>
      </c>
      <c r="O4109" t="s">
        <v>10319</v>
      </c>
      <c r="P4109" t="s">
        <v>10320</v>
      </c>
    </row>
    <row r="4110" spans="1:16" x14ac:dyDescent="0.35">
      <c r="A4110" t="s">
        <v>107</v>
      </c>
      <c r="B4110">
        <v>1324725678</v>
      </c>
      <c r="C4110" t="s">
        <v>18</v>
      </c>
      <c r="D4110" t="s">
        <v>21</v>
      </c>
      <c r="E4110" s="29">
        <v>46205</v>
      </c>
      <c r="F4110" t="s">
        <v>4</v>
      </c>
      <c r="G4110" s="28">
        <v>0.5625</v>
      </c>
      <c r="H4110" s="28">
        <v>0.5625</v>
      </c>
      <c r="I4110">
        <v>0</v>
      </c>
      <c r="J4110" t="s">
        <v>174</v>
      </c>
      <c r="K4110">
        <v>0</v>
      </c>
      <c r="L4110" t="s">
        <v>485</v>
      </c>
      <c r="M4110" t="s">
        <v>10321</v>
      </c>
      <c r="N4110" t="s">
        <v>10322</v>
      </c>
      <c r="O4110" t="s">
        <v>10323</v>
      </c>
      <c r="P4110" t="s">
        <v>456</v>
      </c>
    </row>
    <row r="4111" spans="1:16" x14ac:dyDescent="0.35">
      <c r="A4111" t="s">
        <v>107</v>
      </c>
      <c r="B4111">
        <v>1324725678</v>
      </c>
      <c r="C4111" t="s">
        <v>18</v>
      </c>
      <c r="D4111" t="s">
        <v>21</v>
      </c>
      <c r="E4111" s="29">
        <v>46205</v>
      </c>
      <c r="F4111" t="s">
        <v>4</v>
      </c>
      <c r="G4111" s="28">
        <v>0.56944444444444442</v>
      </c>
      <c r="H4111" s="28">
        <v>0.56944444444444442</v>
      </c>
      <c r="I4111">
        <v>0</v>
      </c>
      <c r="J4111" t="s">
        <v>174</v>
      </c>
      <c r="K4111">
        <v>0</v>
      </c>
      <c r="L4111" t="s">
        <v>10324</v>
      </c>
      <c r="M4111" t="s">
        <v>10325</v>
      </c>
      <c r="N4111" t="s">
        <v>10326</v>
      </c>
      <c r="O4111" t="s">
        <v>10327</v>
      </c>
      <c r="P4111" t="s">
        <v>460</v>
      </c>
    </row>
    <row r="4112" spans="1:16" x14ac:dyDescent="0.35">
      <c r="A4112" t="s">
        <v>107</v>
      </c>
      <c r="B4112">
        <v>1324725678</v>
      </c>
      <c r="C4112" t="s">
        <v>18</v>
      </c>
      <c r="D4112" t="s">
        <v>21</v>
      </c>
      <c r="E4112" s="29">
        <v>46205</v>
      </c>
      <c r="F4112" t="s">
        <v>4</v>
      </c>
      <c r="G4112" s="28">
        <v>0.57708333333333328</v>
      </c>
      <c r="H4112" s="28">
        <v>0.57708333333333328</v>
      </c>
      <c r="I4112">
        <v>0</v>
      </c>
      <c r="J4112" t="s">
        <v>174</v>
      </c>
      <c r="K4112">
        <v>0</v>
      </c>
      <c r="L4112" t="s">
        <v>10328</v>
      </c>
      <c r="M4112" t="s">
        <v>10329</v>
      </c>
      <c r="N4112" t="s">
        <v>10330</v>
      </c>
      <c r="O4112" t="s">
        <v>10331</v>
      </c>
      <c r="P4112" t="s">
        <v>10332</v>
      </c>
    </row>
    <row r="4113" spans="1:16" x14ac:dyDescent="0.35">
      <c r="A4113" t="s">
        <v>107</v>
      </c>
      <c r="B4113">
        <v>1324725678</v>
      </c>
      <c r="C4113" t="s">
        <v>18</v>
      </c>
      <c r="D4113" t="s">
        <v>21</v>
      </c>
      <c r="E4113" s="29">
        <v>46205</v>
      </c>
      <c r="F4113" t="s">
        <v>4</v>
      </c>
      <c r="G4113" s="28">
        <v>0.58333333333333337</v>
      </c>
      <c r="H4113" s="28">
        <v>0.61111111111111116</v>
      </c>
      <c r="I4113">
        <v>1</v>
      </c>
      <c r="J4113" t="s">
        <v>146</v>
      </c>
      <c r="K4113">
        <v>2</v>
      </c>
      <c r="L4113" t="s">
        <v>147</v>
      </c>
      <c r="M4113" t="s">
        <v>10333</v>
      </c>
      <c r="N4113" t="s">
        <v>10334</v>
      </c>
      <c r="O4113" t="s">
        <v>10335</v>
      </c>
      <c r="P4113" t="s">
        <v>10336</v>
      </c>
    </row>
    <row r="4114" spans="1:16" x14ac:dyDescent="0.35">
      <c r="A4114" t="s">
        <v>107</v>
      </c>
      <c r="B4114">
        <v>1324725678</v>
      </c>
      <c r="C4114" t="s">
        <v>18</v>
      </c>
      <c r="D4114" t="s">
        <v>21</v>
      </c>
      <c r="E4114" s="29">
        <v>46205</v>
      </c>
      <c r="F4114" t="s">
        <v>4</v>
      </c>
      <c r="G4114" s="28">
        <v>0.61805555555555558</v>
      </c>
      <c r="H4114" s="28">
        <v>0.63958333333333328</v>
      </c>
      <c r="I4114">
        <v>1</v>
      </c>
      <c r="J4114" t="s">
        <v>146</v>
      </c>
      <c r="K4114">
        <v>2</v>
      </c>
      <c r="L4114" t="s">
        <v>147</v>
      </c>
      <c r="M4114" t="s">
        <v>10329</v>
      </c>
      <c r="N4114" t="s">
        <v>10330</v>
      </c>
      <c r="O4114" t="s">
        <v>10331</v>
      </c>
      <c r="P4114" t="s">
        <v>10332</v>
      </c>
    </row>
    <row r="4115" spans="1:16" x14ac:dyDescent="0.35">
      <c r="A4115" t="s">
        <v>107</v>
      </c>
      <c r="B4115">
        <v>1324725678</v>
      </c>
      <c r="C4115" t="s">
        <v>18</v>
      </c>
      <c r="D4115" t="s">
        <v>21</v>
      </c>
      <c r="E4115" s="29">
        <v>46205</v>
      </c>
      <c r="F4115" t="s">
        <v>4</v>
      </c>
      <c r="G4115" s="28">
        <v>0.65277777777777779</v>
      </c>
      <c r="H4115" s="28">
        <v>0.65277777777777779</v>
      </c>
      <c r="I4115">
        <v>0</v>
      </c>
      <c r="J4115" t="s">
        <v>174</v>
      </c>
      <c r="K4115">
        <v>0</v>
      </c>
      <c r="L4115" t="s">
        <v>724</v>
      </c>
      <c r="M4115" t="s">
        <v>10337</v>
      </c>
      <c r="N4115" t="s">
        <v>10338</v>
      </c>
      <c r="O4115" t="s">
        <v>10339</v>
      </c>
      <c r="P4115" t="s">
        <v>10340</v>
      </c>
    </row>
    <row r="4116" spans="1:16" x14ac:dyDescent="0.35">
      <c r="A4116" t="s">
        <v>107</v>
      </c>
      <c r="B4116">
        <v>1324725678</v>
      </c>
      <c r="C4116" t="s">
        <v>18</v>
      </c>
      <c r="D4116" t="s">
        <v>21</v>
      </c>
      <c r="E4116" s="29">
        <v>46205</v>
      </c>
      <c r="F4116" t="s">
        <v>4</v>
      </c>
      <c r="G4116" s="28">
        <v>0.65972222222222221</v>
      </c>
      <c r="H4116" s="28">
        <v>0.65972222222222221</v>
      </c>
      <c r="I4116">
        <v>0</v>
      </c>
      <c r="J4116" t="s">
        <v>174</v>
      </c>
      <c r="K4116">
        <v>0</v>
      </c>
      <c r="L4116" t="s">
        <v>10341</v>
      </c>
      <c r="M4116" t="s">
        <v>10342</v>
      </c>
      <c r="N4116" t="s">
        <v>10343</v>
      </c>
      <c r="O4116" t="s">
        <v>10344</v>
      </c>
      <c r="P4116" t="s">
        <v>10345</v>
      </c>
    </row>
    <row r="4117" spans="1:16" x14ac:dyDescent="0.35">
      <c r="A4117" t="s">
        <v>107</v>
      </c>
      <c r="B4117">
        <v>1324725678</v>
      </c>
      <c r="C4117" t="s">
        <v>18</v>
      </c>
      <c r="D4117" t="s">
        <v>21</v>
      </c>
      <c r="E4117" s="29">
        <v>46205</v>
      </c>
      <c r="F4117" t="s">
        <v>4</v>
      </c>
      <c r="G4117" s="28">
        <v>0.66666666666666663</v>
      </c>
      <c r="H4117" s="28">
        <v>0.66666666666666663</v>
      </c>
      <c r="I4117">
        <v>0</v>
      </c>
      <c r="J4117" t="s">
        <v>174</v>
      </c>
      <c r="K4117">
        <v>0</v>
      </c>
      <c r="L4117" t="s">
        <v>10346</v>
      </c>
      <c r="M4117" t="s">
        <v>10347</v>
      </c>
      <c r="N4117" t="s">
        <v>10348</v>
      </c>
      <c r="O4117" t="s">
        <v>10349</v>
      </c>
      <c r="P4117" t="s">
        <v>3863</v>
      </c>
    </row>
    <row r="4118" spans="1:16" x14ac:dyDescent="0.35">
      <c r="A4118" t="s">
        <v>107</v>
      </c>
      <c r="B4118">
        <v>1324725678</v>
      </c>
      <c r="C4118" t="s">
        <v>18</v>
      </c>
      <c r="D4118" t="s">
        <v>21</v>
      </c>
      <c r="E4118" s="29">
        <v>46205</v>
      </c>
      <c r="F4118" t="s">
        <v>4</v>
      </c>
      <c r="G4118" s="28">
        <v>0.67361111111111116</v>
      </c>
      <c r="H4118" s="28">
        <v>0.67361111111111116</v>
      </c>
      <c r="I4118">
        <v>0</v>
      </c>
      <c r="J4118" t="s">
        <v>174</v>
      </c>
      <c r="K4118">
        <v>0</v>
      </c>
      <c r="L4118" t="s">
        <v>10350</v>
      </c>
      <c r="M4118" t="s">
        <v>10351</v>
      </c>
      <c r="N4118" t="s">
        <v>10352</v>
      </c>
      <c r="O4118" t="s">
        <v>10353</v>
      </c>
      <c r="P4118" t="s">
        <v>2706</v>
      </c>
    </row>
    <row r="4119" spans="1:16" x14ac:dyDescent="0.35">
      <c r="A4119" t="s">
        <v>107</v>
      </c>
      <c r="B4119">
        <v>1324725678</v>
      </c>
      <c r="C4119" t="s">
        <v>18</v>
      </c>
      <c r="D4119" t="s">
        <v>21</v>
      </c>
      <c r="E4119" s="29">
        <v>46205</v>
      </c>
      <c r="F4119" t="s">
        <v>4</v>
      </c>
      <c r="G4119" s="28">
        <v>0.68055555555555558</v>
      </c>
      <c r="H4119" s="28">
        <v>0.68055555555555558</v>
      </c>
      <c r="I4119">
        <v>0</v>
      </c>
      <c r="J4119" t="s">
        <v>174</v>
      </c>
      <c r="K4119">
        <v>0</v>
      </c>
      <c r="L4119" t="s">
        <v>10354</v>
      </c>
      <c r="M4119" t="s">
        <v>10355</v>
      </c>
      <c r="N4119" t="s">
        <v>10356</v>
      </c>
      <c r="O4119" t="s">
        <v>10357</v>
      </c>
      <c r="P4119" t="s">
        <v>10358</v>
      </c>
    </row>
    <row r="4120" spans="1:16" x14ac:dyDescent="0.35">
      <c r="A4120" t="s">
        <v>107</v>
      </c>
      <c r="B4120">
        <v>1324725678</v>
      </c>
      <c r="C4120" t="s">
        <v>18</v>
      </c>
      <c r="D4120" t="s">
        <v>21</v>
      </c>
      <c r="E4120" s="29">
        <v>46205</v>
      </c>
      <c r="F4120" t="s">
        <v>4</v>
      </c>
      <c r="G4120" s="28">
        <v>0.6875</v>
      </c>
      <c r="H4120" s="28">
        <v>0.6875</v>
      </c>
      <c r="I4120">
        <v>0</v>
      </c>
      <c r="J4120" t="s">
        <v>174</v>
      </c>
      <c r="K4120">
        <v>0</v>
      </c>
      <c r="L4120" t="s">
        <v>10359</v>
      </c>
      <c r="M4120" t="s">
        <v>10360</v>
      </c>
      <c r="N4120" t="s">
        <v>10361</v>
      </c>
      <c r="O4120" t="s">
        <v>10362</v>
      </c>
      <c r="P4120" t="s">
        <v>10363</v>
      </c>
    </row>
    <row r="4121" spans="1:16" x14ac:dyDescent="0.35">
      <c r="A4121" t="s">
        <v>107</v>
      </c>
      <c r="B4121">
        <v>1324725678</v>
      </c>
      <c r="C4121" t="s">
        <v>18</v>
      </c>
      <c r="D4121" t="s">
        <v>21</v>
      </c>
      <c r="E4121" s="29">
        <v>46205</v>
      </c>
      <c r="F4121" t="s">
        <v>4</v>
      </c>
      <c r="G4121" s="28">
        <v>0.69444444444444442</v>
      </c>
      <c r="H4121" s="28">
        <v>0.69444444444444442</v>
      </c>
      <c r="I4121">
        <v>0</v>
      </c>
      <c r="J4121" t="s">
        <v>174</v>
      </c>
      <c r="K4121">
        <v>0</v>
      </c>
      <c r="L4121" t="s">
        <v>10364</v>
      </c>
      <c r="M4121" t="s">
        <v>10365</v>
      </c>
      <c r="N4121" t="s">
        <v>10366</v>
      </c>
      <c r="O4121" t="s">
        <v>10367</v>
      </c>
      <c r="P4121" t="s">
        <v>10368</v>
      </c>
    </row>
    <row r="4122" spans="1:16" x14ac:dyDescent="0.35">
      <c r="A4122" t="s">
        <v>107</v>
      </c>
      <c r="B4122">
        <v>1324725678</v>
      </c>
      <c r="C4122" t="s">
        <v>18</v>
      </c>
      <c r="D4122" t="s">
        <v>21</v>
      </c>
      <c r="E4122" s="29">
        <v>46205</v>
      </c>
      <c r="F4122" t="s">
        <v>4</v>
      </c>
      <c r="G4122" s="28">
        <v>0.70138888888888884</v>
      </c>
      <c r="H4122" s="28">
        <v>0.70138888888888884</v>
      </c>
      <c r="I4122">
        <v>0</v>
      </c>
      <c r="J4122" t="s">
        <v>174</v>
      </c>
      <c r="K4122">
        <v>0</v>
      </c>
      <c r="L4122" t="s">
        <v>10369</v>
      </c>
      <c r="M4122" t="s">
        <v>10370</v>
      </c>
      <c r="N4122" t="s">
        <v>10371</v>
      </c>
      <c r="O4122" t="s">
        <v>10372</v>
      </c>
      <c r="P4122" t="s">
        <v>10373</v>
      </c>
    </row>
    <row r="4123" spans="1:16" x14ac:dyDescent="0.35">
      <c r="A4123" t="s">
        <v>107</v>
      </c>
      <c r="B4123">
        <v>1324725678</v>
      </c>
      <c r="C4123" t="s">
        <v>18</v>
      </c>
      <c r="D4123" t="s">
        <v>21</v>
      </c>
      <c r="E4123" s="29">
        <v>46205</v>
      </c>
      <c r="F4123" t="s">
        <v>4</v>
      </c>
      <c r="G4123" s="28">
        <v>0.70833333333333337</v>
      </c>
      <c r="H4123" s="28">
        <v>0.71527777777777779</v>
      </c>
      <c r="I4123">
        <v>0</v>
      </c>
      <c r="J4123" t="s">
        <v>146</v>
      </c>
      <c r="K4123">
        <v>0</v>
      </c>
      <c r="L4123" t="s">
        <v>147</v>
      </c>
      <c r="M4123" t="s">
        <v>10374</v>
      </c>
      <c r="N4123" t="s">
        <v>10375</v>
      </c>
      <c r="O4123" t="s">
        <v>10376</v>
      </c>
      <c r="P4123" t="s">
        <v>10377</v>
      </c>
    </row>
    <row r="4124" spans="1:16" x14ac:dyDescent="0.35">
      <c r="A4124" t="s">
        <v>107</v>
      </c>
      <c r="B4124">
        <v>1324725678</v>
      </c>
      <c r="C4124" t="s">
        <v>18</v>
      </c>
      <c r="D4124" t="s">
        <v>21</v>
      </c>
      <c r="E4124" s="29">
        <v>46205</v>
      </c>
      <c r="F4124" t="s">
        <v>4</v>
      </c>
      <c r="G4124" s="28">
        <v>0.72222222222222221</v>
      </c>
      <c r="H4124" s="28">
        <v>0.72222222222222221</v>
      </c>
      <c r="I4124">
        <v>0</v>
      </c>
      <c r="J4124" t="s">
        <v>174</v>
      </c>
      <c r="K4124">
        <v>0</v>
      </c>
      <c r="L4124" t="s">
        <v>10378</v>
      </c>
      <c r="M4124" t="s">
        <v>10379</v>
      </c>
      <c r="N4124" t="s">
        <v>10380</v>
      </c>
      <c r="O4124" t="s">
        <v>10381</v>
      </c>
      <c r="P4124" t="s">
        <v>10382</v>
      </c>
    </row>
    <row r="4125" spans="1:16" x14ac:dyDescent="0.35">
      <c r="A4125" t="s">
        <v>107</v>
      </c>
      <c r="B4125">
        <v>1324725678</v>
      </c>
      <c r="C4125" t="s">
        <v>18</v>
      </c>
      <c r="D4125" t="s">
        <v>21</v>
      </c>
      <c r="E4125" s="29">
        <v>46205</v>
      </c>
      <c r="F4125" t="s">
        <v>4</v>
      </c>
      <c r="G4125" s="28">
        <v>0.72916666666666663</v>
      </c>
      <c r="H4125" s="28">
        <v>0.72916666666666663</v>
      </c>
      <c r="I4125">
        <v>0</v>
      </c>
      <c r="J4125" t="s">
        <v>174</v>
      </c>
      <c r="K4125">
        <v>0</v>
      </c>
      <c r="L4125" t="s">
        <v>638</v>
      </c>
      <c r="M4125" t="s">
        <v>10383</v>
      </c>
      <c r="N4125" t="s">
        <v>10384</v>
      </c>
      <c r="O4125" t="s">
        <v>10385</v>
      </c>
      <c r="P4125" t="s">
        <v>10386</v>
      </c>
    </row>
    <row r="4126" spans="1:16" x14ac:dyDescent="0.35">
      <c r="A4126" t="s">
        <v>107</v>
      </c>
      <c r="B4126">
        <v>1324725678</v>
      </c>
      <c r="C4126" t="s">
        <v>18</v>
      </c>
      <c r="D4126" t="s">
        <v>21</v>
      </c>
      <c r="E4126" s="29">
        <v>46205</v>
      </c>
      <c r="F4126" t="s">
        <v>4</v>
      </c>
      <c r="G4126" s="28">
        <v>0.73611111111111116</v>
      </c>
      <c r="H4126" s="28">
        <v>0.73611111111111116</v>
      </c>
      <c r="I4126">
        <v>0</v>
      </c>
      <c r="J4126" t="s">
        <v>174</v>
      </c>
      <c r="K4126">
        <v>0</v>
      </c>
      <c r="L4126" t="s">
        <v>10387</v>
      </c>
      <c r="M4126" t="s">
        <v>10388</v>
      </c>
      <c r="N4126" t="s">
        <v>10389</v>
      </c>
      <c r="O4126" t="s">
        <v>10390</v>
      </c>
      <c r="P4126" t="s">
        <v>10391</v>
      </c>
    </row>
    <row r="4127" spans="1:16" x14ac:dyDescent="0.35">
      <c r="A4127" t="s">
        <v>107</v>
      </c>
      <c r="B4127">
        <v>1324725678</v>
      </c>
      <c r="C4127" t="s">
        <v>18</v>
      </c>
      <c r="D4127" t="s">
        <v>21</v>
      </c>
      <c r="E4127" s="29">
        <v>46205</v>
      </c>
      <c r="F4127" t="s">
        <v>4</v>
      </c>
      <c r="G4127" s="28">
        <v>0.74305555555555558</v>
      </c>
      <c r="H4127" s="28">
        <v>0.74305555555555558</v>
      </c>
      <c r="I4127">
        <v>0</v>
      </c>
      <c r="J4127" t="s">
        <v>174</v>
      </c>
      <c r="K4127">
        <v>0</v>
      </c>
      <c r="L4127" t="s">
        <v>7946</v>
      </c>
      <c r="M4127" t="s">
        <v>10392</v>
      </c>
      <c r="N4127" t="s">
        <v>10393</v>
      </c>
      <c r="O4127" t="s">
        <v>10394</v>
      </c>
      <c r="P4127" t="s">
        <v>10395</v>
      </c>
    </row>
    <row r="4128" spans="1:16" x14ac:dyDescent="0.35">
      <c r="A4128" t="s">
        <v>107</v>
      </c>
      <c r="B4128">
        <v>1324725678</v>
      </c>
      <c r="C4128" t="s">
        <v>18</v>
      </c>
      <c r="D4128" t="s">
        <v>21</v>
      </c>
      <c r="E4128" s="29">
        <v>46205</v>
      </c>
      <c r="F4128" t="s">
        <v>4</v>
      </c>
      <c r="G4128" s="28">
        <v>0.75</v>
      </c>
      <c r="H4128" s="28">
        <v>0.75</v>
      </c>
      <c r="I4128">
        <v>0</v>
      </c>
      <c r="J4128" t="s">
        <v>174</v>
      </c>
      <c r="K4128">
        <v>0</v>
      </c>
      <c r="L4128" t="s">
        <v>4439</v>
      </c>
      <c r="M4128" t="s">
        <v>4975</v>
      </c>
      <c r="N4128" t="s">
        <v>4976</v>
      </c>
      <c r="O4128" t="s">
        <v>4977</v>
      </c>
      <c r="P4128" t="s">
        <v>10396</v>
      </c>
    </row>
    <row r="4129" spans="1:16" x14ac:dyDescent="0.35">
      <c r="A4129" t="s">
        <v>107</v>
      </c>
      <c r="B4129">
        <v>1324725678</v>
      </c>
      <c r="C4129" t="s">
        <v>18</v>
      </c>
      <c r="D4129" t="s">
        <v>21</v>
      </c>
      <c r="E4129" s="29">
        <v>46205</v>
      </c>
      <c r="F4129" t="s">
        <v>4</v>
      </c>
      <c r="G4129" s="28">
        <v>0.75694444444444442</v>
      </c>
      <c r="H4129" s="28">
        <v>0.75694444444444442</v>
      </c>
      <c r="I4129">
        <v>0</v>
      </c>
      <c r="J4129" t="s">
        <v>174</v>
      </c>
      <c r="K4129">
        <v>0</v>
      </c>
      <c r="L4129" t="s">
        <v>10397</v>
      </c>
      <c r="M4129" t="s">
        <v>10398</v>
      </c>
      <c r="N4129" t="s">
        <v>10399</v>
      </c>
      <c r="O4129" t="s">
        <v>10400</v>
      </c>
      <c r="P4129" t="s">
        <v>10401</v>
      </c>
    </row>
    <row r="4130" spans="1:16" x14ac:dyDescent="0.35">
      <c r="A4130" t="s">
        <v>107</v>
      </c>
      <c r="B4130">
        <v>1324725678</v>
      </c>
      <c r="C4130" t="s">
        <v>18</v>
      </c>
      <c r="D4130" t="s">
        <v>21</v>
      </c>
      <c r="E4130" s="29">
        <v>46205</v>
      </c>
      <c r="F4130" t="s">
        <v>4</v>
      </c>
      <c r="G4130" s="28">
        <v>0.76458333333333328</v>
      </c>
      <c r="H4130" s="28">
        <v>0.76458333333333328</v>
      </c>
      <c r="I4130">
        <v>0</v>
      </c>
      <c r="J4130" t="s">
        <v>174</v>
      </c>
      <c r="K4130">
        <v>0</v>
      </c>
      <c r="L4130" t="s">
        <v>6117</v>
      </c>
      <c r="M4130" t="s">
        <v>10402</v>
      </c>
      <c r="N4130" t="s">
        <v>10403</v>
      </c>
      <c r="O4130" t="s">
        <v>10404</v>
      </c>
      <c r="P4130" t="s">
        <v>10405</v>
      </c>
    </row>
    <row r="4131" spans="1:16" x14ac:dyDescent="0.35">
      <c r="A4131" t="s">
        <v>107</v>
      </c>
      <c r="B4131">
        <v>1324725678</v>
      </c>
      <c r="C4131" t="s">
        <v>18</v>
      </c>
      <c r="D4131" t="s">
        <v>21</v>
      </c>
      <c r="E4131" s="29">
        <v>46205</v>
      </c>
      <c r="F4131" t="s">
        <v>4</v>
      </c>
      <c r="G4131" s="28">
        <v>0.77083333333333337</v>
      </c>
      <c r="H4131" s="28">
        <v>0.77083333333333337</v>
      </c>
      <c r="I4131">
        <v>0</v>
      </c>
      <c r="J4131" t="s">
        <v>174</v>
      </c>
      <c r="K4131">
        <v>0</v>
      </c>
      <c r="L4131" t="s">
        <v>1430</v>
      </c>
      <c r="M4131" t="s">
        <v>10406</v>
      </c>
      <c r="N4131" t="s">
        <v>5628</v>
      </c>
      <c r="O4131" t="s">
        <v>10407</v>
      </c>
      <c r="P4131" t="s">
        <v>10408</v>
      </c>
    </row>
    <row r="4132" spans="1:16" x14ac:dyDescent="0.35">
      <c r="A4132" t="s">
        <v>107</v>
      </c>
      <c r="B4132">
        <v>1324725678</v>
      </c>
      <c r="C4132" t="s">
        <v>18</v>
      </c>
      <c r="D4132" t="s">
        <v>21</v>
      </c>
      <c r="E4132" s="29">
        <v>46205</v>
      </c>
      <c r="F4132" t="s">
        <v>4</v>
      </c>
      <c r="G4132" s="28">
        <v>0.77777777777777779</v>
      </c>
      <c r="H4132" s="28">
        <v>0.77777777777777779</v>
      </c>
      <c r="I4132">
        <v>0</v>
      </c>
      <c r="J4132" t="s">
        <v>174</v>
      </c>
      <c r="K4132">
        <v>0</v>
      </c>
      <c r="L4132" t="s">
        <v>7379</v>
      </c>
      <c r="M4132" t="s">
        <v>10409</v>
      </c>
      <c r="N4132" t="s">
        <v>10410</v>
      </c>
      <c r="O4132" t="s">
        <v>10411</v>
      </c>
      <c r="P4132" t="s">
        <v>10412</v>
      </c>
    </row>
    <row r="4133" spans="1:16" x14ac:dyDescent="0.35">
      <c r="A4133" t="s">
        <v>107</v>
      </c>
      <c r="B4133">
        <v>1324725678</v>
      </c>
      <c r="C4133" t="s">
        <v>18</v>
      </c>
      <c r="D4133" t="s">
        <v>21</v>
      </c>
      <c r="E4133" s="29">
        <v>46205</v>
      </c>
      <c r="F4133" t="s">
        <v>4</v>
      </c>
      <c r="G4133" s="28">
        <v>0.78472222222222221</v>
      </c>
      <c r="H4133" s="28">
        <v>0.79166666666666663</v>
      </c>
      <c r="I4133">
        <v>0</v>
      </c>
      <c r="J4133" t="s">
        <v>146</v>
      </c>
      <c r="K4133">
        <v>0</v>
      </c>
      <c r="L4133" t="s">
        <v>147</v>
      </c>
      <c r="M4133" t="s">
        <v>10413</v>
      </c>
      <c r="N4133" t="s">
        <v>10414</v>
      </c>
      <c r="O4133" t="s">
        <v>10415</v>
      </c>
      <c r="P4133" t="s">
        <v>10416</v>
      </c>
    </row>
    <row r="4134" spans="1:16" x14ac:dyDescent="0.35">
      <c r="A4134" t="s">
        <v>107</v>
      </c>
      <c r="B4134">
        <v>1324725678</v>
      </c>
      <c r="C4134" t="s">
        <v>18</v>
      </c>
      <c r="D4134" t="s">
        <v>21</v>
      </c>
      <c r="E4134" s="29">
        <v>46207</v>
      </c>
      <c r="F4134" t="s">
        <v>5</v>
      </c>
      <c r="G4134" s="28">
        <v>0.4861111111111111</v>
      </c>
      <c r="H4134" s="28">
        <v>0.4861111111111111</v>
      </c>
      <c r="I4134">
        <v>0</v>
      </c>
      <c r="J4134" t="s">
        <v>174</v>
      </c>
      <c r="K4134">
        <v>0</v>
      </c>
      <c r="L4134" t="s">
        <v>359</v>
      </c>
      <c r="M4134" t="s">
        <v>350</v>
      </c>
      <c r="N4134" t="s">
        <v>351</v>
      </c>
      <c r="O4134" t="s">
        <v>352</v>
      </c>
      <c r="P4134" t="s">
        <v>353</v>
      </c>
    </row>
    <row r="4135" spans="1:16" x14ac:dyDescent="0.35">
      <c r="A4135" t="s">
        <v>107</v>
      </c>
      <c r="B4135">
        <v>1324725678</v>
      </c>
      <c r="C4135" t="s">
        <v>18</v>
      </c>
      <c r="D4135" t="s">
        <v>21</v>
      </c>
      <c r="E4135" s="29">
        <v>46207</v>
      </c>
      <c r="F4135" t="s">
        <v>5</v>
      </c>
      <c r="G4135" s="28">
        <v>0.49305555555555558</v>
      </c>
      <c r="H4135" s="28">
        <v>0.52777777777777779</v>
      </c>
      <c r="I4135">
        <v>1</v>
      </c>
      <c r="J4135" t="s">
        <v>146</v>
      </c>
      <c r="K4135">
        <v>2</v>
      </c>
      <c r="L4135" t="s">
        <v>147</v>
      </c>
      <c r="M4135" t="s">
        <v>166</v>
      </c>
      <c r="N4135" t="s">
        <v>167</v>
      </c>
      <c r="O4135" t="s">
        <v>168</v>
      </c>
      <c r="P4135" t="s">
        <v>169</v>
      </c>
    </row>
    <row r="4136" spans="1:16" x14ac:dyDescent="0.35">
      <c r="A4136" t="s">
        <v>107</v>
      </c>
      <c r="B4136">
        <v>1324725678</v>
      </c>
      <c r="C4136" t="s">
        <v>18</v>
      </c>
      <c r="D4136" t="s">
        <v>21</v>
      </c>
      <c r="E4136" s="29">
        <v>46207</v>
      </c>
      <c r="F4136" t="s">
        <v>5</v>
      </c>
      <c r="G4136" s="28">
        <v>0.53472222222222221</v>
      </c>
      <c r="H4136" s="28">
        <v>0.53472222222222221</v>
      </c>
      <c r="I4136">
        <v>0</v>
      </c>
      <c r="J4136" t="s">
        <v>174</v>
      </c>
      <c r="K4136">
        <v>0</v>
      </c>
      <c r="L4136" t="s">
        <v>1395</v>
      </c>
      <c r="M4136" t="s">
        <v>350</v>
      </c>
      <c r="N4136" t="s">
        <v>351</v>
      </c>
      <c r="O4136" t="s">
        <v>352</v>
      </c>
      <c r="P4136" t="s">
        <v>353</v>
      </c>
    </row>
    <row r="4137" spans="1:16" x14ac:dyDescent="0.35">
      <c r="A4137" t="s">
        <v>107</v>
      </c>
      <c r="B4137">
        <v>1324725678</v>
      </c>
      <c r="C4137" t="s">
        <v>18</v>
      </c>
      <c r="D4137" t="s">
        <v>21</v>
      </c>
      <c r="E4137" s="29">
        <v>46207</v>
      </c>
      <c r="F4137" t="s">
        <v>5</v>
      </c>
      <c r="G4137" s="28">
        <v>0.54166666666666663</v>
      </c>
      <c r="H4137" s="28">
        <v>0.54166666666666663</v>
      </c>
      <c r="I4137">
        <v>0</v>
      </c>
      <c r="J4137" t="s">
        <v>174</v>
      </c>
      <c r="K4137">
        <v>0</v>
      </c>
      <c r="L4137" t="s">
        <v>10417</v>
      </c>
      <c r="M4137" t="s">
        <v>10418</v>
      </c>
      <c r="N4137" t="s">
        <v>10419</v>
      </c>
      <c r="O4137" t="s">
        <v>10420</v>
      </c>
      <c r="P4137" t="s">
        <v>10421</v>
      </c>
    </row>
    <row r="4138" spans="1:16" x14ac:dyDescent="0.35">
      <c r="A4138" t="s">
        <v>107</v>
      </c>
      <c r="B4138">
        <v>1324725678</v>
      </c>
      <c r="C4138" t="s">
        <v>18</v>
      </c>
      <c r="D4138" t="s">
        <v>21</v>
      </c>
      <c r="E4138" s="29">
        <v>46207</v>
      </c>
      <c r="F4138" t="s">
        <v>5</v>
      </c>
      <c r="G4138" s="28">
        <v>0.54861111111111116</v>
      </c>
      <c r="H4138" s="28">
        <v>0.61805555555555558</v>
      </c>
      <c r="I4138">
        <v>2</v>
      </c>
      <c r="J4138" t="s">
        <v>146</v>
      </c>
      <c r="K4138">
        <v>5</v>
      </c>
      <c r="L4138" t="s">
        <v>147</v>
      </c>
      <c r="M4138" t="s">
        <v>166</v>
      </c>
      <c r="N4138" t="s">
        <v>167</v>
      </c>
      <c r="O4138" t="s">
        <v>168</v>
      </c>
      <c r="P4138" t="s">
        <v>169</v>
      </c>
    </row>
    <row r="4139" spans="1:16" x14ac:dyDescent="0.35">
      <c r="A4139" t="s">
        <v>107</v>
      </c>
      <c r="B4139">
        <v>1324725678</v>
      </c>
      <c r="C4139" t="s">
        <v>18</v>
      </c>
      <c r="D4139" t="s">
        <v>21</v>
      </c>
      <c r="E4139" s="29">
        <v>46207</v>
      </c>
      <c r="F4139" t="s">
        <v>5</v>
      </c>
      <c r="G4139" s="28">
        <v>0.625</v>
      </c>
      <c r="H4139" s="28">
        <v>0.63194444444444442</v>
      </c>
      <c r="I4139">
        <v>0</v>
      </c>
      <c r="J4139" t="s">
        <v>146</v>
      </c>
      <c r="K4139">
        <v>0</v>
      </c>
      <c r="L4139" t="s">
        <v>147</v>
      </c>
      <c r="M4139" t="s">
        <v>10422</v>
      </c>
      <c r="N4139" t="s">
        <v>10423</v>
      </c>
      <c r="O4139" t="s">
        <v>10424</v>
      </c>
      <c r="P4139" t="s">
        <v>10425</v>
      </c>
    </row>
    <row r="4140" spans="1:16" x14ac:dyDescent="0.35">
      <c r="A4140" t="s">
        <v>107</v>
      </c>
      <c r="B4140">
        <v>1324725678</v>
      </c>
      <c r="C4140" t="s">
        <v>18</v>
      </c>
      <c r="D4140" t="s">
        <v>21</v>
      </c>
      <c r="E4140" s="29">
        <v>46207</v>
      </c>
      <c r="F4140" t="s">
        <v>5</v>
      </c>
      <c r="G4140" s="28">
        <v>0.63888888888888884</v>
      </c>
      <c r="H4140" s="28">
        <v>0.79861111111111116</v>
      </c>
      <c r="I4140">
        <v>4</v>
      </c>
      <c r="J4140" t="s">
        <v>146</v>
      </c>
      <c r="K4140">
        <v>12</v>
      </c>
      <c r="L4140" t="s">
        <v>147</v>
      </c>
      <c r="M4140" t="s">
        <v>166</v>
      </c>
      <c r="N4140" t="s">
        <v>167</v>
      </c>
      <c r="O4140" t="s">
        <v>168</v>
      </c>
      <c r="P4140" t="s">
        <v>169</v>
      </c>
    </row>
    <row r="4141" spans="1:16" x14ac:dyDescent="0.35">
      <c r="A4141" t="s">
        <v>107</v>
      </c>
      <c r="B4141">
        <v>1324725678</v>
      </c>
      <c r="C4141" t="s">
        <v>18</v>
      </c>
      <c r="D4141" t="s">
        <v>21</v>
      </c>
      <c r="E4141" s="29">
        <v>46208</v>
      </c>
      <c r="F4141" t="s">
        <v>6</v>
      </c>
      <c r="G4141" s="28">
        <v>0.38194444444444442</v>
      </c>
      <c r="H4141" s="28">
        <v>0.38194444444444442</v>
      </c>
      <c r="I4141">
        <v>0</v>
      </c>
      <c r="J4141" t="s">
        <v>174</v>
      </c>
      <c r="K4141">
        <v>0</v>
      </c>
      <c r="L4141" t="s">
        <v>10426</v>
      </c>
      <c r="M4141" t="s">
        <v>10427</v>
      </c>
      <c r="N4141" t="s">
        <v>10428</v>
      </c>
      <c r="O4141" t="s">
        <v>10429</v>
      </c>
      <c r="P4141" t="s">
        <v>10430</v>
      </c>
    </row>
    <row r="4142" spans="1:16" x14ac:dyDescent="0.35">
      <c r="A4142" t="s">
        <v>107</v>
      </c>
      <c r="B4142">
        <v>1324725678</v>
      </c>
      <c r="C4142" t="s">
        <v>18</v>
      </c>
      <c r="D4142" t="s">
        <v>21</v>
      </c>
      <c r="E4142" s="29">
        <v>46208</v>
      </c>
      <c r="F4142" t="s">
        <v>6</v>
      </c>
      <c r="G4142" s="28">
        <v>0.3888888888888889</v>
      </c>
      <c r="H4142" s="28">
        <v>0.3888888888888889</v>
      </c>
      <c r="I4142">
        <v>0</v>
      </c>
      <c r="J4142" t="s">
        <v>174</v>
      </c>
      <c r="K4142">
        <v>0</v>
      </c>
      <c r="L4142" t="s">
        <v>10359</v>
      </c>
      <c r="M4142" t="s">
        <v>6851</v>
      </c>
      <c r="N4142" t="s">
        <v>6852</v>
      </c>
      <c r="O4142" t="s">
        <v>6853</v>
      </c>
      <c r="P4142" t="s">
        <v>6854</v>
      </c>
    </row>
    <row r="4143" spans="1:16" x14ac:dyDescent="0.35">
      <c r="A4143" t="s">
        <v>107</v>
      </c>
      <c r="B4143">
        <v>1324725678</v>
      </c>
      <c r="C4143" t="s">
        <v>18</v>
      </c>
      <c r="D4143" t="s">
        <v>21</v>
      </c>
      <c r="E4143" s="29">
        <v>46208</v>
      </c>
      <c r="F4143" t="s">
        <v>6</v>
      </c>
      <c r="G4143" s="28">
        <v>0.39583333333333331</v>
      </c>
      <c r="H4143" s="28">
        <v>0.39583333333333331</v>
      </c>
      <c r="I4143">
        <v>0</v>
      </c>
      <c r="J4143" t="s">
        <v>174</v>
      </c>
      <c r="K4143">
        <v>0</v>
      </c>
      <c r="L4143" t="s">
        <v>9398</v>
      </c>
      <c r="M4143" t="s">
        <v>10431</v>
      </c>
      <c r="N4143" t="s">
        <v>10432</v>
      </c>
      <c r="O4143" t="s">
        <v>10433</v>
      </c>
      <c r="P4143" t="s">
        <v>10434</v>
      </c>
    </row>
    <row r="4144" spans="1:16" x14ac:dyDescent="0.35">
      <c r="A4144" t="s">
        <v>107</v>
      </c>
      <c r="B4144">
        <v>1324725678</v>
      </c>
      <c r="C4144" t="s">
        <v>18</v>
      </c>
      <c r="D4144" t="s">
        <v>21</v>
      </c>
      <c r="E4144" s="29">
        <v>46208</v>
      </c>
      <c r="F4144" t="s">
        <v>6</v>
      </c>
      <c r="G4144" s="28">
        <v>0.40277777777777779</v>
      </c>
      <c r="H4144" s="28">
        <v>0.40277777777777779</v>
      </c>
      <c r="I4144">
        <v>0</v>
      </c>
      <c r="J4144" t="s">
        <v>174</v>
      </c>
      <c r="K4144">
        <v>0</v>
      </c>
      <c r="L4144" t="s">
        <v>5384</v>
      </c>
      <c r="M4144" t="s">
        <v>2531</v>
      </c>
      <c r="N4144" t="s">
        <v>2532</v>
      </c>
      <c r="O4144" t="s">
        <v>2533</v>
      </c>
      <c r="P4144" t="s">
        <v>2534</v>
      </c>
    </row>
    <row r="4145" spans="1:16" x14ac:dyDescent="0.35">
      <c r="A4145" t="s">
        <v>107</v>
      </c>
      <c r="B4145">
        <v>1324725678</v>
      </c>
      <c r="C4145" t="s">
        <v>18</v>
      </c>
      <c r="D4145" t="s">
        <v>21</v>
      </c>
      <c r="E4145" s="29">
        <v>46208</v>
      </c>
      <c r="F4145" t="s">
        <v>6</v>
      </c>
      <c r="G4145" s="28">
        <v>0.40972222222222221</v>
      </c>
      <c r="H4145" s="28">
        <v>0.40972222222222221</v>
      </c>
      <c r="I4145">
        <v>0</v>
      </c>
      <c r="J4145" t="s">
        <v>174</v>
      </c>
      <c r="K4145">
        <v>0</v>
      </c>
      <c r="L4145" t="s">
        <v>10435</v>
      </c>
      <c r="M4145" t="s">
        <v>10436</v>
      </c>
      <c r="N4145" t="s">
        <v>10437</v>
      </c>
      <c r="O4145" t="s">
        <v>10438</v>
      </c>
      <c r="P4145" t="s">
        <v>10439</v>
      </c>
    </row>
    <row r="4146" spans="1:16" x14ac:dyDescent="0.35">
      <c r="A4146" t="s">
        <v>107</v>
      </c>
      <c r="B4146">
        <v>1324725678</v>
      </c>
      <c r="C4146" t="s">
        <v>18</v>
      </c>
      <c r="D4146" t="s">
        <v>21</v>
      </c>
      <c r="E4146" s="29">
        <v>46208</v>
      </c>
      <c r="F4146" t="s">
        <v>6</v>
      </c>
      <c r="G4146" s="28">
        <v>0.41666666666666669</v>
      </c>
      <c r="H4146" s="28">
        <v>0.41666666666666669</v>
      </c>
      <c r="I4146">
        <v>0</v>
      </c>
      <c r="J4146" t="s">
        <v>174</v>
      </c>
      <c r="K4146">
        <v>0</v>
      </c>
      <c r="L4146" t="s">
        <v>10440</v>
      </c>
      <c r="M4146" t="s">
        <v>10441</v>
      </c>
      <c r="N4146" t="s">
        <v>10442</v>
      </c>
      <c r="O4146" t="s">
        <v>10443</v>
      </c>
      <c r="P4146" t="s">
        <v>2739</v>
      </c>
    </row>
    <row r="4147" spans="1:16" x14ac:dyDescent="0.35">
      <c r="A4147" t="s">
        <v>107</v>
      </c>
      <c r="B4147">
        <v>1324725678</v>
      </c>
      <c r="C4147" t="s">
        <v>18</v>
      </c>
      <c r="D4147" t="s">
        <v>21</v>
      </c>
      <c r="E4147" s="29">
        <v>46208</v>
      </c>
      <c r="F4147" t="s">
        <v>6</v>
      </c>
      <c r="G4147" s="28">
        <v>0.4236111111111111</v>
      </c>
      <c r="H4147" s="28">
        <v>0.4375</v>
      </c>
      <c r="I4147">
        <v>0</v>
      </c>
      <c r="J4147" t="s">
        <v>146</v>
      </c>
      <c r="K4147">
        <v>1</v>
      </c>
      <c r="L4147" t="s">
        <v>147</v>
      </c>
      <c r="M4147" t="s">
        <v>6014</v>
      </c>
      <c r="N4147" t="s">
        <v>6015</v>
      </c>
      <c r="O4147" t="s">
        <v>6016</v>
      </c>
      <c r="P4147" t="s">
        <v>6017</v>
      </c>
    </row>
    <row r="4148" spans="1:16" x14ac:dyDescent="0.35">
      <c r="A4148" t="s">
        <v>107</v>
      </c>
      <c r="B4148">
        <v>1324725678</v>
      </c>
      <c r="C4148" t="s">
        <v>18</v>
      </c>
      <c r="D4148" t="s">
        <v>21</v>
      </c>
      <c r="E4148" s="29">
        <v>46208</v>
      </c>
      <c r="F4148" t="s">
        <v>6</v>
      </c>
      <c r="G4148" s="28">
        <v>0.44444444444444442</v>
      </c>
      <c r="H4148" s="28">
        <v>0.44444444444444442</v>
      </c>
      <c r="I4148">
        <v>0</v>
      </c>
      <c r="J4148" t="s">
        <v>174</v>
      </c>
      <c r="K4148">
        <v>0</v>
      </c>
      <c r="L4148" t="s">
        <v>10444</v>
      </c>
      <c r="M4148" t="s">
        <v>10445</v>
      </c>
      <c r="N4148" t="s">
        <v>10446</v>
      </c>
      <c r="O4148" t="s">
        <v>10447</v>
      </c>
      <c r="P4148" t="s">
        <v>10448</v>
      </c>
    </row>
    <row r="4149" spans="1:16" x14ac:dyDescent="0.35">
      <c r="A4149" t="s">
        <v>107</v>
      </c>
      <c r="B4149">
        <v>1324725678</v>
      </c>
      <c r="C4149" t="s">
        <v>18</v>
      </c>
      <c r="D4149" t="s">
        <v>21</v>
      </c>
      <c r="E4149" s="29">
        <v>46208</v>
      </c>
      <c r="F4149" t="s">
        <v>6</v>
      </c>
      <c r="G4149" s="28">
        <v>0.4513888888888889</v>
      </c>
      <c r="H4149" s="28">
        <v>0.47222222222222221</v>
      </c>
      <c r="I4149">
        <v>0</v>
      </c>
      <c r="J4149" t="s">
        <v>146</v>
      </c>
      <c r="K4149">
        <v>2</v>
      </c>
      <c r="L4149" t="s">
        <v>147</v>
      </c>
      <c r="M4149" t="s">
        <v>10449</v>
      </c>
      <c r="N4149" t="s">
        <v>10450</v>
      </c>
      <c r="O4149" t="s">
        <v>10451</v>
      </c>
      <c r="P4149" t="s">
        <v>10452</v>
      </c>
    </row>
    <row r="4150" spans="1:16" x14ac:dyDescent="0.35">
      <c r="A4150" t="s">
        <v>107</v>
      </c>
      <c r="B4150">
        <v>1324725678</v>
      </c>
      <c r="C4150" t="s">
        <v>18</v>
      </c>
      <c r="D4150" t="s">
        <v>21</v>
      </c>
      <c r="E4150" s="29">
        <v>46208</v>
      </c>
      <c r="F4150" t="s">
        <v>6</v>
      </c>
      <c r="G4150" s="28">
        <v>0.47916666666666669</v>
      </c>
      <c r="H4150" s="28">
        <v>0.47916666666666669</v>
      </c>
      <c r="I4150">
        <v>0</v>
      </c>
      <c r="J4150" t="s">
        <v>174</v>
      </c>
      <c r="K4150">
        <v>0</v>
      </c>
      <c r="L4150" t="s">
        <v>10453</v>
      </c>
      <c r="M4150" t="s">
        <v>10454</v>
      </c>
      <c r="N4150" t="s">
        <v>10455</v>
      </c>
      <c r="O4150" t="s">
        <v>10456</v>
      </c>
      <c r="P4150" t="s">
        <v>3827</v>
      </c>
    </row>
    <row r="4151" spans="1:16" x14ac:dyDescent="0.35">
      <c r="A4151" t="s">
        <v>107</v>
      </c>
      <c r="B4151">
        <v>1324725678</v>
      </c>
      <c r="C4151" t="s">
        <v>18</v>
      </c>
      <c r="D4151" t="s">
        <v>21</v>
      </c>
      <c r="E4151" s="29">
        <v>46208</v>
      </c>
      <c r="F4151" t="s">
        <v>6</v>
      </c>
      <c r="G4151" s="28">
        <v>0.4861111111111111</v>
      </c>
      <c r="H4151" s="28">
        <v>0.4861111111111111</v>
      </c>
      <c r="I4151">
        <v>0</v>
      </c>
      <c r="J4151" t="s">
        <v>174</v>
      </c>
      <c r="K4151">
        <v>0</v>
      </c>
      <c r="L4151" t="s">
        <v>700</v>
      </c>
      <c r="M4151" t="s">
        <v>10457</v>
      </c>
      <c r="N4151" t="s">
        <v>10458</v>
      </c>
      <c r="O4151" t="s">
        <v>10459</v>
      </c>
      <c r="P4151" t="s">
        <v>446</v>
      </c>
    </row>
    <row r="4152" spans="1:16" x14ac:dyDescent="0.35">
      <c r="A4152" t="s">
        <v>107</v>
      </c>
      <c r="B4152">
        <v>1324725678</v>
      </c>
      <c r="C4152" t="s">
        <v>18</v>
      </c>
      <c r="D4152" t="s">
        <v>21</v>
      </c>
      <c r="E4152" s="29">
        <v>46208</v>
      </c>
      <c r="F4152" t="s">
        <v>6</v>
      </c>
      <c r="G4152" s="28">
        <v>0.49305555555555558</v>
      </c>
      <c r="H4152" s="28">
        <v>0.49305555555555558</v>
      </c>
      <c r="I4152">
        <v>0</v>
      </c>
      <c r="J4152" t="s">
        <v>174</v>
      </c>
      <c r="K4152">
        <v>0</v>
      </c>
      <c r="L4152" t="s">
        <v>10460</v>
      </c>
      <c r="M4152" t="s">
        <v>10299</v>
      </c>
      <c r="N4152" t="s">
        <v>10300</v>
      </c>
      <c r="O4152" t="s">
        <v>10301</v>
      </c>
      <c r="P4152" t="s">
        <v>10302</v>
      </c>
    </row>
    <row r="4153" spans="1:16" x14ac:dyDescent="0.35">
      <c r="A4153" t="s">
        <v>107</v>
      </c>
      <c r="B4153">
        <v>1324725678</v>
      </c>
      <c r="C4153" t="s">
        <v>18</v>
      </c>
      <c r="D4153" t="s">
        <v>21</v>
      </c>
      <c r="E4153" s="29">
        <v>46208</v>
      </c>
      <c r="F4153" t="s">
        <v>6</v>
      </c>
      <c r="G4153" s="28">
        <v>0.5</v>
      </c>
      <c r="H4153" s="28">
        <v>0.5</v>
      </c>
      <c r="I4153">
        <v>0</v>
      </c>
      <c r="J4153" t="s">
        <v>174</v>
      </c>
      <c r="K4153">
        <v>0</v>
      </c>
      <c r="L4153" t="s">
        <v>10461</v>
      </c>
      <c r="M4153" t="s">
        <v>10256</v>
      </c>
      <c r="N4153" t="s">
        <v>10257</v>
      </c>
      <c r="O4153" t="s">
        <v>10258</v>
      </c>
      <c r="P4153" t="s">
        <v>2729</v>
      </c>
    </row>
    <row r="4154" spans="1:16" x14ac:dyDescent="0.35">
      <c r="A4154" t="s">
        <v>107</v>
      </c>
      <c r="B4154">
        <v>1324725678</v>
      </c>
      <c r="C4154" t="s">
        <v>18</v>
      </c>
      <c r="D4154" t="s">
        <v>21</v>
      </c>
      <c r="E4154" s="29">
        <v>46208</v>
      </c>
      <c r="F4154" t="s">
        <v>6</v>
      </c>
      <c r="G4154" s="28">
        <v>0.50694444444444442</v>
      </c>
      <c r="H4154" s="28">
        <v>0.52083333333333337</v>
      </c>
      <c r="I4154">
        <v>0</v>
      </c>
      <c r="J4154" t="s">
        <v>146</v>
      </c>
      <c r="K4154">
        <v>1</v>
      </c>
      <c r="L4154" t="s">
        <v>147</v>
      </c>
      <c r="M4154" t="s">
        <v>10251</v>
      </c>
      <c r="N4154" t="s">
        <v>10252</v>
      </c>
      <c r="O4154" t="s">
        <v>10253</v>
      </c>
      <c r="P4154" t="s">
        <v>10254</v>
      </c>
    </row>
    <row r="4155" spans="1:16" x14ac:dyDescent="0.35">
      <c r="A4155" t="s">
        <v>107</v>
      </c>
      <c r="B4155">
        <v>1324725678</v>
      </c>
      <c r="C4155" t="s">
        <v>18</v>
      </c>
      <c r="D4155" t="s">
        <v>21</v>
      </c>
      <c r="E4155" s="29">
        <v>46208</v>
      </c>
      <c r="F4155" t="s">
        <v>6</v>
      </c>
      <c r="G4155" s="28">
        <v>0.52777777777777779</v>
      </c>
      <c r="H4155" s="28">
        <v>0.53472222222222221</v>
      </c>
      <c r="I4155">
        <v>0</v>
      </c>
      <c r="J4155" t="s">
        <v>146</v>
      </c>
      <c r="K4155">
        <v>0</v>
      </c>
      <c r="L4155" t="s">
        <v>147</v>
      </c>
      <c r="M4155" t="s">
        <v>10259</v>
      </c>
      <c r="N4155" t="s">
        <v>10260</v>
      </c>
      <c r="O4155" t="s">
        <v>10261</v>
      </c>
      <c r="P4155" t="s">
        <v>10262</v>
      </c>
    </row>
    <row r="4156" spans="1:16" x14ac:dyDescent="0.35">
      <c r="A4156" t="s">
        <v>107</v>
      </c>
      <c r="B4156">
        <v>1324725678</v>
      </c>
      <c r="C4156" t="s">
        <v>18</v>
      </c>
      <c r="D4156" t="s">
        <v>21</v>
      </c>
      <c r="E4156" s="29">
        <v>46208</v>
      </c>
      <c r="F4156" t="s">
        <v>6</v>
      </c>
      <c r="G4156" s="28">
        <v>0.54166666666666663</v>
      </c>
      <c r="H4156" s="28">
        <v>0.54166666666666663</v>
      </c>
      <c r="I4156">
        <v>0</v>
      </c>
      <c r="J4156" t="s">
        <v>174</v>
      </c>
      <c r="K4156">
        <v>0</v>
      </c>
      <c r="L4156" t="s">
        <v>368</v>
      </c>
      <c r="M4156" t="s">
        <v>10264</v>
      </c>
      <c r="N4156" t="s">
        <v>10265</v>
      </c>
      <c r="O4156" t="s">
        <v>10266</v>
      </c>
      <c r="P4156" t="s">
        <v>2569</v>
      </c>
    </row>
    <row r="4157" spans="1:16" x14ac:dyDescent="0.35">
      <c r="A4157" t="s">
        <v>107</v>
      </c>
      <c r="B4157">
        <v>1324725678</v>
      </c>
      <c r="C4157" t="s">
        <v>18</v>
      </c>
      <c r="D4157" t="s">
        <v>21</v>
      </c>
      <c r="E4157" s="29">
        <v>46208</v>
      </c>
      <c r="F4157" t="s">
        <v>6</v>
      </c>
      <c r="G4157" s="28">
        <v>0.54861111111111116</v>
      </c>
      <c r="H4157" s="28">
        <v>0.54861111111111116</v>
      </c>
      <c r="I4157">
        <v>0</v>
      </c>
      <c r="J4157" t="s">
        <v>174</v>
      </c>
      <c r="K4157">
        <v>0</v>
      </c>
      <c r="L4157" t="s">
        <v>2123</v>
      </c>
      <c r="M4157" t="s">
        <v>10462</v>
      </c>
      <c r="N4157" t="s">
        <v>10463</v>
      </c>
      <c r="O4157" t="s">
        <v>10464</v>
      </c>
      <c r="P4157" t="s">
        <v>10465</v>
      </c>
    </row>
    <row r="4158" spans="1:16" x14ac:dyDescent="0.35">
      <c r="A4158" t="s">
        <v>107</v>
      </c>
      <c r="B4158">
        <v>1324725678</v>
      </c>
      <c r="C4158" t="s">
        <v>18</v>
      </c>
      <c r="D4158" t="s">
        <v>21</v>
      </c>
      <c r="E4158" s="29">
        <v>46208</v>
      </c>
      <c r="F4158" t="s">
        <v>6</v>
      </c>
      <c r="G4158" s="28">
        <v>0.55555555555555558</v>
      </c>
      <c r="H4158" s="28">
        <v>0.55555555555555558</v>
      </c>
      <c r="I4158">
        <v>0</v>
      </c>
      <c r="J4158" t="s">
        <v>174</v>
      </c>
      <c r="K4158">
        <v>0</v>
      </c>
      <c r="L4158" t="s">
        <v>4537</v>
      </c>
      <c r="M4158" t="s">
        <v>2055</v>
      </c>
      <c r="N4158" t="s">
        <v>2056</v>
      </c>
      <c r="O4158" t="s">
        <v>2057</v>
      </c>
      <c r="P4158" t="s">
        <v>2058</v>
      </c>
    </row>
    <row r="4159" spans="1:16" x14ac:dyDescent="0.35">
      <c r="A4159" t="s">
        <v>107</v>
      </c>
      <c r="B4159">
        <v>1324725678</v>
      </c>
      <c r="C4159" t="s">
        <v>18</v>
      </c>
      <c r="D4159" t="s">
        <v>21</v>
      </c>
      <c r="E4159" s="29">
        <v>46208</v>
      </c>
      <c r="F4159" t="s">
        <v>6</v>
      </c>
      <c r="G4159" s="28">
        <v>0.5625</v>
      </c>
      <c r="H4159" s="28">
        <v>0.5625</v>
      </c>
      <c r="I4159">
        <v>0</v>
      </c>
      <c r="J4159" t="s">
        <v>174</v>
      </c>
      <c r="K4159">
        <v>0</v>
      </c>
      <c r="L4159" t="s">
        <v>2243</v>
      </c>
      <c r="M4159" t="s">
        <v>10466</v>
      </c>
      <c r="N4159" t="s">
        <v>10467</v>
      </c>
      <c r="O4159" t="s">
        <v>10468</v>
      </c>
      <c r="P4159" t="s">
        <v>10469</v>
      </c>
    </row>
    <row r="4160" spans="1:16" x14ac:dyDescent="0.35">
      <c r="A4160" t="s">
        <v>107</v>
      </c>
      <c r="B4160">
        <v>1324725678</v>
      </c>
      <c r="C4160" t="s">
        <v>18</v>
      </c>
      <c r="D4160" t="s">
        <v>21</v>
      </c>
      <c r="E4160" s="29">
        <v>46208</v>
      </c>
      <c r="F4160" t="s">
        <v>6</v>
      </c>
      <c r="G4160" s="28">
        <v>0.56944444444444442</v>
      </c>
      <c r="H4160" s="28">
        <v>0.56944444444444442</v>
      </c>
      <c r="I4160">
        <v>0</v>
      </c>
      <c r="J4160" t="s">
        <v>174</v>
      </c>
      <c r="K4160">
        <v>0</v>
      </c>
      <c r="L4160" t="s">
        <v>10470</v>
      </c>
      <c r="M4160" t="s">
        <v>10471</v>
      </c>
      <c r="N4160" t="s">
        <v>10472</v>
      </c>
      <c r="O4160" t="s">
        <v>10473</v>
      </c>
      <c r="P4160" t="s">
        <v>10474</v>
      </c>
    </row>
    <row r="4161" spans="1:16" x14ac:dyDescent="0.35">
      <c r="A4161" t="s">
        <v>107</v>
      </c>
      <c r="B4161">
        <v>1324725678</v>
      </c>
      <c r="C4161" t="s">
        <v>18</v>
      </c>
      <c r="D4161" t="s">
        <v>21</v>
      </c>
      <c r="E4161" s="29">
        <v>46208</v>
      </c>
      <c r="F4161" t="s">
        <v>6</v>
      </c>
      <c r="G4161" s="28">
        <v>0.57638888888888884</v>
      </c>
      <c r="H4161" s="28">
        <v>0.57638888888888884</v>
      </c>
      <c r="I4161">
        <v>0</v>
      </c>
      <c r="J4161" t="s">
        <v>174</v>
      </c>
      <c r="K4161">
        <v>0</v>
      </c>
      <c r="L4161" t="s">
        <v>10470</v>
      </c>
      <c r="M4161" t="s">
        <v>10475</v>
      </c>
      <c r="N4161" t="s">
        <v>10476</v>
      </c>
      <c r="O4161" t="s">
        <v>10477</v>
      </c>
      <c r="P4161" t="s">
        <v>10478</v>
      </c>
    </row>
    <row r="4162" spans="1:16" x14ac:dyDescent="0.35">
      <c r="A4162" t="s">
        <v>107</v>
      </c>
      <c r="B4162">
        <v>1324725678</v>
      </c>
      <c r="C4162" t="s">
        <v>18</v>
      </c>
      <c r="D4162" t="s">
        <v>21</v>
      </c>
      <c r="E4162" s="29">
        <v>46208</v>
      </c>
      <c r="F4162" t="s">
        <v>6</v>
      </c>
      <c r="G4162" s="28">
        <v>0.58333333333333337</v>
      </c>
      <c r="H4162" s="28">
        <v>0.59722222222222221</v>
      </c>
      <c r="I4162">
        <v>0</v>
      </c>
      <c r="J4162" t="s">
        <v>146</v>
      </c>
      <c r="K4162">
        <v>1</v>
      </c>
      <c r="L4162" t="s">
        <v>147</v>
      </c>
      <c r="M4162" t="s">
        <v>10471</v>
      </c>
      <c r="N4162" t="s">
        <v>10472</v>
      </c>
      <c r="O4162" t="s">
        <v>10473</v>
      </c>
      <c r="P4162" t="s">
        <v>10474</v>
      </c>
    </row>
    <row r="4163" spans="1:16" x14ac:dyDescent="0.35">
      <c r="A4163" t="s">
        <v>107</v>
      </c>
      <c r="B4163">
        <v>1324725678</v>
      </c>
      <c r="C4163" t="s">
        <v>18</v>
      </c>
      <c r="D4163" t="s">
        <v>21</v>
      </c>
      <c r="E4163" s="29">
        <v>46208</v>
      </c>
      <c r="F4163" t="s">
        <v>6</v>
      </c>
      <c r="G4163" s="28">
        <v>0.60416666666666663</v>
      </c>
      <c r="H4163" s="28">
        <v>0.625</v>
      </c>
      <c r="I4163">
        <v>1</v>
      </c>
      <c r="J4163" t="s">
        <v>146</v>
      </c>
      <c r="K4163">
        <v>2</v>
      </c>
      <c r="L4163" t="s">
        <v>147</v>
      </c>
      <c r="M4163" t="s">
        <v>10475</v>
      </c>
      <c r="N4163" t="s">
        <v>10476</v>
      </c>
      <c r="O4163" t="s">
        <v>10477</v>
      </c>
      <c r="P4163" t="s">
        <v>10478</v>
      </c>
    </row>
    <row r="4164" spans="1:16" x14ac:dyDescent="0.35">
      <c r="A4164" t="s">
        <v>107</v>
      </c>
      <c r="B4164">
        <v>1324725678</v>
      </c>
      <c r="C4164" t="s">
        <v>18</v>
      </c>
      <c r="D4164" t="s">
        <v>21</v>
      </c>
      <c r="E4164" s="29">
        <v>46208</v>
      </c>
      <c r="F4164" t="s">
        <v>6</v>
      </c>
      <c r="G4164" s="28">
        <v>0.63194444444444442</v>
      </c>
      <c r="H4164" s="28">
        <v>0.63888888888888884</v>
      </c>
      <c r="I4164">
        <v>0</v>
      </c>
      <c r="J4164" t="s">
        <v>146</v>
      </c>
      <c r="K4164">
        <v>0</v>
      </c>
      <c r="L4164" t="s">
        <v>147</v>
      </c>
      <c r="M4164" t="s">
        <v>10479</v>
      </c>
      <c r="N4164" t="s">
        <v>10480</v>
      </c>
      <c r="O4164" t="s">
        <v>10481</v>
      </c>
      <c r="P4164" t="s">
        <v>10482</v>
      </c>
    </row>
    <row r="4165" spans="1:16" x14ac:dyDescent="0.35">
      <c r="A4165" t="s">
        <v>107</v>
      </c>
      <c r="B4165">
        <v>1324725678</v>
      </c>
      <c r="C4165" t="s">
        <v>18</v>
      </c>
      <c r="D4165" t="s">
        <v>21</v>
      </c>
      <c r="E4165" s="29">
        <v>46208</v>
      </c>
      <c r="F4165" t="s">
        <v>6</v>
      </c>
      <c r="G4165" s="28">
        <v>0.64583333333333337</v>
      </c>
      <c r="H4165" s="28">
        <v>0.64583333333333337</v>
      </c>
      <c r="I4165">
        <v>0</v>
      </c>
      <c r="J4165" t="s">
        <v>174</v>
      </c>
      <c r="K4165">
        <v>0</v>
      </c>
      <c r="L4165" t="s">
        <v>2398</v>
      </c>
      <c r="M4165" t="s">
        <v>10483</v>
      </c>
      <c r="N4165" t="s">
        <v>10484</v>
      </c>
      <c r="O4165" t="s">
        <v>10485</v>
      </c>
      <c r="P4165" t="s">
        <v>10486</v>
      </c>
    </row>
    <row r="4166" spans="1:16" x14ac:dyDescent="0.35">
      <c r="A4166" t="s">
        <v>107</v>
      </c>
      <c r="B4166">
        <v>1324725678</v>
      </c>
      <c r="C4166" t="s">
        <v>18</v>
      </c>
      <c r="D4166" t="s">
        <v>21</v>
      </c>
      <c r="E4166" s="29">
        <v>46208</v>
      </c>
      <c r="F4166" t="s">
        <v>6</v>
      </c>
      <c r="G4166" s="28">
        <v>0.65277777777777779</v>
      </c>
      <c r="H4166" s="28">
        <v>0.67361111111111116</v>
      </c>
      <c r="I4166">
        <v>1</v>
      </c>
      <c r="J4166" t="s">
        <v>146</v>
      </c>
      <c r="K4166">
        <v>2</v>
      </c>
      <c r="L4166" t="s">
        <v>147</v>
      </c>
      <c r="M4166" t="s">
        <v>7734</v>
      </c>
      <c r="N4166" t="s">
        <v>7735</v>
      </c>
      <c r="O4166" t="s">
        <v>7736</v>
      </c>
      <c r="P4166" t="s">
        <v>10281</v>
      </c>
    </row>
    <row r="4167" spans="1:16" x14ac:dyDescent="0.35">
      <c r="A4167" t="s">
        <v>107</v>
      </c>
      <c r="B4167">
        <v>1324725678</v>
      </c>
      <c r="C4167" t="s">
        <v>18</v>
      </c>
      <c r="D4167" t="s">
        <v>21</v>
      </c>
      <c r="E4167" s="29">
        <v>46208</v>
      </c>
      <c r="F4167" t="s">
        <v>6</v>
      </c>
      <c r="G4167" s="28">
        <v>0.68055555555555558</v>
      </c>
      <c r="H4167" s="28">
        <v>0.68055555555555558</v>
      </c>
      <c r="I4167">
        <v>0</v>
      </c>
      <c r="J4167" t="s">
        <v>174</v>
      </c>
      <c r="K4167">
        <v>0</v>
      </c>
      <c r="L4167" t="s">
        <v>10487</v>
      </c>
      <c r="M4167" t="s">
        <v>10488</v>
      </c>
      <c r="N4167" t="s">
        <v>10489</v>
      </c>
      <c r="O4167" t="s">
        <v>10490</v>
      </c>
      <c r="P4167" t="s">
        <v>10491</v>
      </c>
    </row>
    <row r="4168" spans="1:16" x14ac:dyDescent="0.35">
      <c r="A4168" t="s">
        <v>107</v>
      </c>
      <c r="B4168">
        <v>1324725678</v>
      </c>
      <c r="C4168" t="s">
        <v>18</v>
      </c>
      <c r="D4168" t="s">
        <v>21</v>
      </c>
      <c r="E4168" s="29">
        <v>46208</v>
      </c>
      <c r="F4168" t="s">
        <v>6</v>
      </c>
      <c r="G4168" s="28">
        <v>0.6875</v>
      </c>
      <c r="H4168" s="28">
        <v>0.76388888888888884</v>
      </c>
      <c r="I4168">
        <v>2</v>
      </c>
      <c r="J4168" t="s">
        <v>146</v>
      </c>
      <c r="K4168">
        <v>6</v>
      </c>
      <c r="L4168" t="s">
        <v>147</v>
      </c>
      <c r="M4168" t="s">
        <v>7734</v>
      </c>
      <c r="N4168" t="s">
        <v>7735</v>
      </c>
      <c r="O4168" t="s">
        <v>7736</v>
      </c>
      <c r="P4168" t="s">
        <v>10281</v>
      </c>
    </row>
    <row r="4169" spans="1:16" x14ac:dyDescent="0.35">
      <c r="A4169" t="s">
        <v>107</v>
      </c>
      <c r="B4169">
        <v>1324725678</v>
      </c>
      <c r="C4169" t="s">
        <v>18</v>
      </c>
      <c r="D4169" t="s">
        <v>21</v>
      </c>
      <c r="E4169" s="29">
        <v>46208</v>
      </c>
      <c r="F4169" t="s">
        <v>6</v>
      </c>
      <c r="G4169" s="28">
        <v>0.77083333333333337</v>
      </c>
      <c r="H4169" s="28">
        <v>0.77083333333333337</v>
      </c>
      <c r="I4169">
        <v>0</v>
      </c>
      <c r="J4169" t="s">
        <v>174</v>
      </c>
      <c r="K4169">
        <v>0</v>
      </c>
      <c r="L4169" t="s">
        <v>10492</v>
      </c>
      <c r="M4169" t="s">
        <v>2064</v>
      </c>
      <c r="N4169" t="s">
        <v>10493</v>
      </c>
      <c r="O4169" t="s">
        <v>10494</v>
      </c>
      <c r="P4169" t="s">
        <v>10495</v>
      </c>
    </row>
    <row r="4170" spans="1:16" x14ac:dyDescent="0.35">
      <c r="A4170" t="s">
        <v>107</v>
      </c>
      <c r="B4170">
        <v>1324725678</v>
      </c>
      <c r="C4170" t="s">
        <v>18</v>
      </c>
      <c r="D4170" t="s">
        <v>21</v>
      </c>
      <c r="E4170" s="29">
        <v>46208</v>
      </c>
      <c r="F4170" t="s">
        <v>6</v>
      </c>
      <c r="G4170" s="28">
        <v>0.77777777777777779</v>
      </c>
      <c r="H4170" s="28">
        <v>0.77777777777777779</v>
      </c>
      <c r="I4170">
        <v>0</v>
      </c>
      <c r="J4170" t="s">
        <v>174</v>
      </c>
      <c r="K4170">
        <v>0</v>
      </c>
      <c r="L4170" t="s">
        <v>10496</v>
      </c>
      <c r="M4170" t="s">
        <v>10475</v>
      </c>
      <c r="N4170" t="s">
        <v>10497</v>
      </c>
      <c r="O4170" t="s">
        <v>10498</v>
      </c>
      <c r="P4170" t="s">
        <v>10499</v>
      </c>
    </row>
    <row r="4171" spans="1:16" x14ac:dyDescent="0.35">
      <c r="A4171" t="s">
        <v>107</v>
      </c>
      <c r="B4171">
        <v>1324725678</v>
      </c>
      <c r="C4171" t="s">
        <v>18</v>
      </c>
      <c r="D4171" t="s">
        <v>21</v>
      </c>
      <c r="E4171" s="29">
        <v>46208</v>
      </c>
      <c r="F4171" t="s">
        <v>6</v>
      </c>
      <c r="G4171" s="28">
        <v>0.78472222222222221</v>
      </c>
      <c r="H4171" s="28">
        <v>0.78472222222222221</v>
      </c>
      <c r="I4171">
        <v>0</v>
      </c>
      <c r="J4171" t="s">
        <v>174</v>
      </c>
      <c r="K4171">
        <v>0</v>
      </c>
      <c r="L4171" t="s">
        <v>10500</v>
      </c>
      <c r="M4171" t="s">
        <v>10475</v>
      </c>
      <c r="N4171" t="s">
        <v>10476</v>
      </c>
      <c r="O4171" t="s">
        <v>10477</v>
      </c>
      <c r="P4171" t="s">
        <v>10478</v>
      </c>
    </row>
    <row r="4172" spans="1:16" x14ac:dyDescent="0.35">
      <c r="A4172" t="s">
        <v>89</v>
      </c>
      <c r="B4172">
        <v>1701216041</v>
      </c>
      <c r="C4172" t="s">
        <v>19</v>
      </c>
      <c r="D4172" t="s">
        <v>21</v>
      </c>
      <c r="E4172" s="29">
        <v>46204</v>
      </c>
      <c r="F4172" t="s">
        <v>3</v>
      </c>
      <c r="G4172" s="28">
        <v>0.37986111111111109</v>
      </c>
      <c r="H4172" s="28">
        <v>0.37986111111111109</v>
      </c>
      <c r="I4172">
        <v>0</v>
      </c>
      <c r="J4172" t="s">
        <v>174</v>
      </c>
      <c r="K4172">
        <v>0</v>
      </c>
      <c r="L4172" t="s">
        <v>4588</v>
      </c>
      <c r="M4172" t="s">
        <v>10501</v>
      </c>
      <c r="N4172" t="s">
        <v>10502</v>
      </c>
      <c r="O4172" t="s">
        <v>10503</v>
      </c>
      <c r="P4172" t="s">
        <v>10504</v>
      </c>
    </row>
    <row r="4173" spans="1:16" x14ac:dyDescent="0.35">
      <c r="A4173" t="s">
        <v>89</v>
      </c>
      <c r="B4173">
        <v>1701216041</v>
      </c>
      <c r="C4173" t="s">
        <v>19</v>
      </c>
      <c r="D4173" t="s">
        <v>21</v>
      </c>
      <c r="E4173" s="29">
        <v>46204</v>
      </c>
      <c r="F4173" t="s">
        <v>3</v>
      </c>
      <c r="G4173" s="28">
        <v>0.38680555555555557</v>
      </c>
      <c r="H4173" s="28">
        <v>0.38680555555555557</v>
      </c>
      <c r="I4173">
        <v>0</v>
      </c>
      <c r="J4173" t="s">
        <v>174</v>
      </c>
      <c r="K4173">
        <v>0</v>
      </c>
      <c r="L4173" t="s">
        <v>293</v>
      </c>
      <c r="M4173" t="s">
        <v>10505</v>
      </c>
      <c r="N4173" t="s">
        <v>10506</v>
      </c>
      <c r="O4173" t="s">
        <v>10507</v>
      </c>
      <c r="P4173" t="s">
        <v>10508</v>
      </c>
    </row>
    <row r="4174" spans="1:16" x14ac:dyDescent="0.35">
      <c r="A4174" t="s">
        <v>89</v>
      </c>
      <c r="B4174">
        <v>1701216041</v>
      </c>
      <c r="C4174" t="s">
        <v>19</v>
      </c>
      <c r="D4174" t="s">
        <v>21</v>
      </c>
      <c r="E4174" s="29">
        <v>46204</v>
      </c>
      <c r="F4174" t="s">
        <v>3</v>
      </c>
      <c r="G4174" s="28">
        <v>0.39374999999999999</v>
      </c>
      <c r="H4174" s="28">
        <v>0.39374999999999999</v>
      </c>
      <c r="I4174">
        <v>0</v>
      </c>
      <c r="J4174" t="s">
        <v>174</v>
      </c>
      <c r="K4174">
        <v>0</v>
      </c>
      <c r="L4174" t="s">
        <v>10509</v>
      </c>
      <c r="M4174" t="s">
        <v>10510</v>
      </c>
      <c r="N4174" t="s">
        <v>10511</v>
      </c>
      <c r="O4174" t="s">
        <v>10512</v>
      </c>
      <c r="P4174" t="s">
        <v>10513</v>
      </c>
    </row>
    <row r="4175" spans="1:16" x14ac:dyDescent="0.35">
      <c r="A4175" t="s">
        <v>89</v>
      </c>
      <c r="B4175">
        <v>1701216041</v>
      </c>
      <c r="C4175" t="s">
        <v>19</v>
      </c>
      <c r="D4175" t="s">
        <v>21</v>
      </c>
      <c r="E4175" s="29">
        <v>46204</v>
      </c>
      <c r="F4175" t="s">
        <v>3</v>
      </c>
      <c r="G4175" s="28">
        <v>0.40069444444444446</v>
      </c>
      <c r="H4175" s="28">
        <v>0.40069444444444446</v>
      </c>
      <c r="I4175">
        <v>0</v>
      </c>
      <c r="J4175" t="s">
        <v>174</v>
      </c>
      <c r="K4175">
        <v>0</v>
      </c>
      <c r="L4175" t="s">
        <v>6637</v>
      </c>
      <c r="M4175" t="s">
        <v>10514</v>
      </c>
      <c r="N4175" t="s">
        <v>10515</v>
      </c>
      <c r="O4175" t="s">
        <v>10516</v>
      </c>
      <c r="P4175" t="s">
        <v>10517</v>
      </c>
    </row>
    <row r="4176" spans="1:16" x14ac:dyDescent="0.35">
      <c r="A4176" t="s">
        <v>89</v>
      </c>
      <c r="B4176">
        <v>1701216041</v>
      </c>
      <c r="C4176" t="s">
        <v>19</v>
      </c>
      <c r="D4176" t="s">
        <v>21</v>
      </c>
      <c r="E4176" s="29">
        <v>46204</v>
      </c>
      <c r="F4176" t="s">
        <v>3</v>
      </c>
      <c r="G4176" s="28">
        <v>0.40763888888888888</v>
      </c>
      <c r="H4176" s="28">
        <v>0.40763888888888888</v>
      </c>
      <c r="I4176">
        <v>0</v>
      </c>
      <c r="J4176" t="s">
        <v>174</v>
      </c>
      <c r="K4176">
        <v>0</v>
      </c>
      <c r="L4176" t="s">
        <v>1742</v>
      </c>
      <c r="M4176" t="s">
        <v>6043</v>
      </c>
      <c r="N4176" t="s">
        <v>3692</v>
      </c>
      <c r="O4176" t="s">
        <v>6044</v>
      </c>
      <c r="P4176" t="s">
        <v>10518</v>
      </c>
    </row>
    <row r="4177" spans="1:16" x14ac:dyDescent="0.35">
      <c r="A4177" t="s">
        <v>89</v>
      </c>
      <c r="B4177">
        <v>1701216041</v>
      </c>
      <c r="C4177" t="s">
        <v>19</v>
      </c>
      <c r="D4177" t="s">
        <v>21</v>
      </c>
      <c r="E4177" s="29">
        <v>46204</v>
      </c>
      <c r="F4177" t="s">
        <v>3</v>
      </c>
      <c r="G4177" s="28">
        <v>0.41458333333333336</v>
      </c>
      <c r="H4177" s="28">
        <v>0.41458333333333336</v>
      </c>
      <c r="I4177">
        <v>0</v>
      </c>
      <c r="J4177" t="s">
        <v>174</v>
      </c>
      <c r="K4177">
        <v>0</v>
      </c>
      <c r="L4177" t="s">
        <v>6288</v>
      </c>
      <c r="M4177" t="s">
        <v>10519</v>
      </c>
      <c r="N4177" t="s">
        <v>10520</v>
      </c>
      <c r="O4177" t="s">
        <v>10521</v>
      </c>
      <c r="P4177" t="s">
        <v>2631</v>
      </c>
    </row>
    <row r="4178" spans="1:16" x14ac:dyDescent="0.35">
      <c r="A4178" t="s">
        <v>89</v>
      </c>
      <c r="B4178">
        <v>1701216041</v>
      </c>
      <c r="C4178" t="s">
        <v>19</v>
      </c>
      <c r="D4178" t="s">
        <v>21</v>
      </c>
      <c r="E4178" s="29">
        <v>46204</v>
      </c>
      <c r="F4178" t="s">
        <v>3</v>
      </c>
      <c r="G4178" s="28">
        <v>0.42152777777777778</v>
      </c>
      <c r="H4178" s="28">
        <v>0.42152777777777778</v>
      </c>
      <c r="I4178">
        <v>0</v>
      </c>
      <c r="J4178" t="s">
        <v>174</v>
      </c>
      <c r="K4178">
        <v>0</v>
      </c>
      <c r="L4178" t="s">
        <v>1481</v>
      </c>
      <c r="M4178" t="s">
        <v>10522</v>
      </c>
      <c r="N4178" t="s">
        <v>10523</v>
      </c>
      <c r="O4178" t="s">
        <v>10524</v>
      </c>
      <c r="P4178" t="s">
        <v>10525</v>
      </c>
    </row>
    <row r="4179" spans="1:16" x14ac:dyDescent="0.35">
      <c r="A4179" t="s">
        <v>89</v>
      </c>
      <c r="B4179">
        <v>1701216041</v>
      </c>
      <c r="C4179" t="s">
        <v>19</v>
      </c>
      <c r="D4179" t="s">
        <v>21</v>
      </c>
      <c r="E4179" s="29">
        <v>46204</v>
      </c>
      <c r="F4179" t="s">
        <v>3</v>
      </c>
      <c r="G4179" s="28">
        <v>0.4284722222222222</v>
      </c>
      <c r="H4179" s="28">
        <v>0.4284722222222222</v>
      </c>
      <c r="I4179">
        <v>0</v>
      </c>
      <c r="J4179" t="s">
        <v>174</v>
      </c>
      <c r="K4179">
        <v>0</v>
      </c>
      <c r="L4179" t="s">
        <v>2539</v>
      </c>
      <c r="M4179" t="s">
        <v>10526</v>
      </c>
      <c r="N4179" t="s">
        <v>10527</v>
      </c>
      <c r="O4179" t="s">
        <v>10528</v>
      </c>
      <c r="P4179" t="s">
        <v>9445</v>
      </c>
    </row>
    <row r="4180" spans="1:16" x14ac:dyDescent="0.35">
      <c r="A4180" t="s">
        <v>89</v>
      </c>
      <c r="B4180">
        <v>1701216041</v>
      </c>
      <c r="C4180" t="s">
        <v>19</v>
      </c>
      <c r="D4180" t="s">
        <v>21</v>
      </c>
      <c r="E4180" s="29">
        <v>46204</v>
      </c>
      <c r="F4180" t="s">
        <v>3</v>
      </c>
      <c r="G4180" s="28">
        <v>0.43541666666666667</v>
      </c>
      <c r="H4180" s="28">
        <v>0.43541666666666667</v>
      </c>
      <c r="I4180">
        <v>0</v>
      </c>
      <c r="J4180" t="s">
        <v>174</v>
      </c>
      <c r="K4180">
        <v>0</v>
      </c>
      <c r="L4180" t="s">
        <v>5787</v>
      </c>
      <c r="M4180" t="s">
        <v>10529</v>
      </c>
      <c r="N4180" t="s">
        <v>10530</v>
      </c>
      <c r="O4180" t="s">
        <v>10531</v>
      </c>
      <c r="P4180" t="s">
        <v>10532</v>
      </c>
    </row>
    <row r="4181" spans="1:16" x14ac:dyDescent="0.35">
      <c r="A4181" t="s">
        <v>89</v>
      </c>
      <c r="B4181">
        <v>1701216041</v>
      </c>
      <c r="C4181" t="s">
        <v>19</v>
      </c>
      <c r="D4181" t="s">
        <v>21</v>
      </c>
      <c r="E4181" s="29">
        <v>46204</v>
      </c>
      <c r="F4181" t="s">
        <v>3</v>
      </c>
      <c r="G4181" s="28">
        <v>0.44236111111111109</v>
      </c>
      <c r="H4181" s="28">
        <v>0.44236111111111109</v>
      </c>
      <c r="I4181">
        <v>0</v>
      </c>
      <c r="J4181" t="s">
        <v>174</v>
      </c>
      <c r="K4181">
        <v>0</v>
      </c>
      <c r="L4181" t="s">
        <v>10533</v>
      </c>
      <c r="M4181" t="s">
        <v>2753</v>
      </c>
      <c r="N4181" t="s">
        <v>2754</v>
      </c>
      <c r="O4181" t="s">
        <v>2755</v>
      </c>
      <c r="P4181" t="s">
        <v>2756</v>
      </c>
    </row>
    <row r="4182" spans="1:16" x14ac:dyDescent="0.35">
      <c r="A4182" t="s">
        <v>89</v>
      </c>
      <c r="B4182">
        <v>1701216041</v>
      </c>
      <c r="C4182" t="s">
        <v>19</v>
      </c>
      <c r="D4182" t="s">
        <v>21</v>
      </c>
      <c r="E4182" s="29">
        <v>46204</v>
      </c>
      <c r="F4182" t="s">
        <v>3</v>
      </c>
      <c r="G4182" s="28">
        <v>0.44930555555555557</v>
      </c>
      <c r="H4182" s="28">
        <v>0.61597222222222225</v>
      </c>
      <c r="I4182">
        <v>4</v>
      </c>
      <c r="J4182" t="s">
        <v>146</v>
      </c>
      <c r="K4182">
        <v>12</v>
      </c>
      <c r="L4182" t="s">
        <v>147</v>
      </c>
      <c r="M4182" t="s">
        <v>414</v>
      </c>
      <c r="N4182" t="s">
        <v>415</v>
      </c>
      <c r="O4182" t="s">
        <v>416</v>
      </c>
      <c r="P4182" t="s">
        <v>2043</v>
      </c>
    </row>
    <row r="4183" spans="1:16" x14ac:dyDescent="0.35">
      <c r="A4183" t="s">
        <v>89</v>
      </c>
      <c r="B4183">
        <v>1701216041</v>
      </c>
      <c r="C4183" t="s">
        <v>19</v>
      </c>
      <c r="D4183" t="s">
        <v>21</v>
      </c>
      <c r="E4183" s="29">
        <v>46204</v>
      </c>
      <c r="F4183" t="s">
        <v>3</v>
      </c>
      <c r="G4183" s="28">
        <v>0.62291666666666667</v>
      </c>
      <c r="H4183" s="28">
        <v>0.62291666666666667</v>
      </c>
      <c r="I4183">
        <v>0</v>
      </c>
      <c r="J4183" t="s">
        <v>174</v>
      </c>
      <c r="K4183">
        <v>0</v>
      </c>
      <c r="L4183" t="s">
        <v>418</v>
      </c>
      <c r="M4183" t="s">
        <v>419</v>
      </c>
      <c r="N4183" t="s">
        <v>420</v>
      </c>
      <c r="O4183" t="s">
        <v>421</v>
      </c>
      <c r="P4183" t="s">
        <v>9436</v>
      </c>
    </row>
    <row r="4184" spans="1:16" x14ac:dyDescent="0.35">
      <c r="A4184" t="s">
        <v>89</v>
      </c>
      <c r="B4184">
        <v>1701216041</v>
      </c>
      <c r="C4184" t="s">
        <v>19</v>
      </c>
      <c r="D4184" t="s">
        <v>21</v>
      </c>
      <c r="E4184" s="29">
        <v>46204</v>
      </c>
      <c r="F4184" t="s">
        <v>3</v>
      </c>
      <c r="G4184" s="28">
        <v>0.62986111111111109</v>
      </c>
      <c r="H4184" s="28">
        <v>0.79652777777777772</v>
      </c>
      <c r="I4184">
        <v>4</v>
      </c>
      <c r="J4184" t="s">
        <v>146</v>
      </c>
      <c r="K4184">
        <v>12</v>
      </c>
      <c r="L4184" t="s">
        <v>147</v>
      </c>
      <c r="M4184" t="s">
        <v>414</v>
      </c>
      <c r="N4184" t="s">
        <v>415</v>
      </c>
      <c r="O4184" t="s">
        <v>416</v>
      </c>
      <c r="P4184" t="s">
        <v>2043</v>
      </c>
    </row>
    <row r="4185" spans="1:16" x14ac:dyDescent="0.35">
      <c r="A4185" t="s">
        <v>89</v>
      </c>
      <c r="B4185">
        <v>1701216041</v>
      </c>
      <c r="C4185" t="s">
        <v>19</v>
      </c>
      <c r="D4185" t="s">
        <v>21</v>
      </c>
      <c r="E4185" s="29">
        <v>46205</v>
      </c>
      <c r="F4185" t="s">
        <v>4</v>
      </c>
      <c r="G4185" s="28">
        <v>0.37986111111111109</v>
      </c>
      <c r="H4185" s="28">
        <v>0.37986111111111109</v>
      </c>
      <c r="I4185">
        <v>0</v>
      </c>
      <c r="J4185" t="s">
        <v>174</v>
      </c>
      <c r="K4185">
        <v>0</v>
      </c>
      <c r="L4185" t="s">
        <v>9431</v>
      </c>
      <c r="M4185" t="s">
        <v>9432</v>
      </c>
      <c r="N4185" t="s">
        <v>9433</v>
      </c>
      <c r="O4185" t="s">
        <v>9434</v>
      </c>
      <c r="P4185" t="s">
        <v>9435</v>
      </c>
    </row>
    <row r="4186" spans="1:16" x14ac:dyDescent="0.35">
      <c r="A4186" t="s">
        <v>89</v>
      </c>
      <c r="B4186">
        <v>1701216041</v>
      </c>
      <c r="C4186" t="s">
        <v>19</v>
      </c>
      <c r="D4186" t="s">
        <v>21</v>
      </c>
      <c r="E4186" s="29">
        <v>46205</v>
      </c>
      <c r="F4186" t="s">
        <v>4</v>
      </c>
      <c r="G4186" s="28">
        <v>0.38680555555555557</v>
      </c>
      <c r="H4186" s="28">
        <v>0.54652777777777772</v>
      </c>
      <c r="I4186">
        <v>4</v>
      </c>
      <c r="J4186" t="s">
        <v>146</v>
      </c>
      <c r="K4186">
        <v>12</v>
      </c>
      <c r="L4186" t="s">
        <v>147</v>
      </c>
      <c r="M4186" t="s">
        <v>414</v>
      </c>
      <c r="N4186" t="s">
        <v>415</v>
      </c>
      <c r="O4186" t="s">
        <v>416</v>
      </c>
      <c r="P4186" t="s">
        <v>2043</v>
      </c>
    </row>
    <row r="4187" spans="1:16" x14ac:dyDescent="0.35">
      <c r="A4187" t="s">
        <v>89</v>
      </c>
      <c r="B4187">
        <v>1701216041</v>
      </c>
      <c r="C4187" t="s">
        <v>19</v>
      </c>
      <c r="D4187" t="s">
        <v>21</v>
      </c>
      <c r="E4187" s="29">
        <v>46205</v>
      </c>
      <c r="F4187" t="s">
        <v>4</v>
      </c>
      <c r="G4187" s="28">
        <v>0.55347222222222225</v>
      </c>
      <c r="H4187" s="28">
        <v>0.56041666666666667</v>
      </c>
      <c r="I4187">
        <v>0</v>
      </c>
      <c r="J4187" t="s">
        <v>146</v>
      </c>
      <c r="K4187">
        <v>0</v>
      </c>
      <c r="L4187" t="s">
        <v>147</v>
      </c>
      <c r="M4187" t="s">
        <v>419</v>
      </c>
      <c r="N4187" t="s">
        <v>420</v>
      </c>
      <c r="O4187" t="s">
        <v>421</v>
      </c>
      <c r="P4187" t="s">
        <v>9436</v>
      </c>
    </row>
    <row r="4188" spans="1:16" x14ac:dyDescent="0.35">
      <c r="A4188" t="s">
        <v>89</v>
      </c>
      <c r="B4188">
        <v>1701216041</v>
      </c>
      <c r="C4188" t="s">
        <v>19</v>
      </c>
      <c r="D4188" t="s">
        <v>21</v>
      </c>
      <c r="E4188" s="29">
        <v>46205</v>
      </c>
      <c r="F4188" t="s">
        <v>4</v>
      </c>
      <c r="G4188" s="28">
        <v>0.56736111111111109</v>
      </c>
      <c r="H4188" s="28">
        <v>0.73402777777777772</v>
      </c>
      <c r="I4188">
        <v>4</v>
      </c>
      <c r="J4188" t="s">
        <v>146</v>
      </c>
      <c r="K4188">
        <v>12</v>
      </c>
      <c r="L4188" t="s">
        <v>147</v>
      </c>
      <c r="M4188" t="s">
        <v>414</v>
      </c>
      <c r="N4188" t="s">
        <v>415</v>
      </c>
      <c r="O4188" t="s">
        <v>416</v>
      </c>
      <c r="P4188" t="s">
        <v>2043</v>
      </c>
    </row>
    <row r="4189" spans="1:16" x14ac:dyDescent="0.35">
      <c r="A4189" t="s">
        <v>89</v>
      </c>
      <c r="B4189">
        <v>1701216041</v>
      </c>
      <c r="C4189" t="s">
        <v>19</v>
      </c>
      <c r="D4189" t="s">
        <v>21</v>
      </c>
      <c r="E4189" s="29">
        <v>46205</v>
      </c>
      <c r="F4189" t="s">
        <v>4</v>
      </c>
      <c r="G4189" s="28">
        <v>0.74097222222222225</v>
      </c>
      <c r="H4189" s="28">
        <v>0.74097222222222225</v>
      </c>
      <c r="I4189">
        <v>0</v>
      </c>
      <c r="J4189" t="s">
        <v>174</v>
      </c>
      <c r="K4189">
        <v>0</v>
      </c>
      <c r="L4189" t="s">
        <v>5787</v>
      </c>
      <c r="M4189" t="s">
        <v>10534</v>
      </c>
      <c r="N4189" t="s">
        <v>10535</v>
      </c>
      <c r="O4189" t="s">
        <v>10536</v>
      </c>
      <c r="P4189" t="s">
        <v>9435</v>
      </c>
    </row>
    <row r="4190" spans="1:16" x14ac:dyDescent="0.35">
      <c r="A4190" t="s">
        <v>89</v>
      </c>
      <c r="B4190">
        <v>1701216041</v>
      </c>
      <c r="C4190" t="s">
        <v>19</v>
      </c>
      <c r="D4190" t="s">
        <v>21</v>
      </c>
      <c r="E4190" s="29">
        <v>46205</v>
      </c>
      <c r="F4190" t="s">
        <v>4</v>
      </c>
      <c r="G4190" s="28">
        <v>0.74791666666666667</v>
      </c>
      <c r="H4190" s="28">
        <v>0.74791666666666667</v>
      </c>
      <c r="I4190">
        <v>0</v>
      </c>
      <c r="J4190" t="s">
        <v>174</v>
      </c>
      <c r="K4190">
        <v>0</v>
      </c>
      <c r="L4190" t="s">
        <v>10537</v>
      </c>
      <c r="M4190" t="s">
        <v>10538</v>
      </c>
      <c r="N4190" t="s">
        <v>10539</v>
      </c>
      <c r="O4190" t="s">
        <v>10540</v>
      </c>
      <c r="P4190" t="s">
        <v>10541</v>
      </c>
    </row>
    <row r="4191" spans="1:16" x14ac:dyDescent="0.35">
      <c r="A4191" t="s">
        <v>89</v>
      </c>
      <c r="B4191">
        <v>1701216041</v>
      </c>
      <c r="C4191" t="s">
        <v>19</v>
      </c>
      <c r="D4191" t="s">
        <v>21</v>
      </c>
      <c r="E4191" s="29">
        <v>46205</v>
      </c>
      <c r="F4191" t="s">
        <v>4</v>
      </c>
      <c r="G4191" s="28">
        <v>0.75486111111111109</v>
      </c>
      <c r="H4191" s="28">
        <v>0.75486111111111109</v>
      </c>
      <c r="I4191">
        <v>0</v>
      </c>
      <c r="J4191" t="s">
        <v>174</v>
      </c>
      <c r="K4191">
        <v>0</v>
      </c>
      <c r="L4191" t="s">
        <v>10542</v>
      </c>
      <c r="M4191" t="s">
        <v>10543</v>
      </c>
      <c r="N4191" t="s">
        <v>10544</v>
      </c>
      <c r="O4191" t="s">
        <v>10545</v>
      </c>
      <c r="P4191" t="s">
        <v>10546</v>
      </c>
    </row>
    <row r="4192" spans="1:16" x14ac:dyDescent="0.35">
      <c r="A4192" t="s">
        <v>89</v>
      </c>
      <c r="B4192">
        <v>1701216041</v>
      </c>
      <c r="C4192" t="s">
        <v>19</v>
      </c>
      <c r="D4192" t="s">
        <v>21</v>
      </c>
      <c r="E4192" s="29">
        <v>46205</v>
      </c>
      <c r="F4192" t="s">
        <v>4</v>
      </c>
      <c r="G4192" s="28">
        <v>0.76180555555555551</v>
      </c>
      <c r="H4192" s="28">
        <v>0.76180555555555551</v>
      </c>
      <c r="I4192">
        <v>0</v>
      </c>
      <c r="J4192" t="s">
        <v>174</v>
      </c>
      <c r="K4192">
        <v>0</v>
      </c>
      <c r="L4192" t="s">
        <v>10547</v>
      </c>
      <c r="M4192" t="s">
        <v>10548</v>
      </c>
      <c r="N4192" t="s">
        <v>10549</v>
      </c>
      <c r="O4192" t="s">
        <v>10550</v>
      </c>
      <c r="P4192" t="s">
        <v>9445</v>
      </c>
    </row>
    <row r="4193" spans="1:16" x14ac:dyDescent="0.35">
      <c r="A4193" t="s">
        <v>89</v>
      </c>
      <c r="B4193">
        <v>1701216041</v>
      </c>
      <c r="C4193" t="s">
        <v>19</v>
      </c>
      <c r="D4193" t="s">
        <v>21</v>
      </c>
      <c r="E4193" s="29">
        <v>46205</v>
      </c>
      <c r="F4193" t="s">
        <v>4</v>
      </c>
      <c r="G4193" s="28">
        <v>0.76875000000000004</v>
      </c>
      <c r="H4193" s="28">
        <v>0.76875000000000004</v>
      </c>
      <c r="I4193">
        <v>0</v>
      </c>
      <c r="J4193" t="s">
        <v>174</v>
      </c>
      <c r="K4193">
        <v>0</v>
      </c>
      <c r="L4193" t="s">
        <v>287</v>
      </c>
      <c r="M4193" t="s">
        <v>10551</v>
      </c>
      <c r="N4193" t="s">
        <v>10552</v>
      </c>
      <c r="O4193" t="s">
        <v>10553</v>
      </c>
      <c r="P4193" t="s">
        <v>10554</v>
      </c>
    </row>
    <row r="4194" spans="1:16" x14ac:dyDescent="0.35">
      <c r="A4194" t="s">
        <v>89</v>
      </c>
      <c r="B4194">
        <v>1701216041</v>
      </c>
      <c r="C4194" t="s">
        <v>19</v>
      </c>
      <c r="D4194" t="s">
        <v>21</v>
      </c>
      <c r="E4194" s="29">
        <v>46205</v>
      </c>
      <c r="F4194" t="s">
        <v>4</v>
      </c>
      <c r="G4194" s="28">
        <v>0.77569444444444446</v>
      </c>
      <c r="H4194" s="28">
        <v>0.77569444444444446</v>
      </c>
      <c r="I4194">
        <v>0</v>
      </c>
      <c r="J4194" t="s">
        <v>174</v>
      </c>
      <c r="K4194">
        <v>0</v>
      </c>
      <c r="L4194" t="s">
        <v>1984</v>
      </c>
      <c r="M4194" t="s">
        <v>10555</v>
      </c>
      <c r="N4194" t="s">
        <v>10556</v>
      </c>
      <c r="O4194" t="s">
        <v>10557</v>
      </c>
      <c r="P4194" t="s">
        <v>10558</v>
      </c>
    </row>
    <row r="4195" spans="1:16" x14ac:dyDescent="0.35">
      <c r="A4195" t="s">
        <v>89</v>
      </c>
      <c r="B4195">
        <v>1701216041</v>
      </c>
      <c r="C4195" t="s">
        <v>19</v>
      </c>
      <c r="D4195" t="s">
        <v>21</v>
      </c>
      <c r="E4195" s="29">
        <v>46205</v>
      </c>
      <c r="F4195" t="s">
        <v>4</v>
      </c>
      <c r="G4195" s="28">
        <v>0.78263888888888888</v>
      </c>
      <c r="H4195" s="28">
        <v>0.78263888888888888</v>
      </c>
      <c r="I4195">
        <v>0</v>
      </c>
      <c r="J4195" t="s">
        <v>174</v>
      </c>
      <c r="K4195">
        <v>0</v>
      </c>
      <c r="L4195" t="s">
        <v>4630</v>
      </c>
      <c r="M4195" t="s">
        <v>10559</v>
      </c>
      <c r="N4195" t="s">
        <v>10560</v>
      </c>
      <c r="O4195" t="s">
        <v>10561</v>
      </c>
      <c r="P4195" t="s">
        <v>10562</v>
      </c>
    </row>
    <row r="4196" spans="1:16" x14ac:dyDescent="0.35">
      <c r="A4196" t="s">
        <v>89</v>
      </c>
      <c r="B4196">
        <v>1701216041</v>
      </c>
      <c r="C4196" t="s">
        <v>19</v>
      </c>
      <c r="D4196" t="s">
        <v>21</v>
      </c>
      <c r="E4196" s="29">
        <v>46205</v>
      </c>
      <c r="F4196" t="s">
        <v>4</v>
      </c>
      <c r="G4196" s="28">
        <v>0.7895833333333333</v>
      </c>
      <c r="H4196" s="28">
        <v>0.7895833333333333</v>
      </c>
      <c r="I4196">
        <v>0</v>
      </c>
      <c r="J4196" t="s">
        <v>174</v>
      </c>
      <c r="K4196">
        <v>0</v>
      </c>
      <c r="L4196" t="s">
        <v>663</v>
      </c>
      <c r="M4196" t="s">
        <v>10563</v>
      </c>
      <c r="N4196" t="s">
        <v>10564</v>
      </c>
      <c r="O4196" t="s">
        <v>10565</v>
      </c>
      <c r="P4196" t="s">
        <v>10566</v>
      </c>
    </row>
    <row r="4197" spans="1:16" x14ac:dyDescent="0.35">
      <c r="A4197" t="s">
        <v>89</v>
      </c>
      <c r="B4197">
        <v>1701216041</v>
      </c>
      <c r="C4197" t="s">
        <v>19</v>
      </c>
      <c r="D4197" t="s">
        <v>21</v>
      </c>
      <c r="E4197" s="29">
        <v>46207</v>
      </c>
      <c r="F4197" t="s">
        <v>5</v>
      </c>
      <c r="G4197" s="28">
        <v>0.38680555555555557</v>
      </c>
      <c r="H4197" s="28">
        <v>0.38680555555555557</v>
      </c>
      <c r="I4197">
        <v>0</v>
      </c>
      <c r="J4197" t="s">
        <v>174</v>
      </c>
      <c r="K4197">
        <v>0</v>
      </c>
      <c r="L4197" t="s">
        <v>663</v>
      </c>
      <c r="M4197" t="s">
        <v>10567</v>
      </c>
      <c r="N4197" t="s">
        <v>10568</v>
      </c>
      <c r="O4197" t="s">
        <v>10569</v>
      </c>
      <c r="P4197" t="s">
        <v>10570</v>
      </c>
    </row>
    <row r="4198" spans="1:16" x14ac:dyDescent="0.35">
      <c r="A4198" t="s">
        <v>89</v>
      </c>
      <c r="B4198">
        <v>1701216041</v>
      </c>
      <c r="C4198" t="s">
        <v>19</v>
      </c>
      <c r="D4198" t="s">
        <v>21</v>
      </c>
      <c r="E4198" s="29">
        <v>46207</v>
      </c>
      <c r="F4198" t="s">
        <v>5</v>
      </c>
      <c r="G4198" s="28">
        <v>0.39374999999999999</v>
      </c>
      <c r="H4198" s="28">
        <v>0.39374999999999999</v>
      </c>
      <c r="I4198">
        <v>0</v>
      </c>
      <c r="J4198" t="s">
        <v>174</v>
      </c>
      <c r="K4198">
        <v>0</v>
      </c>
      <c r="L4198" t="s">
        <v>4630</v>
      </c>
      <c r="M4198" t="s">
        <v>10571</v>
      </c>
      <c r="N4198" t="s">
        <v>10572</v>
      </c>
      <c r="O4198" t="s">
        <v>10573</v>
      </c>
      <c r="P4198" t="s">
        <v>10574</v>
      </c>
    </row>
    <row r="4199" spans="1:16" x14ac:dyDescent="0.35">
      <c r="A4199" t="s">
        <v>89</v>
      </c>
      <c r="B4199">
        <v>1701216041</v>
      </c>
      <c r="C4199" t="s">
        <v>19</v>
      </c>
      <c r="D4199" t="s">
        <v>21</v>
      </c>
      <c r="E4199" s="29">
        <v>46207</v>
      </c>
      <c r="F4199" t="s">
        <v>5</v>
      </c>
      <c r="G4199" s="28">
        <v>0.40069444444444446</v>
      </c>
      <c r="H4199" s="28">
        <v>0.40069444444444446</v>
      </c>
      <c r="I4199">
        <v>0</v>
      </c>
      <c r="J4199" t="s">
        <v>174</v>
      </c>
      <c r="K4199">
        <v>0</v>
      </c>
      <c r="L4199" t="s">
        <v>4630</v>
      </c>
      <c r="M4199" t="s">
        <v>10575</v>
      </c>
      <c r="N4199" t="s">
        <v>10576</v>
      </c>
      <c r="O4199" t="s">
        <v>10577</v>
      </c>
      <c r="P4199" t="s">
        <v>10578</v>
      </c>
    </row>
    <row r="4200" spans="1:16" x14ac:dyDescent="0.35">
      <c r="A4200" t="s">
        <v>89</v>
      </c>
      <c r="B4200">
        <v>1701216041</v>
      </c>
      <c r="C4200" t="s">
        <v>19</v>
      </c>
      <c r="D4200" t="s">
        <v>21</v>
      </c>
      <c r="E4200" s="29">
        <v>46207</v>
      </c>
      <c r="F4200" t="s">
        <v>5</v>
      </c>
      <c r="G4200" s="28">
        <v>0.40763888888888888</v>
      </c>
      <c r="H4200" s="28">
        <v>0.40763888888888888</v>
      </c>
      <c r="I4200">
        <v>0</v>
      </c>
      <c r="J4200" t="s">
        <v>174</v>
      </c>
      <c r="K4200">
        <v>0</v>
      </c>
      <c r="L4200" t="s">
        <v>4630</v>
      </c>
      <c r="M4200" t="s">
        <v>10571</v>
      </c>
      <c r="N4200" t="s">
        <v>10572</v>
      </c>
      <c r="O4200" t="s">
        <v>10573</v>
      </c>
      <c r="P4200" t="s">
        <v>10574</v>
      </c>
    </row>
    <row r="4201" spans="1:16" x14ac:dyDescent="0.35">
      <c r="A4201" t="s">
        <v>89</v>
      </c>
      <c r="B4201">
        <v>1701216041</v>
      </c>
      <c r="C4201" t="s">
        <v>19</v>
      </c>
      <c r="D4201" t="s">
        <v>21</v>
      </c>
      <c r="E4201" s="29">
        <v>46207</v>
      </c>
      <c r="F4201" t="s">
        <v>5</v>
      </c>
      <c r="G4201" s="28">
        <v>0.41458333333333336</v>
      </c>
      <c r="H4201" s="28">
        <v>0.44236111111111109</v>
      </c>
      <c r="I4201">
        <v>1</v>
      </c>
      <c r="J4201" t="s">
        <v>146</v>
      </c>
      <c r="K4201">
        <v>2</v>
      </c>
      <c r="L4201" t="s">
        <v>147</v>
      </c>
      <c r="M4201" t="s">
        <v>10579</v>
      </c>
      <c r="N4201" t="s">
        <v>10576</v>
      </c>
      <c r="O4201" t="s">
        <v>10577</v>
      </c>
      <c r="P4201" t="s">
        <v>10578</v>
      </c>
    </row>
    <row r="4202" spans="1:16" x14ac:dyDescent="0.35">
      <c r="A4202" t="s">
        <v>89</v>
      </c>
      <c r="B4202">
        <v>1701216041</v>
      </c>
      <c r="C4202" t="s">
        <v>19</v>
      </c>
      <c r="D4202" t="s">
        <v>21</v>
      </c>
      <c r="E4202" s="29">
        <v>46207</v>
      </c>
      <c r="F4202" t="s">
        <v>5</v>
      </c>
      <c r="G4202" s="28">
        <v>0.44930555555555557</v>
      </c>
      <c r="H4202" s="28">
        <v>0.44930555555555557</v>
      </c>
      <c r="I4202">
        <v>0</v>
      </c>
      <c r="J4202" t="s">
        <v>174</v>
      </c>
      <c r="K4202">
        <v>0</v>
      </c>
      <c r="L4202" t="s">
        <v>4630</v>
      </c>
      <c r="M4202" t="s">
        <v>10571</v>
      </c>
      <c r="N4202" t="s">
        <v>10572</v>
      </c>
      <c r="O4202" t="s">
        <v>10573</v>
      </c>
      <c r="P4202" t="s">
        <v>10574</v>
      </c>
    </row>
    <row r="4203" spans="1:16" x14ac:dyDescent="0.35">
      <c r="A4203" t="s">
        <v>89</v>
      </c>
      <c r="B4203">
        <v>1701216041</v>
      </c>
      <c r="C4203" t="s">
        <v>19</v>
      </c>
      <c r="D4203" t="s">
        <v>21</v>
      </c>
      <c r="E4203" s="29">
        <v>46207</v>
      </c>
      <c r="F4203" t="s">
        <v>5</v>
      </c>
      <c r="G4203" s="28">
        <v>0.45624999999999999</v>
      </c>
      <c r="H4203" s="28">
        <v>0.46319444444444446</v>
      </c>
      <c r="I4203">
        <v>0</v>
      </c>
      <c r="J4203" t="s">
        <v>146</v>
      </c>
      <c r="K4203">
        <v>1</v>
      </c>
      <c r="L4203" t="s">
        <v>147</v>
      </c>
      <c r="M4203" t="s">
        <v>10575</v>
      </c>
      <c r="N4203" t="s">
        <v>10576</v>
      </c>
      <c r="O4203" t="s">
        <v>10577</v>
      </c>
      <c r="P4203" t="s">
        <v>10578</v>
      </c>
    </row>
    <row r="4204" spans="1:16" x14ac:dyDescent="0.35">
      <c r="A4204" t="s">
        <v>89</v>
      </c>
      <c r="B4204">
        <v>1701216041</v>
      </c>
      <c r="C4204" t="s">
        <v>19</v>
      </c>
      <c r="D4204" t="s">
        <v>21</v>
      </c>
      <c r="E4204" s="29">
        <v>46207</v>
      </c>
      <c r="F4204" t="s">
        <v>5</v>
      </c>
      <c r="G4204" s="28">
        <v>0.47013888888888888</v>
      </c>
      <c r="H4204" s="28">
        <v>0.47013888888888888</v>
      </c>
      <c r="I4204">
        <v>0</v>
      </c>
      <c r="J4204" t="s">
        <v>174</v>
      </c>
      <c r="K4204">
        <v>0</v>
      </c>
      <c r="L4204" t="s">
        <v>663</v>
      </c>
      <c r="M4204" t="s">
        <v>10571</v>
      </c>
      <c r="N4204" t="s">
        <v>10572</v>
      </c>
      <c r="O4204" t="s">
        <v>10573</v>
      </c>
      <c r="P4204" t="s">
        <v>10574</v>
      </c>
    </row>
    <row r="4205" spans="1:16" x14ac:dyDescent="0.35">
      <c r="A4205" t="s">
        <v>89</v>
      </c>
      <c r="B4205">
        <v>1701216041</v>
      </c>
      <c r="C4205" t="s">
        <v>19</v>
      </c>
      <c r="D4205" t="s">
        <v>21</v>
      </c>
      <c r="E4205" s="29">
        <v>46207</v>
      </c>
      <c r="F4205" t="s">
        <v>5</v>
      </c>
      <c r="G4205" s="28">
        <v>0.47638888888888886</v>
      </c>
      <c r="H4205" s="28">
        <v>0.47638888888888886</v>
      </c>
      <c r="I4205">
        <v>0</v>
      </c>
      <c r="J4205" t="s">
        <v>174</v>
      </c>
      <c r="K4205">
        <v>0</v>
      </c>
      <c r="L4205" t="s">
        <v>10580</v>
      </c>
      <c r="M4205" t="s">
        <v>10567</v>
      </c>
      <c r="N4205" t="s">
        <v>10568</v>
      </c>
      <c r="O4205" t="s">
        <v>10569</v>
      </c>
      <c r="P4205" t="s">
        <v>10570</v>
      </c>
    </row>
    <row r="4206" spans="1:16" x14ac:dyDescent="0.35">
      <c r="A4206" t="s">
        <v>89</v>
      </c>
      <c r="B4206">
        <v>1701216041</v>
      </c>
      <c r="C4206" t="s">
        <v>19</v>
      </c>
      <c r="D4206" t="s">
        <v>21</v>
      </c>
      <c r="E4206" s="29">
        <v>46207</v>
      </c>
      <c r="F4206" t="s">
        <v>5</v>
      </c>
      <c r="G4206" s="28">
        <v>0.48402777777777778</v>
      </c>
      <c r="H4206" s="28">
        <v>0.48402777777777778</v>
      </c>
      <c r="I4206">
        <v>0</v>
      </c>
      <c r="J4206" t="s">
        <v>174</v>
      </c>
      <c r="K4206">
        <v>0</v>
      </c>
      <c r="L4206" t="s">
        <v>4630</v>
      </c>
      <c r="M4206" t="s">
        <v>10575</v>
      </c>
      <c r="N4206" t="s">
        <v>10576</v>
      </c>
      <c r="O4206" t="s">
        <v>10577</v>
      </c>
      <c r="P4206" t="s">
        <v>10578</v>
      </c>
    </row>
    <row r="4207" spans="1:16" x14ac:dyDescent="0.35">
      <c r="A4207" t="s">
        <v>89</v>
      </c>
      <c r="B4207">
        <v>1701216041</v>
      </c>
      <c r="C4207" t="s">
        <v>19</v>
      </c>
      <c r="D4207" t="s">
        <v>21</v>
      </c>
      <c r="E4207" s="29">
        <v>46207</v>
      </c>
      <c r="F4207" t="s">
        <v>5</v>
      </c>
      <c r="G4207" s="28">
        <v>0.4909722222222222</v>
      </c>
      <c r="H4207" s="28">
        <v>0.4909722222222222</v>
      </c>
      <c r="I4207">
        <v>0</v>
      </c>
      <c r="J4207" t="s">
        <v>174</v>
      </c>
      <c r="K4207">
        <v>0</v>
      </c>
      <c r="L4207" t="s">
        <v>663</v>
      </c>
      <c r="M4207" t="s">
        <v>10571</v>
      </c>
      <c r="N4207" t="s">
        <v>10572</v>
      </c>
      <c r="O4207" t="s">
        <v>10573</v>
      </c>
      <c r="P4207" t="s">
        <v>10574</v>
      </c>
    </row>
    <row r="4208" spans="1:16" x14ac:dyDescent="0.35">
      <c r="A4208" t="s">
        <v>89</v>
      </c>
      <c r="B4208">
        <v>1701216041</v>
      </c>
      <c r="C4208" t="s">
        <v>19</v>
      </c>
      <c r="D4208" t="s">
        <v>21</v>
      </c>
      <c r="E4208" s="29">
        <v>46207</v>
      </c>
      <c r="F4208" t="s">
        <v>5</v>
      </c>
      <c r="G4208" s="28">
        <v>0.49791666666666667</v>
      </c>
      <c r="H4208" s="28">
        <v>0.49791666666666667</v>
      </c>
      <c r="I4208">
        <v>0</v>
      </c>
      <c r="J4208" t="s">
        <v>174</v>
      </c>
      <c r="K4208">
        <v>0</v>
      </c>
      <c r="L4208" t="s">
        <v>10580</v>
      </c>
      <c r="M4208" t="s">
        <v>10567</v>
      </c>
      <c r="N4208" t="s">
        <v>10568</v>
      </c>
      <c r="O4208" t="s">
        <v>10569</v>
      </c>
      <c r="P4208" t="s">
        <v>10570</v>
      </c>
    </row>
    <row r="4209" spans="1:16" x14ac:dyDescent="0.35">
      <c r="A4209" t="s">
        <v>89</v>
      </c>
      <c r="B4209">
        <v>1701216041</v>
      </c>
      <c r="C4209" t="s">
        <v>19</v>
      </c>
      <c r="D4209" t="s">
        <v>21</v>
      </c>
      <c r="E4209" s="29">
        <v>46207</v>
      </c>
      <c r="F4209" t="s">
        <v>5</v>
      </c>
      <c r="G4209" s="28">
        <v>0.50486111111111109</v>
      </c>
      <c r="H4209" s="28">
        <v>0.51180555555555551</v>
      </c>
      <c r="I4209">
        <v>0</v>
      </c>
      <c r="J4209" t="s">
        <v>146</v>
      </c>
      <c r="K4209">
        <v>0</v>
      </c>
      <c r="L4209" t="s">
        <v>147</v>
      </c>
      <c r="M4209" t="s">
        <v>10579</v>
      </c>
      <c r="N4209" t="s">
        <v>10576</v>
      </c>
      <c r="O4209" t="s">
        <v>10577</v>
      </c>
      <c r="P4209" t="s">
        <v>10578</v>
      </c>
    </row>
    <row r="4210" spans="1:16" x14ac:dyDescent="0.35">
      <c r="A4210" t="s">
        <v>89</v>
      </c>
      <c r="B4210">
        <v>1701216041</v>
      </c>
      <c r="C4210" t="s">
        <v>19</v>
      </c>
      <c r="D4210" t="s">
        <v>21</v>
      </c>
      <c r="E4210" s="29">
        <v>46207</v>
      </c>
      <c r="F4210" t="s">
        <v>5</v>
      </c>
      <c r="G4210" s="28">
        <v>0.51875000000000004</v>
      </c>
      <c r="H4210" s="28">
        <v>0.51875000000000004</v>
      </c>
      <c r="I4210">
        <v>0</v>
      </c>
      <c r="J4210" t="s">
        <v>174</v>
      </c>
      <c r="K4210">
        <v>0</v>
      </c>
      <c r="L4210" t="s">
        <v>663</v>
      </c>
      <c r="M4210" t="s">
        <v>10571</v>
      </c>
      <c r="N4210" t="s">
        <v>10572</v>
      </c>
      <c r="O4210" t="s">
        <v>10573</v>
      </c>
      <c r="P4210" t="s">
        <v>10574</v>
      </c>
    </row>
    <row r="4211" spans="1:16" x14ac:dyDescent="0.35">
      <c r="A4211" t="s">
        <v>89</v>
      </c>
      <c r="B4211">
        <v>1701216041</v>
      </c>
      <c r="C4211" t="s">
        <v>19</v>
      </c>
      <c r="D4211" t="s">
        <v>21</v>
      </c>
      <c r="E4211" s="29">
        <v>46207</v>
      </c>
      <c r="F4211" t="s">
        <v>5</v>
      </c>
      <c r="G4211" s="28">
        <v>0.52569444444444446</v>
      </c>
      <c r="H4211" s="28">
        <v>0.53263888888888888</v>
      </c>
      <c r="I4211">
        <v>0</v>
      </c>
      <c r="J4211" t="s">
        <v>146</v>
      </c>
      <c r="K4211">
        <v>0</v>
      </c>
      <c r="L4211" t="s">
        <v>147</v>
      </c>
      <c r="M4211" t="s">
        <v>10567</v>
      </c>
      <c r="N4211" t="s">
        <v>10568</v>
      </c>
      <c r="O4211" t="s">
        <v>10569</v>
      </c>
      <c r="P4211" t="s">
        <v>10570</v>
      </c>
    </row>
    <row r="4212" spans="1:16" x14ac:dyDescent="0.35">
      <c r="A4212" t="s">
        <v>89</v>
      </c>
      <c r="B4212">
        <v>1701216041</v>
      </c>
      <c r="C4212" t="s">
        <v>19</v>
      </c>
      <c r="D4212" t="s">
        <v>21</v>
      </c>
      <c r="E4212" s="29">
        <v>46207</v>
      </c>
      <c r="F4212" t="s">
        <v>5</v>
      </c>
      <c r="G4212" s="28">
        <v>0.5395833333333333</v>
      </c>
      <c r="H4212" s="28">
        <v>0.54652777777777772</v>
      </c>
      <c r="I4212">
        <v>0</v>
      </c>
      <c r="J4212" t="s">
        <v>146</v>
      </c>
      <c r="K4212">
        <v>0</v>
      </c>
      <c r="L4212" t="s">
        <v>147</v>
      </c>
      <c r="M4212" t="s">
        <v>10579</v>
      </c>
      <c r="N4212" t="s">
        <v>10576</v>
      </c>
      <c r="O4212" t="s">
        <v>10577</v>
      </c>
      <c r="P4212" t="s">
        <v>10578</v>
      </c>
    </row>
    <row r="4213" spans="1:16" x14ac:dyDescent="0.35">
      <c r="A4213" t="s">
        <v>89</v>
      </c>
      <c r="B4213">
        <v>1701216041</v>
      </c>
      <c r="C4213" t="s">
        <v>19</v>
      </c>
      <c r="D4213" t="s">
        <v>21</v>
      </c>
      <c r="E4213" s="29">
        <v>46207</v>
      </c>
      <c r="F4213" t="s">
        <v>5</v>
      </c>
      <c r="G4213" s="28">
        <v>0.55347222222222225</v>
      </c>
      <c r="H4213" s="28">
        <v>0.56736111111111109</v>
      </c>
      <c r="I4213">
        <v>0</v>
      </c>
      <c r="J4213" t="s">
        <v>146</v>
      </c>
      <c r="K4213">
        <v>1</v>
      </c>
      <c r="L4213" t="s">
        <v>147</v>
      </c>
      <c r="M4213" t="s">
        <v>10571</v>
      </c>
      <c r="N4213" t="s">
        <v>10572</v>
      </c>
      <c r="O4213" t="s">
        <v>10573</v>
      </c>
      <c r="P4213" t="s">
        <v>10574</v>
      </c>
    </row>
    <row r="4214" spans="1:16" x14ac:dyDescent="0.35">
      <c r="A4214" t="s">
        <v>89</v>
      </c>
      <c r="B4214">
        <v>1701216041</v>
      </c>
      <c r="C4214" t="s">
        <v>19</v>
      </c>
      <c r="D4214" t="s">
        <v>21</v>
      </c>
      <c r="E4214" s="29">
        <v>46207</v>
      </c>
      <c r="F4214" t="s">
        <v>5</v>
      </c>
      <c r="G4214" s="28">
        <v>0.57430555555555551</v>
      </c>
      <c r="H4214" s="28">
        <v>0.57430555555555551</v>
      </c>
      <c r="I4214">
        <v>0</v>
      </c>
      <c r="J4214" t="s">
        <v>174</v>
      </c>
      <c r="K4214">
        <v>0</v>
      </c>
      <c r="L4214" t="s">
        <v>2593</v>
      </c>
      <c r="M4214" t="s">
        <v>10581</v>
      </c>
      <c r="N4214" t="s">
        <v>10582</v>
      </c>
      <c r="O4214" t="s">
        <v>10583</v>
      </c>
      <c r="P4214" t="s">
        <v>10584</v>
      </c>
    </row>
    <row r="4215" spans="1:16" x14ac:dyDescent="0.35">
      <c r="A4215" t="s">
        <v>89</v>
      </c>
      <c r="B4215">
        <v>1701216041</v>
      </c>
      <c r="C4215" t="s">
        <v>19</v>
      </c>
      <c r="D4215" t="s">
        <v>21</v>
      </c>
      <c r="E4215" s="29">
        <v>46207</v>
      </c>
      <c r="F4215" t="s">
        <v>5</v>
      </c>
      <c r="G4215" s="28">
        <v>0.58125000000000004</v>
      </c>
      <c r="H4215" s="28">
        <v>0.58819444444444446</v>
      </c>
      <c r="I4215">
        <v>0</v>
      </c>
      <c r="J4215" t="s">
        <v>146</v>
      </c>
      <c r="K4215">
        <v>0</v>
      </c>
      <c r="L4215" t="s">
        <v>147</v>
      </c>
      <c r="M4215" t="s">
        <v>10571</v>
      </c>
      <c r="N4215" t="s">
        <v>10572</v>
      </c>
      <c r="O4215" t="s">
        <v>10573</v>
      </c>
      <c r="P4215" t="s">
        <v>10574</v>
      </c>
    </row>
    <row r="4216" spans="1:16" x14ac:dyDescent="0.35">
      <c r="A4216" t="s">
        <v>89</v>
      </c>
      <c r="B4216">
        <v>1701216041</v>
      </c>
      <c r="C4216" t="s">
        <v>19</v>
      </c>
      <c r="D4216" t="s">
        <v>21</v>
      </c>
      <c r="E4216" s="29">
        <v>46207</v>
      </c>
      <c r="F4216" t="s">
        <v>5</v>
      </c>
      <c r="G4216" s="28">
        <v>0.59513888888888888</v>
      </c>
      <c r="H4216" s="28">
        <v>0.59513888888888888</v>
      </c>
      <c r="I4216">
        <v>0</v>
      </c>
      <c r="J4216" t="s">
        <v>174</v>
      </c>
      <c r="K4216">
        <v>0</v>
      </c>
      <c r="L4216" t="s">
        <v>2593</v>
      </c>
      <c r="M4216" t="s">
        <v>10585</v>
      </c>
      <c r="N4216" t="s">
        <v>10586</v>
      </c>
      <c r="O4216" t="s">
        <v>10587</v>
      </c>
      <c r="P4216" t="s">
        <v>10588</v>
      </c>
    </row>
    <row r="4217" spans="1:16" x14ac:dyDescent="0.35">
      <c r="A4217" t="s">
        <v>89</v>
      </c>
      <c r="B4217">
        <v>1701216041</v>
      </c>
      <c r="C4217" t="s">
        <v>19</v>
      </c>
      <c r="D4217" t="s">
        <v>21</v>
      </c>
      <c r="E4217" s="29">
        <v>46207</v>
      </c>
      <c r="F4217" t="s">
        <v>5</v>
      </c>
      <c r="G4217" s="28">
        <v>0.6020833333333333</v>
      </c>
      <c r="H4217" s="28">
        <v>0.65763888888888888</v>
      </c>
      <c r="I4217">
        <v>1</v>
      </c>
      <c r="J4217" t="s">
        <v>146</v>
      </c>
      <c r="K4217">
        <v>4</v>
      </c>
      <c r="L4217" t="s">
        <v>147</v>
      </c>
      <c r="M4217" t="s">
        <v>10571</v>
      </c>
      <c r="N4217" t="s">
        <v>10572</v>
      </c>
      <c r="O4217" t="s">
        <v>10573</v>
      </c>
      <c r="P4217" t="s">
        <v>10574</v>
      </c>
    </row>
    <row r="4218" spans="1:16" x14ac:dyDescent="0.35">
      <c r="A4218" t="s">
        <v>89</v>
      </c>
      <c r="B4218">
        <v>1701216041</v>
      </c>
      <c r="C4218" t="s">
        <v>19</v>
      </c>
      <c r="D4218" t="s">
        <v>21</v>
      </c>
      <c r="E4218" s="29">
        <v>46207</v>
      </c>
      <c r="F4218" t="s">
        <v>5</v>
      </c>
      <c r="G4218" s="28">
        <v>0.6645833333333333</v>
      </c>
      <c r="H4218" s="28">
        <v>0.67152777777777772</v>
      </c>
      <c r="I4218">
        <v>0</v>
      </c>
      <c r="J4218" t="s">
        <v>146</v>
      </c>
      <c r="K4218">
        <v>0</v>
      </c>
      <c r="L4218" t="s">
        <v>147</v>
      </c>
      <c r="M4218" t="s">
        <v>10585</v>
      </c>
      <c r="N4218" t="s">
        <v>10586</v>
      </c>
      <c r="O4218" t="s">
        <v>10587</v>
      </c>
      <c r="P4218" t="s">
        <v>10588</v>
      </c>
    </row>
    <row r="4219" spans="1:16" x14ac:dyDescent="0.35">
      <c r="A4219" t="s">
        <v>89</v>
      </c>
      <c r="B4219">
        <v>1701216041</v>
      </c>
      <c r="C4219" t="s">
        <v>19</v>
      </c>
      <c r="D4219" t="s">
        <v>21</v>
      </c>
      <c r="E4219" s="29">
        <v>46207</v>
      </c>
      <c r="F4219" t="s">
        <v>5</v>
      </c>
      <c r="G4219" s="28">
        <v>0.67847222222222225</v>
      </c>
      <c r="H4219" s="28">
        <v>0.69930555555555551</v>
      </c>
      <c r="I4219">
        <v>0</v>
      </c>
      <c r="J4219" t="s">
        <v>146</v>
      </c>
      <c r="K4219">
        <v>1</v>
      </c>
      <c r="L4219" t="s">
        <v>147</v>
      </c>
      <c r="M4219" t="s">
        <v>10575</v>
      </c>
      <c r="N4219" t="s">
        <v>10576</v>
      </c>
      <c r="O4219" t="s">
        <v>10577</v>
      </c>
      <c r="P4219" t="s">
        <v>10578</v>
      </c>
    </row>
    <row r="4220" spans="1:16" x14ac:dyDescent="0.35">
      <c r="A4220" t="s">
        <v>89</v>
      </c>
      <c r="B4220">
        <v>1701216041</v>
      </c>
      <c r="C4220" t="s">
        <v>19</v>
      </c>
      <c r="D4220" t="s">
        <v>21</v>
      </c>
      <c r="E4220" s="29">
        <v>46207</v>
      </c>
      <c r="F4220" t="s">
        <v>5</v>
      </c>
      <c r="G4220" s="28">
        <v>0.7055555555555556</v>
      </c>
      <c r="H4220" s="28">
        <v>0.7055555555555556</v>
      </c>
      <c r="I4220">
        <v>0</v>
      </c>
      <c r="J4220" t="s">
        <v>174</v>
      </c>
      <c r="K4220">
        <v>0</v>
      </c>
      <c r="L4220" t="s">
        <v>246</v>
      </c>
      <c r="M4220" t="s">
        <v>10585</v>
      </c>
      <c r="N4220" t="s">
        <v>10586</v>
      </c>
      <c r="O4220" t="s">
        <v>10587</v>
      </c>
      <c r="P4220" t="s">
        <v>10588</v>
      </c>
    </row>
    <row r="4221" spans="1:16" x14ac:dyDescent="0.35">
      <c r="A4221" t="s">
        <v>89</v>
      </c>
      <c r="B4221">
        <v>1701216041</v>
      </c>
      <c r="C4221" t="s">
        <v>19</v>
      </c>
      <c r="D4221" t="s">
        <v>21</v>
      </c>
      <c r="E4221" s="29">
        <v>46207</v>
      </c>
      <c r="F4221" t="s">
        <v>5</v>
      </c>
      <c r="G4221" s="28">
        <v>0.71319444444444446</v>
      </c>
      <c r="H4221" s="28">
        <v>0.7270833333333333</v>
      </c>
      <c r="I4221">
        <v>0</v>
      </c>
      <c r="J4221" t="s">
        <v>146</v>
      </c>
      <c r="K4221">
        <v>1</v>
      </c>
      <c r="L4221" t="s">
        <v>147</v>
      </c>
      <c r="M4221" t="s">
        <v>10579</v>
      </c>
      <c r="N4221" t="s">
        <v>10576</v>
      </c>
      <c r="O4221" t="s">
        <v>10577</v>
      </c>
      <c r="P4221" t="s">
        <v>10578</v>
      </c>
    </row>
    <row r="4222" spans="1:16" x14ac:dyDescent="0.35">
      <c r="A4222" t="s">
        <v>89</v>
      </c>
      <c r="B4222">
        <v>1701216041</v>
      </c>
      <c r="C4222" t="s">
        <v>19</v>
      </c>
      <c r="D4222" t="s">
        <v>21</v>
      </c>
      <c r="E4222" s="29">
        <v>46207</v>
      </c>
      <c r="F4222" t="s">
        <v>5</v>
      </c>
      <c r="G4222" s="28">
        <v>0.73402777777777772</v>
      </c>
      <c r="H4222" s="28">
        <v>0.77569444444444446</v>
      </c>
      <c r="I4222">
        <v>1</v>
      </c>
      <c r="J4222" t="s">
        <v>146</v>
      </c>
      <c r="K4222">
        <v>3</v>
      </c>
      <c r="L4222" t="s">
        <v>147</v>
      </c>
      <c r="M4222" t="s">
        <v>10571</v>
      </c>
      <c r="N4222" t="s">
        <v>10572</v>
      </c>
      <c r="O4222" t="s">
        <v>10573</v>
      </c>
      <c r="P4222" t="s">
        <v>10574</v>
      </c>
    </row>
    <row r="4223" spans="1:16" x14ac:dyDescent="0.35">
      <c r="A4223" t="s">
        <v>89</v>
      </c>
      <c r="B4223">
        <v>1701216041</v>
      </c>
      <c r="C4223" t="s">
        <v>19</v>
      </c>
      <c r="D4223" t="s">
        <v>21</v>
      </c>
      <c r="E4223" s="29">
        <v>46207</v>
      </c>
      <c r="F4223" t="s">
        <v>5</v>
      </c>
      <c r="G4223" s="28">
        <v>0.78263888888888888</v>
      </c>
      <c r="H4223" s="28">
        <v>0.78263888888888888</v>
      </c>
      <c r="I4223">
        <v>0</v>
      </c>
      <c r="J4223" t="s">
        <v>174</v>
      </c>
      <c r="K4223">
        <v>0</v>
      </c>
      <c r="L4223" t="s">
        <v>579</v>
      </c>
      <c r="M4223" t="s">
        <v>10585</v>
      </c>
      <c r="N4223" t="s">
        <v>10589</v>
      </c>
      <c r="O4223" t="s">
        <v>10590</v>
      </c>
      <c r="P4223" t="s">
        <v>10591</v>
      </c>
    </row>
    <row r="4224" spans="1:16" x14ac:dyDescent="0.35">
      <c r="A4224" t="s">
        <v>89</v>
      </c>
      <c r="B4224">
        <v>1701216041</v>
      </c>
      <c r="C4224" t="s">
        <v>19</v>
      </c>
      <c r="D4224" t="s">
        <v>21</v>
      </c>
      <c r="E4224" s="29">
        <v>46207</v>
      </c>
      <c r="F4224" t="s">
        <v>5</v>
      </c>
      <c r="G4224" s="28">
        <v>0.7895833333333333</v>
      </c>
      <c r="H4224" s="28">
        <v>0.81041666666666667</v>
      </c>
      <c r="I4224">
        <v>1</v>
      </c>
      <c r="J4224" t="s">
        <v>146</v>
      </c>
      <c r="K4224">
        <v>2</v>
      </c>
      <c r="L4224" t="s">
        <v>147</v>
      </c>
      <c r="M4224" t="s">
        <v>10571</v>
      </c>
      <c r="N4224" t="s">
        <v>10572</v>
      </c>
      <c r="O4224" t="s">
        <v>10573</v>
      </c>
      <c r="P4224" t="s">
        <v>10574</v>
      </c>
    </row>
    <row r="4225" spans="1:16" x14ac:dyDescent="0.35">
      <c r="A4225" t="s">
        <v>89</v>
      </c>
      <c r="B4225">
        <v>1701216041</v>
      </c>
      <c r="C4225" t="s">
        <v>19</v>
      </c>
      <c r="D4225" t="s">
        <v>21</v>
      </c>
      <c r="E4225" s="29">
        <v>46208</v>
      </c>
      <c r="F4225" t="s">
        <v>6</v>
      </c>
      <c r="G4225" s="28">
        <v>0.37986111111111109</v>
      </c>
      <c r="H4225" s="28">
        <v>0.37986111111111109</v>
      </c>
      <c r="I4225">
        <v>0</v>
      </c>
      <c r="J4225" t="s">
        <v>174</v>
      </c>
      <c r="K4225">
        <v>0</v>
      </c>
      <c r="L4225" t="s">
        <v>10592</v>
      </c>
      <c r="M4225" t="s">
        <v>10593</v>
      </c>
      <c r="N4225" t="s">
        <v>10594</v>
      </c>
      <c r="O4225" t="s">
        <v>10595</v>
      </c>
      <c r="P4225" t="s">
        <v>10596</v>
      </c>
    </row>
    <row r="4226" spans="1:16" x14ac:dyDescent="0.35">
      <c r="A4226" t="s">
        <v>89</v>
      </c>
      <c r="B4226">
        <v>1701216041</v>
      </c>
      <c r="C4226" t="s">
        <v>19</v>
      </c>
      <c r="D4226" t="s">
        <v>21</v>
      </c>
      <c r="E4226" s="29">
        <v>46208</v>
      </c>
      <c r="F4226" t="s">
        <v>6</v>
      </c>
      <c r="G4226" s="28">
        <v>0.38680555555555557</v>
      </c>
      <c r="H4226" s="28">
        <v>0.38680555555555557</v>
      </c>
      <c r="I4226">
        <v>0</v>
      </c>
      <c r="J4226" t="s">
        <v>174</v>
      </c>
      <c r="K4226">
        <v>0</v>
      </c>
      <c r="L4226" t="s">
        <v>6934</v>
      </c>
      <c r="M4226" t="s">
        <v>10597</v>
      </c>
      <c r="N4226" t="s">
        <v>10598</v>
      </c>
      <c r="O4226" t="s">
        <v>10599</v>
      </c>
      <c r="P4226" t="s">
        <v>10600</v>
      </c>
    </row>
    <row r="4227" spans="1:16" x14ac:dyDescent="0.35">
      <c r="A4227" t="s">
        <v>89</v>
      </c>
      <c r="B4227">
        <v>1701216041</v>
      </c>
      <c r="C4227" t="s">
        <v>19</v>
      </c>
      <c r="D4227" t="s">
        <v>21</v>
      </c>
      <c r="E4227" s="29">
        <v>46208</v>
      </c>
      <c r="F4227" t="s">
        <v>6</v>
      </c>
      <c r="G4227" s="28">
        <v>0.39305555555555555</v>
      </c>
      <c r="H4227" s="28">
        <v>0.39305555555555555</v>
      </c>
      <c r="I4227">
        <v>0</v>
      </c>
      <c r="J4227" t="s">
        <v>174</v>
      </c>
      <c r="K4227">
        <v>0</v>
      </c>
      <c r="L4227" t="s">
        <v>8506</v>
      </c>
      <c r="M4227" t="s">
        <v>10601</v>
      </c>
      <c r="N4227" t="s">
        <v>10602</v>
      </c>
      <c r="O4227" t="s">
        <v>10603</v>
      </c>
      <c r="P4227" t="s">
        <v>10604</v>
      </c>
    </row>
    <row r="4228" spans="1:16" x14ac:dyDescent="0.35">
      <c r="A4228" t="s">
        <v>89</v>
      </c>
      <c r="B4228">
        <v>1701216041</v>
      </c>
      <c r="C4228" t="s">
        <v>19</v>
      </c>
      <c r="D4228" t="s">
        <v>21</v>
      </c>
      <c r="E4228" s="29">
        <v>46208</v>
      </c>
      <c r="F4228" t="s">
        <v>6</v>
      </c>
      <c r="G4228" s="28">
        <v>0.40069444444444446</v>
      </c>
      <c r="H4228" s="28">
        <v>0.40069444444444446</v>
      </c>
      <c r="I4228">
        <v>0</v>
      </c>
      <c r="J4228" t="s">
        <v>174</v>
      </c>
      <c r="K4228">
        <v>0</v>
      </c>
      <c r="L4228" t="s">
        <v>10605</v>
      </c>
      <c r="M4228" t="s">
        <v>10606</v>
      </c>
      <c r="N4228" t="s">
        <v>10607</v>
      </c>
      <c r="O4228" t="s">
        <v>10608</v>
      </c>
      <c r="P4228" t="s">
        <v>10609</v>
      </c>
    </row>
    <row r="4229" spans="1:16" x14ac:dyDescent="0.35">
      <c r="A4229" t="s">
        <v>89</v>
      </c>
      <c r="B4229">
        <v>1701216041</v>
      </c>
      <c r="C4229" t="s">
        <v>19</v>
      </c>
      <c r="D4229" t="s">
        <v>21</v>
      </c>
      <c r="E4229" s="29">
        <v>46208</v>
      </c>
      <c r="F4229" t="s">
        <v>6</v>
      </c>
      <c r="G4229" s="28">
        <v>0.40763888888888888</v>
      </c>
      <c r="H4229" s="28">
        <v>0.40763888888888888</v>
      </c>
      <c r="I4229">
        <v>0</v>
      </c>
      <c r="J4229" t="s">
        <v>174</v>
      </c>
      <c r="K4229">
        <v>0</v>
      </c>
      <c r="L4229" t="s">
        <v>1042</v>
      </c>
      <c r="M4229" t="s">
        <v>10610</v>
      </c>
      <c r="N4229" t="s">
        <v>10611</v>
      </c>
      <c r="O4229" t="s">
        <v>10612</v>
      </c>
      <c r="P4229" t="s">
        <v>10613</v>
      </c>
    </row>
    <row r="4230" spans="1:16" x14ac:dyDescent="0.35">
      <c r="A4230" t="s">
        <v>89</v>
      </c>
      <c r="B4230">
        <v>1701216041</v>
      </c>
      <c r="C4230" t="s">
        <v>19</v>
      </c>
      <c r="D4230" t="s">
        <v>21</v>
      </c>
      <c r="E4230" s="29">
        <v>46208</v>
      </c>
      <c r="F4230" t="s">
        <v>6</v>
      </c>
      <c r="G4230" s="28">
        <v>0.41458333333333336</v>
      </c>
      <c r="H4230" s="28">
        <v>0.41458333333333336</v>
      </c>
      <c r="I4230">
        <v>0</v>
      </c>
      <c r="J4230" t="s">
        <v>174</v>
      </c>
      <c r="K4230">
        <v>0</v>
      </c>
      <c r="L4230" t="s">
        <v>1380</v>
      </c>
      <c r="M4230" t="s">
        <v>10614</v>
      </c>
      <c r="N4230" t="s">
        <v>10615</v>
      </c>
      <c r="O4230" t="s">
        <v>10616</v>
      </c>
      <c r="P4230" t="s">
        <v>10617</v>
      </c>
    </row>
    <row r="4231" spans="1:16" x14ac:dyDescent="0.35">
      <c r="A4231" t="s">
        <v>89</v>
      </c>
      <c r="B4231">
        <v>1701216041</v>
      </c>
      <c r="C4231" t="s">
        <v>19</v>
      </c>
      <c r="D4231" t="s">
        <v>21</v>
      </c>
      <c r="E4231" s="29">
        <v>46208</v>
      </c>
      <c r="F4231" t="s">
        <v>6</v>
      </c>
      <c r="G4231" s="28">
        <v>0.42152777777777778</v>
      </c>
      <c r="H4231" s="28">
        <v>0.46319444444444446</v>
      </c>
      <c r="I4231">
        <v>1</v>
      </c>
      <c r="J4231" t="s">
        <v>146</v>
      </c>
      <c r="K4231">
        <v>3</v>
      </c>
      <c r="L4231" t="s">
        <v>147</v>
      </c>
      <c r="M4231" t="s">
        <v>10618</v>
      </c>
      <c r="N4231" t="s">
        <v>10619</v>
      </c>
      <c r="O4231" t="s">
        <v>10620</v>
      </c>
      <c r="P4231" t="s">
        <v>10621</v>
      </c>
    </row>
    <row r="4232" spans="1:16" x14ac:dyDescent="0.35">
      <c r="A4232" t="s">
        <v>89</v>
      </c>
      <c r="B4232">
        <v>1701216041</v>
      </c>
      <c r="C4232" t="s">
        <v>19</v>
      </c>
      <c r="D4232" t="s">
        <v>21</v>
      </c>
      <c r="E4232" s="29">
        <v>46208</v>
      </c>
      <c r="F4232" t="s">
        <v>6</v>
      </c>
      <c r="G4232" s="28">
        <v>0.47013888888888888</v>
      </c>
      <c r="H4232" s="28">
        <v>0.47013888888888888</v>
      </c>
      <c r="I4232">
        <v>0</v>
      </c>
      <c r="J4232" t="s">
        <v>174</v>
      </c>
      <c r="K4232">
        <v>0</v>
      </c>
      <c r="L4232" t="s">
        <v>1271</v>
      </c>
      <c r="M4232" t="s">
        <v>10622</v>
      </c>
      <c r="N4232" t="s">
        <v>10623</v>
      </c>
      <c r="O4232" t="s">
        <v>10624</v>
      </c>
      <c r="P4232" t="s">
        <v>10625</v>
      </c>
    </row>
    <row r="4233" spans="1:16" x14ac:dyDescent="0.35">
      <c r="A4233" t="s">
        <v>89</v>
      </c>
      <c r="B4233">
        <v>1701216041</v>
      </c>
      <c r="C4233" t="s">
        <v>19</v>
      </c>
      <c r="D4233" t="s">
        <v>21</v>
      </c>
      <c r="E4233" s="29">
        <v>46208</v>
      </c>
      <c r="F4233" t="s">
        <v>6</v>
      </c>
      <c r="G4233" s="28">
        <v>0.47708333333333336</v>
      </c>
      <c r="H4233" s="28">
        <v>0.48402777777777778</v>
      </c>
      <c r="I4233">
        <v>0</v>
      </c>
      <c r="J4233" t="s">
        <v>146</v>
      </c>
      <c r="K4233">
        <v>0</v>
      </c>
      <c r="L4233" t="s">
        <v>147</v>
      </c>
      <c r="M4233" t="s">
        <v>10626</v>
      </c>
      <c r="N4233" t="s">
        <v>10627</v>
      </c>
      <c r="O4233" t="s">
        <v>10628</v>
      </c>
      <c r="P4233" t="s">
        <v>10629</v>
      </c>
    </row>
    <row r="4234" spans="1:16" x14ac:dyDescent="0.35">
      <c r="A4234" t="s">
        <v>89</v>
      </c>
      <c r="B4234">
        <v>1701216041</v>
      </c>
      <c r="C4234" t="s">
        <v>19</v>
      </c>
      <c r="D4234" t="s">
        <v>21</v>
      </c>
      <c r="E4234" s="29">
        <v>46208</v>
      </c>
      <c r="F4234" t="s">
        <v>6</v>
      </c>
      <c r="G4234" s="28">
        <v>0.4909722222222222</v>
      </c>
      <c r="H4234" s="28">
        <v>0.49791666666666667</v>
      </c>
      <c r="I4234">
        <v>0</v>
      </c>
      <c r="J4234" t="s">
        <v>146</v>
      </c>
      <c r="K4234">
        <v>1</v>
      </c>
      <c r="L4234" t="s">
        <v>147</v>
      </c>
      <c r="M4234" t="s">
        <v>10630</v>
      </c>
      <c r="N4234" t="s">
        <v>10631</v>
      </c>
      <c r="O4234" t="s">
        <v>10632</v>
      </c>
      <c r="P4234" t="s">
        <v>10633</v>
      </c>
    </row>
    <row r="4235" spans="1:16" x14ac:dyDescent="0.35">
      <c r="A4235" t="s">
        <v>89</v>
      </c>
      <c r="B4235">
        <v>1701216041</v>
      </c>
      <c r="C4235" t="s">
        <v>19</v>
      </c>
      <c r="D4235" t="s">
        <v>21</v>
      </c>
      <c r="E4235" s="29">
        <v>46208</v>
      </c>
      <c r="F4235" t="s">
        <v>6</v>
      </c>
      <c r="G4235" s="28">
        <v>0.50486111111111109</v>
      </c>
      <c r="H4235" s="28">
        <v>0.50486111111111109</v>
      </c>
      <c r="I4235">
        <v>0</v>
      </c>
      <c r="J4235" t="s">
        <v>174</v>
      </c>
      <c r="K4235">
        <v>0</v>
      </c>
      <c r="L4235" t="s">
        <v>2248</v>
      </c>
      <c r="M4235" t="s">
        <v>10634</v>
      </c>
      <c r="N4235" t="s">
        <v>10635</v>
      </c>
      <c r="O4235" t="s">
        <v>10636</v>
      </c>
      <c r="P4235" t="s">
        <v>10637</v>
      </c>
    </row>
    <row r="4236" spans="1:16" x14ac:dyDescent="0.35">
      <c r="A4236" t="s">
        <v>89</v>
      </c>
      <c r="B4236">
        <v>1701216041</v>
      </c>
      <c r="C4236" t="s">
        <v>19</v>
      </c>
      <c r="D4236" t="s">
        <v>21</v>
      </c>
      <c r="E4236" s="29">
        <v>46208</v>
      </c>
      <c r="F4236" t="s">
        <v>6</v>
      </c>
      <c r="G4236" s="28">
        <v>0.51180555555555551</v>
      </c>
      <c r="H4236" s="28">
        <v>0.51180555555555551</v>
      </c>
      <c r="I4236">
        <v>0</v>
      </c>
      <c r="J4236" t="s">
        <v>174</v>
      </c>
      <c r="K4236">
        <v>0</v>
      </c>
      <c r="L4236" t="s">
        <v>2128</v>
      </c>
      <c r="M4236" t="s">
        <v>10638</v>
      </c>
      <c r="N4236" t="s">
        <v>10639</v>
      </c>
      <c r="O4236" t="s">
        <v>10640</v>
      </c>
      <c r="P4236" t="s">
        <v>10641</v>
      </c>
    </row>
    <row r="4237" spans="1:16" x14ac:dyDescent="0.35">
      <c r="A4237" t="s">
        <v>89</v>
      </c>
      <c r="B4237">
        <v>1701216041</v>
      </c>
      <c r="C4237" t="s">
        <v>19</v>
      </c>
      <c r="D4237" t="s">
        <v>21</v>
      </c>
      <c r="E4237" s="29">
        <v>46208</v>
      </c>
      <c r="F4237" t="s">
        <v>6</v>
      </c>
      <c r="G4237" s="28">
        <v>0.51875000000000004</v>
      </c>
      <c r="H4237" s="28">
        <v>0.52569444444444446</v>
      </c>
      <c r="I4237">
        <v>0</v>
      </c>
      <c r="J4237" t="s">
        <v>146</v>
      </c>
      <c r="K4237">
        <v>0</v>
      </c>
      <c r="L4237" t="s">
        <v>147</v>
      </c>
      <c r="M4237" t="s">
        <v>10630</v>
      </c>
      <c r="N4237" t="s">
        <v>10631</v>
      </c>
      <c r="O4237" t="s">
        <v>10632</v>
      </c>
      <c r="P4237" t="s">
        <v>10633</v>
      </c>
    </row>
    <row r="4238" spans="1:16" x14ac:dyDescent="0.35">
      <c r="A4238" t="s">
        <v>89</v>
      </c>
      <c r="B4238">
        <v>1701216041</v>
      </c>
      <c r="C4238" t="s">
        <v>19</v>
      </c>
      <c r="D4238" t="s">
        <v>21</v>
      </c>
      <c r="E4238" s="29">
        <v>46208</v>
      </c>
      <c r="F4238" t="s">
        <v>6</v>
      </c>
      <c r="G4238" s="28">
        <v>0.53263888888888888</v>
      </c>
      <c r="H4238" s="28">
        <v>0.54652777777777772</v>
      </c>
      <c r="I4238">
        <v>0</v>
      </c>
      <c r="J4238" t="s">
        <v>146</v>
      </c>
      <c r="K4238">
        <v>1</v>
      </c>
      <c r="L4238" t="s">
        <v>147</v>
      </c>
      <c r="M4238" t="s">
        <v>10642</v>
      </c>
      <c r="N4238" t="s">
        <v>10643</v>
      </c>
      <c r="O4238" t="s">
        <v>10644</v>
      </c>
      <c r="P4238" t="s">
        <v>10645</v>
      </c>
    </row>
    <row r="4239" spans="1:16" x14ac:dyDescent="0.35">
      <c r="A4239" t="s">
        <v>89</v>
      </c>
      <c r="B4239">
        <v>1701216041</v>
      </c>
      <c r="C4239" t="s">
        <v>19</v>
      </c>
      <c r="D4239" t="s">
        <v>21</v>
      </c>
      <c r="E4239" s="29">
        <v>46208</v>
      </c>
      <c r="F4239" t="s">
        <v>6</v>
      </c>
      <c r="G4239" s="28">
        <v>0.55347222222222225</v>
      </c>
      <c r="H4239" s="28">
        <v>0.55347222222222225</v>
      </c>
      <c r="I4239">
        <v>0</v>
      </c>
      <c r="J4239" t="s">
        <v>174</v>
      </c>
      <c r="K4239">
        <v>0</v>
      </c>
      <c r="L4239" t="s">
        <v>629</v>
      </c>
      <c r="M4239" t="s">
        <v>10646</v>
      </c>
      <c r="N4239" t="s">
        <v>10647</v>
      </c>
      <c r="O4239" t="s">
        <v>10648</v>
      </c>
      <c r="P4239" t="s">
        <v>1414</v>
      </c>
    </row>
    <row r="4240" spans="1:16" x14ac:dyDescent="0.35">
      <c r="A4240" t="s">
        <v>89</v>
      </c>
      <c r="B4240">
        <v>1701216041</v>
      </c>
      <c r="C4240" t="s">
        <v>19</v>
      </c>
      <c r="D4240" t="s">
        <v>21</v>
      </c>
      <c r="E4240" s="29">
        <v>46208</v>
      </c>
      <c r="F4240" t="s">
        <v>6</v>
      </c>
      <c r="G4240" s="28">
        <v>0.56041666666666667</v>
      </c>
      <c r="H4240" s="28">
        <v>0.56041666666666667</v>
      </c>
      <c r="I4240">
        <v>0</v>
      </c>
      <c r="J4240" t="s">
        <v>174</v>
      </c>
      <c r="K4240">
        <v>0</v>
      </c>
      <c r="L4240" t="s">
        <v>1037</v>
      </c>
      <c r="M4240" t="s">
        <v>10649</v>
      </c>
      <c r="N4240" t="s">
        <v>10650</v>
      </c>
      <c r="O4240" t="s">
        <v>10651</v>
      </c>
      <c r="P4240" t="s">
        <v>10652</v>
      </c>
    </row>
    <row r="4241" spans="1:16" x14ac:dyDescent="0.35">
      <c r="A4241" t="s">
        <v>89</v>
      </c>
      <c r="B4241">
        <v>1701216041</v>
      </c>
      <c r="C4241" t="s">
        <v>19</v>
      </c>
      <c r="D4241" t="s">
        <v>21</v>
      </c>
      <c r="E4241" s="29">
        <v>46208</v>
      </c>
      <c r="F4241" t="s">
        <v>6</v>
      </c>
      <c r="G4241" s="28">
        <v>0.56736111111111109</v>
      </c>
      <c r="H4241" s="28">
        <v>0.59513888888888888</v>
      </c>
      <c r="I4241">
        <v>1</v>
      </c>
      <c r="J4241" t="s">
        <v>146</v>
      </c>
      <c r="K4241">
        <v>2</v>
      </c>
      <c r="L4241" t="s">
        <v>147</v>
      </c>
      <c r="M4241" t="s">
        <v>10642</v>
      </c>
      <c r="N4241" t="s">
        <v>10643</v>
      </c>
      <c r="O4241" t="s">
        <v>10644</v>
      </c>
      <c r="P4241" t="s">
        <v>10645</v>
      </c>
    </row>
    <row r="4242" spans="1:16" x14ac:dyDescent="0.35">
      <c r="A4242" t="s">
        <v>89</v>
      </c>
      <c r="B4242">
        <v>1701216041</v>
      </c>
      <c r="C4242" t="s">
        <v>19</v>
      </c>
      <c r="D4242" t="s">
        <v>21</v>
      </c>
      <c r="E4242" s="29">
        <v>46208</v>
      </c>
      <c r="F4242" t="s">
        <v>6</v>
      </c>
      <c r="G4242" s="28">
        <v>0.60069444444444442</v>
      </c>
      <c r="H4242" s="28">
        <v>0.60069444444444442</v>
      </c>
      <c r="I4242">
        <v>0</v>
      </c>
      <c r="J4242" t="s">
        <v>174</v>
      </c>
      <c r="K4242">
        <v>0</v>
      </c>
      <c r="L4242" t="s">
        <v>2884</v>
      </c>
      <c r="M4242" t="s">
        <v>10653</v>
      </c>
      <c r="N4242" t="s">
        <v>10654</v>
      </c>
      <c r="O4242" t="s">
        <v>10655</v>
      </c>
      <c r="P4242" t="s">
        <v>10656</v>
      </c>
    </row>
    <row r="4243" spans="1:16" x14ac:dyDescent="0.35">
      <c r="A4243" t="s">
        <v>89</v>
      </c>
      <c r="B4243">
        <v>1701216041</v>
      </c>
      <c r="C4243" t="s">
        <v>19</v>
      </c>
      <c r="D4243" t="s">
        <v>21</v>
      </c>
      <c r="E4243" s="29">
        <v>46208</v>
      </c>
      <c r="F4243" t="s">
        <v>6</v>
      </c>
      <c r="G4243" s="28">
        <v>0.60902777777777772</v>
      </c>
      <c r="H4243" s="28">
        <v>0.62291666666666667</v>
      </c>
      <c r="I4243">
        <v>0</v>
      </c>
      <c r="J4243" t="s">
        <v>146</v>
      </c>
      <c r="K4243">
        <v>1</v>
      </c>
      <c r="L4243" t="s">
        <v>147</v>
      </c>
      <c r="M4243" t="s">
        <v>10642</v>
      </c>
      <c r="N4243" t="s">
        <v>10643</v>
      </c>
      <c r="O4243" t="s">
        <v>10644</v>
      </c>
      <c r="P4243" t="s">
        <v>10645</v>
      </c>
    </row>
    <row r="4244" spans="1:16" x14ac:dyDescent="0.35">
      <c r="A4244" t="s">
        <v>89</v>
      </c>
      <c r="B4244">
        <v>1701216041</v>
      </c>
      <c r="C4244" t="s">
        <v>19</v>
      </c>
      <c r="D4244" t="s">
        <v>21</v>
      </c>
      <c r="E4244" s="29">
        <v>46208</v>
      </c>
      <c r="F4244" t="s">
        <v>6</v>
      </c>
      <c r="G4244" s="28">
        <v>0.62986111111111109</v>
      </c>
      <c r="H4244" s="28">
        <v>0.62986111111111109</v>
      </c>
      <c r="I4244">
        <v>0</v>
      </c>
      <c r="J4244" t="s">
        <v>174</v>
      </c>
      <c r="K4244">
        <v>0</v>
      </c>
      <c r="L4244" t="s">
        <v>8796</v>
      </c>
      <c r="M4244" t="s">
        <v>10657</v>
      </c>
      <c r="N4244" t="s">
        <v>10658</v>
      </c>
      <c r="O4244" t="s">
        <v>10659</v>
      </c>
      <c r="P4244" t="s">
        <v>10660</v>
      </c>
    </row>
    <row r="4245" spans="1:16" x14ac:dyDescent="0.35">
      <c r="A4245" t="s">
        <v>89</v>
      </c>
      <c r="B4245">
        <v>1701216041</v>
      </c>
      <c r="C4245" t="s">
        <v>19</v>
      </c>
      <c r="D4245" t="s">
        <v>21</v>
      </c>
      <c r="E4245" s="29">
        <v>46208</v>
      </c>
      <c r="F4245" t="s">
        <v>6</v>
      </c>
      <c r="G4245" s="28">
        <v>0.63680555555555551</v>
      </c>
      <c r="H4245" s="28">
        <v>0.64375000000000004</v>
      </c>
      <c r="I4245">
        <v>0</v>
      </c>
      <c r="J4245" t="s">
        <v>146</v>
      </c>
      <c r="K4245">
        <v>1</v>
      </c>
      <c r="L4245" t="s">
        <v>147</v>
      </c>
      <c r="M4245" t="s">
        <v>10661</v>
      </c>
      <c r="N4245" t="s">
        <v>10639</v>
      </c>
      <c r="O4245" t="s">
        <v>10640</v>
      </c>
      <c r="P4245" t="s">
        <v>10641</v>
      </c>
    </row>
    <row r="4246" spans="1:16" x14ac:dyDescent="0.35">
      <c r="A4246" t="s">
        <v>89</v>
      </c>
      <c r="B4246">
        <v>1701216041</v>
      </c>
      <c r="C4246" t="s">
        <v>19</v>
      </c>
      <c r="D4246" t="s">
        <v>21</v>
      </c>
      <c r="E4246" s="29">
        <v>46208</v>
      </c>
      <c r="F4246" t="s">
        <v>6</v>
      </c>
      <c r="G4246" s="28">
        <v>0.65069444444444446</v>
      </c>
      <c r="H4246" s="28">
        <v>0.65069444444444446</v>
      </c>
      <c r="I4246">
        <v>0</v>
      </c>
      <c r="J4246" t="s">
        <v>174</v>
      </c>
      <c r="K4246">
        <v>0</v>
      </c>
      <c r="L4246" t="s">
        <v>10662</v>
      </c>
      <c r="M4246" t="s">
        <v>10663</v>
      </c>
      <c r="N4246" t="s">
        <v>10664</v>
      </c>
      <c r="O4246" t="s">
        <v>10665</v>
      </c>
      <c r="P4246" t="s">
        <v>10666</v>
      </c>
    </row>
    <row r="4247" spans="1:16" x14ac:dyDescent="0.35">
      <c r="A4247" t="s">
        <v>89</v>
      </c>
      <c r="B4247">
        <v>1701216041</v>
      </c>
      <c r="C4247" t="s">
        <v>19</v>
      </c>
      <c r="D4247" t="s">
        <v>21</v>
      </c>
      <c r="E4247" s="29">
        <v>46208</v>
      </c>
      <c r="F4247" t="s">
        <v>6</v>
      </c>
      <c r="G4247" s="28">
        <v>0.65763888888888888</v>
      </c>
      <c r="H4247" s="28">
        <v>0.65763888888888888</v>
      </c>
      <c r="I4247">
        <v>0</v>
      </c>
      <c r="J4247" t="s">
        <v>174</v>
      </c>
      <c r="K4247">
        <v>0</v>
      </c>
      <c r="L4247" t="s">
        <v>10667</v>
      </c>
      <c r="M4247" t="s">
        <v>10668</v>
      </c>
      <c r="N4247" t="s">
        <v>10669</v>
      </c>
      <c r="O4247" t="s">
        <v>10670</v>
      </c>
      <c r="P4247" t="s">
        <v>10671</v>
      </c>
    </row>
    <row r="4248" spans="1:16" x14ac:dyDescent="0.35">
      <c r="A4248" t="s">
        <v>89</v>
      </c>
      <c r="B4248">
        <v>1701216041</v>
      </c>
      <c r="C4248" t="s">
        <v>19</v>
      </c>
      <c r="D4248" t="s">
        <v>21</v>
      </c>
      <c r="E4248" s="29">
        <v>46208</v>
      </c>
      <c r="F4248" t="s">
        <v>6</v>
      </c>
      <c r="G4248" s="28">
        <v>0.6645833333333333</v>
      </c>
      <c r="H4248" s="28">
        <v>0.6645833333333333</v>
      </c>
      <c r="I4248">
        <v>0</v>
      </c>
      <c r="J4248" t="s">
        <v>174</v>
      </c>
      <c r="K4248">
        <v>0</v>
      </c>
      <c r="L4248" t="s">
        <v>10672</v>
      </c>
      <c r="M4248" t="s">
        <v>10673</v>
      </c>
      <c r="N4248" t="s">
        <v>10674</v>
      </c>
      <c r="O4248" t="s">
        <v>10675</v>
      </c>
      <c r="P4248" t="s">
        <v>10676</v>
      </c>
    </row>
    <row r="4249" spans="1:16" x14ac:dyDescent="0.35">
      <c r="A4249" t="s">
        <v>89</v>
      </c>
      <c r="B4249">
        <v>1701216041</v>
      </c>
      <c r="C4249" t="s">
        <v>19</v>
      </c>
      <c r="D4249" t="s">
        <v>21</v>
      </c>
      <c r="E4249" s="29">
        <v>46208</v>
      </c>
      <c r="F4249" t="s">
        <v>6</v>
      </c>
      <c r="G4249" s="28">
        <v>0.67152777777777772</v>
      </c>
      <c r="H4249" s="28">
        <v>0.67152777777777772</v>
      </c>
      <c r="I4249">
        <v>0</v>
      </c>
      <c r="J4249" t="s">
        <v>174</v>
      </c>
      <c r="K4249">
        <v>0</v>
      </c>
      <c r="L4249" t="s">
        <v>10677</v>
      </c>
      <c r="M4249" t="s">
        <v>10678</v>
      </c>
      <c r="N4249" t="s">
        <v>10679</v>
      </c>
      <c r="O4249" t="s">
        <v>10680</v>
      </c>
      <c r="P4249" t="s">
        <v>10681</v>
      </c>
    </row>
    <row r="4250" spans="1:16" x14ac:dyDescent="0.35">
      <c r="A4250" t="s">
        <v>89</v>
      </c>
      <c r="B4250">
        <v>1701216041</v>
      </c>
      <c r="C4250" t="s">
        <v>19</v>
      </c>
      <c r="D4250" t="s">
        <v>21</v>
      </c>
      <c r="E4250" s="29">
        <v>46208</v>
      </c>
      <c r="F4250" t="s">
        <v>6</v>
      </c>
      <c r="G4250" s="28">
        <v>0.67847222222222225</v>
      </c>
      <c r="H4250" s="28">
        <v>0.67847222222222225</v>
      </c>
      <c r="I4250">
        <v>0</v>
      </c>
      <c r="J4250" t="s">
        <v>174</v>
      </c>
      <c r="K4250">
        <v>0</v>
      </c>
      <c r="L4250" t="s">
        <v>1331</v>
      </c>
      <c r="M4250" t="s">
        <v>10682</v>
      </c>
      <c r="N4250" t="s">
        <v>10683</v>
      </c>
      <c r="O4250" t="s">
        <v>10684</v>
      </c>
      <c r="P4250" t="s">
        <v>10685</v>
      </c>
    </row>
    <row r="4251" spans="1:16" x14ac:dyDescent="0.35">
      <c r="A4251" t="s">
        <v>89</v>
      </c>
      <c r="B4251">
        <v>1701216041</v>
      </c>
      <c r="C4251" t="s">
        <v>19</v>
      </c>
      <c r="D4251" t="s">
        <v>21</v>
      </c>
      <c r="E4251" s="29">
        <v>46208</v>
      </c>
      <c r="F4251" t="s">
        <v>6</v>
      </c>
      <c r="G4251" s="28">
        <v>0.68541666666666667</v>
      </c>
      <c r="H4251" s="28">
        <v>0.68541666666666667</v>
      </c>
      <c r="I4251">
        <v>0</v>
      </c>
      <c r="J4251" t="s">
        <v>174</v>
      </c>
      <c r="K4251">
        <v>0</v>
      </c>
      <c r="L4251" t="s">
        <v>3381</v>
      </c>
      <c r="M4251" t="s">
        <v>10686</v>
      </c>
      <c r="N4251" t="s">
        <v>10687</v>
      </c>
      <c r="O4251" t="s">
        <v>10688</v>
      </c>
      <c r="P4251" t="s">
        <v>10689</v>
      </c>
    </row>
    <row r="4252" spans="1:16" x14ac:dyDescent="0.35">
      <c r="A4252" t="s">
        <v>89</v>
      </c>
      <c r="B4252">
        <v>1701216041</v>
      </c>
      <c r="C4252" t="s">
        <v>19</v>
      </c>
      <c r="D4252" t="s">
        <v>21</v>
      </c>
      <c r="E4252" s="29">
        <v>46208</v>
      </c>
      <c r="F4252" t="s">
        <v>6</v>
      </c>
      <c r="G4252" s="28">
        <v>0.69236111111111109</v>
      </c>
      <c r="H4252" s="28">
        <v>0.69236111111111109</v>
      </c>
      <c r="I4252">
        <v>0</v>
      </c>
      <c r="J4252" t="s">
        <v>174</v>
      </c>
      <c r="K4252">
        <v>0</v>
      </c>
      <c r="L4252" t="s">
        <v>10690</v>
      </c>
      <c r="M4252" t="s">
        <v>10691</v>
      </c>
      <c r="N4252" t="s">
        <v>10692</v>
      </c>
      <c r="O4252" t="s">
        <v>10693</v>
      </c>
      <c r="P4252" t="s">
        <v>10694</v>
      </c>
    </row>
    <row r="4253" spans="1:16" x14ac:dyDescent="0.35">
      <c r="A4253" t="s">
        <v>89</v>
      </c>
      <c r="B4253">
        <v>1701216041</v>
      </c>
      <c r="C4253" t="s">
        <v>19</v>
      </c>
      <c r="D4253" t="s">
        <v>21</v>
      </c>
      <c r="E4253" s="29">
        <v>46208</v>
      </c>
      <c r="F4253" t="s">
        <v>6</v>
      </c>
      <c r="G4253" s="28">
        <v>0.69930555555555551</v>
      </c>
      <c r="H4253" s="28">
        <v>0.69930555555555551</v>
      </c>
      <c r="I4253">
        <v>0</v>
      </c>
      <c r="J4253" t="s">
        <v>174</v>
      </c>
      <c r="K4253">
        <v>0</v>
      </c>
      <c r="L4253" t="s">
        <v>10695</v>
      </c>
      <c r="M4253" t="s">
        <v>10696</v>
      </c>
      <c r="N4253" t="s">
        <v>10697</v>
      </c>
      <c r="O4253" t="s">
        <v>10698</v>
      </c>
      <c r="P4253" t="s">
        <v>10699</v>
      </c>
    </row>
    <row r="4254" spans="1:16" x14ac:dyDescent="0.35">
      <c r="A4254" t="s">
        <v>89</v>
      </c>
      <c r="B4254">
        <v>1701216041</v>
      </c>
      <c r="C4254" t="s">
        <v>19</v>
      </c>
      <c r="D4254" t="s">
        <v>21</v>
      </c>
      <c r="E4254" s="29">
        <v>46208</v>
      </c>
      <c r="F4254" t="s">
        <v>6</v>
      </c>
      <c r="G4254" s="28">
        <v>0.70625000000000004</v>
      </c>
      <c r="H4254" s="28">
        <v>0.70625000000000004</v>
      </c>
      <c r="I4254">
        <v>0</v>
      </c>
      <c r="J4254" t="s">
        <v>174</v>
      </c>
      <c r="K4254">
        <v>0</v>
      </c>
      <c r="L4254" t="s">
        <v>10695</v>
      </c>
      <c r="M4254" t="s">
        <v>10700</v>
      </c>
      <c r="N4254" t="s">
        <v>10701</v>
      </c>
      <c r="O4254" t="s">
        <v>10702</v>
      </c>
      <c r="P4254" t="s">
        <v>10703</v>
      </c>
    </row>
    <row r="4255" spans="1:16" x14ac:dyDescent="0.35">
      <c r="A4255" t="s">
        <v>89</v>
      </c>
      <c r="B4255">
        <v>1701216041</v>
      </c>
      <c r="C4255" t="s">
        <v>19</v>
      </c>
      <c r="D4255" t="s">
        <v>21</v>
      </c>
      <c r="E4255" s="29">
        <v>46208</v>
      </c>
      <c r="F4255" t="s">
        <v>6</v>
      </c>
      <c r="G4255" s="28">
        <v>0.71319444444444446</v>
      </c>
      <c r="H4255" s="28">
        <v>0.73402777777777772</v>
      </c>
      <c r="I4255">
        <v>0</v>
      </c>
      <c r="J4255" t="s">
        <v>146</v>
      </c>
      <c r="K4255">
        <v>1</v>
      </c>
      <c r="L4255" t="s">
        <v>147</v>
      </c>
      <c r="M4255" t="s">
        <v>10696</v>
      </c>
      <c r="N4255" t="s">
        <v>10697</v>
      </c>
      <c r="O4255" t="s">
        <v>10698</v>
      </c>
      <c r="P4255" t="s">
        <v>10699</v>
      </c>
    </row>
    <row r="4256" spans="1:16" x14ac:dyDescent="0.35">
      <c r="A4256" t="s">
        <v>89</v>
      </c>
      <c r="B4256">
        <v>1701216041</v>
      </c>
      <c r="C4256" t="s">
        <v>19</v>
      </c>
      <c r="D4256" t="s">
        <v>21</v>
      </c>
      <c r="E4256" s="29">
        <v>46208</v>
      </c>
      <c r="F4256" t="s">
        <v>6</v>
      </c>
      <c r="G4256" s="28">
        <v>0.74097222222222225</v>
      </c>
      <c r="H4256" s="28">
        <v>0.75486111111111109</v>
      </c>
      <c r="I4256">
        <v>0</v>
      </c>
      <c r="J4256" t="s">
        <v>146</v>
      </c>
      <c r="K4256">
        <v>1</v>
      </c>
      <c r="L4256" t="s">
        <v>147</v>
      </c>
      <c r="M4256" t="s">
        <v>10704</v>
      </c>
      <c r="N4256" t="s">
        <v>10611</v>
      </c>
      <c r="O4256" t="s">
        <v>10612</v>
      </c>
      <c r="P4256" t="s">
        <v>10613</v>
      </c>
    </row>
    <row r="4257" spans="1:16" x14ac:dyDescent="0.35">
      <c r="A4257" t="s">
        <v>89</v>
      </c>
      <c r="B4257">
        <v>1701216041</v>
      </c>
      <c r="C4257" t="s">
        <v>19</v>
      </c>
      <c r="D4257" t="s">
        <v>21</v>
      </c>
      <c r="E4257" s="29">
        <v>46208</v>
      </c>
      <c r="F4257" t="s">
        <v>6</v>
      </c>
      <c r="G4257" s="28">
        <v>0.76180555555555551</v>
      </c>
      <c r="H4257" s="28">
        <v>0.76180555555555551</v>
      </c>
      <c r="I4257">
        <v>0</v>
      </c>
      <c r="J4257" t="s">
        <v>174</v>
      </c>
      <c r="K4257">
        <v>0</v>
      </c>
      <c r="L4257" t="s">
        <v>586</v>
      </c>
      <c r="M4257" t="s">
        <v>10705</v>
      </c>
      <c r="N4257" t="s">
        <v>10706</v>
      </c>
      <c r="O4257" t="s">
        <v>10707</v>
      </c>
      <c r="P4257" t="s">
        <v>10708</v>
      </c>
    </row>
    <row r="4258" spans="1:16" x14ac:dyDescent="0.35">
      <c r="A4258" t="s">
        <v>89</v>
      </c>
      <c r="B4258">
        <v>1701216041</v>
      </c>
      <c r="C4258" t="s">
        <v>19</v>
      </c>
      <c r="D4258" t="s">
        <v>21</v>
      </c>
      <c r="E4258" s="29">
        <v>46208</v>
      </c>
      <c r="F4258" t="s">
        <v>6</v>
      </c>
      <c r="G4258" s="28">
        <v>0.76875000000000004</v>
      </c>
      <c r="H4258" s="28">
        <v>0.76875000000000004</v>
      </c>
      <c r="I4258">
        <v>0</v>
      </c>
      <c r="J4258" t="s">
        <v>174</v>
      </c>
      <c r="K4258">
        <v>0</v>
      </c>
      <c r="L4258" t="s">
        <v>10709</v>
      </c>
      <c r="M4258" t="s">
        <v>10710</v>
      </c>
      <c r="N4258" t="s">
        <v>10711</v>
      </c>
      <c r="O4258" t="s">
        <v>10712</v>
      </c>
      <c r="P4258" t="s">
        <v>10713</v>
      </c>
    </row>
    <row r="4259" spans="1:16" x14ac:dyDescent="0.35">
      <c r="A4259" t="s">
        <v>89</v>
      </c>
      <c r="B4259">
        <v>1701216041</v>
      </c>
      <c r="C4259" t="s">
        <v>19</v>
      </c>
      <c r="D4259" t="s">
        <v>21</v>
      </c>
      <c r="E4259" s="29">
        <v>46208</v>
      </c>
      <c r="F4259" t="s">
        <v>6</v>
      </c>
      <c r="G4259" s="28">
        <v>0.77569444444444446</v>
      </c>
      <c r="H4259" s="28">
        <v>0.77569444444444446</v>
      </c>
      <c r="I4259">
        <v>0</v>
      </c>
      <c r="J4259" t="s">
        <v>174</v>
      </c>
      <c r="K4259">
        <v>0</v>
      </c>
      <c r="L4259" t="s">
        <v>853</v>
      </c>
      <c r="M4259" t="s">
        <v>10714</v>
      </c>
      <c r="N4259" t="s">
        <v>10715</v>
      </c>
      <c r="O4259" t="s">
        <v>10716</v>
      </c>
      <c r="P4259" t="s">
        <v>10717</v>
      </c>
    </row>
    <row r="4260" spans="1:16" x14ac:dyDescent="0.35">
      <c r="A4260" t="s">
        <v>89</v>
      </c>
      <c r="B4260">
        <v>1701216041</v>
      </c>
      <c r="C4260" t="s">
        <v>19</v>
      </c>
      <c r="D4260" t="s">
        <v>21</v>
      </c>
      <c r="E4260" s="29">
        <v>46208</v>
      </c>
      <c r="F4260" t="s">
        <v>6</v>
      </c>
      <c r="G4260" s="28">
        <v>0.78263888888888888</v>
      </c>
      <c r="H4260" s="28">
        <v>0.78263888888888888</v>
      </c>
      <c r="I4260">
        <v>0</v>
      </c>
      <c r="J4260" t="s">
        <v>174</v>
      </c>
      <c r="K4260">
        <v>0</v>
      </c>
      <c r="L4260" t="s">
        <v>6315</v>
      </c>
      <c r="M4260" t="s">
        <v>10718</v>
      </c>
      <c r="N4260" t="s">
        <v>10719</v>
      </c>
      <c r="O4260" t="s">
        <v>10720</v>
      </c>
      <c r="P4260" t="s">
        <v>10721</v>
      </c>
    </row>
    <row r="4261" spans="1:16" x14ac:dyDescent="0.35">
      <c r="A4261" t="s">
        <v>89</v>
      </c>
      <c r="B4261">
        <v>1701216041</v>
      </c>
      <c r="C4261" t="s">
        <v>19</v>
      </c>
      <c r="D4261" t="s">
        <v>21</v>
      </c>
      <c r="E4261" s="29">
        <v>46208</v>
      </c>
      <c r="F4261" t="s">
        <v>6</v>
      </c>
      <c r="G4261" s="28">
        <v>0.7895833333333333</v>
      </c>
      <c r="H4261" s="28">
        <v>0.7895833333333333</v>
      </c>
      <c r="I4261">
        <v>0</v>
      </c>
      <c r="J4261" t="s">
        <v>174</v>
      </c>
      <c r="K4261">
        <v>0</v>
      </c>
      <c r="L4261" t="s">
        <v>4010</v>
      </c>
      <c r="M4261" t="s">
        <v>10722</v>
      </c>
      <c r="N4261" t="s">
        <v>10723</v>
      </c>
      <c r="O4261" t="s">
        <v>10724</v>
      </c>
      <c r="P4261" t="s">
        <v>5807</v>
      </c>
    </row>
    <row r="4262" spans="1:16" x14ac:dyDescent="0.35">
      <c r="A4262" t="s">
        <v>106</v>
      </c>
      <c r="B4262">
        <v>1324725648</v>
      </c>
      <c r="C4262" t="s">
        <v>18</v>
      </c>
      <c r="D4262" t="s">
        <v>21</v>
      </c>
      <c r="E4262" s="29">
        <v>46204</v>
      </c>
      <c r="F4262" t="s">
        <v>3</v>
      </c>
      <c r="G4262" s="28">
        <v>0.39305555555555555</v>
      </c>
      <c r="H4262" s="28">
        <v>0.39305555555555555</v>
      </c>
      <c r="I4262">
        <v>0</v>
      </c>
      <c r="J4262" t="s">
        <v>174</v>
      </c>
      <c r="K4262">
        <v>0</v>
      </c>
      <c r="L4262" t="s">
        <v>1236</v>
      </c>
      <c r="M4262" t="s">
        <v>10725</v>
      </c>
      <c r="N4262" t="s">
        <v>10726</v>
      </c>
      <c r="O4262" t="s">
        <v>10727</v>
      </c>
      <c r="P4262" t="s">
        <v>10728</v>
      </c>
    </row>
    <row r="4263" spans="1:16" x14ac:dyDescent="0.35">
      <c r="A4263" t="s">
        <v>106</v>
      </c>
      <c r="B4263">
        <v>1324725648</v>
      </c>
      <c r="C4263" t="s">
        <v>18</v>
      </c>
      <c r="D4263" t="s">
        <v>21</v>
      </c>
      <c r="E4263" s="29">
        <v>46204</v>
      </c>
      <c r="F4263" t="s">
        <v>3</v>
      </c>
      <c r="G4263" s="28">
        <v>0.4</v>
      </c>
      <c r="H4263" s="28">
        <v>0.4</v>
      </c>
      <c r="I4263">
        <v>0</v>
      </c>
      <c r="J4263" t="s">
        <v>174</v>
      </c>
      <c r="K4263">
        <v>0</v>
      </c>
      <c r="L4263" t="s">
        <v>1236</v>
      </c>
      <c r="M4263" t="s">
        <v>7916</v>
      </c>
      <c r="N4263" t="s">
        <v>7917</v>
      </c>
      <c r="O4263" t="s">
        <v>7918</v>
      </c>
      <c r="P4263" t="s">
        <v>7919</v>
      </c>
    </row>
    <row r="4264" spans="1:16" x14ac:dyDescent="0.35">
      <c r="A4264" t="s">
        <v>106</v>
      </c>
      <c r="B4264">
        <v>1324725648</v>
      </c>
      <c r="C4264" t="s">
        <v>18</v>
      </c>
      <c r="D4264" t="s">
        <v>21</v>
      </c>
      <c r="E4264" s="29">
        <v>46204</v>
      </c>
      <c r="F4264" t="s">
        <v>3</v>
      </c>
      <c r="G4264" s="28">
        <v>0.40694444444444444</v>
      </c>
      <c r="H4264" s="28">
        <v>0.41388888888888886</v>
      </c>
      <c r="I4264">
        <v>0</v>
      </c>
      <c r="J4264" t="s">
        <v>146</v>
      </c>
      <c r="K4264">
        <v>0</v>
      </c>
      <c r="L4264" t="s">
        <v>147</v>
      </c>
      <c r="M4264" t="s">
        <v>10725</v>
      </c>
      <c r="N4264" t="s">
        <v>10726</v>
      </c>
      <c r="O4264" t="s">
        <v>10727</v>
      </c>
      <c r="P4264" t="s">
        <v>10728</v>
      </c>
    </row>
    <row r="4265" spans="1:16" x14ac:dyDescent="0.35">
      <c r="A4265" t="s">
        <v>106</v>
      </c>
      <c r="B4265">
        <v>1324725648</v>
      </c>
      <c r="C4265" t="s">
        <v>18</v>
      </c>
      <c r="D4265" t="s">
        <v>21</v>
      </c>
      <c r="E4265" s="29">
        <v>46204</v>
      </c>
      <c r="F4265" t="s">
        <v>3</v>
      </c>
      <c r="G4265" s="28">
        <v>0.42083333333333334</v>
      </c>
      <c r="H4265" s="28">
        <v>0.44166666666666665</v>
      </c>
      <c r="I4265">
        <v>0</v>
      </c>
      <c r="J4265" t="s">
        <v>146</v>
      </c>
      <c r="K4265">
        <v>2</v>
      </c>
      <c r="L4265" t="s">
        <v>147</v>
      </c>
      <c r="M4265" t="s">
        <v>10729</v>
      </c>
      <c r="N4265" t="s">
        <v>7917</v>
      </c>
      <c r="O4265" t="s">
        <v>7918</v>
      </c>
      <c r="P4265" t="s">
        <v>7919</v>
      </c>
    </row>
    <row r="4266" spans="1:16" x14ac:dyDescent="0.35">
      <c r="A4266" t="s">
        <v>106</v>
      </c>
      <c r="B4266">
        <v>1324725648</v>
      </c>
      <c r="C4266" t="s">
        <v>18</v>
      </c>
      <c r="D4266" t="s">
        <v>21</v>
      </c>
      <c r="E4266" s="29">
        <v>46204</v>
      </c>
      <c r="F4266" t="s">
        <v>3</v>
      </c>
      <c r="G4266" s="28">
        <v>0.44861111111111113</v>
      </c>
      <c r="H4266" s="28">
        <v>0.45555555555555555</v>
      </c>
      <c r="I4266">
        <v>0</v>
      </c>
      <c r="J4266" t="s">
        <v>146</v>
      </c>
      <c r="K4266">
        <v>0</v>
      </c>
      <c r="L4266" t="s">
        <v>147</v>
      </c>
      <c r="M4266" t="s">
        <v>10725</v>
      </c>
      <c r="N4266" t="s">
        <v>10726</v>
      </c>
      <c r="O4266" t="s">
        <v>10727</v>
      </c>
      <c r="P4266" t="s">
        <v>10728</v>
      </c>
    </row>
    <row r="4267" spans="1:16" x14ac:dyDescent="0.35">
      <c r="A4267" t="s">
        <v>106</v>
      </c>
      <c r="B4267">
        <v>1324725648</v>
      </c>
      <c r="C4267" t="s">
        <v>18</v>
      </c>
      <c r="D4267" t="s">
        <v>21</v>
      </c>
      <c r="E4267" s="29">
        <v>46204</v>
      </c>
      <c r="F4267" t="s">
        <v>3</v>
      </c>
      <c r="G4267" s="28">
        <v>0.46250000000000002</v>
      </c>
      <c r="H4267" s="28">
        <v>0.46250000000000002</v>
      </c>
      <c r="I4267">
        <v>0</v>
      </c>
      <c r="J4267" t="s">
        <v>174</v>
      </c>
      <c r="K4267">
        <v>0</v>
      </c>
      <c r="L4267" t="s">
        <v>3193</v>
      </c>
      <c r="M4267" t="s">
        <v>10730</v>
      </c>
      <c r="N4267" t="s">
        <v>10731</v>
      </c>
      <c r="O4267" t="s">
        <v>10732</v>
      </c>
      <c r="P4267" t="s">
        <v>10733</v>
      </c>
    </row>
    <row r="4268" spans="1:16" x14ac:dyDescent="0.35">
      <c r="A4268" t="s">
        <v>106</v>
      </c>
      <c r="B4268">
        <v>1324725648</v>
      </c>
      <c r="C4268" t="s">
        <v>18</v>
      </c>
      <c r="D4268" t="s">
        <v>21</v>
      </c>
      <c r="E4268" s="29">
        <v>46204</v>
      </c>
      <c r="F4268" t="s">
        <v>3</v>
      </c>
      <c r="G4268" s="28">
        <v>0.46944444444444444</v>
      </c>
      <c r="H4268" s="28">
        <v>0.46944444444444444</v>
      </c>
      <c r="I4268">
        <v>0</v>
      </c>
      <c r="J4268" t="s">
        <v>174</v>
      </c>
      <c r="K4268">
        <v>0</v>
      </c>
      <c r="L4268" t="s">
        <v>10734</v>
      </c>
      <c r="M4268" t="s">
        <v>10735</v>
      </c>
      <c r="N4268" t="s">
        <v>10736</v>
      </c>
      <c r="O4268" t="s">
        <v>10737</v>
      </c>
      <c r="P4268" t="s">
        <v>10738</v>
      </c>
    </row>
    <row r="4269" spans="1:16" x14ac:dyDescent="0.35">
      <c r="A4269" t="s">
        <v>106</v>
      </c>
      <c r="B4269">
        <v>1324725648</v>
      </c>
      <c r="C4269" t="s">
        <v>18</v>
      </c>
      <c r="D4269" t="s">
        <v>21</v>
      </c>
      <c r="E4269" s="29">
        <v>46204</v>
      </c>
      <c r="F4269" t="s">
        <v>3</v>
      </c>
      <c r="G4269" s="28">
        <v>0.47638888888888886</v>
      </c>
      <c r="H4269" s="28">
        <v>0.47638888888888886</v>
      </c>
      <c r="I4269">
        <v>0</v>
      </c>
      <c r="J4269" t="s">
        <v>174</v>
      </c>
      <c r="K4269">
        <v>0</v>
      </c>
      <c r="L4269" t="s">
        <v>10734</v>
      </c>
      <c r="M4269" t="s">
        <v>10735</v>
      </c>
      <c r="N4269" t="s">
        <v>10739</v>
      </c>
      <c r="O4269" t="s">
        <v>10740</v>
      </c>
      <c r="P4269" t="s">
        <v>10741</v>
      </c>
    </row>
    <row r="4270" spans="1:16" x14ac:dyDescent="0.35">
      <c r="A4270" t="s">
        <v>106</v>
      </c>
      <c r="B4270">
        <v>1324725648</v>
      </c>
      <c r="C4270" t="s">
        <v>18</v>
      </c>
      <c r="D4270" t="s">
        <v>21</v>
      </c>
      <c r="E4270" s="29">
        <v>46204</v>
      </c>
      <c r="F4270" t="s">
        <v>3</v>
      </c>
      <c r="G4270" s="28">
        <v>0.48333333333333334</v>
      </c>
      <c r="H4270" s="28">
        <v>0.48333333333333334</v>
      </c>
      <c r="I4270">
        <v>0</v>
      </c>
      <c r="J4270" t="s">
        <v>174</v>
      </c>
      <c r="K4270">
        <v>0</v>
      </c>
      <c r="L4270" t="s">
        <v>3500</v>
      </c>
      <c r="M4270" t="s">
        <v>10735</v>
      </c>
      <c r="N4270" t="s">
        <v>10736</v>
      </c>
      <c r="O4270" t="s">
        <v>10737</v>
      </c>
      <c r="P4270" t="s">
        <v>10738</v>
      </c>
    </row>
    <row r="4271" spans="1:16" x14ac:dyDescent="0.35">
      <c r="A4271" t="s">
        <v>106</v>
      </c>
      <c r="B4271">
        <v>1324725648</v>
      </c>
      <c r="C4271" t="s">
        <v>18</v>
      </c>
      <c r="D4271" t="s">
        <v>21</v>
      </c>
      <c r="E4271" s="29">
        <v>46204</v>
      </c>
      <c r="F4271" t="s">
        <v>3</v>
      </c>
      <c r="G4271" s="28">
        <v>0.49027777777777776</v>
      </c>
      <c r="H4271" s="28">
        <v>0.49027777777777776</v>
      </c>
      <c r="I4271">
        <v>0</v>
      </c>
      <c r="J4271" t="s">
        <v>174</v>
      </c>
      <c r="K4271">
        <v>0</v>
      </c>
      <c r="L4271" t="s">
        <v>10742</v>
      </c>
      <c r="M4271" t="s">
        <v>10743</v>
      </c>
      <c r="N4271" t="s">
        <v>10744</v>
      </c>
      <c r="O4271" t="s">
        <v>10745</v>
      </c>
      <c r="P4271" t="s">
        <v>10746</v>
      </c>
    </row>
    <row r="4272" spans="1:16" x14ac:dyDescent="0.35">
      <c r="A4272" t="s">
        <v>106</v>
      </c>
      <c r="B4272">
        <v>1324725648</v>
      </c>
      <c r="C4272" t="s">
        <v>18</v>
      </c>
      <c r="D4272" t="s">
        <v>21</v>
      </c>
      <c r="E4272" s="29">
        <v>46204</v>
      </c>
      <c r="F4272" t="s">
        <v>3</v>
      </c>
      <c r="G4272" s="28">
        <v>0.49722222222222223</v>
      </c>
      <c r="H4272" s="28">
        <v>0.62222222222222223</v>
      </c>
      <c r="I4272">
        <v>3</v>
      </c>
      <c r="J4272" t="s">
        <v>146</v>
      </c>
      <c r="K4272">
        <v>9</v>
      </c>
      <c r="L4272" t="s">
        <v>147</v>
      </c>
      <c r="M4272" t="s">
        <v>10747</v>
      </c>
      <c r="N4272" t="s">
        <v>10748</v>
      </c>
      <c r="O4272" t="s">
        <v>10749</v>
      </c>
      <c r="P4272" t="s">
        <v>10750</v>
      </c>
    </row>
    <row r="4273" spans="1:16" x14ac:dyDescent="0.35">
      <c r="A4273" t="s">
        <v>106</v>
      </c>
      <c r="B4273">
        <v>1324725648</v>
      </c>
      <c r="C4273" t="s">
        <v>18</v>
      </c>
      <c r="D4273" t="s">
        <v>21</v>
      </c>
      <c r="E4273" s="29">
        <v>46204</v>
      </c>
      <c r="F4273" t="s">
        <v>3</v>
      </c>
      <c r="G4273" s="28">
        <v>0.62916666666666665</v>
      </c>
      <c r="H4273" s="28">
        <v>0.62916666666666665</v>
      </c>
      <c r="I4273">
        <v>0</v>
      </c>
      <c r="J4273" t="s">
        <v>174</v>
      </c>
      <c r="K4273">
        <v>0</v>
      </c>
      <c r="L4273" t="s">
        <v>267</v>
      </c>
      <c r="M4273" t="s">
        <v>10751</v>
      </c>
      <c r="N4273" t="s">
        <v>10752</v>
      </c>
      <c r="O4273" t="s">
        <v>10753</v>
      </c>
      <c r="P4273" t="s">
        <v>1578</v>
      </c>
    </row>
    <row r="4274" spans="1:16" x14ac:dyDescent="0.35">
      <c r="A4274" t="s">
        <v>106</v>
      </c>
      <c r="B4274">
        <v>1324725648</v>
      </c>
      <c r="C4274" t="s">
        <v>18</v>
      </c>
      <c r="D4274" t="s">
        <v>21</v>
      </c>
      <c r="E4274" s="29">
        <v>46204</v>
      </c>
      <c r="F4274" t="s">
        <v>3</v>
      </c>
      <c r="G4274" s="28">
        <v>0.63611111111111107</v>
      </c>
      <c r="H4274" s="28">
        <v>0.63611111111111107</v>
      </c>
      <c r="I4274">
        <v>0</v>
      </c>
      <c r="J4274" t="s">
        <v>174</v>
      </c>
      <c r="K4274">
        <v>0</v>
      </c>
      <c r="L4274" t="s">
        <v>399</v>
      </c>
      <c r="M4274" t="s">
        <v>10754</v>
      </c>
      <c r="N4274" t="s">
        <v>10755</v>
      </c>
      <c r="O4274" t="s">
        <v>10756</v>
      </c>
      <c r="P4274" t="s">
        <v>10757</v>
      </c>
    </row>
    <row r="4275" spans="1:16" x14ac:dyDescent="0.35">
      <c r="A4275" t="s">
        <v>106</v>
      </c>
      <c r="B4275">
        <v>1324725648</v>
      </c>
      <c r="C4275" t="s">
        <v>18</v>
      </c>
      <c r="D4275" t="s">
        <v>21</v>
      </c>
      <c r="E4275" s="29">
        <v>46204</v>
      </c>
      <c r="F4275" t="s">
        <v>3</v>
      </c>
      <c r="G4275" s="28">
        <v>0.6430555555555556</v>
      </c>
      <c r="H4275" s="28">
        <v>0.67777777777777781</v>
      </c>
      <c r="I4275">
        <v>1</v>
      </c>
      <c r="J4275" t="s">
        <v>146</v>
      </c>
      <c r="K4275">
        <v>2</v>
      </c>
      <c r="L4275" t="s">
        <v>147</v>
      </c>
      <c r="M4275" t="s">
        <v>10747</v>
      </c>
      <c r="N4275" t="s">
        <v>10748</v>
      </c>
      <c r="O4275" t="s">
        <v>10749</v>
      </c>
      <c r="P4275" t="s">
        <v>10750</v>
      </c>
    </row>
    <row r="4276" spans="1:16" x14ac:dyDescent="0.35">
      <c r="A4276" t="s">
        <v>106</v>
      </c>
      <c r="B4276">
        <v>1324725648</v>
      </c>
      <c r="C4276" t="s">
        <v>18</v>
      </c>
      <c r="D4276" t="s">
        <v>21</v>
      </c>
      <c r="E4276" s="29">
        <v>46204</v>
      </c>
      <c r="F4276" t="s">
        <v>3</v>
      </c>
      <c r="G4276" s="28">
        <v>0.68472222222222223</v>
      </c>
      <c r="H4276" s="28">
        <v>0.68472222222222223</v>
      </c>
      <c r="I4276">
        <v>0</v>
      </c>
      <c r="J4276" t="s">
        <v>174</v>
      </c>
      <c r="K4276">
        <v>0</v>
      </c>
      <c r="L4276" t="s">
        <v>287</v>
      </c>
      <c r="M4276" t="s">
        <v>10758</v>
      </c>
      <c r="N4276" t="s">
        <v>10759</v>
      </c>
      <c r="O4276" t="s">
        <v>10760</v>
      </c>
      <c r="P4276" t="s">
        <v>10761</v>
      </c>
    </row>
    <row r="4277" spans="1:16" x14ac:dyDescent="0.35">
      <c r="A4277" t="s">
        <v>106</v>
      </c>
      <c r="B4277">
        <v>1324725648</v>
      </c>
      <c r="C4277" t="s">
        <v>18</v>
      </c>
      <c r="D4277" t="s">
        <v>21</v>
      </c>
      <c r="E4277" s="29">
        <v>46204</v>
      </c>
      <c r="F4277" t="s">
        <v>3</v>
      </c>
      <c r="G4277" s="28">
        <v>0.69166666666666665</v>
      </c>
      <c r="H4277" s="28">
        <v>0.75416666666666665</v>
      </c>
      <c r="I4277">
        <v>2</v>
      </c>
      <c r="J4277" t="s">
        <v>146</v>
      </c>
      <c r="K4277">
        <v>4</v>
      </c>
      <c r="L4277" t="s">
        <v>147</v>
      </c>
      <c r="M4277" t="s">
        <v>10747</v>
      </c>
      <c r="N4277" t="s">
        <v>10748</v>
      </c>
      <c r="O4277" t="s">
        <v>10749</v>
      </c>
      <c r="P4277" t="s">
        <v>10750</v>
      </c>
    </row>
    <row r="4278" spans="1:16" x14ac:dyDescent="0.35">
      <c r="A4278" t="s">
        <v>106</v>
      </c>
      <c r="B4278">
        <v>1324725648</v>
      </c>
      <c r="C4278" t="s">
        <v>18</v>
      </c>
      <c r="D4278" t="s">
        <v>21</v>
      </c>
      <c r="E4278" s="29">
        <v>46204</v>
      </c>
      <c r="F4278" t="s">
        <v>3</v>
      </c>
      <c r="G4278" s="28">
        <v>0.76111111111111107</v>
      </c>
      <c r="H4278" s="28">
        <v>0.76111111111111107</v>
      </c>
      <c r="I4278">
        <v>0</v>
      </c>
      <c r="J4278" t="s">
        <v>174</v>
      </c>
      <c r="K4278">
        <v>0</v>
      </c>
      <c r="L4278" t="s">
        <v>2884</v>
      </c>
      <c r="M4278" t="s">
        <v>10762</v>
      </c>
      <c r="N4278" t="s">
        <v>10763</v>
      </c>
      <c r="O4278" t="s">
        <v>10764</v>
      </c>
      <c r="P4278" t="s">
        <v>10765</v>
      </c>
    </row>
    <row r="4279" spans="1:16" x14ac:dyDescent="0.35">
      <c r="A4279" t="s">
        <v>106</v>
      </c>
      <c r="B4279">
        <v>1324725648</v>
      </c>
      <c r="C4279" t="s">
        <v>18</v>
      </c>
      <c r="D4279" t="s">
        <v>21</v>
      </c>
      <c r="E4279" s="29">
        <v>46204</v>
      </c>
      <c r="F4279" t="s">
        <v>3</v>
      </c>
      <c r="G4279" s="28">
        <v>0.7680555555555556</v>
      </c>
      <c r="H4279" s="28">
        <v>0.79583333333333328</v>
      </c>
      <c r="I4279">
        <v>1</v>
      </c>
      <c r="J4279" t="s">
        <v>146</v>
      </c>
      <c r="K4279">
        <v>2</v>
      </c>
      <c r="L4279" t="s">
        <v>147</v>
      </c>
      <c r="M4279" t="s">
        <v>10747</v>
      </c>
      <c r="N4279" t="s">
        <v>10748</v>
      </c>
      <c r="O4279" t="s">
        <v>10749</v>
      </c>
      <c r="P4279" t="s">
        <v>10750</v>
      </c>
    </row>
    <row r="4280" spans="1:16" x14ac:dyDescent="0.35">
      <c r="A4280" t="s">
        <v>106</v>
      </c>
      <c r="B4280">
        <v>1324725648</v>
      </c>
      <c r="C4280" t="s">
        <v>18</v>
      </c>
      <c r="D4280" t="s">
        <v>21</v>
      </c>
      <c r="E4280" s="29">
        <v>46205</v>
      </c>
      <c r="F4280" t="s">
        <v>4</v>
      </c>
      <c r="G4280" s="28">
        <v>0.37916666666666665</v>
      </c>
      <c r="H4280" s="28">
        <v>0.37916666666666665</v>
      </c>
      <c r="I4280">
        <v>0</v>
      </c>
      <c r="J4280" t="s">
        <v>174</v>
      </c>
      <c r="K4280">
        <v>0</v>
      </c>
      <c r="L4280" t="s">
        <v>10766</v>
      </c>
      <c r="M4280" t="s">
        <v>10767</v>
      </c>
      <c r="N4280" t="s">
        <v>10768</v>
      </c>
      <c r="O4280" t="s">
        <v>10769</v>
      </c>
      <c r="P4280" t="s">
        <v>10770</v>
      </c>
    </row>
    <row r="4281" spans="1:16" x14ac:dyDescent="0.35">
      <c r="A4281" t="s">
        <v>106</v>
      </c>
      <c r="B4281">
        <v>1324725648</v>
      </c>
      <c r="C4281" t="s">
        <v>18</v>
      </c>
      <c r="D4281" t="s">
        <v>21</v>
      </c>
      <c r="E4281" s="29">
        <v>46205</v>
      </c>
      <c r="F4281" t="s">
        <v>4</v>
      </c>
      <c r="G4281" s="28">
        <v>0.38611111111111113</v>
      </c>
      <c r="H4281" s="28">
        <v>0.38611111111111113</v>
      </c>
      <c r="I4281">
        <v>0</v>
      </c>
      <c r="J4281" t="s">
        <v>174</v>
      </c>
      <c r="K4281">
        <v>0</v>
      </c>
      <c r="L4281" t="s">
        <v>5812</v>
      </c>
      <c r="M4281" t="s">
        <v>10771</v>
      </c>
      <c r="N4281" t="s">
        <v>10772</v>
      </c>
      <c r="O4281" t="s">
        <v>10773</v>
      </c>
      <c r="P4281" t="s">
        <v>10774</v>
      </c>
    </row>
    <row r="4282" spans="1:16" x14ac:dyDescent="0.35">
      <c r="A4282" t="s">
        <v>106</v>
      </c>
      <c r="B4282">
        <v>1324725648</v>
      </c>
      <c r="C4282" t="s">
        <v>18</v>
      </c>
      <c r="D4282" t="s">
        <v>21</v>
      </c>
      <c r="E4282" s="29">
        <v>46205</v>
      </c>
      <c r="F4282" t="s">
        <v>4</v>
      </c>
      <c r="G4282" s="28">
        <v>0.39305555555555555</v>
      </c>
      <c r="H4282" s="28">
        <v>0.39305555555555555</v>
      </c>
      <c r="I4282">
        <v>0</v>
      </c>
      <c r="J4282" t="s">
        <v>174</v>
      </c>
      <c r="K4282">
        <v>0</v>
      </c>
      <c r="L4282" t="s">
        <v>10775</v>
      </c>
      <c r="M4282" t="s">
        <v>10776</v>
      </c>
      <c r="N4282" t="s">
        <v>10777</v>
      </c>
      <c r="O4282" t="s">
        <v>10778</v>
      </c>
      <c r="P4282" t="s">
        <v>10779</v>
      </c>
    </row>
    <row r="4283" spans="1:16" x14ac:dyDescent="0.35">
      <c r="A4283" t="s">
        <v>106</v>
      </c>
      <c r="B4283">
        <v>1324725648</v>
      </c>
      <c r="C4283" t="s">
        <v>18</v>
      </c>
      <c r="D4283" t="s">
        <v>21</v>
      </c>
      <c r="E4283" s="29">
        <v>46205</v>
      </c>
      <c r="F4283" t="s">
        <v>4</v>
      </c>
      <c r="G4283" s="28">
        <v>0.4</v>
      </c>
      <c r="H4283" s="28">
        <v>0.40694444444444444</v>
      </c>
      <c r="I4283">
        <v>0</v>
      </c>
      <c r="J4283" t="s">
        <v>146</v>
      </c>
      <c r="K4283">
        <v>0</v>
      </c>
      <c r="L4283" t="s">
        <v>147</v>
      </c>
      <c r="M4283" t="s">
        <v>10780</v>
      </c>
      <c r="N4283" t="s">
        <v>10781</v>
      </c>
      <c r="O4283" t="s">
        <v>10782</v>
      </c>
      <c r="P4283" t="s">
        <v>10783</v>
      </c>
    </row>
    <row r="4284" spans="1:16" x14ac:dyDescent="0.35">
      <c r="A4284" t="s">
        <v>106</v>
      </c>
      <c r="B4284">
        <v>1324725648</v>
      </c>
      <c r="C4284" t="s">
        <v>18</v>
      </c>
      <c r="D4284" t="s">
        <v>21</v>
      </c>
      <c r="E4284" s="29">
        <v>46205</v>
      </c>
      <c r="F4284" t="s">
        <v>4</v>
      </c>
      <c r="G4284" s="28">
        <v>0.41388888888888886</v>
      </c>
      <c r="H4284" s="28">
        <v>0.41388888888888886</v>
      </c>
      <c r="I4284">
        <v>0</v>
      </c>
      <c r="J4284" t="s">
        <v>174</v>
      </c>
      <c r="K4284">
        <v>0</v>
      </c>
      <c r="L4284" t="s">
        <v>10784</v>
      </c>
      <c r="M4284" t="s">
        <v>10785</v>
      </c>
      <c r="N4284" t="s">
        <v>10786</v>
      </c>
      <c r="O4284" t="s">
        <v>10787</v>
      </c>
      <c r="P4284" t="s">
        <v>10788</v>
      </c>
    </row>
    <row r="4285" spans="1:16" x14ac:dyDescent="0.35">
      <c r="A4285" t="s">
        <v>106</v>
      </c>
      <c r="B4285">
        <v>1324725648</v>
      </c>
      <c r="C4285" t="s">
        <v>18</v>
      </c>
      <c r="D4285" t="s">
        <v>21</v>
      </c>
      <c r="E4285" s="29">
        <v>46205</v>
      </c>
      <c r="F4285" t="s">
        <v>4</v>
      </c>
      <c r="G4285" s="28">
        <v>0.42083333333333334</v>
      </c>
      <c r="H4285" s="28">
        <v>0.42083333333333334</v>
      </c>
      <c r="I4285">
        <v>0</v>
      </c>
      <c r="J4285" t="s">
        <v>174</v>
      </c>
      <c r="K4285">
        <v>0</v>
      </c>
      <c r="L4285" t="s">
        <v>873</v>
      </c>
      <c r="M4285" t="s">
        <v>10789</v>
      </c>
      <c r="N4285" t="s">
        <v>10790</v>
      </c>
      <c r="O4285" t="s">
        <v>10791</v>
      </c>
      <c r="P4285" t="s">
        <v>10792</v>
      </c>
    </row>
    <row r="4286" spans="1:16" x14ac:dyDescent="0.35">
      <c r="A4286" t="s">
        <v>106</v>
      </c>
      <c r="B4286">
        <v>1324725648</v>
      </c>
      <c r="C4286" t="s">
        <v>18</v>
      </c>
      <c r="D4286" t="s">
        <v>21</v>
      </c>
      <c r="E4286" s="29">
        <v>46205</v>
      </c>
      <c r="F4286" t="s">
        <v>4</v>
      </c>
      <c r="G4286" s="28">
        <v>0.42777777777777776</v>
      </c>
      <c r="H4286" s="28">
        <v>0.42777777777777776</v>
      </c>
      <c r="I4286">
        <v>0</v>
      </c>
      <c r="J4286" t="s">
        <v>174</v>
      </c>
      <c r="K4286">
        <v>0</v>
      </c>
      <c r="L4286" t="s">
        <v>863</v>
      </c>
      <c r="M4286" t="s">
        <v>10793</v>
      </c>
      <c r="N4286" t="s">
        <v>10794</v>
      </c>
      <c r="O4286" t="s">
        <v>10795</v>
      </c>
      <c r="P4286" t="s">
        <v>10796</v>
      </c>
    </row>
    <row r="4287" spans="1:16" x14ac:dyDescent="0.35">
      <c r="A4287" t="s">
        <v>106</v>
      </c>
      <c r="B4287">
        <v>1324725648</v>
      </c>
      <c r="C4287" t="s">
        <v>18</v>
      </c>
      <c r="D4287" t="s">
        <v>21</v>
      </c>
      <c r="E4287" s="29">
        <v>46205</v>
      </c>
      <c r="F4287" t="s">
        <v>4</v>
      </c>
      <c r="G4287" s="28">
        <v>0.43472222222222223</v>
      </c>
      <c r="H4287" s="28">
        <v>0.43472222222222223</v>
      </c>
      <c r="I4287">
        <v>0</v>
      </c>
      <c r="J4287" t="s">
        <v>174</v>
      </c>
      <c r="K4287">
        <v>0</v>
      </c>
      <c r="L4287" t="s">
        <v>9046</v>
      </c>
      <c r="M4287" t="s">
        <v>10797</v>
      </c>
      <c r="N4287" t="s">
        <v>10798</v>
      </c>
      <c r="O4287" t="s">
        <v>10799</v>
      </c>
      <c r="P4287" t="s">
        <v>10800</v>
      </c>
    </row>
    <row r="4288" spans="1:16" x14ac:dyDescent="0.35">
      <c r="A4288" t="s">
        <v>106</v>
      </c>
      <c r="B4288">
        <v>1324725648</v>
      </c>
      <c r="C4288" t="s">
        <v>18</v>
      </c>
      <c r="D4288" t="s">
        <v>21</v>
      </c>
      <c r="E4288" s="29">
        <v>46205</v>
      </c>
      <c r="F4288" t="s">
        <v>4</v>
      </c>
      <c r="G4288" s="28">
        <v>0.44166666666666665</v>
      </c>
      <c r="H4288" s="28">
        <v>0.44166666666666665</v>
      </c>
      <c r="I4288">
        <v>0</v>
      </c>
      <c r="J4288" t="s">
        <v>174</v>
      </c>
      <c r="K4288">
        <v>0</v>
      </c>
      <c r="L4288" t="s">
        <v>5634</v>
      </c>
      <c r="M4288" t="s">
        <v>10801</v>
      </c>
      <c r="N4288" t="s">
        <v>10802</v>
      </c>
      <c r="O4288" t="s">
        <v>10803</v>
      </c>
      <c r="P4288" t="s">
        <v>10804</v>
      </c>
    </row>
    <row r="4289" spans="1:16" x14ac:dyDescent="0.35">
      <c r="A4289" t="s">
        <v>106</v>
      </c>
      <c r="B4289">
        <v>1324725648</v>
      </c>
      <c r="C4289" t="s">
        <v>18</v>
      </c>
      <c r="D4289" t="s">
        <v>21</v>
      </c>
      <c r="E4289" s="29">
        <v>46205</v>
      </c>
      <c r="F4289" t="s">
        <v>4</v>
      </c>
      <c r="G4289" s="28">
        <v>0.44861111111111113</v>
      </c>
      <c r="H4289" s="28">
        <v>0.44861111111111113</v>
      </c>
      <c r="I4289">
        <v>0</v>
      </c>
      <c r="J4289" t="s">
        <v>174</v>
      </c>
      <c r="K4289">
        <v>0</v>
      </c>
      <c r="L4289" t="s">
        <v>584</v>
      </c>
      <c r="M4289" t="s">
        <v>10805</v>
      </c>
      <c r="N4289" t="s">
        <v>10806</v>
      </c>
      <c r="O4289" t="s">
        <v>10807</v>
      </c>
      <c r="P4289" t="s">
        <v>3214</v>
      </c>
    </row>
    <row r="4290" spans="1:16" x14ac:dyDescent="0.35">
      <c r="A4290" t="s">
        <v>106</v>
      </c>
      <c r="B4290">
        <v>1324725648</v>
      </c>
      <c r="C4290" t="s">
        <v>18</v>
      </c>
      <c r="D4290" t="s">
        <v>21</v>
      </c>
      <c r="E4290" s="29">
        <v>46205</v>
      </c>
      <c r="F4290" t="s">
        <v>4</v>
      </c>
      <c r="G4290" s="28">
        <v>0.45555555555555555</v>
      </c>
      <c r="H4290" s="28">
        <v>0.50416666666666665</v>
      </c>
      <c r="I4290">
        <v>1</v>
      </c>
      <c r="J4290" t="s">
        <v>146</v>
      </c>
      <c r="K4290">
        <v>4</v>
      </c>
      <c r="L4290" t="s">
        <v>147</v>
      </c>
      <c r="M4290" t="s">
        <v>10808</v>
      </c>
      <c r="N4290" t="s">
        <v>10809</v>
      </c>
      <c r="O4290" t="s">
        <v>10810</v>
      </c>
      <c r="P4290" t="s">
        <v>10811</v>
      </c>
    </row>
    <row r="4291" spans="1:16" x14ac:dyDescent="0.35">
      <c r="A4291" t="s">
        <v>106</v>
      </c>
      <c r="B4291">
        <v>1324725648</v>
      </c>
      <c r="C4291" t="s">
        <v>18</v>
      </c>
      <c r="D4291" t="s">
        <v>21</v>
      </c>
      <c r="E4291" s="29">
        <v>46205</v>
      </c>
      <c r="F4291" t="s">
        <v>4</v>
      </c>
      <c r="G4291" s="28">
        <v>0.51111111111111107</v>
      </c>
      <c r="H4291" s="28">
        <v>0.51111111111111107</v>
      </c>
      <c r="I4291">
        <v>0</v>
      </c>
      <c r="J4291" t="s">
        <v>174</v>
      </c>
      <c r="K4291">
        <v>0</v>
      </c>
      <c r="L4291" t="s">
        <v>4343</v>
      </c>
      <c r="M4291" t="s">
        <v>10812</v>
      </c>
      <c r="N4291" t="s">
        <v>10813</v>
      </c>
      <c r="O4291" t="s">
        <v>10814</v>
      </c>
      <c r="P4291" t="s">
        <v>10815</v>
      </c>
    </row>
    <row r="4292" spans="1:16" x14ac:dyDescent="0.35">
      <c r="A4292" t="s">
        <v>106</v>
      </c>
      <c r="B4292">
        <v>1324725648</v>
      </c>
      <c r="C4292" t="s">
        <v>18</v>
      </c>
      <c r="D4292" t="s">
        <v>21</v>
      </c>
      <c r="E4292" s="29">
        <v>46205</v>
      </c>
      <c r="F4292" t="s">
        <v>4</v>
      </c>
      <c r="G4292" s="28">
        <v>0.5180555555555556</v>
      </c>
      <c r="H4292" s="28">
        <v>0.5180555555555556</v>
      </c>
      <c r="I4292">
        <v>0</v>
      </c>
      <c r="J4292" t="s">
        <v>174</v>
      </c>
      <c r="K4292">
        <v>0</v>
      </c>
      <c r="L4292" t="s">
        <v>2194</v>
      </c>
      <c r="M4292" t="s">
        <v>10808</v>
      </c>
      <c r="N4292" t="s">
        <v>10809</v>
      </c>
      <c r="O4292" t="s">
        <v>10810</v>
      </c>
      <c r="P4292" t="s">
        <v>10811</v>
      </c>
    </row>
    <row r="4293" spans="1:16" x14ac:dyDescent="0.35">
      <c r="A4293" t="s">
        <v>106</v>
      </c>
      <c r="B4293">
        <v>1324725648</v>
      </c>
      <c r="C4293" t="s">
        <v>18</v>
      </c>
      <c r="D4293" t="s">
        <v>21</v>
      </c>
      <c r="E4293" s="29">
        <v>46205</v>
      </c>
      <c r="F4293" t="s">
        <v>4</v>
      </c>
      <c r="G4293" s="28">
        <v>0.52500000000000002</v>
      </c>
      <c r="H4293" s="28">
        <v>0.52500000000000002</v>
      </c>
      <c r="I4293">
        <v>0</v>
      </c>
      <c r="J4293" t="s">
        <v>174</v>
      </c>
      <c r="K4293">
        <v>0</v>
      </c>
      <c r="L4293" t="s">
        <v>10816</v>
      </c>
      <c r="M4293" t="s">
        <v>10817</v>
      </c>
      <c r="N4293" t="s">
        <v>10818</v>
      </c>
      <c r="O4293" t="s">
        <v>10819</v>
      </c>
      <c r="P4293" t="s">
        <v>10820</v>
      </c>
    </row>
    <row r="4294" spans="1:16" x14ac:dyDescent="0.35">
      <c r="A4294" t="s">
        <v>106</v>
      </c>
      <c r="B4294">
        <v>1324725648</v>
      </c>
      <c r="C4294" t="s">
        <v>18</v>
      </c>
      <c r="D4294" t="s">
        <v>21</v>
      </c>
      <c r="E4294" s="29">
        <v>46205</v>
      </c>
      <c r="F4294" t="s">
        <v>4</v>
      </c>
      <c r="G4294" s="28">
        <v>0.53194444444444444</v>
      </c>
      <c r="H4294" s="28">
        <v>0.53194444444444444</v>
      </c>
      <c r="I4294">
        <v>0</v>
      </c>
      <c r="J4294" t="s">
        <v>174</v>
      </c>
      <c r="K4294">
        <v>0</v>
      </c>
      <c r="L4294" t="s">
        <v>1937</v>
      </c>
      <c r="M4294" t="s">
        <v>3106</v>
      </c>
      <c r="N4294" t="s">
        <v>3107</v>
      </c>
      <c r="O4294" t="s">
        <v>3108</v>
      </c>
      <c r="P4294" t="s">
        <v>10821</v>
      </c>
    </row>
    <row r="4295" spans="1:16" x14ac:dyDescent="0.35">
      <c r="A4295" t="s">
        <v>106</v>
      </c>
      <c r="B4295">
        <v>1324725648</v>
      </c>
      <c r="C4295" t="s">
        <v>18</v>
      </c>
      <c r="D4295" t="s">
        <v>21</v>
      </c>
      <c r="E4295" s="29">
        <v>46205</v>
      </c>
      <c r="F4295" t="s">
        <v>4</v>
      </c>
      <c r="G4295" s="28">
        <v>0.53888888888888886</v>
      </c>
      <c r="H4295" s="28">
        <v>0.53888888888888886</v>
      </c>
      <c r="I4295">
        <v>0</v>
      </c>
      <c r="J4295" t="s">
        <v>174</v>
      </c>
      <c r="K4295">
        <v>0</v>
      </c>
      <c r="L4295" t="s">
        <v>10822</v>
      </c>
      <c r="M4295" t="s">
        <v>10823</v>
      </c>
      <c r="N4295" t="s">
        <v>10824</v>
      </c>
      <c r="O4295" t="s">
        <v>10825</v>
      </c>
      <c r="P4295" t="s">
        <v>10826</v>
      </c>
    </row>
    <row r="4296" spans="1:16" x14ac:dyDescent="0.35">
      <c r="A4296" t="s">
        <v>106</v>
      </c>
      <c r="B4296">
        <v>1324725648</v>
      </c>
      <c r="C4296" t="s">
        <v>18</v>
      </c>
      <c r="D4296" t="s">
        <v>21</v>
      </c>
      <c r="E4296" s="29">
        <v>46205</v>
      </c>
      <c r="F4296" t="s">
        <v>4</v>
      </c>
      <c r="G4296" s="28">
        <v>0.54583333333333328</v>
      </c>
      <c r="H4296" s="28">
        <v>0.54583333333333328</v>
      </c>
      <c r="I4296">
        <v>0</v>
      </c>
      <c r="J4296" t="s">
        <v>174</v>
      </c>
      <c r="K4296">
        <v>0</v>
      </c>
      <c r="L4296" t="s">
        <v>8317</v>
      </c>
      <c r="M4296" t="s">
        <v>10827</v>
      </c>
      <c r="N4296" t="s">
        <v>10828</v>
      </c>
      <c r="O4296" t="s">
        <v>10829</v>
      </c>
      <c r="P4296" t="s">
        <v>10830</v>
      </c>
    </row>
    <row r="4297" spans="1:16" x14ac:dyDescent="0.35">
      <c r="A4297" t="s">
        <v>106</v>
      </c>
      <c r="B4297">
        <v>1324725648</v>
      </c>
      <c r="C4297" t="s">
        <v>18</v>
      </c>
      <c r="D4297" t="s">
        <v>21</v>
      </c>
      <c r="E4297" s="29">
        <v>46205</v>
      </c>
      <c r="F4297" t="s">
        <v>4</v>
      </c>
      <c r="G4297" s="28">
        <v>0.55277777777777781</v>
      </c>
      <c r="H4297" s="28">
        <v>0.55277777777777781</v>
      </c>
      <c r="I4297">
        <v>0</v>
      </c>
      <c r="J4297" t="s">
        <v>174</v>
      </c>
      <c r="K4297">
        <v>0</v>
      </c>
      <c r="L4297" t="s">
        <v>8680</v>
      </c>
      <c r="M4297" t="s">
        <v>10831</v>
      </c>
      <c r="N4297" t="s">
        <v>10832</v>
      </c>
      <c r="O4297" t="s">
        <v>10833</v>
      </c>
      <c r="P4297" t="s">
        <v>10834</v>
      </c>
    </row>
    <row r="4298" spans="1:16" x14ac:dyDescent="0.35">
      <c r="A4298" t="s">
        <v>106</v>
      </c>
      <c r="B4298">
        <v>1324725648</v>
      </c>
      <c r="C4298" t="s">
        <v>18</v>
      </c>
      <c r="D4298" t="s">
        <v>21</v>
      </c>
      <c r="E4298" s="29">
        <v>46205</v>
      </c>
      <c r="F4298" t="s">
        <v>4</v>
      </c>
      <c r="G4298" s="28">
        <v>0.55972222222222223</v>
      </c>
      <c r="H4298" s="28">
        <v>0.55972222222222223</v>
      </c>
      <c r="I4298">
        <v>0</v>
      </c>
      <c r="J4298" t="s">
        <v>174</v>
      </c>
      <c r="K4298">
        <v>0</v>
      </c>
      <c r="L4298" t="s">
        <v>10835</v>
      </c>
      <c r="M4298" t="s">
        <v>3147</v>
      </c>
      <c r="N4298" t="s">
        <v>3148</v>
      </c>
      <c r="O4298" t="s">
        <v>3149</v>
      </c>
      <c r="P4298" t="s">
        <v>10836</v>
      </c>
    </row>
    <row r="4299" spans="1:16" x14ac:dyDescent="0.35">
      <c r="A4299" t="s">
        <v>106</v>
      </c>
      <c r="B4299">
        <v>1324725648</v>
      </c>
      <c r="C4299" t="s">
        <v>18</v>
      </c>
      <c r="D4299" t="s">
        <v>21</v>
      </c>
      <c r="E4299" s="29">
        <v>46205</v>
      </c>
      <c r="F4299" t="s">
        <v>4</v>
      </c>
      <c r="G4299" s="28">
        <v>0.56666666666666665</v>
      </c>
      <c r="H4299" s="28">
        <v>0.5805555555555556</v>
      </c>
      <c r="I4299">
        <v>0</v>
      </c>
      <c r="J4299" t="s">
        <v>146</v>
      </c>
      <c r="K4299">
        <v>1</v>
      </c>
      <c r="L4299" t="s">
        <v>147</v>
      </c>
      <c r="M4299" t="s">
        <v>10837</v>
      </c>
      <c r="N4299" t="s">
        <v>8759</v>
      </c>
      <c r="O4299" t="s">
        <v>10838</v>
      </c>
      <c r="P4299" t="s">
        <v>10839</v>
      </c>
    </row>
    <row r="4300" spans="1:16" x14ac:dyDescent="0.35">
      <c r="A4300" t="s">
        <v>106</v>
      </c>
      <c r="B4300">
        <v>1324725648</v>
      </c>
      <c r="C4300" t="s">
        <v>18</v>
      </c>
      <c r="D4300" t="s">
        <v>21</v>
      </c>
      <c r="E4300" s="29">
        <v>46205</v>
      </c>
      <c r="F4300" t="s">
        <v>4</v>
      </c>
      <c r="G4300" s="28">
        <v>0.58750000000000002</v>
      </c>
      <c r="H4300" s="28">
        <v>0.58750000000000002</v>
      </c>
      <c r="I4300">
        <v>0</v>
      </c>
      <c r="J4300" t="s">
        <v>174</v>
      </c>
      <c r="K4300">
        <v>0</v>
      </c>
      <c r="L4300" t="s">
        <v>1164</v>
      </c>
      <c r="M4300" t="s">
        <v>10840</v>
      </c>
      <c r="N4300" t="s">
        <v>10841</v>
      </c>
      <c r="O4300" t="s">
        <v>10842</v>
      </c>
      <c r="P4300" t="s">
        <v>10843</v>
      </c>
    </row>
    <row r="4301" spans="1:16" x14ac:dyDescent="0.35">
      <c r="A4301" t="s">
        <v>106</v>
      </c>
      <c r="B4301">
        <v>1324725648</v>
      </c>
      <c r="C4301" t="s">
        <v>18</v>
      </c>
      <c r="D4301" t="s">
        <v>21</v>
      </c>
      <c r="E4301" s="29">
        <v>46205</v>
      </c>
      <c r="F4301" t="s">
        <v>4</v>
      </c>
      <c r="G4301" s="28">
        <v>0.59444444444444444</v>
      </c>
      <c r="H4301" s="28">
        <v>0.62222222222222223</v>
      </c>
      <c r="I4301">
        <v>1</v>
      </c>
      <c r="J4301" t="s">
        <v>146</v>
      </c>
      <c r="K4301">
        <v>2</v>
      </c>
      <c r="L4301" t="s">
        <v>147</v>
      </c>
      <c r="M4301" t="s">
        <v>10844</v>
      </c>
      <c r="N4301" t="s">
        <v>10845</v>
      </c>
      <c r="O4301" t="s">
        <v>10846</v>
      </c>
      <c r="P4301" t="s">
        <v>10847</v>
      </c>
    </row>
    <row r="4302" spans="1:16" x14ac:dyDescent="0.35">
      <c r="A4302" t="s">
        <v>106</v>
      </c>
      <c r="B4302">
        <v>1324725648</v>
      </c>
      <c r="C4302" t="s">
        <v>18</v>
      </c>
      <c r="D4302" t="s">
        <v>21</v>
      </c>
      <c r="E4302" s="29">
        <v>46205</v>
      </c>
      <c r="F4302" t="s">
        <v>4</v>
      </c>
      <c r="G4302" s="28">
        <v>0.62916666666666665</v>
      </c>
      <c r="H4302" s="28">
        <v>0.62916666666666665</v>
      </c>
      <c r="I4302">
        <v>0</v>
      </c>
      <c r="J4302" t="s">
        <v>174</v>
      </c>
      <c r="K4302">
        <v>0</v>
      </c>
      <c r="L4302" t="s">
        <v>10848</v>
      </c>
      <c r="M4302" t="s">
        <v>10840</v>
      </c>
      <c r="N4302" t="s">
        <v>10841</v>
      </c>
      <c r="O4302" t="s">
        <v>10842</v>
      </c>
      <c r="P4302" t="s">
        <v>10843</v>
      </c>
    </row>
    <row r="4303" spans="1:16" x14ac:dyDescent="0.35">
      <c r="A4303" t="s">
        <v>106</v>
      </c>
      <c r="B4303">
        <v>1324725648</v>
      </c>
      <c r="C4303" t="s">
        <v>18</v>
      </c>
      <c r="D4303" t="s">
        <v>21</v>
      </c>
      <c r="E4303" s="29">
        <v>46205</v>
      </c>
      <c r="F4303" t="s">
        <v>4</v>
      </c>
      <c r="G4303" s="28">
        <v>0.63611111111111107</v>
      </c>
      <c r="H4303" s="28">
        <v>0.63611111111111107</v>
      </c>
      <c r="I4303">
        <v>0</v>
      </c>
      <c r="J4303" t="s">
        <v>174</v>
      </c>
      <c r="K4303">
        <v>0</v>
      </c>
      <c r="L4303" t="s">
        <v>10849</v>
      </c>
      <c r="M4303" t="s">
        <v>10850</v>
      </c>
      <c r="N4303" t="s">
        <v>10851</v>
      </c>
      <c r="O4303" t="s">
        <v>10852</v>
      </c>
      <c r="P4303" t="s">
        <v>3137</v>
      </c>
    </row>
    <row r="4304" spans="1:16" x14ac:dyDescent="0.35">
      <c r="A4304" t="s">
        <v>106</v>
      </c>
      <c r="B4304">
        <v>1324725648</v>
      </c>
      <c r="C4304" t="s">
        <v>18</v>
      </c>
      <c r="D4304" t="s">
        <v>21</v>
      </c>
      <c r="E4304" s="29">
        <v>46205</v>
      </c>
      <c r="F4304" t="s">
        <v>4</v>
      </c>
      <c r="G4304" s="28">
        <v>0.6430555555555556</v>
      </c>
      <c r="H4304" s="28">
        <v>0.6430555555555556</v>
      </c>
      <c r="I4304">
        <v>0</v>
      </c>
      <c r="J4304" t="s">
        <v>174</v>
      </c>
      <c r="K4304">
        <v>0</v>
      </c>
      <c r="L4304" t="s">
        <v>4528</v>
      </c>
      <c r="M4304" t="s">
        <v>10853</v>
      </c>
      <c r="N4304" t="s">
        <v>10854</v>
      </c>
      <c r="O4304" t="s">
        <v>10855</v>
      </c>
      <c r="P4304" t="s">
        <v>10856</v>
      </c>
    </row>
    <row r="4305" spans="1:16" x14ac:dyDescent="0.35">
      <c r="A4305" t="s">
        <v>106</v>
      </c>
      <c r="B4305">
        <v>1324725648</v>
      </c>
      <c r="C4305" t="s">
        <v>18</v>
      </c>
      <c r="D4305" t="s">
        <v>21</v>
      </c>
      <c r="E4305" s="29">
        <v>46205</v>
      </c>
      <c r="F4305" t="s">
        <v>4</v>
      </c>
      <c r="G4305" s="28">
        <v>0.65</v>
      </c>
      <c r="H4305" s="28">
        <v>0.65</v>
      </c>
      <c r="I4305">
        <v>0</v>
      </c>
      <c r="J4305" t="s">
        <v>174</v>
      </c>
      <c r="K4305">
        <v>0</v>
      </c>
      <c r="L4305" t="s">
        <v>1658</v>
      </c>
      <c r="M4305" t="s">
        <v>10857</v>
      </c>
      <c r="N4305" t="s">
        <v>10858</v>
      </c>
      <c r="O4305" t="s">
        <v>10859</v>
      </c>
      <c r="P4305" t="s">
        <v>10860</v>
      </c>
    </row>
    <row r="4306" spans="1:16" x14ac:dyDescent="0.35">
      <c r="A4306" t="s">
        <v>106</v>
      </c>
      <c r="B4306">
        <v>1324725648</v>
      </c>
      <c r="C4306" t="s">
        <v>18</v>
      </c>
      <c r="D4306" t="s">
        <v>21</v>
      </c>
      <c r="E4306" s="29">
        <v>46205</v>
      </c>
      <c r="F4306" t="s">
        <v>4</v>
      </c>
      <c r="G4306" s="28">
        <v>0.65694444444444444</v>
      </c>
      <c r="H4306" s="28">
        <v>0.65694444444444444</v>
      </c>
      <c r="I4306">
        <v>0</v>
      </c>
      <c r="J4306" t="s">
        <v>174</v>
      </c>
      <c r="K4306">
        <v>0</v>
      </c>
      <c r="L4306" t="s">
        <v>3472</v>
      </c>
      <c r="M4306" t="s">
        <v>10861</v>
      </c>
      <c r="N4306" t="s">
        <v>10862</v>
      </c>
      <c r="O4306" t="s">
        <v>10863</v>
      </c>
      <c r="P4306" t="s">
        <v>10864</v>
      </c>
    </row>
    <row r="4307" spans="1:16" x14ac:dyDescent="0.35">
      <c r="A4307" t="s">
        <v>106</v>
      </c>
      <c r="B4307">
        <v>1324725648</v>
      </c>
      <c r="C4307" t="s">
        <v>18</v>
      </c>
      <c r="D4307" t="s">
        <v>21</v>
      </c>
      <c r="E4307" s="29">
        <v>46205</v>
      </c>
      <c r="F4307" t="s">
        <v>4</v>
      </c>
      <c r="G4307" s="28">
        <v>0.66388888888888886</v>
      </c>
      <c r="H4307" s="28">
        <v>0.66388888888888886</v>
      </c>
      <c r="I4307">
        <v>0</v>
      </c>
      <c r="J4307" t="s">
        <v>174</v>
      </c>
      <c r="K4307">
        <v>0</v>
      </c>
      <c r="L4307" t="s">
        <v>569</v>
      </c>
      <c r="M4307" t="s">
        <v>10865</v>
      </c>
      <c r="N4307" t="s">
        <v>10866</v>
      </c>
      <c r="O4307" t="s">
        <v>10867</v>
      </c>
      <c r="P4307" t="s">
        <v>10868</v>
      </c>
    </row>
    <row r="4308" spans="1:16" x14ac:dyDescent="0.35">
      <c r="A4308" t="s">
        <v>106</v>
      </c>
      <c r="B4308">
        <v>1324725648</v>
      </c>
      <c r="C4308" t="s">
        <v>18</v>
      </c>
      <c r="D4308" t="s">
        <v>21</v>
      </c>
      <c r="E4308" s="29">
        <v>46205</v>
      </c>
      <c r="F4308" t="s">
        <v>4</v>
      </c>
      <c r="G4308" s="28">
        <v>0.67083333333333328</v>
      </c>
      <c r="H4308" s="28">
        <v>0.67083333333333328</v>
      </c>
      <c r="I4308">
        <v>0</v>
      </c>
      <c r="J4308" t="s">
        <v>174</v>
      </c>
      <c r="K4308">
        <v>0</v>
      </c>
      <c r="L4308" t="s">
        <v>10869</v>
      </c>
      <c r="M4308" t="s">
        <v>10870</v>
      </c>
      <c r="N4308" t="s">
        <v>10871</v>
      </c>
      <c r="O4308" t="s">
        <v>10872</v>
      </c>
      <c r="P4308" t="s">
        <v>10873</v>
      </c>
    </row>
    <row r="4309" spans="1:16" x14ac:dyDescent="0.35">
      <c r="A4309" t="s">
        <v>106</v>
      </c>
      <c r="B4309">
        <v>1324725648</v>
      </c>
      <c r="C4309" t="s">
        <v>18</v>
      </c>
      <c r="D4309" t="s">
        <v>21</v>
      </c>
      <c r="E4309" s="29">
        <v>46205</v>
      </c>
      <c r="F4309" t="s">
        <v>4</v>
      </c>
      <c r="G4309" s="28">
        <v>0.67777777777777781</v>
      </c>
      <c r="H4309" s="28">
        <v>0.67777777777777781</v>
      </c>
      <c r="I4309">
        <v>0</v>
      </c>
      <c r="J4309" t="s">
        <v>174</v>
      </c>
      <c r="K4309">
        <v>0</v>
      </c>
      <c r="L4309" t="s">
        <v>466</v>
      </c>
      <c r="M4309" t="s">
        <v>10874</v>
      </c>
      <c r="N4309" t="s">
        <v>10875</v>
      </c>
      <c r="O4309" t="s">
        <v>10876</v>
      </c>
      <c r="P4309" t="s">
        <v>10877</v>
      </c>
    </row>
    <row r="4310" spans="1:16" x14ac:dyDescent="0.35">
      <c r="A4310" t="s">
        <v>106</v>
      </c>
      <c r="B4310">
        <v>1324725648</v>
      </c>
      <c r="C4310" t="s">
        <v>18</v>
      </c>
      <c r="D4310" t="s">
        <v>21</v>
      </c>
      <c r="E4310" s="29">
        <v>46205</v>
      </c>
      <c r="F4310" t="s">
        <v>4</v>
      </c>
      <c r="G4310" s="28">
        <v>0.68472222222222223</v>
      </c>
      <c r="H4310" s="28">
        <v>0.68472222222222223</v>
      </c>
      <c r="I4310">
        <v>0</v>
      </c>
      <c r="J4310" t="s">
        <v>174</v>
      </c>
      <c r="K4310">
        <v>0</v>
      </c>
      <c r="L4310" t="s">
        <v>9110</v>
      </c>
      <c r="M4310" t="s">
        <v>10878</v>
      </c>
      <c r="N4310" t="s">
        <v>10879</v>
      </c>
      <c r="O4310" t="s">
        <v>10880</v>
      </c>
      <c r="P4310" t="s">
        <v>10881</v>
      </c>
    </row>
    <row r="4311" spans="1:16" x14ac:dyDescent="0.35">
      <c r="A4311" t="s">
        <v>106</v>
      </c>
      <c r="B4311">
        <v>1324725648</v>
      </c>
      <c r="C4311" t="s">
        <v>18</v>
      </c>
      <c r="D4311" t="s">
        <v>21</v>
      </c>
      <c r="E4311" s="29">
        <v>46205</v>
      </c>
      <c r="F4311" t="s">
        <v>4</v>
      </c>
      <c r="G4311" s="28">
        <v>0.69166666666666665</v>
      </c>
      <c r="H4311" s="28">
        <v>0.79583333333333328</v>
      </c>
      <c r="I4311">
        <v>2</v>
      </c>
      <c r="J4311" t="s">
        <v>146</v>
      </c>
      <c r="K4311">
        <v>8</v>
      </c>
      <c r="L4311" t="s">
        <v>147</v>
      </c>
      <c r="M4311" t="s">
        <v>152</v>
      </c>
      <c r="N4311" t="s">
        <v>162</v>
      </c>
      <c r="O4311" t="s">
        <v>163</v>
      </c>
      <c r="P4311" t="s">
        <v>153</v>
      </c>
    </row>
    <row r="4312" spans="1:16" x14ac:dyDescent="0.35">
      <c r="A4312" t="s">
        <v>106</v>
      </c>
      <c r="B4312">
        <v>1324725648</v>
      </c>
      <c r="C4312" t="s">
        <v>18</v>
      </c>
      <c r="D4312" t="s">
        <v>21</v>
      </c>
      <c r="E4312" s="29">
        <v>46207</v>
      </c>
      <c r="F4312" t="s">
        <v>5</v>
      </c>
      <c r="G4312" s="28">
        <v>0.37916666666666665</v>
      </c>
      <c r="H4312" s="28">
        <v>0.37916666666666665</v>
      </c>
      <c r="I4312">
        <v>0</v>
      </c>
      <c r="J4312" t="s">
        <v>174</v>
      </c>
      <c r="K4312">
        <v>0</v>
      </c>
      <c r="L4312" t="s">
        <v>1395</v>
      </c>
      <c r="M4312" t="s">
        <v>10882</v>
      </c>
      <c r="N4312" t="s">
        <v>10883</v>
      </c>
      <c r="O4312" t="s">
        <v>10884</v>
      </c>
      <c r="P4312" t="s">
        <v>10885</v>
      </c>
    </row>
    <row r="4313" spans="1:16" x14ac:dyDescent="0.35">
      <c r="A4313" t="s">
        <v>106</v>
      </c>
      <c r="B4313">
        <v>1324725648</v>
      </c>
      <c r="C4313" t="s">
        <v>18</v>
      </c>
      <c r="D4313" t="s">
        <v>21</v>
      </c>
      <c r="E4313" s="29">
        <v>46207</v>
      </c>
      <c r="F4313" t="s">
        <v>5</v>
      </c>
      <c r="G4313" s="28">
        <v>0.38611111111111113</v>
      </c>
      <c r="H4313" s="28">
        <v>0.39305555555555555</v>
      </c>
      <c r="I4313">
        <v>0</v>
      </c>
      <c r="J4313" t="s">
        <v>146</v>
      </c>
      <c r="K4313">
        <v>0</v>
      </c>
      <c r="L4313" t="s">
        <v>147</v>
      </c>
      <c r="M4313" t="s">
        <v>10886</v>
      </c>
      <c r="N4313" t="s">
        <v>10887</v>
      </c>
      <c r="O4313" t="s">
        <v>10888</v>
      </c>
      <c r="P4313" t="s">
        <v>10889</v>
      </c>
    </row>
    <row r="4314" spans="1:16" x14ac:dyDescent="0.35">
      <c r="A4314" t="s">
        <v>106</v>
      </c>
      <c r="B4314">
        <v>1324725648</v>
      </c>
      <c r="C4314" t="s">
        <v>18</v>
      </c>
      <c r="D4314" t="s">
        <v>21</v>
      </c>
      <c r="E4314" s="29">
        <v>46207</v>
      </c>
      <c r="F4314" t="s">
        <v>5</v>
      </c>
      <c r="G4314" s="28">
        <v>0.4</v>
      </c>
      <c r="H4314" s="28">
        <v>0.4</v>
      </c>
      <c r="I4314">
        <v>0</v>
      </c>
      <c r="J4314" t="s">
        <v>174</v>
      </c>
      <c r="K4314">
        <v>0</v>
      </c>
      <c r="L4314" t="s">
        <v>8455</v>
      </c>
      <c r="M4314" t="s">
        <v>10890</v>
      </c>
      <c r="N4314" t="s">
        <v>10891</v>
      </c>
      <c r="O4314" t="s">
        <v>10892</v>
      </c>
      <c r="P4314" t="s">
        <v>10893</v>
      </c>
    </row>
    <row r="4315" spans="1:16" x14ac:dyDescent="0.35">
      <c r="A4315" t="s">
        <v>106</v>
      </c>
      <c r="B4315">
        <v>1324725648</v>
      </c>
      <c r="C4315" t="s">
        <v>18</v>
      </c>
      <c r="D4315" t="s">
        <v>21</v>
      </c>
      <c r="E4315" s="29">
        <v>46207</v>
      </c>
      <c r="F4315" t="s">
        <v>5</v>
      </c>
      <c r="G4315" s="28">
        <v>0.40694444444444444</v>
      </c>
      <c r="H4315" s="28">
        <v>0.41388888888888886</v>
      </c>
      <c r="I4315">
        <v>0</v>
      </c>
      <c r="J4315" t="s">
        <v>146</v>
      </c>
      <c r="K4315">
        <v>0</v>
      </c>
      <c r="L4315" t="s">
        <v>147</v>
      </c>
      <c r="M4315" t="s">
        <v>10894</v>
      </c>
      <c r="N4315" t="s">
        <v>10895</v>
      </c>
      <c r="O4315" t="s">
        <v>10896</v>
      </c>
      <c r="P4315" t="s">
        <v>10897</v>
      </c>
    </row>
    <row r="4316" spans="1:16" x14ac:dyDescent="0.35">
      <c r="A4316" t="s">
        <v>106</v>
      </c>
      <c r="B4316">
        <v>1324725648</v>
      </c>
      <c r="C4316" t="s">
        <v>18</v>
      </c>
      <c r="D4316" t="s">
        <v>21</v>
      </c>
      <c r="E4316" s="29">
        <v>46207</v>
      </c>
      <c r="F4316" t="s">
        <v>5</v>
      </c>
      <c r="G4316" s="28">
        <v>0.42083333333333334</v>
      </c>
      <c r="H4316" s="28">
        <v>0.42083333333333334</v>
      </c>
      <c r="I4316">
        <v>0</v>
      </c>
      <c r="J4316" t="s">
        <v>174</v>
      </c>
      <c r="K4316">
        <v>0</v>
      </c>
      <c r="L4316" t="s">
        <v>6315</v>
      </c>
      <c r="M4316" t="s">
        <v>10898</v>
      </c>
      <c r="N4316" t="s">
        <v>10899</v>
      </c>
      <c r="O4316" t="s">
        <v>10900</v>
      </c>
      <c r="P4316" t="s">
        <v>10901</v>
      </c>
    </row>
    <row r="4317" spans="1:16" x14ac:dyDescent="0.35">
      <c r="A4317" t="s">
        <v>106</v>
      </c>
      <c r="B4317">
        <v>1324725648</v>
      </c>
      <c r="C4317" t="s">
        <v>18</v>
      </c>
      <c r="D4317" t="s">
        <v>21</v>
      </c>
      <c r="E4317" s="29">
        <v>46207</v>
      </c>
      <c r="F4317" t="s">
        <v>5</v>
      </c>
      <c r="G4317" s="28">
        <v>0.42777777777777776</v>
      </c>
      <c r="H4317" s="28">
        <v>0.42777777777777776</v>
      </c>
      <c r="I4317">
        <v>0</v>
      </c>
      <c r="J4317" t="s">
        <v>174</v>
      </c>
      <c r="K4317">
        <v>0</v>
      </c>
      <c r="L4317" t="s">
        <v>10902</v>
      </c>
      <c r="M4317" t="s">
        <v>10903</v>
      </c>
      <c r="N4317" t="s">
        <v>10904</v>
      </c>
      <c r="O4317" t="s">
        <v>10905</v>
      </c>
      <c r="P4317" t="s">
        <v>10906</v>
      </c>
    </row>
    <row r="4318" spans="1:16" x14ac:dyDescent="0.35">
      <c r="A4318" t="s">
        <v>106</v>
      </c>
      <c r="B4318">
        <v>1324725648</v>
      </c>
      <c r="C4318" t="s">
        <v>18</v>
      </c>
      <c r="D4318" t="s">
        <v>21</v>
      </c>
      <c r="E4318" s="29">
        <v>46207</v>
      </c>
      <c r="F4318" t="s">
        <v>5</v>
      </c>
      <c r="G4318" s="28">
        <v>0.43472222222222223</v>
      </c>
      <c r="H4318" s="28">
        <v>0.43472222222222223</v>
      </c>
      <c r="I4318">
        <v>0</v>
      </c>
      <c r="J4318" t="s">
        <v>174</v>
      </c>
      <c r="K4318">
        <v>0</v>
      </c>
      <c r="L4318" t="s">
        <v>966</v>
      </c>
      <c r="M4318" t="s">
        <v>10907</v>
      </c>
      <c r="N4318" t="s">
        <v>10908</v>
      </c>
      <c r="O4318" t="s">
        <v>10909</v>
      </c>
      <c r="P4318" t="s">
        <v>10910</v>
      </c>
    </row>
    <row r="4319" spans="1:16" x14ac:dyDescent="0.35">
      <c r="A4319" t="s">
        <v>106</v>
      </c>
      <c r="B4319">
        <v>1324725648</v>
      </c>
      <c r="C4319" t="s">
        <v>18</v>
      </c>
      <c r="D4319" t="s">
        <v>21</v>
      </c>
      <c r="E4319" s="29">
        <v>46207</v>
      </c>
      <c r="F4319" t="s">
        <v>5</v>
      </c>
      <c r="G4319" s="28">
        <v>0.44166666666666665</v>
      </c>
      <c r="H4319" s="28">
        <v>0.44166666666666665</v>
      </c>
      <c r="I4319">
        <v>0</v>
      </c>
      <c r="J4319" t="s">
        <v>174</v>
      </c>
      <c r="K4319">
        <v>0</v>
      </c>
      <c r="L4319" t="s">
        <v>8791</v>
      </c>
      <c r="M4319" t="s">
        <v>10911</v>
      </c>
      <c r="N4319" t="s">
        <v>10912</v>
      </c>
      <c r="O4319" t="s">
        <v>10913</v>
      </c>
      <c r="P4319" t="s">
        <v>10914</v>
      </c>
    </row>
    <row r="4320" spans="1:16" x14ac:dyDescent="0.35">
      <c r="A4320" t="s">
        <v>106</v>
      </c>
      <c r="B4320">
        <v>1324725648</v>
      </c>
      <c r="C4320" t="s">
        <v>18</v>
      </c>
      <c r="D4320" t="s">
        <v>21</v>
      </c>
      <c r="E4320" s="29">
        <v>46207</v>
      </c>
      <c r="F4320" t="s">
        <v>5</v>
      </c>
      <c r="G4320" s="28">
        <v>0.44861111111111113</v>
      </c>
      <c r="H4320" s="28">
        <v>0.44861111111111113</v>
      </c>
      <c r="I4320">
        <v>0</v>
      </c>
      <c r="J4320" t="s">
        <v>174</v>
      </c>
      <c r="K4320">
        <v>0</v>
      </c>
      <c r="L4320" t="s">
        <v>2879</v>
      </c>
      <c r="M4320" t="s">
        <v>10915</v>
      </c>
      <c r="N4320" t="s">
        <v>10916</v>
      </c>
      <c r="O4320" t="s">
        <v>10917</v>
      </c>
      <c r="P4320" t="s">
        <v>10918</v>
      </c>
    </row>
    <row r="4321" spans="1:16" x14ac:dyDescent="0.35">
      <c r="A4321" t="s">
        <v>106</v>
      </c>
      <c r="B4321">
        <v>1324725648</v>
      </c>
      <c r="C4321" t="s">
        <v>18</v>
      </c>
      <c r="D4321" t="s">
        <v>21</v>
      </c>
      <c r="E4321" s="29">
        <v>46207</v>
      </c>
      <c r="F4321" t="s">
        <v>5</v>
      </c>
      <c r="G4321" s="28">
        <v>0.45555555555555555</v>
      </c>
      <c r="H4321" s="28">
        <v>0.58750000000000002</v>
      </c>
      <c r="I4321">
        <v>3</v>
      </c>
      <c r="J4321" t="s">
        <v>146</v>
      </c>
      <c r="K4321">
        <v>10</v>
      </c>
      <c r="L4321" t="s">
        <v>147</v>
      </c>
      <c r="M4321" t="s">
        <v>10919</v>
      </c>
      <c r="N4321" t="s">
        <v>10920</v>
      </c>
      <c r="O4321" t="s">
        <v>10921</v>
      </c>
      <c r="P4321" t="s">
        <v>10922</v>
      </c>
    </row>
    <row r="4322" spans="1:16" x14ac:dyDescent="0.35">
      <c r="A4322" t="s">
        <v>106</v>
      </c>
      <c r="B4322">
        <v>1324725648</v>
      </c>
      <c r="C4322" t="s">
        <v>18</v>
      </c>
      <c r="D4322" t="s">
        <v>21</v>
      </c>
      <c r="E4322" s="29">
        <v>46207</v>
      </c>
      <c r="F4322" t="s">
        <v>5</v>
      </c>
      <c r="G4322" s="28">
        <v>0.59444444444444444</v>
      </c>
      <c r="H4322" s="28">
        <v>0.59444444444444444</v>
      </c>
      <c r="I4322">
        <v>0</v>
      </c>
      <c r="J4322" t="s">
        <v>174</v>
      </c>
      <c r="K4322">
        <v>0</v>
      </c>
      <c r="L4322" t="s">
        <v>1302</v>
      </c>
      <c r="M4322" t="s">
        <v>10923</v>
      </c>
      <c r="N4322" t="s">
        <v>10924</v>
      </c>
      <c r="O4322" t="s">
        <v>10925</v>
      </c>
      <c r="P4322" t="s">
        <v>10926</v>
      </c>
    </row>
    <row r="4323" spans="1:16" x14ac:dyDescent="0.35">
      <c r="A4323" t="s">
        <v>106</v>
      </c>
      <c r="B4323">
        <v>1324725648</v>
      </c>
      <c r="C4323" t="s">
        <v>18</v>
      </c>
      <c r="D4323" t="s">
        <v>21</v>
      </c>
      <c r="E4323" s="29">
        <v>46207</v>
      </c>
      <c r="F4323" t="s">
        <v>5</v>
      </c>
      <c r="G4323" s="28">
        <v>0.60138888888888886</v>
      </c>
      <c r="H4323" s="28">
        <v>0.60138888888888886</v>
      </c>
      <c r="I4323">
        <v>0</v>
      </c>
      <c r="J4323" t="s">
        <v>174</v>
      </c>
      <c r="K4323">
        <v>0</v>
      </c>
      <c r="L4323" t="s">
        <v>10927</v>
      </c>
      <c r="M4323" t="s">
        <v>10928</v>
      </c>
      <c r="N4323" t="s">
        <v>10929</v>
      </c>
      <c r="O4323" t="s">
        <v>10930</v>
      </c>
      <c r="P4323" t="s">
        <v>10931</v>
      </c>
    </row>
    <row r="4324" spans="1:16" x14ac:dyDescent="0.35">
      <c r="A4324" t="s">
        <v>106</v>
      </c>
      <c r="B4324">
        <v>1324725648</v>
      </c>
      <c r="C4324" t="s">
        <v>18</v>
      </c>
      <c r="D4324" t="s">
        <v>21</v>
      </c>
      <c r="E4324" s="29">
        <v>46207</v>
      </c>
      <c r="F4324" t="s">
        <v>5</v>
      </c>
      <c r="G4324" s="28">
        <v>0.60833333333333328</v>
      </c>
      <c r="H4324" s="28">
        <v>0.62222222222222223</v>
      </c>
      <c r="I4324">
        <v>0</v>
      </c>
      <c r="J4324" t="s">
        <v>146</v>
      </c>
      <c r="K4324">
        <v>1</v>
      </c>
      <c r="L4324" t="s">
        <v>147</v>
      </c>
      <c r="M4324" t="s">
        <v>10932</v>
      </c>
      <c r="N4324" t="s">
        <v>10933</v>
      </c>
      <c r="O4324" t="s">
        <v>10934</v>
      </c>
      <c r="P4324" t="s">
        <v>6722</v>
      </c>
    </row>
    <row r="4325" spans="1:16" x14ac:dyDescent="0.35">
      <c r="A4325" t="s">
        <v>106</v>
      </c>
      <c r="B4325">
        <v>1324725648</v>
      </c>
      <c r="C4325" t="s">
        <v>18</v>
      </c>
      <c r="D4325" t="s">
        <v>21</v>
      </c>
      <c r="E4325" s="29">
        <v>46207</v>
      </c>
      <c r="F4325" t="s">
        <v>5</v>
      </c>
      <c r="G4325" s="28">
        <v>0.62916666666666665</v>
      </c>
      <c r="H4325" s="28">
        <v>0.63611111111111107</v>
      </c>
      <c r="I4325">
        <v>0</v>
      </c>
      <c r="J4325" t="s">
        <v>146</v>
      </c>
      <c r="K4325">
        <v>0</v>
      </c>
      <c r="L4325" t="s">
        <v>147</v>
      </c>
      <c r="M4325" t="s">
        <v>10935</v>
      </c>
      <c r="N4325" t="s">
        <v>10936</v>
      </c>
      <c r="O4325" t="s">
        <v>10937</v>
      </c>
      <c r="P4325" t="s">
        <v>10938</v>
      </c>
    </row>
    <row r="4326" spans="1:16" x14ac:dyDescent="0.35">
      <c r="A4326" t="s">
        <v>106</v>
      </c>
      <c r="B4326">
        <v>1324725648</v>
      </c>
      <c r="C4326" t="s">
        <v>18</v>
      </c>
      <c r="D4326" t="s">
        <v>21</v>
      </c>
      <c r="E4326" s="29">
        <v>46207</v>
      </c>
      <c r="F4326" t="s">
        <v>5</v>
      </c>
      <c r="G4326" s="28">
        <v>0.6430555555555556</v>
      </c>
      <c r="H4326" s="28">
        <v>0.6430555555555556</v>
      </c>
      <c r="I4326">
        <v>0</v>
      </c>
      <c r="J4326" t="s">
        <v>174</v>
      </c>
      <c r="K4326">
        <v>0</v>
      </c>
      <c r="L4326" t="s">
        <v>10927</v>
      </c>
      <c r="M4326" t="s">
        <v>10928</v>
      </c>
      <c r="N4326" t="s">
        <v>10929</v>
      </c>
      <c r="O4326" t="s">
        <v>10930</v>
      </c>
      <c r="P4326" t="s">
        <v>10931</v>
      </c>
    </row>
    <row r="4327" spans="1:16" x14ac:dyDescent="0.35">
      <c r="A4327" t="s">
        <v>106</v>
      </c>
      <c r="B4327">
        <v>1324725648</v>
      </c>
      <c r="C4327" t="s">
        <v>18</v>
      </c>
      <c r="D4327" t="s">
        <v>21</v>
      </c>
      <c r="E4327" s="29">
        <v>46207</v>
      </c>
      <c r="F4327" t="s">
        <v>5</v>
      </c>
      <c r="G4327" s="28">
        <v>0.65</v>
      </c>
      <c r="H4327" s="28">
        <v>0.66388888888888886</v>
      </c>
      <c r="I4327">
        <v>0</v>
      </c>
      <c r="J4327" t="s">
        <v>146</v>
      </c>
      <c r="K4327">
        <v>1</v>
      </c>
      <c r="L4327" t="s">
        <v>147</v>
      </c>
      <c r="M4327" t="s">
        <v>10932</v>
      </c>
      <c r="N4327" t="s">
        <v>10933</v>
      </c>
      <c r="O4327" t="s">
        <v>10934</v>
      </c>
      <c r="P4327" t="s">
        <v>6722</v>
      </c>
    </row>
    <row r="4328" spans="1:16" x14ac:dyDescent="0.35">
      <c r="A4328" t="s">
        <v>106</v>
      </c>
      <c r="B4328">
        <v>1324725648</v>
      </c>
      <c r="C4328" t="s">
        <v>18</v>
      </c>
      <c r="D4328" t="s">
        <v>21</v>
      </c>
      <c r="E4328" s="29">
        <v>46207</v>
      </c>
      <c r="F4328" t="s">
        <v>5</v>
      </c>
      <c r="G4328" s="28">
        <v>0.67083333333333328</v>
      </c>
      <c r="H4328" s="28">
        <v>0.67083333333333328</v>
      </c>
      <c r="I4328">
        <v>0</v>
      </c>
      <c r="J4328" t="s">
        <v>174</v>
      </c>
      <c r="K4328">
        <v>0</v>
      </c>
      <c r="L4328" t="s">
        <v>2466</v>
      </c>
      <c r="M4328" t="s">
        <v>10939</v>
      </c>
      <c r="N4328" t="s">
        <v>10809</v>
      </c>
      <c r="O4328" t="s">
        <v>10810</v>
      </c>
      <c r="P4328" t="s">
        <v>10811</v>
      </c>
    </row>
    <row r="4329" spans="1:16" x14ac:dyDescent="0.35">
      <c r="A4329" t="s">
        <v>106</v>
      </c>
      <c r="B4329">
        <v>1324725648</v>
      </c>
      <c r="C4329" t="s">
        <v>18</v>
      </c>
      <c r="D4329" t="s">
        <v>21</v>
      </c>
      <c r="E4329" s="29">
        <v>46207</v>
      </c>
      <c r="F4329" t="s">
        <v>5</v>
      </c>
      <c r="G4329" s="28">
        <v>0.67777777777777781</v>
      </c>
      <c r="H4329" s="28">
        <v>0.67777777777777781</v>
      </c>
      <c r="I4329">
        <v>0</v>
      </c>
      <c r="J4329" t="s">
        <v>174</v>
      </c>
      <c r="K4329">
        <v>0</v>
      </c>
      <c r="L4329" t="s">
        <v>2466</v>
      </c>
      <c r="M4329" t="s">
        <v>10940</v>
      </c>
      <c r="N4329" t="s">
        <v>10941</v>
      </c>
      <c r="O4329" t="s">
        <v>10942</v>
      </c>
      <c r="P4329" t="s">
        <v>10943</v>
      </c>
    </row>
    <row r="4330" spans="1:16" x14ac:dyDescent="0.35">
      <c r="A4330" t="s">
        <v>106</v>
      </c>
      <c r="B4330">
        <v>1324725648</v>
      </c>
      <c r="C4330" t="s">
        <v>18</v>
      </c>
      <c r="D4330" t="s">
        <v>21</v>
      </c>
      <c r="E4330" s="29">
        <v>46207</v>
      </c>
      <c r="F4330" t="s">
        <v>5</v>
      </c>
      <c r="G4330" s="28">
        <v>0.68472222222222223</v>
      </c>
      <c r="H4330" s="28">
        <v>0.78194444444444444</v>
      </c>
      <c r="I4330">
        <v>2</v>
      </c>
      <c r="J4330" t="s">
        <v>146</v>
      </c>
      <c r="K4330">
        <v>7</v>
      </c>
      <c r="L4330" t="s">
        <v>147</v>
      </c>
      <c r="M4330" t="s">
        <v>10939</v>
      </c>
      <c r="N4330" t="s">
        <v>10809</v>
      </c>
      <c r="O4330" t="s">
        <v>10810</v>
      </c>
      <c r="P4330" t="s">
        <v>10811</v>
      </c>
    </row>
    <row r="4331" spans="1:16" x14ac:dyDescent="0.35">
      <c r="A4331" t="s">
        <v>106</v>
      </c>
      <c r="B4331">
        <v>1324725648</v>
      </c>
      <c r="C4331" t="s">
        <v>18</v>
      </c>
      <c r="D4331" t="s">
        <v>21</v>
      </c>
      <c r="E4331" s="29">
        <v>46207</v>
      </c>
      <c r="F4331" t="s">
        <v>5</v>
      </c>
      <c r="G4331" s="28">
        <v>0.78888888888888886</v>
      </c>
      <c r="H4331" s="28">
        <v>0.78888888888888886</v>
      </c>
      <c r="I4331">
        <v>0</v>
      </c>
      <c r="J4331" t="s">
        <v>174</v>
      </c>
      <c r="K4331">
        <v>0</v>
      </c>
      <c r="L4331" t="s">
        <v>6934</v>
      </c>
      <c r="M4331" t="s">
        <v>10812</v>
      </c>
      <c r="N4331" t="s">
        <v>10813</v>
      </c>
      <c r="O4331" t="s">
        <v>10814</v>
      </c>
      <c r="P4331" t="s">
        <v>10815</v>
      </c>
    </row>
    <row r="4332" spans="1:16" x14ac:dyDescent="0.35">
      <c r="A4332" t="s">
        <v>106</v>
      </c>
      <c r="B4332">
        <v>1324725648</v>
      </c>
      <c r="C4332" t="s">
        <v>18</v>
      </c>
      <c r="D4332" t="s">
        <v>21</v>
      </c>
      <c r="E4332" s="29">
        <v>46208</v>
      </c>
      <c r="F4332" t="s">
        <v>6</v>
      </c>
      <c r="G4332" s="28">
        <v>0.39305555555555555</v>
      </c>
      <c r="H4332" s="28">
        <v>0.39305555555555555</v>
      </c>
      <c r="I4332">
        <v>0</v>
      </c>
      <c r="J4332" t="s">
        <v>174</v>
      </c>
      <c r="K4332">
        <v>0</v>
      </c>
      <c r="L4332" t="s">
        <v>2128</v>
      </c>
      <c r="M4332" t="s">
        <v>10944</v>
      </c>
      <c r="N4332" t="s">
        <v>10945</v>
      </c>
      <c r="O4332" t="s">
        <v>10946</v>
      </c>
      <c r="P4332" t="s">
        <v>10947</v>
      </c>
    </row>
    <row r="4333" spans="1:16" x14ac:dyDescent="0.35">
      <c r="A4333" t="s">
        <v>106</v>
      </c>
      <c r="B4333">
        <v>1324725648</v>
      </c>
      <c r="C4333" t="s">
        <v>18</v>
      </c>
      <c r="D4333" t="s">
        <v>21</v>
      </c>
      <c r="E4333" s="29">
        <v>46208</v>
      </c>
      <c r="F4333" t="s">
        <v>6</v>
      </c>
      <c r="G4333" s="28">
        <v>0.4</v>
      </c>
      <c r="H4333" s="28">
        <v>0.53888888888888886</v>
      </c>
      <c r="I4333">
        <v>3</v>
      </c>
      <c r="J4333" t="s">
        <v>146</v>
      </c>
      <c r="K4333">
        <v>10</v>
      </c>
      <c r="L4333" t="s">
        <v>147</v>
      </c>
      <c r="M4333" t="s">
        <v>10948</v>
      </c>
      <c r="N4333" t="s">
        <v>10949</v>
      </c>
      <c r="O4333" t="s">
        <v>10950</v>
      </c>
      <c r="P4333" t="s">
        <v>10951</v>
      </c>
    </row>
    <row r="4334" spans="1:16" x14ac:dyDescent="0.35">
      <c r="A4334" t="s">
        <v>106</v>
      </c>
      <c r="B4334">
        <v>1324725648</v>
      </c>
      <c r="C4334" t="s">
        <v>18</v>
      </c>
      <c r="D4334" t="s">
        <v>21</v>
      </c>
      <c r="E4334" s="29">
        <v>46208</v>
      </c>
      <c r="F4334" t="s">
        <v>6</v>
      </c>
      <c r="G4334" s="28">
        <v>0.54583333333333328</v>
      </c>
      <c r="H4334" s="28">
        <v>0.55277777777777781</v>
      </c>
      <c r="I4334">
        <v>0</v>
      </c>
      <c r="J4334" t="s">
        <v>146</v>
      </c>
      <c r="K4334">
        <v>1</v>
      </c>
      <c r="L4334" t="s">
        <v>147</v>
      </c>
      <c r="M4334" t="s">
        <v>10886</v>
      </c>
      <c r="N4334" t="s">
        <v>10887</v>
      </c>
      <c r="O4334" t="s">
        <v>10888</v>
      </c>
      <c r="P4334" t="s">
        <v>10889</v>
      </c>
    </row>
    <row r="4335" spans="1:16" x14ac:dyDescent="0.35">
      <c r="A4335" t="s">
        <v>106</v>
      </c>
      <c r="B4335">
        <v>1324725648</v>
      </c>
      <c r="C4335" t="s">
        <v>18</v>
      </c>
      <c r="D4335" t="s">
        <v>21</v>
      </c>
      <c r="E4335" s="29">
        <v>46208</v>
      </c>
      <c r="F4335" t="s">
        <v>6</v>
      </c>
      <c r="G4335" s="28">
        <v>0.55972222222222223</v>
      </c>
      <c r="H4335" s="28">
        <v>0.55972222222222223</v>
      </c>
      <c r="I4335">
        <v>0</v>
      </c>
      <c r="J4335" t="s">
        <v>174</v>
      </c>
      <c r="K4335">
        <v>0</v>
      </c>
      <c r="L4335" t="s">
        <v>2772</v>
      </c>
      <c r="M4335" t="s">
        <v>10952</v>
      </c>
      <c r="N4335" t="s">
        <v>10953</v>
      </c>
      <c r="O4335" t="s">
        <v>10954</v>
      </c>
      <c r="P4335" t="s">
        <v>10955</v>
      </c>
    </row>
    <row r="4336" spans="1:16" x14ac:dyDescent="0.35">
      <c r="A4336" t="s">
        <v>106</v>
      </c>
      <c r="B4336">
        <v>1324725648</v>
      </c>
      <c r="C4336" t="s">
        <v>18</v>
      </c>
      <c r="D4336" t="s">
        <v>21</v>
      </c>
      <c r="E4336" s="29">
        <v>46208</v>
      </c>
      <c r="F4336" t="s">
        <v>6</v>
      </c>
      <c r="G4336" s="28">
        <v>0.56666666666666665</v>
      </c>
      <c r="H4336" s="28">
        <v>0.56666666666666665</v>
      </c>
      <c r="I4336">
        <v>0</v>
      </c>
      <c r="J4336" t="s">
        <v>174</v>
      </c>
      <c r="K4336">
        <v>0</v>
      </c>
      <c r="L4336" t="s">
        <v>614</v>
      </c>
      <c r="M4336" t="s">
        <v>10886</v>
      </c>
      <c r="N4336" t="s">
        <v>10887</v>
      </c>
      <c r="O4336" t="s">
        <v>10888</v>
      </c>
      <c r="P4336" t="s">
        <v>10889</v>
      </c>
    </row>
    <row r="4337" spans="1:16" x14ac:dyDescent="0.35">
      <c r="A4337" t="s">
        <v>106</v>
      </c>
      <c r="B4337">
        <v>1324725648</v>
      </c>
      <c r="C4337" t="s">
        <v>18</v>
      </c>
      <c r="D4337" t="s">
        <v>21</v>
      </c>
      <c r="E4337" s="29">
        <v>46208</v>
      </c>
      <c r="F4337" t="s">
        <v>6</v>
      </c>
      <c r="G4337" s="28">
        <v>0.57361111111111107</v>
      </c>
      <c r="H4337" s="28">
        <v>0.57361111111111107</v>
      </c>
      <c r="I4337">
        <v>0</v>
      </c>
      <c r="J4337" t="s">
        <v>174</v>
      </c>
      <c r="K4337">
        <v>0</v>
      </c>
      <c r="L4337" t="s">
        <v>7742</v>
      </c>
      <c r="M4337" t="s">
        <v>10956</v>
      </c>
      <c r="N4337" t="s">
        <v>10957</v>
      </c>
      <c r="O4337" t="s">
        <v>10958</v>
      </c>
      <c r="P4337" t="s">
        <v>10959</v>
      </c>
    </row>
    <row r="4338" spans="1:16" x14ac:dyDescent="0.35">
      <c r="A4338" t="s">
        <v>106</v>
      </c>
      <c r="B4338">
        <v>1324725648</v>
      </c>
      <c r="C4338" t="s">
        <v>18</v>
      </c>
      <c r="D4338" t="s">
        <v>21</v>
      </c>
      <c r="E4338" s="29">
        <v>46208</v>
      </c>
      <c r="F4338" t="s">
        <v>6</v>
      </c>
      <c r="G4338" s="28">
        <v>0.5805555555555556</v>
      </c>
      <c r="H4338" s="28">
        <v>0.59444444444444444</v>
      </c>
      <c r="I4338">
        <v>0</v>
      </c>
      <c r="J4338" t="s">
        <v>146</v>
      </c>
      <c r="K4338">
        <v>1</v>
      </c>
      <c r="L4338" t="s">
        <v>147</v>
      </c>
      <c r="M4338" t="s">
        <v>10960</v>
      </c>
      <c r="N4338" t="s">
        <v>10895</v>
      </c>
      <c r="O4338" t="s">
        <v>10896</v>
      </c>
      <c r="P4338" t="s">
        <v>10897</v>
      </c>
    </row>
    <row r="4339" spans="1:16" x14ac:dyDescent="0.35">
      <c r="A4339" t="s">
        <v>106</v>
      </c>
      <c r="B4339">
        <v>1324725648</v>
      </c>
      <c r="C4339" t="s">
        <v>18</v>
      </c>
      <c r="D4339" t="s">
        <v>21</v>
      </c>
      <c r="E4339" s="29">
        <v>46208</v>
      </c>
      <c r="F4339" t="s">
        <v>6</v>
      </c>
      <c r="G4339" s="28">
        <v>0.60138888888888886</v>
      </c>
      <c r="H4339" s="28">
        <v>0.60138888888888886</v>
      </c>
      <c r="I4339">
        <v>0</v>
      </c>
      <c r="J4339" t="s">
        <v>174</v>
      </c>
      <c r="K4339">
        <v>0</v>
      </c>
      <c r="L4339" t="s">
        <v>10961</v>
      </c>
      <c r="M4339" t="s">
        <v>10962</v>
      </c>
      <c r="N4339" t="s">
        <v>10963</v>
      </c>
      <c r="O4339" t="s">
        <v>10964</v>
      </c>
      <c r="P4339" t="s">
        <v>10965</v>
      </c>
    </row>
    <row r="4340" spans="1:16" x14ac:dyDescent="0.35">
      <c r="A4340" t="s">
        <v>106</v>
      </c>
      <c r="B4340">
        <v>1324725648</v>
      </c>
      <c r="C4340" t="s">
        <v>18</v>
      </c>
      <c r="D4340" t="s">
        <v>21</v>
      </c>
      <c r="E4340" s="29">
        <v>46208</v>
      </c>
      <c r="F4340" t="s">
        <v>6</v>
      </c>
      <c r="G4340" s="28">
        <v>0.60833333333333328</v>
      </c>
      <c r="H4340" s="28">
        <v>0.65</v>
      </c>
      <c r="I4340">
        <v>1</v>
      </c>
      <c r="J4340" t="s">
        <v>146</v>
      </c>
      <c r="K4340">
        <v>3</v>
      </c>
      <c r="L4340" t="s">
        <v>147</v>
      </c>
      <c r="M4340" t="s">
        <v>10966</v>
      </c>
      <c r="N4340" t="s">
        <v>10967</v>
      </c>
      <c r="O4340" t="s">
        <v>10968</v>
      </c>
      <c r="P4340" t="s">
        <v>10969</v>
      </c>
    </row>
    <row r="4341" spans="1:16" x14ac:dyDescent="0.35">
      <c r="A4341" t="s">
        <v>106</v>
      </c>
      <c r="B4341">
        <v>1324725648</v>
      </c>
      <c r="C4341" t="s">
        <v>18</v>
      </c>
      <c r="D4341" t="s">
        <v>21</v>
      </c>
      <c r="E4341" s="29">
        <v>46208</v>
      </c>
      <c r="F4341" t="s">
        <v>6</v>
      </c>
      <c r="G4341" s="28">
        <v>0.65694444444444444</v>
      </c>
      <c r="H4341" s="28">
        <v>0.65694444444444444</v>
      </c>
      <c r="I4341">
        <v>0</v>
      </c>
      <c r="J4341" t="s">
        <v>174</v>
      </c>
      <c r="K4341">
        <v>0</v>
      </c>
      <c r="L4341" t="s">
        <v>293</v>
      </c>
      <c r="M4341" t="s">
        <v>10970</v>
      </c>
      <c r="N4341" t="s">
        <v>10971</v>
      </c>
      <c r="O4341" t="s">
        <v>10972</v>
      </c>
      <c r="P4341" t="s">
        <v>10973</v>
      </c>
    </row>
    <row r="4342" spans="1:16" x14ac:dyDescent="0.35">
      <c r="A4342" t="s">
        <v>106</v>
      </c>
      <c r="B4342">
        <v>1324725648</v>
      </c>
      <c r="C4342" t="s">
        <v>18</v>
      </c>
      <c r="D4342" t="s">
        <v>21</v>
      </c>
      <c r="E4342" s="29">
        <v>46208</v>
      </c>
      <c r="F4342" t="s">
        <v>6</v>
      </c>
      <c r="G4342" s="28">
        <v>0.66388888888888886</v>
      </c>
      <c r="H4342" s="28">
        <v>0.69861111111111107</v>
      </c>
      <c r="I4342">
        <v>1</v>
      </c>
      <c r="J4342" t="s">
        <v>146</v>
      </c>
      <c r="K4342">
        <v>2</v>
      </c>
      <c r="L4342" t="s">
        <v>147</v>
      </c>
      <c r="M4342" t="s">
        <v>10962</v>
      </c>
      <c r="N4342" t="s">
        <v>10963</v>
      </c>
      <c r="O4342" t="s">
        <v>10964</v>
      </c>
      <c r="P4342" t="s">
        <v>10965</v>
      </c>
    </row>
    <row r="4343" spans="1:16" x14ac:dyDescent="0.35">
      <c r="A4343" t="s">
        <v>106</v>
      </c>
      <c r="B4343">
        <v>1324725648</v>
      </c>
      <c r="C4343" t="s">
        <v>18</v>
      </c>
      <c r="D4343" t="s">
        <v>21</v>
      </c>
      <c r="E4343" s="29">
        <v>46208</v>
      </c>
      <c r="F4343" t="s">
        <v>6</v>
      </c>
      <c r="G4343" s="28">
        <v>0.7055555555555556</v>
      </c>
      <c r="H4343" s="28">
        <v>0.7055555555555556</v>
      </c>
      <c r="I4343">
        <v>0</v>
      </c>
      <c r="J4343" t="s">
        <v>174</v>
      </c>
      <c r="K4343">
        <v>0</v>
      </c>
      <c r="L4343" t="s">
        <v>8796</v>
      </c>
      <c r="M4343" t="s">
        <v>10974</v>
      </c>
      <c r="N4343" t="s">
        <v>10971</v>
      </c>
      <c r="O4343" t="s">
        <v>10972</v>
      </c>
      <c r="P4343" t="s">
        <v>10973</v>
      </c>
    </row>
    <row r="4344" spans="1:16" x14ac:dyDescent="0.35">
      <c r="A4344" t="s">
        <v>106</v>
      </c>
      <c r="B4344">
        <v>1324725648</v>
      </c>
      <c r="C4344" t="s">
        <v>18</v>
      </c>
      <c r="D4344" t="s">
        <v>21</v>
      </c>
      <c r="E4344" s="29">
        <v>46208</v>
      </c>
      <c r="F4344" t="s">
        <v>6</v>
      </c>
      <c r="G4344" s="28">
        <v>0.71250000000000002</v>
      </c>
      <c r="H4344" s="28">
        <v>0.71250000000000002</v>
      </c>
      <c r="I4344">
        <v>0</v>
      </c>
      <c r="J4344" t="s">
        <v>174</v>
      </c>
      <c r="K4344">
        <v>0</v>
      </c>
      <c r="L4344" t="s">
        <v>10975</v>
      </c>
      <c r="M4344" t="s">
        <v>10894</v>
      </c>
      <c r="N4344" t="s">
        <v>10895</v>
      </c>
      <c r="O4344" t="s">
        <v>10896</v>
      </c>
      <c r="P4344" t="s">
        <v>10897</v>
      </c>
    </row>
    <row r="4345" spans="1:16" x14ac:dyDescent="0.35">
      <c r="A4345" t="s">
        <v>106</v>
      </c>
      <c r="B4345">
        <v>1324725648</v>
      </c>
      <c r="C4345" t="s">
        <v>18</v>
      </c>
      <c r="D4345" t="s">
        <v>21</v>
      </c>
      <c r="E4345" s="29">
        <v>46208</v>
      </c>
      <c r="F4345" t="s">
        <v>6</v>
      </c>
      <c r="G4345" s="28">
        <v>0.71944444444444444</v>
      </c>
      <c r="H4345" s="28">
        <v>0.71944444444444444</v>
      </c>
      <c r="I4345">
        <v>0</v>
      </c>
      <c r="J4345" t="s">
        <v>174</v>
      </c>
      <c r="K4345">
        <v>0</v>
      </c>
      <c r="L4345" t="s">
        <v>10976</v>
      </c>
      <c r="M4345" t="s">
        <v>10977</v>
      </c>
      <c r="N4345" t="s">
        <v>10978</v>
      </c>
      <c r="O4345" t="s">
        <v>10979</v>
      </c>
      <c r="P4345" t="s">
        <v>10980</v>
      </c>
    </row>
    <row r="4346" spans="1:16" x14ac:dyDescent="0.35">
      <c r="A4346" t="s">
        <v>106</v>
      </c>
      <c r="B4346">
        <v>1324725648</v>
      </c>
      <c r="C4346" t="s">
        <v>18</v>
      </c>
      <c r="D4346" t="s">
        <v>21</v>
      </c>
      <c r="E4346" s="29">
        <v>46208</v>
      </c>
      <c r="F4346" t="s">
        <v>6</v>
      </c>
      <c r="G4346" s="28">
        <v>0.7680555555555556</v>
      </c>
      <c r="H4346" s="28">
        <v>0.99027777777777781</v>
      </c>
      <c r="I4346">
        <v>5</v>
      </c>
      <c r="J4346" t="s">
        <v>146</v>
      </c>
      <c r="K4346">
        <v>16</v>
      </c>
      <c r="L4346" t="s">
        <v>147</v>
      </c>
      <c r="M4346" t="s">
        <v>152</v>
      </c>
      <c r="N4346" t="s">
        <v>162</v>
      </c>
      <c r="O4346" t="s">
        <v>163</v>
      </c>
      <c r="P4346" t="s">
        <v>153</v>
      </c>
    </row>
    <row r="4347" spans="1:16" x14ac:dyDescent="0.35">
      <c r="A4347" t="s">
        <v>115</v>
      </c>
      <c r="B4347">
        <v>1335197835</v>
      </c>
      <c r="C4347" t="s">
        <v>18</v>
      </c>
      <c r="D4347" t="s">
        <v>20</v>
      </c>
      <c r="E4347" s="29">
        <v>46204</v>
      </c>
      <c r="F4347" t="s">
        <v>3</v>
      </c>
      <c r="G4347" s="28">
        <v>0.38124999999999998</v>
      </c>
      <c r="H4347" s="28">
        <v>0.46458333333333335</v>
      </c>
      <c r="I4347">
        <v>2</v>
      </c>
      <c r="J4347" t="s">
        <v>146</v>
      </c>
      <c r="K4347">
        <v>6</v>
      </c>
      <c r="L4347" t="s">
        <v>147</v>
      </c>
      <c r="M4347" t="s">
        <v>10981</v>
      </c>
      <c r="N4347" t="s">
        <v>10982</v>
      </c>
      <c r="O4347" t="s">
        <v>10983</v>
      </c>
      <c r="P4347" t="s">
        <v>10984</v>
      </c>
    </row>
    <row r="4348" spans="1:16" x14ac:dyDescent="0.35">
      <c r="A4348" t="s">
        <v>115</v>
      </c>
      <c r="B4348">
        <v>1335197835</v>
      </c>
      <c r="C4348" t="s">
        <v>18</v>
      </c>
      <c r="D4348" t="s">
        <v>20</v>
      </c>
      <c r="E4348" s="29">
        <v>46204</v>
      </c>
      <c r="F4348" t="s">
        <v>3</v>
      </c>
      <c r="G4348" s="28">
        <v>0.47152777777777777</v>
      </c>
      <c r="H4348" s="28">
        <v>0.47847222222222224</v>
      </c>
      <c r="I4348">
        <v>0</v>
      </c>
      <c r="J4348" t="s">
        <v>146</v>
      </c>
      <c r="K4348">
        <v>1</v>
      </c>
      <c r="L4348" t="s">
        <v>147</v>
      </c>
      <c r="M4348" t="s">
        <v>10985</v>
      </c>
      <c r="N4348" t="s">
        <v>10986</v>
      </c>
      <c r="O4348" t="s">
        <v>10987</v>
      </c>
      <c r="P4348" t="s">
        <v>10988</v>
      </c>
    </row>
    <row r="4349" spans="1:16" x14ac:dyDescent="0.35">
      <c r="A4349" t="s">
        <v>115</v>
      </c>
      <c r="B4349">
        <v>1335197835</v>
      </c>
      <c r="C4349" t="s">
        <v>18</v>
      </c>
      <c r="D4349" t="s">
        <v>20</v>
      </c>
      <c r="E4349" s="29">
        <v>46204</v>
      </c>
      <c r="F4349" t="s">
        <v>3</v>
      </c>
      <c r="G4349" s="28">
        <v>0.48541666666666666</v>
      </c>
      <c r="H4349" s="28">
        <v>0.48541666666666666</v>
      </c>
      <c r="I4349">
        <v>0</v>
      </c>
      <c r="J4349" t="s">
        <v>174</v>
      </c>
      <c r="K4349">
        <v>0</v>
      </c>
      <c r="L4349" t="s">
        <v>5450</v>
      </c>
      <c r="M4349" t="s">
        <v>10989</v>
      </c>
      <c r="N4349" t="s">
        <v>10990</v>
      </c>
      <c r="O4349" t="s">
        <v>10991</v>
      </c>
      <c r="P4349" t="s">
        <v>10992</v>
      </c>
    </row>
    <row r="4350" spans="1:16" x14ac:dyDescent="0.35">
      <c r="A4350" t="s">
        <v>115</v>
      </c>
      <c r="B4350">
        <v>1335197835</v>
      </c>
      <c r="C4350" t="s">
        <v>18</v>
      </c>
      <c r="D4350" t="s">
        <v>20</v>
      </c>
      <c r="E4350" s="29">
        <v>46204</v>
      </c>
      <c r="F4350" t="s">
        <v>3</v>
      </c>
      <c r="G4350" s="28">
        <v>0.49236111111111114</v>
      </c>
      <c r="H4350" s="28">
        <v>0.55486111111111114</v>
      </c>
      <c r="I4350">
        <v>2</v>
      </c>
      <c r="J4350" t="s">
        <v>146</v>
      </c>
      <c r="K4350">
        <v>4</v>
      </c>
      <c r="L4350" t="s">
        <v>147</v>
      </c>
      <c r="M4350" t="s">
        <v>10993</v>
      </c>
      <c r="N4350" t="s">
        <v>10994</v>
      </c>
      <c r="O4350" t="s">
        <v>10995</v>
      </c>
      <c r="P4350" t="s">
        <v>10996</v>
      </c>
    </row>
    <row r="4351" spans="1:16" x14ac:dyDescent="0.35">
      <c r="A4351" t="s">
        <v>115</v>
      </c>
      <c r="B4351">
        <v>1335197835</v>
      </c>
      <c r="C4351" t="s">
        <v>18</v>
      </c>
      <c r="D4351" t="s">
        <v>20</v>
      </c>
      <c r="E4351" s="29">
        <v>46204</v>
      </c>
      <c r="F4351" t="s">
        <v>3</v>
      </c>
      <c r="G4351" s="28">
        <v>0.56180555555555556</v>
      </c>
      <c r="H4351" s="28">
        <v>0.56180555555555556</v>
      </c>
      <c r="I4351">
        <v>0</v>
      </c>
      <c r="J4351" t="s">
        <v>174</v>
      </c>
      <c r="K4351">
        <v>0</v>
      </c>
      <c r="L4351" t="s">
        <v>349</v>
      </c>
      <c r="M4351" t="s">
        <v>10997</v>
      </c>
      <c r="N4351" t="s">
        <v>10998</v>
      </c>
      <c r="O4351" t="s">
        <v>10999</v>
      </c>
      <c r="P4351" t="s">
        <v>11000</v>
      </c>
    </row>
    <row r="4352" spans="1:16" x14ac:dyDescent="0.35">
      <c r="A4352" t="s">
        <v>115</v>
      </c>
      <c r="B4352">
        <v>1335197835</v>
      </c>
      <c r="C4352" t="s">
        <v>18</v>
      </c>
      <c r="D4352" t="s">
        <v>20</v>
      </c>
      <c r="E4352" s="29">
        <v>46204</v>
      </c>
      <c r="F4352" t="s">
        <v>3</v>
      </c>
      <c r="G4352" s="28">
        <v>0.56874999999999998</v>
      </c>
      <c r="H4352" s="28">
        <v>0.56874999999999998</v>
      </c>
      <c r="I4352">
        <v>0</v>
      </c>
      <c r="J4352" t="s">
        <v>174</v>
      </c>
      <c r="K4352">
        <v>0</v>
      </c>
      <c r="L4352" t="s">
        <v>5147</v>
      </c>
      <c r="M4352" t="s">
        <v>11001</v>
      </c>
      <c r="N4352" t="s">
        <v>11002</v>
      </c>
      <c r="O4352" t="s">
        <v>11003</v>
      </c>
      <c r="P4352" t="s">
        <v>11004</v>
      </c>
    </row>
    <row r="4353" spans="1:16" x14ac:dyDescent="0.35">
      <c r="A4353" t="s">
        <v>115</v>
      </c>
      <c r="B4353">
        <v>1335197835</v>
      </c>
      <c r="C4353" t="s">
        <v>18</v>
      </c>
      <c r="D4353" t="s">
        <v>20</v>
      </c>
      <c r="E4353" s="29">
        <v>46204</v>
      </c>
      <c r="F4353" t="s">
        <v>3</v>
      </c>
      <c r="G4353" s="28">
        <v>0.5756944444444444</v>
      </c>
      <c r="H4353" s="28">
        <v>0.5756944444444444</v>
      </c>
      <c r="I4353">
        <v>0</v>
      </c>
      <c r="J4353" t="s">
        <v>174</v>
      </c>
      <c r="K4353">
        <v>0</v>
      </c>
      <c r="L4353" t="s">
        <v>11005</v>
      </c>
      <c r="M4353" t="s">
        <v>11006</v>
      </c>
      <c r="N4353" t="s">
        <v>11007</v>
      </c>
      <c r="O4353" t="s">
        <v>11008</v>
      </c>
      <c r="P4353" t="s">
        <v>11009</v>
      </c>
    </row>
    <row r="4354" spans="1:16" x14ac:dyDescent="0.35">
      <c r="A4354" t="s">
        <v>115</v>
      </c>
      <c r="B4354">
        <v>1335197835</v>
      </c>
      <c r="C4354" t="s">
        <v>18</v>
      </c>
      <c r="D4354" t="s">
        <v>20</v>
      </c>
      <c r="E4354" s="29">
        <v>46204</v>
      </c>
      <c r="F4354" t="s">
        <v>3</v>
      </c>
      <c r="G4354" s="28">
        <v>0.58958333333333335</v>
      </c>
      <c r="H4354" s="28">
        <v>0.61041666666666672</v>
      </c>
      <c r="I4354">
        <v>1</v>
      </c>
      <c r="J4354" t="s">
        <v>146</v>
      </c>
      <c r="K4354">
        <v>2</v>
      </c>
      <c r="L4354" t="s">
        <v>147</v>
      </c>
      <c r="M4354" t="s">
        <v>11010</v>
      </c>
      <c r="N4354" t="s">
        <v>11011</v>
      </c>
      <c r="O4354" t="s">
        <v>11012</v>
      </c>
      <c r="P4354" t="s">
        <v>11013</v>
      </c>
    </row>
    <row r="4355" spans="1:16" x14ac:dyDescent="0.35">
      <c r="A4355" t="s">
        <v>115</v>
      </c>
      <c r="B4355">
        <v>1335197835</v>
      </c>
      <c r="C4355" t="s">
        <v>18</v>
      </c>
      <c r="D4355" t="s">
        <v>20</v>
      </c>
      <c r="E4355" s="29">
        <v>46204</v>
      </c>
      <c r="F4355" t="s">
        <v>3</v>
      </c>
      <c r="G4355" s="28">
        <v>0.61736111111111114</v>
      </c>
      <c r="H4355" s="28">
        <v>0.61736111111111114</v>
      </c>
      <c r="I4355">
        <v>0</v>
      </c>
      <c r="J4355" t="s">
        <v>174</v>
      </c>
      <c r="K4355">
        <v>0</v>
      </c>
      <c r="L4355" t="s">
        <v>4860</v>
      </c>
      <c r="M4355" t="s">
        <v>11014</v>
      </c>
      <c r="N4355" t="s">
        <v>10982</v>
      </c>
      <c r="O4355" t="s">
        <v>10983</v>
      </c>
      <c r="P4355" t="s">
        <v>10984</v>
      </c>
    </row>
    <row r="4356" spans="1:16" x14ac:dyDescent="0.35">
      <c r="A4356" t="s">
        <v>115</v>
      </c>
      <c r="B4356">
        <v>1335197835</v>
      </c>
      <c r="C4356" t="s">
        <v>18</v>
      </c>
      <c r="D4356" t="s">
        <v>20</v>
      </c>
      <c r="E4356" s="29">
        <v>46204</v>
      </c>
      <c r="F4356" t="s">
        <v>3</v>
      </c>
      <c r="G4356" s="28">
        <v>0.62430555555555556</v>
      </c>
      <c r="H4356" s="28">
        <v>0.79791666666666672</v>
      </c>
      <c r="I4356">
        <v>4</v>
      </c>
      <c r="J4356" t="s">
        <v>146</v>
      </c>
      <c r="K4356">
        <v>12</v>
      </c>
      <c r="L4356" t="s">
        <v>147</v>
      </c>
      <c r="M4356" t="s">
        <v>11015</v>
      </c>
      <c r="N4356" t="s">
        <v>11016</v>
      </c>
      <c r="O4356" t="s">
        <v>11017</v>
      </c>
      <c r="P4356" t="s">
        <v>11018</v>
      </c>
    </row>
    <row r="4357" spans="1:16" x14ac:dyDescent="0.35">
      <c r="A4357" t="s">
        <v>115</v>
      </c>
      <c r="B4357">
        <v>1335197835</v>
      </c>
      <c r="C4357" t="s">
        <v>18</v>
      </c>
      <c r="D4357" t="s">
        <v>20</v>
      </c>
      <c r="E4357" s="29">
        <v>46205</v>
      </c>
      <c r="F4357" t="s">
        <v>4</v>
      </c>
      <c r="G4357" s="28">
        <v>0.38124999999999998</v>
      </c>
      <c r="H4357" s="28">
        <v>0.38124999999999998</v>
      </c>
      <c r="I4357">
        <v>0</v>
      </c>
      <c r="J4357" t="s">
        <v>174</v>
      </c>
      <c r="K4357">
        <v>0</v>
      </c>
      <c r="L4357" t="s">
        <v>6026</v>
      </c>
      <c r="M4357" t="s">
        <v>11019</v>
      </c>
      <c r="N4357" t="s">
        <v>11020</v>
      </c>
      <c r="O4357" t="s">
        <v>11021</v>
      </c>
      <c r="P4357" t="s">
        <v>11022</v>
      </c>
    </row>
    <row r="4358" spans="1:16" x14ac:dyDescent="0.35">
      <c r="A4358" t="s">
        <v>115</v>
      </c>
      <c r="B4358">
        <v>1335197835</v>
      </c>
      <c r="C4358" t="s">
        <v>18</v>
      </c>
      <c r="D4358" t="s">
        <v>20</v>
      </c>
      <c r="E4358" s="29">
        <v>46205</v>
      </c>
      <c r="F4358" t="s">
        <v>4</v>
      </c>
      <c r="G4358" s="28">
        <v>0.38819444444444445</v>
      </c>
      <c r="H4358" s="28">
        <v>0.38819444444444445</v>
      </c>
      <c r="I4358">
        <v>0</v>
      </c>
      <c r="J4358" t="s">
        <v>174</v>
      </c>
      <c r="K4358">
        <v>0</v>
      </c>
      <c r="L4358" t="s">
        <v>5371</v>
      </c>
      <c r="M4358" t="s">
        <v>11023</v>
      </c>
      <c r="N4358" t="s">
        <v>11024</v>
      </c>
      <c r="O4358" t="s">
        <v>11025</v>
      </c>
      <c r="P4358" t="s">
        <v>11026</v>
      </c>
    </row>
    <row r="4359" spans="1:16" x14ac:dyDescent="0.35">
      <c r="A4359" t="s">
        <v>115</v>
      </c>
      <c r="B4359">
        <v>1335197835</v>
      </c>
      <c r="C4359" t="s">
        <v>18</v>
      </c>
      <c r="D4359" t="s">
        <v>20</v>
      </c>
      <c r="E4359" s="29">
        <v>46205</v>
      </c>
      <c r="F4359" t="s">
        <v>4</v>
      </c>
      <c r="G4359" s="28">
        <v>0.39513888888888887</v>
      </c>
      <c r="H4359" s="28">
        <v>0.39513888888888887</v>
      </c>
      <c r="I4359">
        <v>0</v>
      </c>
      <c r="J4359" t="s">
        <v>174</v>
      </c>
      <c r="K4359">
        <v>0</v>
      </c>
      <c r="L4359" t="s">
        <v>1755</v>
      </c>
      <c r="M4359" t="s">
        <v>11027</v>
      </c>
      <c r="N4359" t="s">
        <v>11028</v>
      </c>
      <c r="O4359" t="s">
        <v>11029</v>
      </c>
      <c r="P4359" t="s">
        <v>11030</v>
      </c>
    </row>
    <row r="4360" spans="1:16" x14ac:dyDescent="0.35">
      <c r="A4360" t="s">
        <v>115</v>
      </c>
      <c r="B4360">
        <v>1335197835</v>
      </c>
      <c r="C4360" t="s">
        <v>18</v>
      </c>
      <c r="D4360" t="s">
        <v>20</v>
      </c>
      <c r="E4360" s="29">
        <v>46205</v>
      </c>
      <c r="F4360" t="s">
        <v>4</v>
      </c>
      <c r="G4360" s="28">
        <v>0.40208333333333335</v>
      </c>
      <c r="H4360" s="28">
        <v>0.40208333333333335</v>
      </c>
      <c r="I4360">
        <v>0</v>
      </c>
      <c r="J4360" t="s">
        <v>174</v>
      </c>
      <c r="K4360">
        <v>0</v>
      </c>
      <c r="L4360" t="s">
        <v>11031</v>
      </c>
      <c r="M4360" t="s">
        <v>11032</v>
      </c>
      <c r="N4360" t="s">
        <v>11033</v>
      </c>
      <c r="O4360" t="s">
        <v>11034</v>
      </c>
      <c r="P4360" t="s">
        <v>11035</v>
      </c>
    </row>
    <row r="4361" spans="1:16" x14ac:dyDescent="0.35">
      <c r="A4361" t="s">
        <v>115</v>
      </c>
      <c r="B4361">
        <v>1335197835</v>
      </c>
      <c r="C4361" t="s">
        <v>18</v>
      </c>
      <c r="D4361" t="s">
        <v>20</v>
      </c>
      <c r="E4361" s="29">
        <v>46205</v>
      </c>
      <c r="F4361" t="s">
        <v>4</v>
      </c>
      <c r="G4361" s="28">
        <v>0.40902777777777777</v>
      </c>
      <c r="H4361" s="28">
        <v>0.40902777777777777</v>
      </c>
      <c r="I4361">
        <v>0</v>
      </c>
      <c r="J4361" t="s">
        <v>174</v>
      </c>
      <c r="K4361">
        <v>0</v>
      </c>
      <c r="L4361" t="s">
        <v>586</v>
      </c>
      <c r="M4361" t="s">
        <v>11036</v>
      </c>
      <c r="N4361" t="s">
        <v>11037</v>
      </c>
      <c r="O4361" t="s">
        <v>11038</v>
      </c>
      <c r="P4361" t="s">
        <v>11039</v>
      </c>
    </row>
    <row r="4362" spans="1:16" x14ac:dyDescent="0.35">
      <c r="A4362" t="s">
        <v>115</v>
      </c>
      <c r="B4362">
        <v>1335197835</v>
      </c>
      <c r="C4362" t="s">
        <v>18</v>
      </c>
      <c r="D4362" t="s">
        <v>20</v>
      </c>
      <c r="E4362" s="29">
        <v>46205</v>
      </c>
      <c r="F4362" t="s">
        <v>4</v>
      </c>
      <c r="G4362" s="28">
        <v>0.41597222222222224</v>
      </c>
      <c r="H4362" s="28">
        <v>0.41597222222222224</v>
      </c>
      <c r="I4362">
        <v>0</v>
      </c>
      <c r="J4362" t="s">
        <v>174</v>
      </c>
      <c r="K4362">
        <v>0</v>
      </c>
      <c r="L4362" t="s">
        <v>11040</v>
      </c>
      <c r="M4362" t="s">
        <v>11041</v>
      </c>
      <c r="N4362" t="s">
        <v>11042</v>
      </c>
      <c r="O4362" t="s">
        <v>11043</v>
      </c>
      <c r="P4362" t="s">
        <v>11044</v>
      </c>
    </row>
    <row r="4363" spans="1:16" x14ac:dyDescent="0.35">
      <c r="A4363" t="s">
        <v>115</v>
      </c>
      <c r="B4363">
        <v>1335197835</v>
      </c>
      <c r="C4363" t="s">
        <v>18</v>
      </c>
      <c r="D4363" t="s">
        <v>20</v>
      </c>
      <c r="E4363" s="29">
        <v>46205</v>
      </c>
      <c r="F4363" t="s">
        <v>4</v>
      </c>
      <c r="G4363" s="28">
        <v>0.42291666666666666</v>
      </c>
      <c r="H4363" s="28">
        <v>0.42291666666666666</v>
      </c>
      <c r="I4363">
        <v>0</v>
      </c>
      <c r="J4363" t="s">
        <v>174</v>
      </c>
      <c r="K4363">
        <v>0</v>
      </c>
      <c r="L4363" t="s">
        <v>8757</v>
      </c>
      <c r="M4363" t="s">
        <v>11045</v>
      </c>
      <c r="N4363" t="s">
        <v>11046</v>
      </c>
      <c r="O4363" t="s">
        <v>11047</v>
      </c>
      <c r="P4363" t="s">
        <v>1335</v>
      </c>
    </row>
    <row r="4364" spans="1:16" x14ac:dyDescent="0.35">
      <c r="A4364" t="s">
        <v>115</v>
      </c>
      <c r="B4364">
        <v>1335197835</v>
      </c>
      <c r="C4364" t="s">
        <v>18</v>
      </c>
      <c r="D4364" t="s">
        <v>20</v>
      </c>
      <c r="E4364" s="29">
        <v>46205</v>
      </c>
      <c r="F4364" t="s">
        <v>4</v>
      </c>
      <c r="G4364" s="28">
        <v>0.42986111111111114</v>
      </c>
      <c r="H4364" s="28">
        <v>0.42986111111111114</v>
      </c>
      <c r="I4364">
        <v>0</v>
      </c>
      <c r="J4364" t="s">
        <v>174</v>
      </c>
      <c r="K4364">
        <v>0</v>
      </c>
      <c r="L4364" t="s">
        <v>442</v>
      </c>
      <c r="M4364" t="s">
        <v>11048</v>
      </c>
      <c r="N4364" t="s">
        <v>11049</v>
      </c>
      <c r="O4364" t="s">
        <v>11050</v>
      </c>
      <c r="P4364" t="s">
        <v>11051</v>
      </c>
    </row>
    <row r="4365" spans="1:16" x14ac:dyDescent="0.35">
      <c r="A4365" t="s">
        <v>115</v>
      </c>
      <c r="B4365">
        <v>1335197835</v>
      </c>
      <c r="C4365" t="s">
        <v>18</v>
      </c>
      <c r="D4365" t="s">
        <v>20</v>
      </c>
      <c r="E4365" s="29">
        <v>46205</v>
      </c>
      <c r="F4365" t="s">
        <v>4</v>
      </c>
      <c r="G4365" s="28">
        <v>0.43680555555555556</v>
      </c>
      <c r="H4365" s="28">
        <v>0.43680555555555556</v>
      </c>
      <c r="I4365">
        <v>0</v>
      </c>
      <c r="J4365" t="s">
        <v>174</v>
      </c>
      <c r="K4365">
        <v>0</v>
      </c>
      <c r="L4365" t="s">
        <v>8755</v>
      </c>
      <c r="M4365" t="s">
        <v>11052</v>
      </c>
      <c r="N4365" t="s">
        <v>11053</v>
      </c>
      <c r="O4365" t="s">
        <v>11054</v>
      </c>
      <c r="P4365" t="s">
        <v>11055</v>
      </c>
    </row>
    <row r="4366" spans="1:16" x14ac:dyDescent="0.35">
      <c r="A4366" t="s">
        <v>115</v>
      </c>
      <c r="B4366">
        <v>1335197835</v>
      </c>
      <c r="C4366" t="s">
        <v>18</v>
      </c>
      <c r="D4366" t="s">
        <v>20</v>
      </c>
      <c r="E4366" s="29">
        <v>46205</v>
      </c>
      <c r="F4366" t="s">
        <v>4</v>
      </c>
      <c r="G4366" s="28">
        <v>0.44374999999999998</v>
      </c>
      <c r="H4366" s="28">
        <v>0.44374999999999998</v>
      </c>
      <c r="I4366">
        <v>0</v>
      </c>
      <c r="J4366" t="s">
        <v>174</v>
      </c>
      <c r="K4366">
        <v>0</v>
      </c>
      <c r="L4366" t="s">
        <v>10902</v>
      </c>
      <c r="M4366" t="s">
        <v>11056</v>
      </c>
      <c r="N4366" t="s">
        <v>11057</v>
      </c>
      <c r="O4366" t="s">
        <v>11058</v>
      </c>
      <c r="P4366" t="s">
        <v>11059</v>
      </c>
    </row>
    <row r="4367" spans="1:16" x14ac:dyDescent="0.35">
      <c r="A4367" t="s">
        <v>115</v>
      </c>
      <c r="B4367">
        <v>1335197835</v>
      </c>
      <c r="C4367" t="s">
        <v>18</v>
      </c>
      <c r="D4367" t="s">
        <v>20</v>
      </c>
      <c r="E4367" s="29">
        <v>46205</v>
      </c>
      <c r="F4367" t="s">
        <v>4</v>
      </c>
      <c r="G4367" s="28">
        <v>0.45069444444444445</v>
      </c>
      <c r="H4367" s="28">
        <v>0.45763888888888887</v>
      </c>
      <c r="I4367">
        <v>0</v>
      </c>
      <c r="J4367" t="s">
        <v>146</v>
      </c>
      <c r="K4367">
        <v>0</v>
      </c>
      <c r="L4367" t="s">
        <v>147</v>
      </c>
      <c r="M4367" t="s">
        <v>11060</v>
      </c>
      <c r="N4367" t="s">
        <v>11061</v>
      </c>
      <c r="O4367" t="s">
        <v>11062</v>
      </c>
      <c r="P4367" t="s">
        <v>11063</v>
      </c>
    </row>
    <row r="4368" spans="1:16" x14ac:dyDescent="0.35">
      <c r="A4368" t="s">
        <v>115</v>
      </c>
      <c r="B4368">
        <v>1335197835</v>
      </c>
      <c r="C4368" t="s">
        <v>18</v>
      </c>
      <c r="D4368" t="s">
        <v>20</v>
      </c>
      <c r="E4368" s="29">
        <v>46205</v>
      </c>
      <c r="F4368" t="s">
        <v>4</v>
      </c>
      <c r="G4368" s="28">
        <v>0.46458333333333335</v>
      </c>
      <c r="H4368" s="28">
        <v>0.46458333333333335</v>
      </c>
      <c r="I4368">
        <v>0</v>
      </c>
      <c r="J4368" t="s">
        <v>174</v>
      </c>
      <c r="K4368">
        <v>0</v>
      </c>
      <c r="L4368" t="s">
        <v>1125</v>
      </c>
      <c r="M4368" t="s">
        <v>11064</v>
      </c>
      <c r="N4368" t="s">
        <v>11065</v>
      </c>
      <c r="O4368" t="s">
        <v>11066</v>
      </c>
      <c r="P4368" t="s">
        <v>11067</v>
      </c>
    </row>
    <row r="4369" spans="1:16" x14ac:dyDescent="0.35">
      <c r="A4369" t="s">
        <v>115</v>
      </c>
      <c r="B4369">
        <v>1335197835</v>
      </c>
      <c r="C4369" t="s">
        <v>18</v>
      </c>
      <c r="D4369" t="s">
        <v>20</v>
      </c>
      <c r="E4369" s="29">
        <v>46205</v>
      </c>
      <c r="F4369" t="s">
        <v>4</v>
      </c>
      <c r="G4369" s="28">
        <v>0.47152777777777777</v>
      </c>
      <c r="H4369" s="28">
        <v>0.47152777777777777</v>
      </c>
      <c r="I4369">
        <v>0</v>
      </c>
      <c r="J4369" t="s">
        <v>174</v>
      </c>
      <c r="K4369">
        <v>0</v>
      </c>
      <c r="L4369" t="s">
        <v>4588</v>
      </c>
      <c r="M4369" t="s">
        <v>11068</v>
      </c>
      <c r="N4369" t="s">
        <v>11069</v>
      </c>
      <c r="O4369" t="s">
        <v>11070</v>
      </c>
      <c r="P4369" t="s">
        <v>11071</v>
      </c>
    </row>
    <row r="4370" spans="1:16" x14ac:dyDescent="0.35">
      <c r="A4370" t="s">
        <v>115</v>
      </c>
      <c r="B4370">
        <v>1335197835</v>
      </c>
      <c r="C4370" t="s">
        <v>18</v>
      </c>
      <c r="D4370" t="s">
        <v>20</v>
      </c>
      <c r="E4370" s="29">
        <v>46205</v>
      </c>
      <c r="F4370" t="s">
        <v>4</v>
      </c>
      <c r="G4370" s="28">
        <v>0.47847222222222224</v>
      </c>
      <c r="H4370" s="28">
        <v>0.47847222222222224</v>
      </c>
      <c r="I4370">
        <v>0</v>
      </c>
      <c r="J4370" t="s">
        <v>174</v>
      </c>
      <c r="K4370">
        <v>0</v>
      </c>
      <c r="L4370" t="s">
        <v>1159</v>
      </c>
      <c r="M4370" t="s">
        <v>11072</v>
      </c>
      <c r="N4370" t="s">
        <v>11073</v>
      </c>
      <c r="O4370" t="s">
        <v>11074</v>
      </c>
      <c r="P4370" t="s">
        <v>11075</v>
      </c>
    </row>
    <row r="4371" spans="1:16" x14ac:dyDescent="0.35">
      <c r="A4371" t="s">
        <v>115</v>
      </c>
      <c r="B4371">
        <v>1335197835</v>
      </c>
      <c r="C4371" t="s">
        <v>18</v>
      </c>
      <c r="D4371" t="s">
        <v>20</v>
      </c>
      <c r="E4371" s="29">
        <v>46205</v>
      </c>
      <c r="F4371" t="s">
        <v>4</v>
      </c>
      <c r="G4371" s="28">
        <v>0.48541666666666666</v>
      </c>
      <c r="H4371" s="28">
        <v>0.48541666666666666</v>
      </c>
      <c r="I4371">
        <v>0</v>
      </c>
      <c r="J4371" t="s">
        <v>174</v>
      </c>
      <c r="K4371">
        <v>0</v>
      </c>
      <c r="L4371" t="s">
        <v>11076</v>
      </c>
      <c r="M4371" t="s">
        <v>11077</v>
      </c>
      <c r="N4371" t="s">
        <v>11078</v>
      </c>
      <c r="O4371" t="s">
        <v>11079</v>
      </c>
      <c r="P4371" t="s">
        <v>11080</v>
      </c>
    </row>
    <row r="4372" spans="1:16" x14ac:dyDescent="0.35">
      <c r="A4372" t="s">
        <v>115</v>
      </c>
      <c r="B4372">
        <v>1335197835</v>
      </c>
      <c r="C4372" t="s">
        <v>18</v>
      </c>
      <c r="D4372" t="s">
        <v>20</v>
      </c>
      <c r="E4372" s="29">
        <v>46205</v>
      </c>
      <c r="F4372" t="s">
        <v>4</v>
      </c>
      <c r="G4372" s="28">
        <v>0.49236111111111114</v>
      </c>
      <c r="H4372" s="28">
        <v>0.49236111111111114</v>
      </c>
      <c r="I4372">
        <v>0</v>
      </c>
      <c r="J4372" t="s">
        <v>174</v>
      </c>
      <c r="K4372">
        <v>0</v>
      </c>
      <c r="L4372" t="s">
        <v>1031</v>
      </c>
      <c r="M4372" t="s">
        <v>11081</v>
      </c>
      <c r="N4372" t="s">
        <v>11082</v>
      </c>
      <c r="O4372" t="s">
        <v>11083</v>
      </c>
      <c r="P4372" t="s">
        <v>11084</v>
      </c>
    </row>
    <row r="4373" spans="1:16" x14ac:dyDescent="0.35">
      <c r="A4373" t="s">
        <v>115</v>
      </c>
      <c r="B4373">
        <v>1335197835</v>
      </c>
      <c r="C4373" t="s">
        <v>18</v>
      </c>
      <c r="D4373" t="s">
        <v>20</v>
      </c>
      <c r="E4373" s="29">
        <v>46205</v>
      </c>
      <c r="F4373" t="s">
        <v>4</v>
      </c>
      <c r="G4373" s="28">
        <v>0.49930555555555556</v>
      </c>
      <c r="H4373" s="28">
        <v>0.49930555555555556</v>
      </c>
      <c r="I4373">
        <v>0</v>
      </c>
      <c r="J4373" t="s">
        <v>174</v>
      </c>
      <c r="K4373">
        <v>0</v>
      </c>
      <c r="L4373" t="s">
        <v>2416</v>
      </c>
      <c r="M4373" t="s">
        <v>11085</v>
      </c>
      <c r="N4373" t="s">
        <v>11086</v>
      </c>
      <c r="O4373" t="s">
        <v>11087</v>
      </c>
      <c r="P4373" t="s">
        <v>11088</v>
      </c>
    </row>
    <row r="4374" spans="1:16" x14ac:dyDescent="0.35">
      <c r="A4374" t="s">
        <v>115</v>
      </c>
      <c r="B4374">
        <v>1335197835</v>
      </c>
      <c r="C4374" t="s">
        <v>18</v>
      </c>
      <c r="D4374" t="s">
        <v>20</v>
      </c>
      <c r="E4374" s="29">
        <v>46205</v>
      </c>
      <c r="F4374" t="s">
        <v>4</v>
      </c>
      <c r="G4374" s="28">
        <v>0.50624999999999998</v>
      </c>
      <c r="H4374" s="28">
        <v>0.50624999999999998</v>
      </c>
      <c r="I4374">
        <v>0</v>
      </c>
      <c r="J4374" t="s">
        <v>174</v>
      </c>
      <c r="K4374">
        <v>0</v>
      </c>
      <c r="L4374" t="s">
        <v>4504</v>
      </c>
      <c r="M4374" t="s">
        <v>11089</v>
      </c>
      <c r="N4374" t="s">
        <v>11090</v>
      </c>
      <c r="O4374" t="s">
        <v>11091</v>
      </c>
      <c r="P4374" t="s">
        <v>11092</v>
      </c>
    </row>
    <row r="4375" spans="1:16" x14ac:dyDescent="0.35">
      <c r="A4375" t="s">
        <v>115</v>
      </c>
      <c r="B4375">
        <v>1335197835</v>
      </c>
      <c r="C4375" t="s">
        <v>18</v>
      </c>
      <c r="D4375" t="s">
        <v>20</v>
      </c>
      <c r="E4375" s="29">
        <v>46205</v>
      </c>
      <c r="F4375" t="s">
        <v>4</v>
      </c>
      <c r="G4375" s="28">
        <v>0.5131944444444444</v>
      </c>
      <c r="H4375" s="28">
        <v>0.52708333333333335</v>
      </c>
      <c r="I4375">
        <v>0</v>
      </c>
      <c r="J4375" t="s">
        <v>146</v>
      </c>
      <c r="K4375">
        <v>1</v>
      </c>
      <c r="L4375" t="s">
        <v>147</v>
      </c>
      <c r="M4375" t="s">
        <v>11093</v>
      </c>
      <c r="N4375" t="s">
        <v>11094</v>
      </c>
      <c r="O4375" t="s">
        <v>11095</v>
      </c>
      <c r="P4375" t="s">
        <v>11096</v>
      </c>
    </row>
    <row r="4376" spans="1:16" x14ac:dyDescent="0.35">
      <c r="A4376" t="s">
        <v>115</v>
      </c>
      <c r="B4376">
        <v>1335197835</v>
      </c>
      <c r="C4376" t="s">
        <v>18</v>
      </c>
      <c r="D4376" t="s">
        <v>20</v>
      </c>
      <c r="E4376" s="29">
        <v>46205</v>
      </c>
      <c r="F4376" t="s">
        <v>4</v>
      </c>
      <c r="G4376" s="28">
        <v>0.53402777777777777</v>
      </c>
      <c r="H4376" s="28">
        <v>0.61736111111111114</v>
      </c>
      <c r="I4376">
        <v>2</v>
      </c>
      <c r="J4376" t="s">
        <v>146</v>
      </c>
      <c r="K4376">
        <v>6</v>
      </c>
      <c r="L4376" t="s">
        <v>147</v>
      </c>
      <c r="M4376" t="s">
        <v>11089</v>
      </c>
      <c r="N4376" t="s">
        <v>11090</v>
      </c>
      <c r="O4376" t="s">
        <v>11091</v>
      </c>
      <c r="P4376" t="s">
        <v>11092</v>
      </c>
    </row>
    <row r="4377" spans="1:16" x14ac:dyDescent="0.35">
      <c r="A4377" t="s">
        <v>115</v>
      </c>
      <c r="B4377">
        <v>1335197835</v>
      </c>
      <c r="C4377" t="s">
        <v>18</v>
      </c>
      <c r="D4377" t="s">
        <v>20</v>
      </c>
      <c r="E4377" s="29">
        <v>46205</v>
      </c>
      <c r="F4377" t="s">
        <v>4</v>
      </c>
      <c r="G4377" s="28">
        <v>0.62430555555555556</v>
      </c>
      <c r="H4377" s="28">
        <v>0.6381944444444444</v>
      </c>
      <c r="I4377">
        <v>0</v>
      </c>
      <c r="J4377" t="s">
        <v>146</v>
      </c>
      <c r="K4377">
        <v>1</v>
      </c>
      <c r="L4377" t="s">
        <v>147</v>
      </c>
      <c r="M4377" t="s">
        <v>11097</v>
      </c>
      <c r="N4377" t="s">
        <v>11094</v>
      </c>
      <c r="O4377" t="s">
        <v>11095</v>
      </c>
      <c r="P4377" t="s">
        <v>11096</v>
      </c>
    </row>
    <row r="4378" spans="1:16" x14ac:dyDescent="0.35">
      <c r="A4378" t="s">
        <v>115</v>
      </c>
      <c r="B4378">
        <v>1335197835</v>
      </c>
      <c r="C4378" t="s">
        <v>18</v>
      </c>
      <c r="D4378" t="s">
        <v>20</v>
      </c>
      <c r="E4378" s="29">
        <v>46205</v>
      </c>
      <c r="F4378" t="s">
        <v>4</v>
      </c>
      <c r="G4378" s="28">
        <v>0.65208333333333335</v>
      </c>
      <c r="H4378" s="28">
        <v>0.67986111111111114</v>
      </c>
      <c r="I4378">
        <v>1</v>
      </c>
      <c r="J4378" t="s">
        <v>146</v>
      </c>
      <c r="K4378">
        <v>2</v>
      </c>
      <c r="L4378" t="s">
        <v>147</v>
      </c>
      <c r="M4378" t="s">
        <v>11089</v>
      </c>
      <c r="N4378" t="s">
        <v>11090</v>
      </c>
      <c r="O4378" t="s">
        <v>11091</v>
      </c>
      <c r="P4378" t="s">
        <v>11092</v>
      </c>
    </row>
    <row r="4379" spans="1:16" x14ac:dyDescent="0.35">
      <c r="A4379" t="s">
        <v>115</v>
      </c>
      <c r="B4379">
        <v>1335197835</v>
      </c>
      <c r="C4379" t="s">
        <v>18</v>
      </c>
      <c r="D4379" t="s">
        <v>20</v>
      </c>
      <c r="E4379" s="29">
        <v>46205</v>
      </c>
      <c r="F4379" t="s">
        <v>4</v>
      </c>
      <c r="G4379" s="28">
        <v>0.68680555555555556</v>
      </c>
      <c r="H4379" s="28">
        <v>0.68680555555555556</v>
      </c>
      <c r="I4379">
        <v>0</v>
      </c>
      <c r="J4379" t="s">
        <v>174</v>
      </c>
      <c r="K4379">
        <v>0</v>
      </c>
      <c r="L4379" t="s">
        <v>4504</v>
      </c>
      <c r="M4379" t="s">
        <v>11093</v>
      </c>
      <c r="N4379" t="s">
        <v>11094</v>
      </c>
      <c r="O4379" t="s">
        <v>11095</v>
      </c>
      <c r="P4379" t="s">
        <v>11096</v>
      </c>
    </row>
    <row r="4380" spans="1:16" x14ac:dyDescent="0.35">
      <c r="A4380" t="s">
        <v>115</v>
      </c>
      <c r="B4380">
        <v>1335197835</v>
      </c>
      <c r="C4380" t="s">
        <v>18</v>
      </c>
      <c r="D4380" t="s">
        <v>20</v>
      </c>
      <c r="E4380" s="29">
        <v>46205</v>
      </c>
      <c r="F4380" t="s">
        <v>4</v>
      </c>
      <c r="G4380" s="28">
        <v>0.69374999999999998</v>
      </c>
      <c r="H4380" s="28">
        <v>0.69374999999999998</v>
      </c>
      <c r="I4380">
        <v>0</v>
      </c>
      <c r="J4380" t="s">
        <v>174</v>
      </c>
      <c r="K4380">
        <v>0</v>
      </c>
      <c r="L4380" t="s">
        <v>1965</v>
      </c>
      <c r="M4380" t="s">
        <v>11089</v>
      </c>
      <c r="N4380" t="s">
        <v>11090</v>
      </c>
      <c r="O4380" t="s">
        <v>11091</v>
      </c>
      <c r="P4380" t="s">
        <v>11092</v>
      </c>
    </row>
    <row r="4381" spans="1:16" x14ac:dyDescent="0.35">
      <c r="A4381" t="s">
        <v>115</v>
      </c>
      <c r="B4381">
        <v>1335197835</v>
      </c>
      <c r="C4381" t="s">
        <v>18</v>
      </c>
      <c r="D4381" t="s">
        <v>20</v>
      </c>
      <c r="E4381" s="29">
        <v>46205</v>
      </c>
      <c r="F4381" t="s">
        <v>4</v>
      </c>
      <c r="G4381" s="28">
        <v>0.7006944444444444</v>
      </c>
      <c r="H4381" s="28">
        <v>0.7006944444444444</v>
      </c>
      <c r="I4381">
        <v>0</v>
      </c>
      <c r="J4381" t="s">
        <v>174</v>
      </c>
      <c r="K4381">
        <v>0</v>
      </c>
      <c r="L4381" t="s">
        <v>9700</v>
      </c>
      <c r="M4381" t="s">
        <v>11098</v>
      </c>
      <c r="N4381" t="s">
        <v>11099</v>
      </c>
      <c r="O4381" t="s">
        <v>11100</v>
      </c>
      <c r="P4381" t="s">
        <v>11101</v>
      </c>
    </row>
    <row r="4382" spans="1:16" x14ac:dyDescent="0.35">
      <c r="A4382" t="s">
        <v>115</v>
      </c>
      <c r="B4382">
        <v>1335197835</v>
      </c>
      <c r="C4382" t="s">
        <v>18</v>
      </c>
      <c r="D4382" t="s">
        <v>20</v>
      </c>
      <c r="E4382" s="29">
        <v>46205</v>
      </c>
      <c r="F4382" t="s">
        <v>4</v>
      </c>
      <c r="G4382" s="28">
        <v>0.70763888888888893</v>
      </c>
      <c r="H4382" s="28">
        <v>0.74236111111111114</v>
      </c>
      <c r="I4382">
        <v>1</v>
      </c>
      <c r="J4382" t="s">
        <v>146</v>
      </c>
      <c r="K4382">
        <v>2</v>
      </c>
      <c r="L4382" t="s">
        <v>147</v>
      </c>
      <c r="M4382" t="s">
        <v>11102</v>
      </c>
      <c r="N4382" t="s">
        <v>11103</v>
      </c>
      <c r="O4382" t="s">
        <v>11104</v>
      </c>
      <c r="P4382" t="s">
        <v>11105</v>
      </c>
    </row>
    <row r="4383" spans="1:16" x14ac:dyDescent="0.35">
      <c r="A4383" t="s">
        <v>115</v>
      </c>
      <c r="B4383">
        <v>1335197835</v>
      </c>
      <c r="C4383" t="s">
        <v>18</v>
      </c>
      <c r="D4383" t="s">
        <v>20</v>
      </c>
      <c r="E4383" s="29">
        <v>46205</v>
      </c>
      <c r="F4383" t="s">
        <v>4</v>
      </c>
      <c r="G4383" s="28">
        <v>0.74930555555555556</v>
      </c>
      <c r="H4383" s="28">
        <v>0.74930555555555556</v>
      </c>
      <c r="I4383">
        <v>0</v>
      </c>
      <c r="J4383" t="s">
        <v>174</v>
      </c>
      <c r="K4383">
        <v>0</v>
      </c>
      <c r="L4383" t="s">
        <v>257</v>
      </c>
      <c r="M4383" t="s">
        <v>11106</v>
      </c>
      <c r="N4383" t="s">
        <v>11107</v>
      </c>
      <c r="O4383" t="s">
        <v>11108</v>
      </c>
      <c r="P4383" t="s">
        <v>11109</v>
      </c>
    </row>
    <row r="4384" spans="1:16" x14ac:dyDescent="0.35">
      <c r="A4384" t="s">
        <v>115</v>
      </c>
      <c r="B4384">
        <v>1335197835</v>
      </c>
      <c r="C4384" t="s">
        <v>18</v>
      </c>
      <c r="D4384" t="s">
        <v>20</v>
      </c>
      <c r="E4384" s="29">
        <v>46205</v>
      </c>
      <c r="F4384" t="s">
        <v>4</v>
      </c>
      <c r="G4384" s="28">
        <v>0.75624999999999998</v>
      </c>
      <c r="H4384" s="28">
        <v>0.78402777777777777</v>
      </c>
      <c r="I4384">
        <v>1</v>
      </c>
      <c r="J4384" t="s">
        <v>146</v>
      </c>
      <c r="K4384">
        <v>2</v>
      </c>
      <c r="L4384" t="s">
        <v>147</v>
      </c>
      <c r="M4384" t="s">
        <v>11060</v>
      </c>
      <c r="N4384" t="s">
        <v>11061</v>
      </c>
      <c r="O4384" t="s">
        <v>11062</v>
      </c>
      <c r="P4384" t="s">
        <v>11063</v>
      </c>
    </row>
    <row r="4385" spans="1:16" x14ac:dyDescent="0.35">
      <c r="A4385" t="s">
        <v>115</v>
      </c>
      <c r="B4385">
        <v>1335197835</v>
      </c>
      <c r="C4385" t="s">
        <v>18</v>
      </c>
      <c r="D4385" t="s">
        <v>20</v>
      </c>
      <c r="E4385" s="29">
        <v>46205</v>
      </c>
      <c r="F4385" t="s">
        <v>4</v>
      </c>
      <c r="G4385" s="28">
        <v>0.79097222222222219</v>
      </c>
      <c r="H4385" s="28">
        <v>0.79097222222222219</v>
      </c>
      <c r="I4385">
        <v>0</v>
      </c>
      <c r="J4385" t="s">
        <v>174</v>
      </c>
      <c r="K4385">
        <v>0</v>
      </c>
      <c r="L4385" t="s">
        <v>1400</v>
      </c>
      <c r="M4385" t="s">
        <v>11110</v>
      </c>
      <c r="N4385" t="s">
        <v>11111</v>
      </c>
      <c r="O4385" t="s">
        <v>11112</v>
      </c>
      <c r="P4385" t="s">
        <v>11113</v>
      </c>
    </row>
    <row r="4386" spans="1:16" x14ac:dyDescent="0.35">
      <c r="A4386" t="s">
        <v>115</v>
      </c>
      <c r="B4386">
        <v>1335197835</v>
      </c>
      <c r="C4386" t="s">
        <v>18</v>
      </c>
      <c r="D4386" t="s">
        <v>20</v>
      </c>
      <c r="E4386" s="29">
        <v>46207</v>
      </c>
      <c r="F4386" t="s">
        <v>5</v>
      </c>
      <c r="G4386" s="28">
        <v>0.39513888888888887</v>
      </c>
      <c r="H4386" s="28">
        <v>0.39513888888888887</v>
      </c>
      <c r="I4386">
        <v>0</v>
      </c>
      <c r="J4386" t="s">
        <v>174</v>
      </c>
      <c r="K4386">
        <v>0</v>
      </c>
      <c r="L4386" t="s">
        <v>11114</v>
      </c>
      <c r="M4386" t="s">
        <v>11115</v>
      </c>
      <c r="N4386" t="s">
        <v>11116</v>
      </c>
      <c r="O4386" t="s">
        <v>11117</v>
      </c>
      <c r="P4386" t="s">
        <v>11118</v>
      </c>
    </row>
    <row r="4387" spans="1:16" x14ac:dyDescent="0.35">
      <c r="A4387" t="s">
        <v>115</v>
      </c>
      <c r="B4387">
        <v>1335197835</v>
      </c>
      <c r="C4387" t="s">
        <v>18</v>
      </c>
      <c r="D4387" t="s">
        <v>20</v>
      </c>
      <c r="E4387" s="29">
        <v>46207</v>
      </c>
      <c r="F4387" t="s">
        <v>5</v>
      </c>
      <c r="G4387" s="28">
        <v>0.40208333333333335</v>
      </c>
      <c r="H4387" s="28">
        <v>0.40208333333333335</v>
      </c>
      <c r="I4387">
        <v>0</v>
      </c>
      <c r="J4387" t="s">
        <v>174</v>
      </c>
      <c r="K4387">
        <v>0</v>
      </c>
      <c r="L4387" t="s">
        <v>5129</v>
      </c>
      <c r="M4387" t="s">
        <v>11119</v>
      </c>
      <c r="N4387" t="s">
        <v>11120</v>
      </c>
      <c r="O4387" t="s">
        <v>11121</v>
      </c>
      <c r="P4387" t="s">
        <v>11122</v>
      </c>
    </row>
    <row r="4388" spans="1:16" x14ac:dyDescent="0.35">
      <c r="A4388" t="s">
        <v>115</v>
      </c>
      <c r="B4388">
        <v>1335197835</v>
      </c>
      <c r="C4388" t="s">
        <v>18</v>
      </c>
      <c r="D4388" t="s">
        <v>20</v>
      </c>
      <c r="E4388" s="29">
        <v>46207</v>
      </c>
      <c r="F4388" t="s">
        <v>5</v>
      </c>
      <c r="G4388" s="28">
        <v>0.40902777777777777</v>
      </c>
      <c r="H4388" s="28">
        <v>0.40902777777777777</v>
      </c>
      <c r="I4388">
        <v>0</v>
      </c>
      <c r="J4388" t="s">
        <v>174</v>
      </c>
      <c r="K4388">
        <v>0</v>
      </c>
      <c r="L4388" t="s">
        <v>1078</v>
      </c>
      <c r="M4388" t="s">
        <v>11123</v>
      </c>
      <c r="N4388" t="s">
        <v>11124</v>
      </c>
      <c r="O4388" t="s">
        <v>11125</v>
      </c>
      <c r="P4388" t="s">
        <v>11126</v>
      </c>
    </row>
    <row r="4389" spans="1:16" x14ac:dyDescent="0.35">
      <c r="A4389" t="s">
        <v>115</v>
      </c>
      <c r="B4389">
        <v>1335197835</v>
      </c>
      <c r="C4389" t="s">
        <v>18</v>
      </c>
      <c r="D4389" t="s">
        <v>20</v>
      </c>
      <c r="E4389" s="29">
        <v>46207</v>
      </c>
      <c r="F4389" t="s">
        <v>5</v>
      </c>
      <c r="G4389" s="28">
        <v>0.41597222222222224</v>
      </c>
      <c r="H4389" s="28">
        <v>0.41597222222222224</v>
      </c>
      <c r="I4389">
        <v>0</v>
      </c>
      <c r="J4389" t="s">
        <v>174</v>
      </c>
      <c r="K4389">
        <v>0</v>
      </c>
      <c r="L4389" t="s">
        <v>4528</v>
      </c>
      <c r="M4389" t="s">
        <v>11127</v>
      </c>
      <c r="N4389" t="s">
        <v>11128</v>
      </c>
      <c r="O4389" t="s">
        <v>11129</v>
      </c>
      <c r="P4389" t="s">
        <v>11130</v>
      </c>
    </row>
    <row r="4390" spans="1:16" x14ac:dyDescent="0.35">
      <c r="A4390" t="s">
        <v>115</v>
      </c>
      <c r="B4390">
        <v>1335197835</v>
      </c>
      <c r="C4390" t="s">
        <v>18</v>
      </c>
      <c r="D4390" t="s">
        <v>20</v>
      </c>
      <c r="E4390" s="29">
        <v>46207</v>
      </c>
      <c r="F4390" t="s">
        <v>5</v>
      </c>
      <c r="G4390" s="28">
        <v>0.42291666666666666</v>
      </c>
      <c r="H4390" s="28">
        <v>0.42291666666666666</v>
      </c>
      <c r="I4390">
        <v>0</v>
      </c>
      <c r="J4390" t="s">
        <v>174</v>
      </c>
      <c r="K4390">
        <v>0</v>
      </c>
      <c r="L4390" t="s">
        <v>11131</v>
      </c>
      <c r="M4390" t="s">
        <v>11132</v>
      </c>
      <c r="N4390" t="s">
        <v>11133</v>
      </c>
      <c r="O4390" t="s">
        <v>11134</v>
      </c>
      <c r="P4390" t="s">
        <v>11135</v>
      </c>
    </row>
    <row r="4391" spans="1:16" x14ac:dyDescent="0.35">
      <c r="A4391" t="s">
        <v>115</v>
      </c>
      <c r="B4391">
        <v>1335197835</v>
      </c>
      <c r="C4391" t="s">
        <v>18</v>
      </c>
      <c r="D4391" t="s">
        <v>20</v>
      </c>
      <c r="E4391" s="29">
        <v>46207</v>
      </c>
      <c r="F4391" t="s">
        <v>5</v>
      </c>
      <c r="G4391" s="28">
        <v>0.42986111111111114</v>
      </c>
      <c r="H4391" s="28">
        <v>0.42986111111111114</v>
      </c>
      <c r="I4391">
        <v>0</v>
      </c>
      <c r="J4391" t="s">
        <v>174</v>
      </c>
      <c r="K4391">
        <v>0</v>
      </c>
      <c r="L4391" t="s">
        <v>4112</v>
      </c>
      <c r="M4391" t="s">
        <v>11136</v>
      </c>
      <c r="N4391" t="s">
        <v>11137</v>
      </c>
      <c r="O4391" t="s">
        <v>11138</v>
      </c>
      <c r="P4391" t="s">
        <v>11139</v>
      </c>
    </row>
    <row r="4392" spans="1:16" x14ac:dyDescent="0.35">
      <c r="A4392" t="s">
        <v>115</v>
      </c>
      <c r="B4392">
        <v>1335197835</v>
      </c>
      <c r="C4392" t="s">
        <v>18</v>
      </c>
      <c r="D4392" t="s">
        <v>20</v>
      </c>
      <c r="E4392" s="29">
        <v>46207</v>
      </c>
      <c r="F4392" t="s">
        <v>5</v>
      </c>
      <c r="G4392" s="28">
        <v>0.43680555555555556</v>
      </c>
      <c r="H4392" s="28">
        <v>0.43680555555555556</v>
      </c>
      <c r="I4392">
        <v>0</v>
      </c>
      <c r="J4392" t="s">
        <v>174</v>
      </c>
      <c r="K4392">
        <v>0</v>
      </c>
      <c r="L4392" t="s">
        <v>9591</v>
      </c>
      <c r="M4392" t="s">
        <v>11045</v>
      </c>
      <c r="N4392" t="s">
        <v>11046</v>
      </c>
      <c r="O4392" t="s">
        <v>11047</v>
      </c>
      <c r="P4392" t="s">
        <v>1335</v>
      </c>
    </row>
    <row r="4393" spans="1:16" x14ac:dyDescent="0.35">
      <c r="A4393" t="s">
        <v>115</v>
      </c>
      <c r="B4393">
        <v>1335197835</v>
      </c>
      <c r="C4393" t="s">
        <v>18</v>
      </c>
      <c r="D4393" t="s">
        <v>20</v>
      </c>
      <c r="E4393" s="29">
        <v>46207</v>
      </c>
      <c r="F4393" t="s">
        <v>5</v>
      </c>
      <c r="G4393" s="28">
        <v>0.44374999999999998</v>
      </c>
      <c r="H4393" s="28">
        <v>0.44374999999999998</v>
      </c>
      <c r="I4393">
        <v>0</v>
      </c>
      <c r="J4393" t="s">
        <v>174</v>
      </c>
      <c r="K4393">
        <v>0</v>
      </c>
      <c r="L4393" t="s">
        <v>11140</v>
      </c>
      <c r="M4393" t="s">
        <v>11141</v>
      </c>
      <c r="N4393" t="s">
        <v>11142</v>
      </c>
      <c r="O4393" t="s">
        <v>11143</v>
      </c>
      <c r="P4393" t="s">
        <v>11144</v>
      </c>
    </row>
    <row r="4394" spans="1:16" x14ac:dyDescent="0.35">
      <c r="A4394" t="s">
        <v>115</v>
      </c>
      <c r="B4394">
        <v>1335197835</v>
      </c>
      <c r="C4394" t="s">
        <v>18</v>
      </c>
      <c r="D4394" t="s">
        <v>20</v>
      </c>
      <c r="E4394" s="29">
        <v>46207</v>
      </c>
      <c r="F4394" t="s">
        <v>5</v>
      </c>
      <c r="G4394" s="28">
        <v>0.45069444444444445</v>
      </c>
      <c r="H4394" s="28">
        <v>0.45069444444444445</v>
      </c>
      <c r="I4394">
        <v>0</v>
      </c>
      <c r="J4394" t="s">
        <v>174</v>
      </c>
      <c r="K4394">
        <v>0</v>
      </c>
      <c r="L4394" t="s">
        <v>1302</v>
      </c>
      <c r="M4394" t="s">
        <v>11145</v>
      </c>
      <c r="N4394" t="s">
        <v>11146</v>
      </c>
      <c r="O4394" t="s">
        <v>11147</v>
      </c>
      <c r="P4394" t="s">
        <v>11148</v>
      </c>
    </row>
    <row r="4395" spans="1:16" x14ac:dyDescent="0.35">
      <c r="A4395" t="s">
        <v>115</v>
      </c>
      <c r="B4395">
        <v>1335197835</v>
      </c>
      <c r="C4395" t="s">
        <v>18</v>
      </c>
      <c r="D4395" t="s">
        <v>20</v>
      </c>
      <c r="E4395" s="29">
        <v>46207</v>
      </c>
      <c r="F4395" t="s">
        <v>5</v>
      </c>
      <c r="G4395" s="28">
        <v>0.46458333333333335</v>
      </c>
      <c r="H4395" s="28">
        <v>0.54791666666666672</v>
      </c>
      <c r="I4395">
        <v>2</v>
      </c>
      <c r="J4395" t="s">
        <v>146</v>
      </c>
      <c r="K4395">
        <v>6</v>
      </c>
      <c r="L4395" t="s">
        <v>147</v>
      </c>
      <c r="M4395" t="s">
        <v>11060</v>
      </c>
      <c r="N4395" t="s">
        <v>11061</v>
      </c>
      <c r="O4395" t="s">
        <v>11062</v>
      </c>
      <c r="P4395" t="s">
        <v>11063</v>
      </c>
    </row>
    <row r="4396" spans="1:16" x14ac:dyDescent="0.35">
      <c r="A4396" t="s">
        <v>115</v>
      </c>
      <c r="B4396">
        <v>1335197835</v>
      </c>
      <c r="C4396" t="s">
        <v>18</v>
      </c>
      <c r="D4396" t="s">
        <v>20</v>
      </c>
      <c r="E4396" s="29">
        <v>46207</v>
      </c>
      <c r="F4396" t="s">
        <v>5</v>
      </c>
      <c r="G4396" s="28">
        <v>0.55486111111111114</v>
      </c>
      <c r="H4396" s="28">
        <v>0.55486111111111114</v>
      </c>
      <c r="I4396">
        <v>0</v>
      </c>
      <c r="J4396" t="s">
        <v>174</v>
      </c>
      <c r="K4396">
        <v>0</v>
      </c>
      <c r="L4396" t="s">
        <v>6307</v>
      </c>
      <c r="M4396" t="s">
        <v>11145</v>
      </c>
      <c r="N4396" t="s">
        <v>11146</v>
      </c>
      <c r="O4396" t="s">
        <v>11147</v>
      </c>
      <c r="P4396" t="s">
        <v>11148</v>
      </c>
    </row>
    <row r="4397" spans="1:16" x14ac:dyDescent="0.35">
      <c r="A4397" t="s">
        <v>115</v>
      </c>
      <c r="B4397">
        <v>1335197835</v>
      </c>
      <c r="C4397" t="s">
        <v>18</v>
      </c>
      <c r="D4397" t="s">
        <v>20</v>
      </c>
      <c r="E4397" s="29">
        <v>46207</v>
      </c>
      <c r="F4397" t="s">
        <v>5</v>
      </c>
      <c r="G4397" s="28">
        <v>0.56180555555555556</v>
      </c>
      <c r="H4397" s="28">
        <v>0.56180555555555556</v>
      </c>
      <c r="I4397">
        <v>0</v>
      </c>
      <c r="J4397" t="s">
        <v>174</v>
      </c>
      <c r="K4397">
        <v>0</v>
      </c>
      <c r="L4397" t="s">
        <v>10605</v>
      </c>
      <c r="M4397" t="s">
        <v>11149</v>
      </c>
      <c r="N4397" t="s">
        <v>11150</v>
      </c>
      <c r="O4397" t="s">
        <v>11151</v>
      </c>
      <c r="P4397" t="s">
        <v>11152</v>
      </c>
    </row>
    <row r="4398" spans="1:16" x14ac:dyDescent="0.35">
      <c r="A4398" t="s">
        <v>115</v>
      </c>
      <c r="B4398">
        <v>1335197835</v>
      </c>
      <c r="C4398" t="s">
        <v>18</v>
      </c>
      <c r="D4398" t="s">
        <v>20</v>
      </c>
      <c r="E4398" s="29">
        <v>46207</v>
      </c>
      <c r="F4398" t="s">
        <v>5</v>
      </c>
      <c r="G4398" s="28">
        <v>0.56874999999999998</v>
      </c>
      <c r="H4398" s="28">
        <v>0.56874999999999998</v>
      </c>
      <c r="I4398">
        <v>0</v>
      </c>
      <c r="J4398" t="s">
        <v>174</v>
      </c>
      <c r="K4398">
        <v>0</v>
      </c>
      <c r="L4398" t="s">
        <v>569</v>
      </c>
      <c r="M4398" t="s">
        <v>11153</v>
      </c>
      <c r="N4398" t="s">
        <v>11154</v>
      </c>
      <c r="O4398" t="s">
        <v>11155</v>
      </c>
      <c r="P4398" t="s">
        <v>11156</v>
      </c>
    </row>
    <row r="4399" spans="1:16" x14ac:dyDescent="0.35">
      <c r="A4399" t="s">
        <v>115</v>
      </c>
      <c r="B4399">
        <v>1335197835</v>
      </c>
      <c r="C4399" t="s">
        <v>18</v>
      </c>
      <c r="D4399" t="s">
        <v>20</v>
      </c>
      <c r="E4399" s="29">
        <v>46207</v>
      </c>
      <c r="F4399" t="s">
        <v>5</v>
      </c>
      <c r="G4399" s="28">
        <v>0.58958333333333335</v>
      </c>
      <c r="H4399" s="28">
        <v>0.60347222222222219</v>
      </c>
      <c r="I4399">
        <v>0</v>
      </c>
      <c r="J4399" t="s">
        <v>146</v>
      </c>
      <c r="K4399">
        <v>1</v>
      </c>
      <c r="L4399" t="s">
        <v>147</v>
      </c>
      <c r="M4399" t="s">
        <v>11157</v>
      </c>
      <c r="N4399" t="s">
        <v>11158</v>
      </c>
      <c r="O4399" t="s">
        <v>11159</v>
      </c>
      <c r="P4399" t="s">
        <v>11160</v>
      </c>
    </row>
    <row r="4400" spans="1:16" x14ac:dyDescent="0.35">
      <c r="A4400" t="s">
        <v>115</v>
      </c>
      <c r="B4400">
        <v>1335197835</v>
      </c>
      <c r="C4400" t="s">
        <v>18</v>
      </c>
      <c r="D4400" t="s">
        <v>20</v>
      </c>
      <c r="E4400" s="29">
        <v>46207</v>
      </c>
      <c r="F4400" t="s">
        <v>5</v>
      </c>
      <c r="G4400" s="28">
        <v>0.61041666666666672</v>
      </c>
      <c r="H4400" s="28">
        <v>0.61041666666666672</v>
      </c>
      <c r="I4400">
        <v>0</v>
      </c>
      <c r="J4400" t="s">
        <v>174</v>
      </c>
      <c r="K4400">
        <v>0</v>
      </c>
      <c r="L4400" t="s">
        <v>7866</v>
      </c>
      <c r="M4400" t="s">
        <v>11161</v>
      </c>
      <c r="N4400" t="s">
        <v>11162</v>
      </c>
      <c r="O4400" t="s">
        <v>11163</v>
      </c>
      <c r="P4400" t="s">
        <v>11164</v>
      </c>
    </row>
    <row r="4401" spans="1:16" x14ac:dyDescent="0.35">
      <c r="A4401" t="s">
        <v>115</v>
      </c>
      <c r="B4401">
        <v>1335197835</v>
      </c>
      <c r="C4401" t="s">
        <v>18</v>
      </c>
      <c r="D4401" t="s">
        <v>20</v>
      </c>
      <c r="E4401" s="29">
        <v>46207</v>
      </c>
      <c r="F4401" t="s">
        <v>5</v>
      </c>
      <c r="G4401" s="28">
        <v>0.61736111111111114</v>
      </c>
      <c r="H4401" s="28">
        <v>0.61736111111111114</v>
      </c>
      <c r="I4401">
        <v>0</v>
      </c>
      <c r="J4401" t="s">
        <v>174</v>
      </c>
      <c r="K4401">
        <v>0</v>
      </c>
      <c r="L4401" t="s">
        <v>5580</v>
      </c>
      <c r="M4401" t="s">
        <v>11165</v>
      </c>
      <c r="N4401" t="s">
        <v>11166</v>
      </c>
      <c r="O4401" t="s">
        <v>11167</v>
      </c>
      <c r="P4401" t="s">
        <v>11168</v>
      </c>
    </row>
    <row r="4402" spans="1:16" x14ac:dyDescent="0.35">
      <c r="A4402" t="s">
        <v>115</v>
      </c>
      <c r="B4402">
        <v>1335197835</v>
      </c>
      <c r="C4402" t="s">
        <v>18</v>
      </c>
      <c r="D4402" t="s">
        <v>20</v>
      </c>
      <c r="E4402" s="29">
        <v>46207</v>
      </c>
      <c r="F4402" t="s">
        <v>5</v>
      </c>
      <c r="G4402" s="28">
        <v>0.62430555555555556</v>
      </c>
      <c r="H4402" s="28">
        <v>0.65208333333333335</v>
      </c>
      <c r="I4402">
        <v>1</v>
      </c>
      <c r="J4402" t="s">
        <v>146</v>
      </c>
      <c r="K4402">
        <v>2</v>
      </c>
      <c r="L4402" t="s">
        <v>147</v>
      </c>
      <c r="M4402" t="s">
        <v>11169</v>
      </c>
      <c r="N4402" t="s">
        <v>11170</v>
      </c>
      <c r="O4402" t="s">
        <v>11171</v>
      </c>
      <c r="P4402" t="s">
        <v>11172</v>
      </c>
    </row>
    <row r="4403" spans="1:16" x14ac:dyDescent="0.35">
      <c r="A4403" t="s">
        <v>115</v>
      </c>
      <c r="B4403">
        <v>1335197835</v>
      </c>
      <c r="C4403" t="s">
        <v>18</v>
      </c>
      <c r="D4403" t="s">
        <v>20</v>
      </c>
      <c r="E4403" s="29">
        <v>46207</v>
      </c>
      <c r="F4403" t="s">
        <v>5</v>
      </c>
      <c r="G4403" s="28">
        <v>0.65902777777777777</v>
      </c>
      <c r="H4403" s="28">
        <v>0.65902777777777777</v>
      </c>
      <c r="I4403">
        <v>0</v>
      </c>
      <c r="J4403" t="s">
        <v>174</v>
      </c>
      <c r="K4403">
        <v>0</v>
      </c>
      <c r="L4403" t="s">
        <v>1302</v>
      </c>
      <c r="M4403" t="s">
        <v>11145</v>
      </c>
      <c r="N4403" t="s">
        <v>11146</v>
      </c>
      <c r="O4403" t="s">
        <v>11147</v>
      </c>
      <c r="P4403" t="s">
        <v>11148</v>
      </c>
    </row>
    <row r="4404" spans="1:16" x14ac:dyDescent="0.35">
      <c r="A4404" t="s">
        <v>115</v>
      </c>
      <c r="B4404">
        <v>1335197835</v>
      </c>
      <c r="C4404" t="s">
        <v>18</v>
      </c>
      <c r="D4404" t="s">
        <v>20</v>
      </c>
      <c r="E4404" s="29">
        <v>46207</v>
      </c>
      <c r="F4404" t="s">
        <v>5</v>
      </c>
      <c r="G4404" s="28">
        <v>0.67291666666666672</v>
      </c>
      <c r="H4404" s="28">
        <v>0.75624999999999998</v>
      </c>
      <c r="I4404">
        <v>2</v>
      </c>
      <c r="J4404" t="s">
        <v>146</v>
      </c>
      <c r="K4404">
        <v>6</v>
      </c>
      <c r="L4404" t="s">
        <v>147</v>
      </c>
      <c r="M4404" t="s">
        <v>11060</v>
      </c>
      <c r="N4404" t="s">
        <v>11061</v>
      </c>
      <c r="O4404" t="s">
        <v>11062</v>
      </c>
      <c r="P4404" t="s">
        <v>11063</v>
      </c>
    </row>
    <row r="4405" spans="1:16" x14ac:dyDescent="0.35">
      <c r="A4405" t="s">
        <v>115</v>
      </c>
      <c r="B4405">
        <v>1335197835</v>
      </c>
      <c r="C4405" t="s">
        <v>18</v>
      </c>
      <c r="D4405" t="s">
        <v>20</v>
      </c>
      <c r="E4405" s="29">
        <v>46207</v>
      </c>
      <c r="F4405" t="s">
        <v>5</v>
      </c>
      <c r="G4405" s="28">
        <v>0.7631944444444444</v>
      </c>
      <c r="H4405" s="28">
        <v>0.7631944444444444</v>
      </c>
      <c r="I4405">
        <v>0</v>
      </c>
      <c r="J4405" t="s">
        <v>174</v>
      </c>
      <c r="K4405">
        <v>0</v>
      </c>
      <c r="L4405" t="s">
        <v>9270</v>
      </c>
      <c r="M4405" t="s">
        <v>11173</v>
      </c>
      <c r="N4405" t="s">
        <v>11174</v>
      </c>
      <c r="O4405" t="s">
        <v>11175</v>
      </c>
      <c r="P4405" t="s">
        <v>11176</v>
      </c>
    </row>
    <row r="4406" spans="1:16" x14ac:dyDescent="0.35">
      <c r="A4406" t="s">
        <v>115</v>
      </c>
      <c r="B4406">
        <v>1335197835</v>
      </c>
      <c r="C4406" t="s">
        <v>18</v>
      </c>
      <c r="D4406" t="s">
        <v>20</v>
      </c>
      <c r="E4406" s="29">
        <v>46207</v>
      </c>
      <c r="F4406" t="s">
        <v>5</v>
      </c>
      <c r="G4406" s="28">
        <v>0.77013888888888893</v>
      </c>
      <c r="H4406" s="28">
        <v>0.77013888888888893</v>
      </c>
      <c r="I4406">
        <v>0</v>
      </c>
      <c r="J4406" t="s">
        <v>174</v>
      </c>
      <c r="K4406">
        <v>0</v>
      </c>
      <c r="L4406" t="s">
        <v>5152</v>
      </c>
      <c r="M4406" t="s">
        <v>11177</v>
      </c>
      <c r="N4406" t="s">
        <v>11178</v>
      </c>
      <c r="O4406" t="s">
        <v>11179</v>
      </c>
      <c r="P4406" t="s">
        <v>5960</v>
      </c>
    </row>
    <row r="4407" spans="1:16" x14ac:dyDescent="0.35">
      <c r="A4407" t="s">
        <v>115</v>
      </c>
      <c r="B4407">
        <v>1335197835</v>
      </c>
      <c r="C4407" t="s">
        <v>18</v>
      </c>
      <c r="D4407" t="s">
        <v>20</v>
      </c>
      <c r="E4407" s="29">
        <v>46207</v>
      </c>
      <c r="F4407" t="s">
        <v>5</v>
      </c>
      <c r="G4407" s="28">
        <v>0.77708333333333335</v>
      </c>
      <c r="H4407" s="28">
        <v>0.81874999999999998</v>
      </c>
      <c r="I4407">
        <v>1</v>
      </c>
      <c r="J4407" t="s">
        <v>146</v>
      </c>
      <c r="K4407">
        <v>3</v>
      </c>
      <c r="L4407" t="s">
        <v>147</v>
      </c>
      <c r="M4407" t="s">
        <v>11180</v>
      </c>
      <c r="N4407" t="s">
        <v>11181</v>
      </c>
      <c r="O4407" t="s">
        <v>11182</v>
      </c>
      <c r="P4407" t="s">
        <v>11183</v>
      </c>
    </row>
    <row r="4408" spans="1:16" x14ac:dyDescent="0.35">
      <c r="A4408" t="s">
        <v>115</v>
      </c>
      <c r="B4408">
        <v>1335197835</v>
      </c>
      <c r="C4408" t="s">
        <v>18</v>
      </c>
      <c r="D4408" t="s">
        <v>20</v>
      </c>
      <c r="E4408" s="29">
        <v>46208</v>
      </c>
      <c r="F4408" t="s">
        <v>6</v>
      </c>
      <c r="G4408" s="28">
        <v>0.39513888888888887</v>
      </c>
      <c r="H4408" s="28">
        <v>0.39513888888888887</v>
      </c>
      <c r="I4408">
        <v>0</v>
      </c>
      <c r="J4408" t="s">
        <v>174</v>
      </c>
      <c r="K4408">
        <v>0</v>
      </c>
      <c r="L4408" t="s">
        <v>2268</v>
      </c>
      <c r="M4408" t="s">
        <v>11184</v>
      </c>
      <c r="N4408" t="s">
        <v>11185</v>
      </c>
      <c r="O4408" t="s">
        <v>11186</v>
      </c>
      <c r="P4408" t="s">
        <v>11187</v>
      </c>
    </row>
    <row r="4409" spans="1:16" x14ac:dyDescent="0.35">
      <c r="A4409" t="s">
        <v>115</v>
      </c>
      <c r="B4409">
        <v>1335197835</v>
      </c>
      <c r="C4409" t="s">
        <v>18</v>
      </c>
      <c r="D4409" t="s">
        <v>20</v>
      </c>
      <c r="E4409" s="29">
        <v>46208</v>
      </c>
      <c r="F4409" t="s">
        <v>6</v>
      </c>
      <c r="G4409" s="28">
        <v>0.40208333333333335</v>
      </c>
      <c r="H4409" s="28">
        <v>0.40208333333333335</v>
      </c>
      <c r="I4409">
        <v>0</v>
      </c>
      <c r="J4409" t="s">
        <v>174</v>
      </c>
      <c r="K4409">
        <v>0</v>
      </c>
      <c r="L4409" t="s">
        <v>4083</v>
      </c>
      <c r="M4409" t="s">
        <v>11188</v>
      </c>
      <c r="N4409" t="s">
        <v>11189</v>
      </c>
      <c r="O4409" t="s">
        <v>11190</v>
      </c>
      <c r="P4409" t="s">
        <v>11191</v>
      </c>
    </row>
    <row r="4410" spans="1:16" x14ac:dyDescent="0.35">
      <c r="A4410" t="s">
        <v>115</v>
      </c>
      <c r="B4410">
        <v>1335197835</v>
      </c>
      <c r="C4410" t="s">
        <v>18</v>
      </c>
      <c r="D4410" t="s">
        <v>20</v>
      </c>
      <c r="E4410" s="29">
        <v>46208</v>
      </c>
      <c r="F4410" t="s">
        <v>6</v>
      </c>
      <c r="G4410" s="28">
        <v>0.40902777777777777</v>
      </c>
      <c r="H4410" s="28">
        <v>0.40902777777777777</v>
      </c>
      <c r="I4410">
        <v>0</v>
      </c>
      <c r="J4410" t="s">
        <v>174</v>
      </c>
      <c r="K4410">
        <v>0</v>
      </c>
      <c r="L4410" t="s">
        <v>4504</v>
      </c>
      <c r="M4410" t="s">
        <v>11192</v>
      </c>
      <c r="N4410" t="s">
        <v>11193</v>
      </c>
      <c r="O4410" t="s">
        <v>11194</v>
      </c>
      <c r="P4410" t="s">
        <v>11195</v>
      </c>
    </row>
    <row r="4411" spans="1:16" x14ac:dyDescent="0.35">
      <c r="A4411" t="s">
        <v>115</v>
      </c>
      <c r="B4411">
        <v>1335197835</v>
      </c>
      <c r="C4411" t="s">
        <v>18</v>
      </c>
      <c r="D4411" t="s">
        <v>20</v>
      </c>
      <c r="E4411" s="29">
        <v>46208</v>
      </c>
      <c r="F4411" t="s">
        <v>6</v>
      </c>
      <c r="G4411" s="28">
        <v>0.41597222222222224</v>
      </c>
      <c r="H4411" s="28">
        <v>0.41597222222222224</v>
      </c>
      <c r="I4411">
        <v>0</v>
      </c>
      <c r="J4411" t="s">
        <v>174</v>
      </c>
      <c r="K4411">
        <v>0</v>
      </c>
      <c r="L4411" t="s">
        <v>1266</v>
      </c>
      <c r="M4411" t="s">
        <v>11196</v>
      </c>
      <c r="N4411" t="s">
        <v>11197</v>
      </c>
      <c r="O4411" t="s">
        <v>11198</v>
      </c>
      <c r="P4411" t="s">
        <v>11199</v>
      </c>
    </row>
    <row r="4412" spans="1:16" x14ac:dyDescent="0.35">
      <c r="A4412" t="s">
        <v>115</v>
      </c>
      <c r="B4412">
        <v>1335197835</v>
      </c>
      <c r="C4412" t="s">
        <v>18</v>
      </c>
      <c r="D4412" t="s">
        <v>20</v>
      </c>
      <c r="E4412" s="29">
        <v>46208</v>
      </c>
      <c r="F4412" t="s">
        <v>6</v>
      </c>
      <c r="G4412" s="28">
        <v>0.42291666666666666</v>
      </c>
      <c r="H4412" s="28">
        <v>0.42291666666666666</v>
      </c>
      <c r="I4412">
        <v>0</v>
      </c>
      <c r="J4412" t="s">
        <v>174</v>
      </c>
      <c r="K4412">
        <v>0</v>
      </c>
      <c r="L4412" t="s">
        <v>186</v>
      </c>
      <c r="M4412" t="s">
        <v>11200</v>
      </c>
      <c r="N4412" t="s">
        <v>11201</v>
      </c>
      <c r="O4412" t="s">
        <v>11202</v>
      </c>
      <c r="P4412" t="s">
        <v>11203</v>
      </c>
    </row>
    <row r="4413" spans="1:16" x14ac:dyDescent="0.35">
      <c r="A4413" t="s">
        <v>115</v>
      </c>
      <c r="B4413">
        <v>1335197835</v>
      </c>
      <c r="C4413" t="s">
        <v>18</v>
      </c>
      <c r="D4413" t="s">
        <v>20</v>
      </c>
      <c r="E4413" s="29">
        <v>46208</v>
      </c>
      <c r="F4413" t="s">
        <v>6</v>
      </c>
      <c r="G4413" s="28">
        <v>0.42986111111111114</v>
      </c>
      <c r="H4413" s="28">
        <v>0.43680555555555556</v>
      </c>
      <c r="I4413">
        <v>0</v>
      </c>
      <c r="J4413" t="s">
        <v>146</v>
      </c>
      <c r="K4413">
        <v>0</v>
      </c>
      <c r="L4413" t="s">
        <v>147</v>
      </c>
      <c r="M4413" t="s">
        <v>10993</v>
      </c>
      <c r="N4413" t="s">
        <v>10994</v>
      </c>
      <c r="O4413" t="s">
        <v>10995</v>
      </c>
      <c r="P4413" t="s">
        <v>10996</v>
      </c>
    </row>
    <row r="4414" spans="1:16" x14ac:dyDescent="0.35">
      <c r="A4414" t="s">
        <v>115</v>
      </c>
      <c r="B4414">
        <v>1335197835</v>
      </c>
      <c r="C4414" t="s">
        <v>18</v>
      </c>
      <c r="D4414" t="s">
        <v>20</v>
      </c>
      <c r="E4414" s="29">
        <v>46208</v>
      </c>
      <c r="F4414" t="s">
        <v>6</v>
      </c>
      <c r="G4414" s="28">
        <v>0.44374999999999998</v>
      </c>
      <c r="H4414" s="28">
        <v>0.44374999999999998</v>
      </c>
      <c r="I4414">
        <v>0</v>
      </c>
      <c r="J4414" t="s">
        <v>174</v>
      </c>
      <c r="K4414">
        <v>0</v>
      </c>
      <c r="L4414" t="s">
        <v>2702</v>
      </c>
      <c r="M4414" t="s">
        <v>11023</v>
      </c>
      <c r="N4414" t="s">
        <v>11024</v>
      </c>
      <c r="O4414" t="s">
        <v>11025</v>
      </c>
      <c r="P4414" t="s">
        <v>11026</v>
      </c>
    </row>
    <row r="4415" spans="1:16" x14ac:dyDescent="0.35">
      <c r="A4415" t="s">
        <v>115</v>
      </c>
      <c r="B4415">
        <v>1335197835</v>
      </c>
      <c r="C4415" t="s">
        <v>18</v>
      </c>
      <c r="D4415" t="s">
        <v>20</v>
      </c>
      <c r="E4415" s="29">
        <v>46208</v>
      </c>
      <c r="F4415" t="s">
        <v>6</v>
      </c>
      <c r="G4415" s="28">
        <v>0.45069444444444445</v>
      </c>
      <c r="H4415" s="28">
        <v>0.45069444444444445</v>
      </c>
      <c r="I4415">
        <v>0</v>
      </c>
      <c r="J4415" t="s">
        <v>174</v>
      </c>
      <c r="K4415">
        <v>0</v>
      </c>
      <c r="L4415" t="s">
        <v>6659</v>
      </c>
      <c r="M4415" t="s">
        <v>11204</v>
      </c>
      <c r="N4415" t="s">
        <v>11205</v>
      </c>
      <c r="O4415" t="s">
        <v>11206</v>
      </c>
      <c r="P4415" t="s">
        <v>11207</v>
      </c>
    </row>
    <row r="4416" spans="1:16" x14ac:dyDescent="0.35">
      <c r="A4416" t="s">
        <v>115</v>
      </c>
      <c r="B4416">
        <v>1335197835</v>
      </c>
      <c r="C4416" t="s">
        <v>18</v>
      </c>
      <c r="D4416" t="s">
        <v>20</v>
      </c>
      <c r="E4416" s="29">
        <v>46208</v>
      </c>
      <c r="F4416" t="s">
        <v>6</v>
      </c>
      <c r="G4416" s="28">
        <v>0.45763888888888887</v>
      </c>
      <c r="H4416" s="28">
        <v>0.45763888888888887</v>
      </c>
      <c r="I4416">
        <v>0</v>
      </c>
      <c r="J4416" t="s">
        <v>174</v>
      </c>
      <c r="K4416">
        <v>0</v>
      </c>
      <c r="L4416" t="s">
        <v>11208</v>
      </c>
      <c r="M4416" t="s">
        <v>11209</v>
      </c>
      <c r="N4416" t="s">
        <v>11210</v>
      </c>
      <c r="O4416" t="s">
        <v>11211</v>
      </c>
      <c r="P4416" t="s">
        <v>11212</v>
      </c>
    </row>
    <row r="4417" spans="1:16" x14ac:dyDescent="0.35">
      <c r="A4417" t="s">
        <v>115</v>
      </c>
      <c r="B4417">
        <v>1335197835</v>
      </c>
      <c r="C4417" t="s">
        <v>18</v>
      </c>
      <c r="D4417" t="s">
        <v>20</v>
      </c>
      <c r="E4417" s="29">
        <v>46208</v>
      </c>
      <c r="F4417" t="s">
        <v>6</v>
      </c>
      <c r="G4417" s="28">
        <v>0.46458333333333335</v>
      </c>
      <c r="H4417" s="28">
        <v>0.46458333333333335</v>
      </c>
      <c r="I4417">
        <v>0</v>
      </c>
      <c r="J4417" t="s">
        <v>174</v>
      </c>
      <c r="K4417">
        <v>0</v>
      </c>
      <c r="L4417" t="s">
        <v>485</v>
      </c>
      <c r="M4417" t="s">
        <v>11213</v>
      </c>
      <c r="N4417" t="s">
        <v>11214</v>
      </c>
      <c r="O4417" t="s">
        <v>11215</v>
      </c>
      <c r="P4417" t="s">
        <v>11216</v>
      </c>
    </row>
    <row r="4418" spans="1:16" x14ac:dyDescent="0.35">
      <c r="A4418" t="s">
        <v>115</v>
      </c>
      <c r="B4418">
        <v>1335197835</v>
      </c>
      <c r="C4418" t="s">
        <v>18</v>
      </c>
      <c r="D4418" t="s">
        <v>20</v>
      </c>
      <c r="E4418" s="29">
        <v>46208</v>
      </c>
      <c r="F4418" t="s">
        <v>6</v>
      </c>
      <c r="G4418" s="28">
        <v>0.47152777777777777</v>
      </c>
      <c r="H4418" s="28">
        <v>0.47152777777777777</v>
      </c>
      <c r="I4418">
        <v>0</v>
      </c>
      <c r="J4418" t="s">
        <v>174</v>
      </c>
      <c r="K4418">
        <v>0</v>
      </c>
      <c r="L4418" t="s">
        <v>11217</v>
      </c>
      <c r="M4418" t="s">
        <v>11218</v>
      </c>
      <c r="N4418" t="s">
        <v>11219</v>
      </c>
      <c r="O4418" t="s">
        <v>11220</v>
      </c>
      <c r="P4418" t="s">
        <v>11221</v>
      </c>
    </row>
    <row r="4419" spans="1:16" x14ac:dyDescent="0.35">
      <c r="A4419" t="s">
        <v>115</v>
      </c>
      <c r="B4419">
        <v>1335197835</v>
      </c>
      <c r="C4419" t="s">
        <v>18</v>
      </c>
      <c r="D4419" t="s">
        <v>20</v>
      </c>
      <c r="E4419" s="29">
        <v>46208</v>
      </c>
      <c r="F4419" t="s">
        <v>6</v>
      </c>
      <c r="G4419" s="28">
        <v>0.47847222222222224</v>
      </c>
      <c r="H4419" s="28">
        <v>0.47847222222222224</v>
      </c>
      <c r="I4419">
        <v>0</v>
      </c>
      <c r="J4419" t="s">
        <v>174</v>
      </c>
      <c r="K4419">
        <v>0</v>
      </c>
      <c r="L4419" t="s">
        <v>7600</v>
      </c>
      <c r="M4419" t="s">
        <v>11222</v>
      </c>
      <c r="N4419" t="s">
        <v>11223</v>
      </c>
      <c r="O4419" t="s">
        <v>11224</v>
      </c>
      <c r="P4419" t="s">
        <v>11225</v>
      </c>
    </row>
    <row r="4420" spans="1:16" x14ac:dyDescent="0.35">
      <c r="A4420" t="s">
        <v>115</v>
      </c>
      <c r="B4420">
        <v>1335197835</v>
      </c>
      <c r="C4420" t="s">
        <v>18</v>
      </c>
      <c r="D4420" t="s">
        <v>20</v>
      </c>
      <c r="E4420" s="29">
        <v>46208</v>
      </c>
      <c r="F4420" t="s">
        <v>6</v>
      </c>
      <c r="G4420" s="28">
        <v>0.48541666666666666</v>
      </c>
      <c r="H4420" s="28">
        <v>0.48541666666666666</v>
      </c>
      <c r="I4420">
        <v>0</v>
      </c>
      <c r="J4420" t="s">
        <v>174</v>
      </c>
      <c r="K4420">
        <v>0</v>
      </c>
      <c r="L4420" t="s">
        <v>2623</v>
      </c>
      <c r="M4420" t="s">
        <v>11041</v>
      </c>
      <c r="N4420" t="s">
        <v>11226</v>
      </c>
      <c r="O4420" t="s">
        <v>11227</v>
      </c>
      <c r="P4420" t="s">
        <v>11228</v>
      </c>
    </row>
    <row r="4421" spans="1:16" x14ac:dyDescent="0.35">
      <c r="A4421" t="s">
        <v>115</v>
      </c>
      <c r="B4421">
        <v>1335197835</v>
      </c>
      <c r="C4421" t="s">
        <v>18</v>
      </c>
      <c r="D4421" t="s">
        <v>20</v>
      </c>
      <c r="E4421" s="29">
        <v>46208</v>
      </c>
      <c r="F4421" t="s">
        <v>6</v>
      </c>
      <c r="G4421" s="28">
        <v>0.49236111111111114</v>
      </c>
      <c r="H4421" s="28">
        <v>0.49236111111111114</v>
      </c>
      <c r="I4421">
        <v>0</v>
      </c>
      <c r="J4421" t="s">
        <v>174</v>
      </c>
      <c r="K4421">
        <v>0</v>
      </c>
      <c r="L4421" t="s">
        <v>11229</v>
      </c>
      <c r="M4421" t="s">
        <v>11136</v>
      </c>
      <c r="N4421" t="s">
        <v>11137</v>
      </c>
      <c r="O4421" t="s">
        <v>11138</v>
      </c>
      <c r="P4421" t="s">
        <v>11139</v>
      </c>
    </row>
    <row r="4422" spans="1:16" x14ac:dyDescent="0.35">
      <c r="A4422" t="s">
        <v>115</v>
      </c>
      <c r="B4422">
        <v>1335197835</v>
      </c>
      <c r="C4422" t="s">
        <v>18</v>
      </c>
      <c r="D4422" t="s">
        <v>20</v>
      </c>
      <c r="E4422" s="29">
        <v>46208</v>
      </c>
      <c r="F4422" t="s">
        <v>6</v>
      </c>
      <c r="G4422" s="28">
        <v>0.49930555555555556</v>
      </c>
      <c r="H4422" s="28">
        <v>0.49930555555555556</v>
      </c>
      <c r="I4422">
        <v>0</v>
      </c>
      <c r="J4422" t="s">
        <v>174</v>
      </c>
      <c r="K4422">
        <v>0</v>
      </c>
      <c r="L4422" t="s">
        <v>6917</v>
      </c>
      <c r="M4422" t="s">
        <v>11230</v>
      </c>
      <c r="N4422" t="s">
        <v>11049</v>
      </c>
      <c r="O4422" t="s">
        <v>11050</v>
      </c>
      <c r="P4422" t="s">
        <v>11051</v>
      </c>
    </row>
    <row r="4423" spans="1:16" x14ac:dyDescent="0.35">
      <c r="A4423" t="s">
        <v>115</v>
      </c>
      <c r="B4423">
        <v>1335197835</v>
      </c>
      <c r="C4423" t="s">
        <v>18</v>
      </c>
      <c r="D4423" t="s">
        <v>20</v>
      </c>
      <c r="E4423" s="29">
        <v>46208</v>
      </c>
      <c r="F4423" t="s">
        <v>6</v>
      </c>
      <c r="G4423" s="28">
        <v>0.50624999999999998</v>
      </c>
      <c r="H4423" s="28">
        <v>0.50624999999999998</v>
      </c>
      <c r="I4423">
        <v>0</v>
      </c>
      <c r="J4423" t="s">
        <v>174</v>
      </c>
      <c r="K4423">
        <v>0</v>
      </c>
      <c r="L4423" t="s">
        <v>9658</v>
      </c>
      <c r="M4423" t="s">
        <v>11231</v>
      </c>
      <c r="N4423" t="s">
        <v>11232</v>
      </c>
      <c r="O4423" t="s">
        <v>11233</v>
      </c>
      <c r="P4423" t="s">
        <v>11234</v>
      </c>
    </row>
    <row r="4424" spans="1:16" x14ac:dyDescent="0.35">
      <c r="A4424" t="s">
        <v>115</v>
      </c>
      <c r="B4424">
        <v>1335197835</v>
      </c>
      <c r="C4424" t="s">
        <v>18</v>
      </c>
      <c r="D4424" t="s">
        <v>20</v>
      </c>
      <c r="E4424" s="29">
        <v>46208</v>
      </c>
      <c r="F4424" t="s">
        <v>6</v>
      </c>
      <c r="G4424" s="28">
        <v>0.5131944444444444</v>
      </c>
      <c r="H4424" s="28">
        <v>0.58958333333333335</v>
      </c>
      <c r="I4424">
        <v>2</v>
      </c>
      <c r="J4424" t="s">
        <v>146</v>
      </c>
      <c r="K4424">
        <v>6</v>
      </c>
      <c r="L4424" t="s">
        <v>147</v>
      </c>
      <c r="M4424" t="s">
        <v>11060</v>
      </c>
      <c r="N4424" t="s">
        <v>11061</v>
      </c>
      <c r="O4424" t="s">
        <v>11062</v>
      </c>
      <c r="P4424" t="s">
        <v>11063</v>
      </c>
    </row>
    <row r="4425" spans="1:16" x14ac:dyDescent="0.35">
      <c r="A4425" t="s">
        <v>115</v>
      </c>
      <c r="B4425">
        <v>1335197835</v>
      </c>
      <c r="C4425" t="s">
        <v>18</v>
      </c>
      <c r="D4425" t="s">
        <v>20</v>
      </c>
      <c r="E4425" s="29">
        <v>46208</v>
      </c>
      <c r="F4425" t="s">
        <v>6</v>
      </c>
      <c r="G4425" s="28">
        <v>0.59652777777777777</v>
      </c>
      <c r="H4425" s="28">
        <v>0.59652777777777777</v>
      </c>
      <c r="I4425">
        <v>0</v>
      </c>
      <c r="J4425" t="s">
        <v>174</v>
      </c>
      <c r="K4425">
        <v>0</v>
      </c>
      <c r="L4425" t="s">
        <v>2128</v>
      </c>
      <c r="M4425" t="s">
        <v>11064</v>
      </c>
      <c r="N4425" t="s">
        <v>11065</v>
      </c>
      <c r="O4425" t="s">
        <v>11066</v>
      </c>
      <c r="P4425" t="s">
        <v>11067</v>
      </c>
    </row>
    <row r="4426" spans="1:16" x14ac:dyDescent="0.35">
      <c r="A4426" t="s">
        <v>115</v>
      </c>
      <c r="B4426">
        <v>1335197835</v>
      </c>
      <c r="C4426" t="s">
        <v>18</v>
      </c>
      <c r="D4426" t="s">
        <v>20</v>
      </c>
      <c r="E4426" s="29">
        <v>46208</v>
      </c>
      <c r="F4426" t="s">
        <v>6</v>
      </c>
      <c r="G4426" s="28">
        <v>0.60347222222222219</v>
      </c>
      <c r="H4426" s="28">
        <v>0.62430555555555556</v>
      </c>
      <c r="I4426">
        <v>1</v>
      </c>
      <c r="J4426" t="s">
        <v>146</v>
      </c>
      <c r="K4426">
        <v>2</v>
      </c>
      <c r="L4426" t="s">
        <v>147</v>
      </c>
      <c r="M4426" t="s">
        <v>11060</v>
      </c>
      <c r="N4426" t="s">
        <v>11061</v>
      </c>
      <c r="O4426" t="s">
        <v>11062</v>
      </c>
      <c r="P4426" t="s">
        <v>11063</v>
      </c>
    </row>
    <row r="4427" spans="1:16" x14ac:dyDescent="0.35">
      <c r="A4427" t="s">
        <v>115</v>
      </c>
      <c r="B4427">
        <v>1335197835</v>
      </c>
      <c r="C4427" t="s">
        <v>18</v>
      </c>
      <c r="D4427" t="s">
        <v>20</v>
      </c>
      <c r="E4427" s="29">
        <v>46208</v>
      </c>
      <c r="F4427" t="s">
        <v>6</v>
      </c>
      <c r="G4427" s="28">
        <v>0.63124999999999998</v>
      </c>
      <c r="H4427" s="28">
        <v>0.6381944444444444</v>
      </c>
      <c r="I4427">
        <v>0</v>
      </c>
      <c r="J4427" t="s">
        <v>146</v>
      </c>
      <c r="K4427">
        <v>0</v>
      </c>
      <c r="L4427" t="s">
        <v>147</v>
      </c>
      <c r="M4427" t="s">
        <v>11145</v>
      </c>
      <c r="N4427" t="s">
        <v>11146</v>
      </c>
      <c r="O4427" t="s">
        <v>11147</v>
      </c>
      <c r="P4427" t="s">
        <v>11148</v>
      </c>
    </row>
    <row r="4428" spans="1:16" x14ac:dyDescent="0.35">
      <c r="A4428" t="s">
        <v>115</v>
      </c>
      <c r="B4428">
        <v>1335197835</v>
      </c>
      <c r="C4428" t="s">
        <v>18</v>
      </c>
      <c r="D4428" t="s">
        <v>20</v>
      </c>
      <c r="E4428" s="29">
        <v>46208</v>
      </c>
      <c r="F4428" t="s">
        <v>6</v>
      </c>
      <c r="G4428" s="28">
        <v>0.64513888888888893</v>
      </c>
      <c r="H4428" s="28">
        <v>0.72847222222222219</v>
      </c>
      <c r="I4428">
        <v>2</v>
      </c>
      <c r="J4428" t="s">
        <v>146</v>
      </c>
      <c r="K4428">
        <v>6</v>
      </c>
      <c r="L4428" t="s">
        <v>147</v>
      </c>
      <c r="M4428" t="s">
        <v>11060</v>
      </c>
      <c r="N4428" t="s">
        <v>11061</v>
      </c>
      <c r="O4428" t="s">
        <v>11062</v>
      </c>
      <c r="P4428" t="s">
        <v>11063</v>
      </c>
    </row>
    <row r="4429" spans="1:16" x14ac:dyDescent="0.35">
      <c r="A4429" t="s">
        <v>115</v>
      </c>
      <c r="B4429">
        <v>1335197835</v>
      </c>
      <c r="C4429" t="s">
        <v>18</v>
      </c>
      <c r="D4429" t="s">
        <v>20</v>
      </c>
      <c r="E4429" s="29">
        <v>46208</v>
      </c>
      <c r="F4429" t="s">
        <v>6</v>
      </c>
      <c r="G4429" s="28">
        <v>0.73541666666666672</v>
      </c>
      <c r="H4429" s="28">
        <v>0.73541666666666672</v>
      </c>
      <c r="I4429">
        <v>0</v>
      </c>
      <c r="J4429" t="s">
        <v>174</v>
      </c>
      <c r="K4429">
        <v>0</v>
      </c>
      <c r="L4429" t="s">
        <v>6637</v>
      </c>
      <c r="M4429" t="s">
        <v>11235</v>
      </c>
      <c r="N4429" t="s">
        <v>11236</v>
      </c>
      <c r="O4429" t="s">
        <v>11237</v>
      </c>
      <c r="P4429" t="s">
        <v>11238</v>
      </c>
    </row>
    <row r="4430" spans="1:16" x14ac:dyDescent="0.35">
      <c r="A4430" t="s">
        <v>115</v>
      </c>
      <c r="B4430">
        <v>1335197835</v>
      </c>
      <c r="C4430" t="s">
        <v>18</v>
      </c>
      <c r="D4430" t="s">
        <v>20</v>
      </c>
      <c r="E4430" s="29">
        <v>46208</v>
      </c>
      <c r="F4430" t="s">
        <v>6</v>
      </c>
      <c r="G4430" s="28">
        <v>0.74236111111111114</v>
      </c>
      <c r="H4430" s="28">
        <v>0.74930555555555556</v>
      </c>
      <c r="I4430">
        <v>0</v>
      </c>
      <c r="J4430" t="s">
        <v>146</v>
      </c>
      <c r="K4430">
        <v>0</v>
      </c>
      <c r="L4430" t="s">
        <v>147</v>
      </c>
      <c r="M4430" t="s">
        <v>11239</v>
      </c>
      <c r="N4430" t="s">
        <v>11232</v>
      </c>
      <c r="O4430" t="s">
        <v>11233</v>
      </c>
      <c r="P4430" t="s">
        <v>11234</v>
      </c>
    </row>
    <row r="4431" spans="1:16" x14ac:dyDescent="0.35">
      <c r="A4431" t="s">
        <v>115</v>
      </c>
      <c r="B4431">
        <v>1335197835</v>
      </c>
      <c r="C4431" t="s">
        <v>18</v>
      </c>
      <c r="D4431" t="s">
        <v>20</v>
      </c>
      <c r="E4431" s="29">
        <v>46208</v>
      </c>
      <c r="F4431" t="s">
        <v>6</v>
      </c>
      <c r="G4431" s="28">
        <v>0.75624999999999998</v>
      </c>
      <c r="H4431" s="28">
        <v>0.75624999999999998</v>
      </c>
      <c r="I4431">
        <v>0</v>
      </c>
      <c r="J4431" t="s">
        <v>174</v>
      </c>
      <c r="K4431">
        <v>0</v>
      </c>
      <c r="L4431" t="s">
        <v>11240</v>
      </c>
      <c r="M4431" t="s">
        <v>11052</v>
      </c>
      <c r="N4431" t="s">
        <v>11053</v>
      </c>
      <c r="O4431" t="s">
        <v>11054</v>
      </c>
      <c r="P4431" t="s">
        <v>11055</v>
      </c>
    </row>
    <row r="4432" spans="1:16" x14ac:dyDescent="0.35">
      <c r="A4432" t="s">
        <v>115</v>
      </c>
      <c r="B4432">
        <v>1335197835</v>
      </c>
      <c r="C4432" t="s">
        <v>18</v>
      </c>
      <c r="D4432" t="s">
        <v>20</v>
      </c>
      <c r="E4432" s="29">
        <v>46208</v>
      </c>
      <c r="F4432" t="s">
        <v>6</v>
      </c>
      <c r="G4432" s="28">
        <v>0.7631944444444444</v>
      </c>
      <c r="H4432" s="28">
        <v>0.7631944444444444</v>
      </c>
      <c r="I4432">
        <v>0</v>
      </c>
      <c r="J4432" t="s">
        <v>174</v>
      </c>
      <c r="K4432">
        <v>0</v>
      </c>
      <c r="L4432" t="s">
        <v>10354</v>
      </c>
      <c r="M4432" t="s">
        <v>11045</v>
      </c>
      <c r="N4432" t="s">
        <v>11241</v>
      </c>
      <c r="O4432" t="s">
        <v>11242</v>
      </c>
      <c r="P4432" t="s">
        <v>11243</v>
      </c>
    </row>
    <row r="4433" spans="1:16" x14ac:dyDescent="0.35">
      <c r="A4433" t="s">
        <v>115</v>
      </c>
      <c r="B4433">
        <v>1335197835</v>
      </c>
      <c r="C4433" t="s">
        <v>18</v>
      </c>
      <c r="D4433" t="s">
        <v>20</v>
      </c>
      <c r="E4433" s="29">
        <v>46208</v>
      </c>
      <c r="F4433" t="s">
        <v>6</v>
      </c>
      <c r="G4433" s="28">
        <v>0.77013888888888893</v>
      </c>
      <c r="H4433" s="28">
        <v>0.77013888888888893</v>
      </c>
      <c r="I4433">
        <v>0</v>
      </c>
      <c r="J4433" t="s">
        <v>174</v>
      </c>
      <c r="K4433">
        <v>0</v>
      </c>
      <c r="L4433" t="s">
        <v>4010</v>
      </c>
      <c r="M4433" t="s">
        <v>11244</v>
      </c>
      <c r="N4433" t="s">
        <v>11245</v>
      </c>
      <c r="O4433" t="s">
        <v>11246</v>
      </c>
      <c r="P4433" t="s">
        <v>11247</v>
      </c>
    </row>
    <row r="4434" spans="1:16" x14ac:dyDescent="0.35">
      <c r="A4434" t="s">
        <v>115</v>
      </c>
      <c r="B4434">
        <v>1335197835</v>
      </c>
      <c r="C4434" t="s">
        <v>18</v>
      </c>
      <c r="D4434" t="s">
        <v>20</v>
      </c>
      <c r="E4434" s="29">
        <v>46208</v>
      </c>
      <c r="F4434" t="s">
        <v>6</v>
      </c>
      <c r="G4434" s="28">
        <v>0.77708333333333335</v>
      </c>
      <c r="H4434" s="28">
        <v>0.77708333333333335</v>
      </c>
      <c r="I4434">
        <v>0</v>
      </c>
      <c r="J4434" t="s">
        <v>174</v>
      </c>
      <c r="K4434">
        <v>0</v>
      </c>
      <c r="L4434" t="s">
        <v>11248</v>
      </c>
      <c r="M4434" t="s">
        <v>11249</v>
      </c>
      <c r="N4434" t="s">
        <v>11250</v>
      </c>
      <c r="O4434" t="s">
        <v>11251</v>
      </c>
      <c r="P4434" t="s">
        <v>11252</v>
      </c>
    </row>
    <row r="4435" spans="1:16" x14ac:dyDescent="0.35">
      <c r="A4435" t="s">
        <v>115</v>
      </c>
      <c r="B4435">
        <v>1335197835</v>
      </c>
      <c r="C4435" t="s">
        <v>18</v>
      </c>
      <c r="D4435" t="s">
        <v>20</v>
      </c>
      <c r="E4435" s="29">
        <v>46208</v>
      </c>
      <c r="F4435" t="s">
        <v>6</v>
      </c>
      <c r="G4435" s="28">
        <v>0.78402777777777777</v>
      </c>
      <c r="H4435" s="28">
        <v>0.78402777777777777</v>
      </c>
      <c r="I4435">
        <v>0</v>
      </c>
      <c r="J4435" t="s">
        <v>174</v>
      </c>
      <c r="K4435">
        <v>0</v>
      </c>
      <c r="L4435" t="s">
        <v>5384</v>
      </c>
      <c r="M4435" t="s">
        <v>11127</v>
      </c>
      <c r="N4435" t="s">
        <v>11128</v>
      </c>
      <c r="O4435" t="s">
        <v>11129</v>
      </c>
      <c r="P4435" t="s">
        <v>11130</v>
      </c>
    </row>
    <row r="4436" spans="1:16" x14ac:dyDescent="0.35">
      <c r="A4436" t="s">
        <v>115</v>
      </c>
      <c r="B4436">
        <v>1335197835</v>
      </c>
      <c r="C4436" t="s">
        <v>18</v>
      </c>
      <c r="D4436" t="s">
        <v>20</v>
      </c>
      <c r="E4436" s="29">
        <v>46208</v>
      </c>
      <c r="F4436" t="s">
        <v>6</v>
      </c>
      <c r="G4436" s="28">
        <v>0.79097222222222219</v>
      </c>
      <c r="H4436" s="28">
        <v>0.79097222222222219</v>
      </c>
      <c r="I4436">
        <v>0</v>
      </c>
      <c r="J4436" t="s">
        <v>174</v>
      </c>
      <c r="K4436">
        <v>0</v>
      </c>
      <c r="L4436" t="s">
        <v>11208</v>
      </c>
      <c r="M4436" t="s">
        <v>11213</v>
      </c>
      <c r="N4436" t="s">
        <v>11214</v>
      </c>
      <c r="O4436" t="s">
        <v>11215</v>
      </c>
      <c r="P4436" t="s">
        <v>11216</v>
      </c>
    </row>
    <row r="4437" spans="1:16" x14ac:dyDescent="0.35">
      <c r="A4437" t="s">
        <v>96</v>
      </c>
      <c r="B4437">
        <v>1322845170</v>
      </c>
      <c r="C4437" t="s">
        <v>18</v>
      </c>
      <c r="D4437" t="s">
        <v>21</v>
      </c>
      <c r="E4437" s="29">
        <v>46204</v>
      </c>
      <c r="F4437" t="s">
        <v>3</v>
      </c>
      <c r="G4437" s="28">
        <v>0.41944444444444445</v>
      </c>
      <c r="H4437" s="28">
        <v>0.41944444444444445</v>
      </c>
      <c r="I4437">
        <v>0</v>
      </c>
      <c r="J4437" t="s">
        <v>174</v>
      </c>
      <c r="K4437">
        <v>0</v>
      </c>
      <c r="L4437" t="s">
        <v>293</v>
      </c>
      <c r="M4437" t="s">
        <v>11253</v>
      </c>
      <c r="N4437" t="s">
        <v>11254</v>
      </c>
      <c r="O4437" t="s">
        <v>11255</v>
      </c>
      <c r="P4437" t="s">
        <v>11256</v>
      </c>
    </row>
    <row r="4438" spans="1:16" x14ac:dyDescent="0.35">
      <c r="A4438" t="s">
        <v>96</v>
      </c>
      <c r="B4438">
        <v>1322845170</v>
      </c>
      <c r="C4438" t="s">
        <v>18</v>
      </c>
      <c r="D4438" t="s">
        <v>21</v>
      </c>
      <c r="E4438" s="29">
        <v>46204</v>
      </c>
      <c r="F4438" t="s">
        <v>3</v>
      </c>
      <c r="G4438" s="28">
        <v>0.42638888888888887</v>
      </c>
      <c r="H4438" s="28">
        <v>0.42638888888888887</v>
      </c>
      <c r="I4438">
        <v>0</v>
      </c>
      <c r="J4438" t="s">
        <v>174</v>
      </c>
      <c r="K4438">
        <v>0</v>
      </c>
      <c r="L4438" t="s">
        <v>1811</v>
      </c>
      <c r="M4438" t="s">
        <v>11257</v>
      </c>
      <c r="N4438" t="s">
        <v>11258</v>
      </c>
      <c r="O4438" t="s">
        <v>11259</v>
      </c>
      <c r="P4438" t="s">
        <v>11260</v>
      </c>
    </row>
    <row r="4439" spans="1:16" x14ac:dyDescent="0.35">
      <c r="A4439" t="s">
        <v>96</v>
      </c>
      <c r="B4439">
        <v>1322845170</v>
      </c>
      <c r="C4439" t="s">
        <v>18</v>
      </c>
      <c r="D4439" t="s">
        <v>21</v>
      </c>
      <c r="E4439" s="29">
        <v>46204</v>
      </c>
      <c r="F4439" t="s">
        <v>3</v>
      </c>
      <c r="G4439" s="28">
        <v>0.43333333333333335</v>
      </c>
      <c r="H4439" s="28">
        <v>0.46111111111111114</v>
      </c>
      <c r="I4439">
        <v>1</v>
      </c>
      <c r="J4439" t="s">
        <v>146</v>
      </c>
      <c r="K4439">
        <v>2</v>
      </c>
      <c r="L4439" t="s">
        <v>147</v>
      </c>
      <c r="M4439" t="s">
        <v>11261</v>
      </c>
      <c r="N4439" t="s">
        <v>11262</v>
      </c>
      <c r="O4439" t="s">
        <v>11263</v>
      </c>
      <c r="P4439" t="s">
        <v>11264</v>
      </c>
    </row>
    <row r="4440" spans="1:16" x14ac:dyDescent="0.35">
      <c r="A4440" t="s">
        <v>96</v>
      </c>
      <c r="B4440">
        <v>1322845170</v>
      </c>
      <c r="C4440" t="s">
        <v>18</v>
      </c>
      <c r="D4440" t="s">
        <v>21</v>
      </c>
      <c r="E4440" s="29">
        <v>46204</v>
      </c>
      <c r="F4440" t="s">
        <v>3</v>
      </c>
      <c r="G4440" s="28">
        <v>0.46805555555555556</v>
      </c>
      <c r="H4440" s="28">
        <v>0.46805555555555556</v>
      </c>
      <c r="I4440">
        <v>0</v>
      </c>
      <c r="J4440" t="s">
        <v>174</v>
      </c>
      <c r="K4440">
        <v>0</v>
      </c>
      <c r="L4440" t="s">
        <v>2416</v>
      </c>
      <c r="M4440" t="s">
        <v>11265</v>
      </c>
      <c r="N4440" t="s">
        <v>11266</v>
      </c>
      <c r="O4440" t="s">
        <v>11267</v>
      </c>
      <c r="P4440" t="s">
        <v>11268</v>
      </c>
    </row>
    <row r="4441" spans="1:16" x14ac:dyDescent="0.35">
      <c r="A4441" t="s">
        <v>96</v>
      </c>
      <c r="B4441">
        <v>1322845170</v>
      </c>
      <c r="C4441" t="s">
        <v>18</v>
      </c>
      <c r="D4441" t="s">
        <v>21</v>
      </c>
      <c r="E4441" s="29">
        <v>46204</v>
      </c>
      <c r="F4441" t="s">
        <v>3</v>
      </c>
      <c r="G4441" s="28">
        <v>0.47499999999999998</v>
      </c>
      <c r="H4441" s="28">
        <v>0.51666666666666672</v>
      </c>
      <c r="I4441">
        <v>1</v>
      </c>
      <c r="J4441" t="s">
        <v>146</v>
      </c>
      <c r="K4441">
        <v>3</v>
      </c>
      <c r="L4441" t="s">
        <v>147</v>
      </c>
      <c r="M4441" t="s">
        <v>11261</v>
      </c>
      <c r="N4441" t="s">
        <v>11262</v>
      </c>
      <c r="O4441" t="s">
        <v>11263</v>
      </c>
      <c r="P4441" t="s">
        <v>11264</v>
      </c>
    </row>
    <row r="4442" spans="1:16" x14ac:dyDescent="0.35">
      <c r="A4442" t="s">
        <v>96</v>
      </c>
      <c r="B4442">
        <v>1322845170</v>
      </c>
      <c r="C4442" t="s">
        <v>18</v>
      </c>
      <c r="D4442" t="s">
        <v>21</v>
      </c>
      <c r="E4442" s="29">
        <v>46204</v>
      </c>
      <c r="F4442" t="s">
        <v>3</v>
      </c>
      <c r="G4442" s="28">
        <v>0.52361111111111114</v>
      </c>
      <c r="H4442" s="28">
        <v>0.52361111111111114</v>
      </c>
      <c r="I4442">
        <v>0</v>
      </c>
      <c r="J4442" t="s">
        <v>174</v>
      </c>
      <c r="K4442">
        <v>0</v>
      </c>
      <c r="L4442" t="s">
        <v>2416</v>
      </c>
      <c r="M4442" t="s">
        <v>11265</v>
      </c>
      <c r="N4442" t="s">
        <v>11266</v>
      </c>
      <c r="O4442" t="s">
        <v>11267</v>
      </c>
      <c r="P4442" t="s">
        <v>11268</v>
      </c>
    </row>
    <row r="4443" spans="1:16" x14ac:dyDescent="0.35">
      <c r="A4443" t="s">
        <v>96</v>
      </c>
      <c r="B4443">
        <v>1322845170</v>
      </c>
      <c r="C4443" t="s">
        <v>18</v>
      </c>
      <c r="D4443" t="s">
        <v>21</v>
      </c>
      <c r="E4443" s="29">
        <v>46204</v>
      </c>
      <c r="F4443" t="s">
        <v>3</v>
      </c>
      <c r="G4443" s="28">
        <v>0.53055555555555556</v>
      </c>
      <c r="H4443" s="28">
        <v>0.55833333333333335</v>
      </c>
      <c r="I4443">
        <v>1</v>
      </c>
      <c r="J4443" t="s">
        <v>146</v>
      </c>
      <c r="K4443">
        <v>2</v>
      </c>
      <c r="L4443" t="s">
        <v>147</v>
      </c>
      <c r="M4443" t="s">
        <v>11261</v>
      </c>
      <c r="N4443" t="s">
        <v>11262</v>
      </c>
      <c r="O4443" t="s">
        <v>11263</v>
      </c>
      <c r="P4443" t="s">
        <v>11264</v>
      </c>
    </row>
    <row r="4444" spans="1:16" x14ac:dyDescent="0.35">
      <c r="A4444" t="s">
        <v>96</v>
      </c>
      <c r="B4444">
        <v>1322845170</v>
      </c>
      <c r="C4444" t="s">
        <v>18</v>
      </c>
      <c r="D4444" t="s">
        <v>21</v>
      </c>
      <c r="E4444" s="29">
        <v>46204</v>
      </c>
      <c r="F4444" t="s">
        <v>3</v>
      </c>
      <c r="G4444" s="28">
        <v>0.56527777777777777</v>
      </c>
      <c r="H4444" s="28">
        <v>0.57222222222222219</v>
      </c>
      <c r="I4444">
        <v>0</v>
      </c>
      <c r="J4444" t="s">
        <v>146</v>
      </c>
      <c r="K4444">
        <v>0</v>
      </c>
      <c r="L4444" t="s">
        <v>147</v>
      </c>
      <c r="M4444" t="s">
        <v>11269</v>
      </c>
      <c r="N4444" t="s">
        <v>11266</v>
      </c>
      <c r="O4444" t="s">
        <v>11267</v>
      </c>
      <c r="P4444" t="s">
        <v>11268</v>
      </c>
    </row>
    <row r="4445" spans="1:16" x14ac:dyDescent="0.35">
      <c r="A4445" t="s">
        <v>96</v>
      </c>
      <c r="B4445">
        <v>1322845170</v>
      </c>
      <c r="C4445" t="s">
        <v>18</v>
      </c>
      <c r="D4445" t="s">
        <v>21</v>
      </c>
      <c r="E4445" s="29">
        <v>46204</v>
      </c>
      <c r="F4445" t="s">
        <v>3</v>
      </c>
      <c r="G4445" s="28">
        <v>0.57916666666666672</v>
      </c>
      <c r="H4445" s="28">
        <v>0.6069444444444444</v>
      </c>
      <c r="I4445">
        <v>1</v>
      </c>
      <c r="J4445" t="s">
        <v>146</v>
      </c>
      <c r="K4445">
        <v>2</v>
      </c>
      <c r="L4445" t="s">
        <v>147</v>
      </c>
      <c r="M4445" t="s">
        <v>11261</v>
      </c>
      <c r="N4445" t="s">
        <v>11262</v>
      </c>
      <c r="O4445" t="s">
        <v>11263</v>
      </c>
      <c r="P4445" t="s">
        <v>11264</v>
      </c>
    </row>
    <row r="4446" spans="1:16" x14ac:dyDescent="0.35">
      <c r="A4446" t="s">
        <v>96</v>
      </c>
      <c r="B4446">
        <v>1322845170</v>
      </c>
      <c r="C4446" t="s">
        <v>18</v>
      </c>
      <c r="D4446" t="s">
        <v>21</v>
      </c>
      <c r="E4446" s="29">
        <v>46204</v>
      </c>
      <c r="F4446" t="s">
        <v>3</v>
      </c>
      <c r="G4446" s="28">
        <v>0.61388888888888893</v>
      </c>
      <c r="H4446" s="28">
        <v>0.61388888888888893</v>
      </c>
      <c r="I4446">
        <v>0</v>
      </c>
      <c r="J4446" t="s">
        <v>174</v>
      </c>
      <c r="K4446">
        <v>0</v>
      </c>
      <c r="L4446" t="s">
        <v>2416</v>
      </c>
      <c r="M4446" t="s">
        <v>11269</v>
      </c>
      <c r="N4446" t="s">
        <v>11266</v>
      </c>
      <c r="O4446" t="s">
        <v>11267</v>
      </c>
      <c r="P4446" t="s">
        <v>11268</v>
      </c>
    </row>
    <row r="4447" spans="1:16" x14ac:dyDescent="0.35">
      <c r="A4447" t="s">
        <v>96</v>
      </c>
      <c r="B4447">
        <v>1322845170</v>
      </c>
      <c r="C4447" t="s">
        <v>18</v>
      </c>
      <c r="D4447" t="s">
        <v>21</v>
      </c>
      <c r="E4447" s="29">
        <v>46204</v>
      </c>
      <c r="F4447" t="s">
        <v>3</v>
      </c>
      <c r="G4447" s="28">
        <v>0.62777777777777777</v>
      </c>
      <c r="H4447" s="28">
        <v>0.65555555555555556</v>
      </c>
      <c r="I4447">
        <v>1</v>
      </c>
      <c r="J4447" t="s">
        <v>146</v>
      </c>
      <c r="K4447">
        <v>2</v>
      </c>
      <c r="L4447" t="s">
        <v>147</v>
      </c>
      <c r="M4447" t="s">
        <v>11269</v>
      </c>
      <c r="N4447" t="s">
        <v>11262</v>
      </c>
      <c r="O4447" t="s">
        <v>11263</v>
      </c>
      <c r="P4447" t="s">
        <v>11264</v>
      </c>
    </row>
    <row r="4448" spans="1:16" x14ac:dyDescent="0.35">
      <c r="A4448" t="s">
        <v>96</v>
      </c>
      <c r="B4448">
        <v>1322845170</v>
      </c>
      <c r="C4448" t="s">
        <v>18</v>
      </c>
      <c r="D4448" t="s">
        <v>21</v>
      </c>
      <c r="E4448" s="29">
        <v>46204</v>
      </c>
      <c r="F4448" t="s">
        <v>3</v>
      </c>
      <c r="G4448" s="28">
        <v>0.66249999999999998</v>
      </c>
      <c r="H4448" s="28">
        <v>0.66249999999999998</v>
      </c>
      <c r="I4448">
        <v>0</v>
      </c>
      <c r="J4448" t="s">
        <v>174</v>
      </c>
      <c r="K4448">
        <v>0</v>
      </c>
      <c r="L4448" t="s">
        <v>4954</v>
      </c>
      <c r="M4448" t="s">
        <v>11265</v>
      </c>
      <c r="N4448" t="s">
        <v>11266</v>
      </c>
      <c r="O4448" t="s">
        <v>11267</v>
      </c>
      <c r="P4448" t="s">
        <v>11268</v>
      </c>
    </row>
    <row r="4449" spans="1:16" x14ac:dyDescent="0.35">
      <c r="A4449" t="s">
        <v>96</v>
      </c>
      <c r="B4449">
        <v>1322845170</v>
      </c>
      <c r="C4449" t="s">
        <v>18</v>
      </c>
      <c r="D4449" t="s">
        <v>21</v>
      </c>
      <c r="E4449" s="29">
        <v>46204</v>
      </c>
      <c r="F4449" t="s">
        <v>3</v>
      </c>
      <c r="G4449" s="28">
        <v>0.6694444444444444</v>
      </c>
      <c r="H4449" s="28">
        <v>0.67638888888888893</v>
      </c>
      <c r="I4449">
        <v>0</v>
      </c>
      <c r="J4449" t="s">
        <v>146</v>
      </c>
      <c r="K4449">
        <v>1</v>
      </c>
      <c r="L4449" t="s">
        <v>147</v>
      </c>
      <c r="M4449" t="s">
        <v>11270</v>
      </c>
      <c r="N4449" t="s">
        <v>11271</v>
      </c>
      <c r="O4449" t="s">
        <v>11272</v>
      </c>
      <c r="P4449" t="s">
        <v>11273</v>
      </c>
    </row>
    <row r="4450" spans="1:16" x14ac:dyDescent="0.35">
      <c r="A4450" t="s">
        <v>96</v>
      </c>
      <c r="B4450">
        <v>1322845170</v>
      </c>
      <c r="C4450" t="s">
        <v>18</v>
      </c>
      <c r="D4450" t="s">
        <v>21</v>
      </c>
      <c r="E4450" s="29">
        <v>46204</v>
      </c>
      <c r="F4450" t="s">
        <v>3</v>
      </c>
      <c r="G4450" s="28">
        <v>0.68333333333333335</v>
      </c>
      <c r="H4450" s="28">
        <v>0.68333333333333335</v>
      </c>
      <c r="I4450">
        <v>0</v>
      </c>
      <c r="J4450" t="s">
        <v>174</v>
      </c>
      <c r="K4450">
        <v>0</v>
      </c>
      <c r="L4450" t="s">
        <v>1349</v>
      </c>
      <c r="M4450" t="s">
        <v>11274</v>
      </c>
      <c r="N4450" t="s">
        <v>11275</v>
      </c>
      <c r="O4450" t="s">
        <v>11276</v>
      </c>
      <c r="P4450" t="s">
        <v>11277</v>
      </c>
    </row>
    <row r="4451" spans="1:16" x14ac:dyDescent="0.35">
      <c r="A4451" t="s">
        <v>96</v>
      </c>
      <c r="B4451">
        <v>1322845170</v>
      </c>
      <c r="C4451" t="s">
        <v>18</v>
      </c>
      <c r="D4451" t="s">
        <v>21</v>
      </c>
      <c r="E4451" s="29">
        <v>46204</v>
      </c>
      <c r="F4451" t="s">
        <v>3</v>
      </c>
      <c r="G4451" s="28">
        <v>0.69027777777777777</v>
      </c>
      <c r="H4451" s="28">
        <v>0.71805555555555556</v>
      </c>
      <c r="I4451">
        <v>1</v>
      </c>
      <c r="J4451" t="s">
        <v>146</v>
      </c>
      <c r="K4451">
        <v>2</v>
      </c>
      <c r="L4451" t="s">
        <v>147</v>
      </c>
      <c r="M4451" t="s">
        <v>11269</v>
      </c>
      <c r="N4451" t="s">
        <v>11262</v>
      </c>
      <c r="O4451" t="s">
        <v>11263</v>
      </c>
      <c r="P4451" t="s">
        <v>11264</v>
      </c>
    </row>
    <row r="4452" spans="1:16" x14ac:dyDescent="0.35">
      <c r="A4452" t="s">
        <v>96</v>
      </c>
      <c r="B4452">
        <v>1322845170</v>
      </c>
      <c r="C4452" t="s">
        <v>18</v>
      </c>
      <c r="D4452" t="s">
        <v>21</v>
      </c>
      <c r="E4452" s="29">
        <v>46204</v>
      </c>
      <c r="F4452" t="s">
        <v>3</v>
      </c>
      <c r="G4452" s="28">
        <v>0.72499999999999998</v>
      </c>
      <c r="H4452" s="28">
        <v>0.72499999999999998</v>
      </c>
      <c r="I4452">
        <v>0</v>
      </c>
      <c r="J4452" t="s">
        <v>174</v>
      </c>
      <c r="K4452">
        <v>0</v>
      </c>
      <c r="L4452" t="s">
        <v>399</v>
      </c>
      <c r="M4452" t="s">
        <v>11278</v>
      </c>
      <c r="N4452" t="s">
        <v>11279</v>
      </c>
      <c r="O4452" t="s">
        <v>11280</v>
      </c>
      <c r="P4452" t="s">
        <v>11281</v>
      </c>
    </row>
    <row r="4453" spans="1:16" x14ac:dyDescent="0.35">
      <c r="A4453" t="s">
        <v>96</v>
      </c>
      <c r="B4453">
        <v>1322845170</v>
      </c>
      <c r="C4453" t="s">
        <v>18</v>
      </c>
      <c r="D4453" t="s">
        <v>21</v>
      </c>
      <c r="E4453" s="29">
        <v>46204</v>
      </c>
      <c r="F4453" t="s">
        <v>3</v>
      </c>
      <c r="G4453" s="28">
        <v>0.7319444444444444</v>
      </c>
      <c r="H4453" s="28">
        <v>0.7319444444444444</v>
      </c>
      <c r="I4453">
        <v>0</v>
      </c>
      <c r="J4453" t="s">
        <v>174</v>
      </c>
      <c r="K4453">
        <v>0</v>
      </c>
      <c r="L4453" t="s">
        <v>11282</v>
      </c>
      <c r="M4453" t="s">
        <v>11283</v>
      </c>
      <c r="N4453" t="s">
        <v>11284</v>
      </c>
      <c r="O4453" t="s">
        <v>11285</v>
      </c>
      <c r="P4453" t="s">
        <v>11286</v>
      </c>
    </row>
    <row r="4454" spans="1:16" x14ac:dyDescent="0.35">
      <c r="A4454" t="s">
        <v>96</v>
      </c>
      <c r="B4454">
        <v>1322845170</v>
      </c>
      <c r="C4454" t="s">
        <v>18</v>
      </c>
      <c r="D4454" t="s">
        <v>21</v>
      </c>
      <c r="E4454" s="29">
        <v>46204</v>
      </c>
      <c r="F4454" t="s">
        <v>3</v>
      </c>
      <c r="G4454" s="28">
        <v>0.73888888888888893</v>
      </c>
      <c r="H4454" s="28">
        <v>0.73888888888888893</v>
      </c>
      <c r="I4454">
        <v>0</v>
      </c>
      <c r="J4454" t="s">
        <v>174</v>
      </c>
      <c r="K4454">
        <v>0</v>
      </c>
      <c r="L4454" t="s">
        <v>1811</v>
      </c>
      <c r="M4454" t="s">
        <v>1018</v>
      </c>
      <c r="N4454" t="s">
        <v>1019</v>
      </c>
      <c r="O4454" t="s">
        <v>1020</v>
      </c>
      <c r="P4454" t="s">
        <v>1021</v>
      </c>
    </row>
    <row r="4455" spans="1:16" x14ac:dyDescent="0.35">
      <c r="A4455" t="s">
        <v>96</v>
      </c>
      <c r="B4455">
        <v>1322845170</v>
      </c>
      <c r="C4455" t="s">
        <v>18</v>
      </c>
      <c r="D4455" t="s">
        <v>21</v>
      </c>
      <c r="E4455" s="29">
        <v>46204</v>
      </c>
      <c r="F4455" t="s">
        <v>3</v>
      </c>
      <c r="G4455" s="28">
        <v>0.74583333333333335</v>
      </c>
      <c r="H4455" s="28">
        <v>0.76666666666666672</v>
      </c>
      <c r="I4455">
        <v>1</v>
      </c>
      <c r="J4455" t="s">
        <v>146</v>
      </c>
      <c r="K4455">
        <v>2</v>
      </c>
      <c r="L4455" t="s">
        <v>147</v>
      </c>
      <c r="M4455" t="s">
        <v>801</v>
      </c>
      <c r="N4455" t="s">
        <v>802</v>
      </c>
      <c r="O4455" t="s">
        <v>803</v>
      </c>
      <c r="P4455" t="s">
        <v>804</v>
      </c>
    </row>
    <row r="4456" spans="1:16" x14ac:dyDescent="0.35">
      <c r="A4456" t="s">
        <v>96</v>
      </c>
      <c r="B4456">
        <v>1322845170</v>
      </c>
      <c r="C4456" t="s">
        <v>18</v>
      </c>
      <c r="D4456" t="s">
        <v>21</v>
      </c>
      <c r="E4456" s="29">
        <v>46204</v>
      </c>
      <c r="F4456" t="s">
        <v>3</v>
      </c>
      <c r="G4456" s="28">
        <v>0.77361111111111114</v>
      </c>
      <c r="H4456" s="28">
        <v>0.77361111111111114</v>
      </c>
      <c r="I4456">
        <v>0</v>
      </c>
      <c r="J4456" t="s">
        <v>174</v>
      </c>
      <c r="K4456">
        <v>0</v>
      </c>
      <c r="L4456" t="s">
        <v>11287</v>
      </c>
      <c r="M4456" t="s">
        <v>11288</v>
      </c>
      <c r="N4456" t="s">
        <v>11289</v>
      </c>
      <c r="O4456" t="s">
        <v>11290</v>
      </c>
      <c r="P4456" t="s">
        <v>11291</v>
      </c>
    </row>
    <row r="4457" spans="1:16" x14ac:dyDescent="0.35">
      <c r="A4457" t="s">
        <v>96</v>
      </c>
      <c r="B4457">
        <v>1322845170</v>
      </c>
      <c r="C4457" t="s">
        <v>18</v>
      </c>
      <c r="D4457" t="s">
        <v>21</v>
      </c>
      <c r="E4457" s="29">
        <v>46204</v>
      </c>
      <c r="F4457" t="s">
        <v>3</v>
      </c>
      <c r="G4457" s="28">
        <v>0.78055555555555556</v>
      </c>
      <c r="H4457" s="28">
        <v>0.78055555555555556</v>
      </c>
      <c r="I4457">
        <v>0</v>
      </c>
      <c r="J4457" t="s">
        <v>174</v>
      </c>
      <c r="K4457">
        <v>0</v>
      </c>
      <c r="L4457" t="s">
        <v>11292</v>
      </c>
      <c r="M4457" t="s">
        <v>816</v>
      </c>
      <c r="N4457" t="s">
        <v>817</v>
      </c>
      <c r="O4457" t="s">
        <v>818</v>
      </c>
      <c r="P4457" t="s">
        <v>819</v>
      </c>
    </row>
    <row r="4458" spans="1:16" x14ac:dyDescent="0.35">
      <c r="A4458" t="s">
        <v>96</v>
      </c>
      <c r="B4458">
        <v>1322845170</v>
      </c>
      <c r="C4458" t="s">
        <v>18</v>
      </c>
      <c r="D4458" t="s">
        <v>21</v>
      </c>
      <c r="E4458" s="29">
        <v>46204</v>
      </c>
      <c r="F4458" t="s">
        <v>3</v>
      </c>
      <c r="G4458" s="28">
        <v>0.78749999999999998</v>
      </c>
      <c r="H4458" s="28">
        <v>0.78749999999999998</v>
      </c>
      <c r="I4458">
        <v>0</v>
      </c>
      <c r="J4458" t="s">
        <v>174</v>
      </c>
      <c r="K4458">
        <v>0</v>
      </c>
      <c r="L4458" t="s">
        <v>11293</v>
      </c>
      <c r="M4458" t="s">
        <v>11294</v>
      </c>
      <c r="N4458" t="s">
        <v>11295</v>
      </c>
      <c r="O4458" t="s">
        <v>11296</v>
      </c>
      <c r="P4458" t="s">
        <v>11297</v>
      </c>
    </row>
    <row r="4459" spans="1:16" x14ac:dyDescent="0.35">
      <c r="A4459" t="s">
        <v>96</v>
      </c>
      <c r="B4459">
        <v>1322845170</v>
      </c>
      <c r="C4459" t="s">
        <v>18</v>
      </c>
      <c r="D4459" t="s">
        <v>21</v>
      </c>
      <c r="E4459" s="29">
        <v>46205</v>
      </c>
      <c r="F4459" t="s">
        <v>4</v>
      </c>
      <c r="G4459" s="28">
        <v>0.38472222222222224</v>
      </c>
      <c r="H4459" s="28">
        <v>0.38472222222222224</v>
      </c>
      <c r="I4459">
        <v>0</v>
      </c>
      <c r="J4459" t="s">
        <v>174</v>
      </c>
      <c r="K4459">
        <v>0</v>
      </c>
      <c r="L4459" t="s">
        <v>1307</v>
      </c>
      <c r="M4459" t="s">
        <v>11298</v>
      </c>
      <c r="N4459" t="s">
        <v>11299</v>
      </c>
      <c r="O4459" t="s">
        <v>11300</v>
      </c>
      <c r="P4459" t="s">
        <v>11301</v>
      </c>
    </row>
    <row r="4460" spans="1:16" x14ac:dyDescent="0.35">
      <c r="A4460" t="s">
        <v>96</v>
      </c>
      <c r="B4460">
        <v>1322845170</v>
      </c>
      <c r="C4460" t="s">
        <v>18</v>
      </c>
      <c r="D4460" t="s">
        <v>21</v>
      </c>
      <c r="E4460" s="29">
        <v>46205</v>
      </c>
      <c r="F4460" t="s">
        <v>4</v>
      </c>
      <c r="G4460" s="28">
        <v>0.39166666666666666</v>
      </c>
      <c r="H4460" s="28">
        <v>0.39166666666666666</v>
      </c>
      <c r="I4460">
        <v>0</v>
      </c>
      <c r="J4460" t="s">
        <v>174</v>
      </c>
      <c r="K4460">
        <v>0</v>
      </c>
      <c r="L4460" t="s">
        <v>5787</v>
      </c>
      <c r="M4460" t="s">
        <v>11302</v>
      </c>
      <c r="N4460" t="s">
        <v>11303</v>
      </c>
      <c r="O4460" t="s">
        <v>11304</v>
      </c>
      <c r="P4460" t="s">
        <v>11305</v>
      </c>
    </row>
    <row r="4461" spans="1:16" x14ac:dyDescent="0.35">
      <c r="A4461" t="s">
        <v>96</v>
      </c>
      <c r="B4461">
        <v>1322845170</v>
      </c>
      <c r="C4461" t="s">
        <v>18</v>
      </c>
      <c r="D4461" t="s">
        <v>21</v>
      </c>
      <c r="E4461" s="29">
        <v>46205</v>
      </c>
      <c r="F4461" t="s">
        <v>4</v>
      </c>
      <c r="G4461" s="28">
        <v>0.39861111111111114</v>
      </c>
      <c r="H4461" s="28">
        <v>0.39861111111111114</v>
      </c>
      <c r="I4461">
        <v>0</v>
      </c>
      <c r="J4461" t="s">
        <v>174</v>
      </c>
      <c r="K4461">
        <v>0</v>
      </c>
      <c r="L4461" t="s">
        <v>5787</v>
      </c>
      <c r="M4461" t="s">
        <v>11306</v>
      </c>
      <c r="N4461" t="s">
        <v>11307</v>
      </c>
      <c r="O4461" t="s">
        <v>11308</v>
      </c>
      <c r="P4461" t="s">
        <v>11309</v>
      </c>
    </row>
    <row r="4462" spans="1:16" x14ac:dyDescent="0.35">
      <c r="A4462" t="s">
        <v>96</v>
      </c>
      <c r="B4462">
        <v>1322845170</v>
      </c>
      <c r="C4462" t="s">
        <v>18</v>
      </c>
      <c r="D4462" t="s">
        <v>21</v>
      </c>
      <c r="E4462" s="29">
        <v>46205</v>
      </c>
      <c r="F4462" t="s">
        <v>4</v>
      </c>
      <c r="G4462" s="28">
        <v>0.40555555555555556</v>
      </c>
      <c r="H4462" s="28">
        <v>0.40555555555555556</v>
      </c>
      <c r="I4462">
        <v>0</v>
      </c>
      <c r="J4462" t="s">
        <v>174</v>
      </c>
      <c r="K4462">
        <v>0</v>
      </c>
      <c r="L4462" t="s">
        <v>5787</v>
      </c>
      <c r="M4462" t="s">
        <v>11302</v>
      </c>
      <c r="N4462" t="s">
        <v>11303</v>
      </c>
      <c r="O4462" t="s">
        <v>11304</v>
      </c>
      <c r="P4462" t="s">
        <v>11305</v>
      </c>
    </row>
    <row r="4463" spans="1:16" x14ac:dyDescent="0.35">
      <c r="A4463" t="s">
        <v>96</v>
      </c>
      <c r="B4463">
        <v>1322845170</v>
      </c>
      <c r="C4463" t="s">
        <v>18</v>
      </c>
      <c r="D4463" t="s">
        <v>21</v>
      </c>
      <c r="E4463" s="29">
        <v>46205</v>
      </c>
      <c r="F4463" t="s">
        <v>4</v>
      </c>
      <c r="G4463" s="28">
        <v>0.41249999999999998</v>
      </c>
      <c r="H4463" s="28">
        <v>0.41249999999999998</v>
      </c>
      <c r="I4463">
        <v>0</v>
      </c>
      <c r="J4463" t="s">
        <v>174</v>
      </c>
      <c r="K4463">
        <v>0</v>
      </c>
      <c r="L4463" t="s">
        <v>2772</v>
      </c>
      <c r="M4463" t="s">
        <v>11306</v>
      </c>
      <c r="N4463" t="s">
        <v>11307</v>
      </c>
      <c r="O4463" t="s">
        <v>11308</v>
      </c>
      <c r="P4463" t="s">
        <v>11309</v>
      </c>
    </row>
    <row r="4464" spans="1:16" x14ac:dyDescent="0.35">
      <c r="A4464" t="s">
        <v>96</v>
      </c>
      <c r="B4464">
        <v>1322845170</v>
      </c>
      <c r="C4464" t="s">
        <v>18</v>
      </c>
      <c r="D4464" t="s">
        <v>21</v>
      </c>
      <c r="E4464" s="29">
        <v>46205</v>
      </c>
      <c r="F4464" t="s">
        <v>4</v>
      </c>
      <c r="G4464" s="28">
        <v>0.41944444444444445</v>
      </c>
      <c r="H4464" s="28">
        <v>0.42638888888888887</v>
      </c>
      <c r="I4464">
        <v>0</v>
      </c>
      <c r="J4464" t="s">
        <v>146</v>
      </c>
      <c r="K4464">
        <v>0</v>
      </c>
      <c r="L4464" t="s">
        <v>147</v>
      </c>
      <c r="M4464" t="s">
        <v>11310</v>
      </c>
      <c r="N4464" t="s">
        <v>10674</v>
      </c>
      <c r="O4464" t="s">
        <v>11311</v>
      </c>
      <c r="P4464" t="s">
        <v>11312</v>
      </c>
    </row>
    <row r="4465" spans="1:16" x14ac:dyDescent="0.35">
      <c r="A4465" t="s">
        <v>96</v>
      </c>
      <c r="B4465">
        <v>1322845170</v>
      </c>
      <c r="C4465" t="s">
        <v>18</v>
      </c>
      <c r="D4465" t="s">
        <v>21</v>
      </c>
      <c r="E4465" s="29">
        <v>46205</v>
      </c>
      <c r="F4465" t="s">
        <v>4</v>
      </c>
      <c r="G4465" s="28">
        <v>0.43333333333333335</v>
      </c>
      <c r="H4465" s="28">
        <v>0.45416666666666666</v>
      </c>
      <c r="I4465">
        <v>0</v>
      </c>
      <c r="J4465" t="s">
        <v>146</v>
      </c>
      <c r="K4465">
        <v>2</v>
      </c>
      <c r="L4465" t="s">
        <v>147</v>
      </c>
      <c r="M4465" t="s">
        <v>11298</v>
      </c>
      <c r="N4465" t="s">
        <v>11299</v>
      </c>
      <c r="O4465" t="s">
        <v>11300</v>
      </c>
      <c r="P4465" t="s">
        <v>11301</v>
      </c>
    </row>
    <row r="4466" spans="1:16" x14ac:dyDescent="0.35">
      <c r="A4466" t="s">
        <v>96</v>
      </c>
      <c r="B4466">
        <v>1322845170</v>
      </c>
      <c r="C4466" t="s">
        <v>18</v>
      </c>
      <c r="D4466" t="s">
        <v>21</v>
      </c>
      <c r="E4466" s="29">
        <v>46205</v>
      </c>
      <c r="F4466" t="s">
        <v>4</v>
      </c>
      <c r="G4466" s="28">
        <v>0.46111111111111114</v>
      </c>
      <c r="H4466" s="28">
        <v>0.46111111111111114</v>
      </c>
      <c r="I4466">
        <v>0</v>
      </c>
      <c r="J4466" t="s">
        <v>174</v>
      </c>
      <c r="K4466">
        <v>0</v>
      </c>
      <c r="L4466" t="s">
        <v>5787</v>
      </c>
      <c r="M4466" t="s">
        <v>11306</v>
      </c>
      <c r="N4466" t="s">
        <v>11307</v>
      </c>
      <c r="O4466" t="s">
        <v>11308</v>
      </c>
      <c r="P4466" t="s">
        <v>11309</v>
      </c>
    </row>
    <row r="4467" spans="1:16" x14ac:dyDescent="0.35">
      <c r="A4467" t="s">
        <v>96</v>
      </c>
      <c r="B4467">
        <v>1322845170</v>
      </c>
      <c r="C4467" t="s">
        <v>18</v>
      </c>
      <c r="D4467" t="s">
        <v>21</v>
      </c>
      <c r="E4467" s="29">
        <v>46205</v>
      </c>
      <c r="F4467" t="s">
        <v>4</v>
      </c>
      <c r="G4467" s="28">
        <v>0.46805555555555556</v>
      </c>
      <c r="H4467" s="28">
        <v>0.46805555555555556</v>
      </c>
      <c r="I4467">
        <v>0</v>
      </c>
      <c r="J4467" t="s">
        <v>174</v>
      </c>
      <c r="K4467">
        <v>0</v>
      </c>
      <c r="L4467" t="s">
        <v>5787</v>
      </c>
      <c r="M4467" t="s">
        <v>11302</v>
      </c>
      <c r="N4467" t="s">
        <v>11303</v>
      </c>
      <c r="O4467" t="s">
        <v>11304</v>
      </c>
      <c r="P4467" t="s">
        <v>11305</v>
      </c>
    </row>
    <row r="4468" spans="1:16" x14ac:dyDescent="0.35">
      <c r="A4468" t="s">
        <v>96</v>
      </c>
      <c r="B4468">
        <v>1322845170</v>
      </c>
      <c r="C4468" t="s">
        <v>18</v>
      </c>
      <c r="D4468" t="s">
        <v>21</v>
      </c>
      <c r="E4468" s="29">
        <v>46205</v>
      </c>
      <c r="F4468" t="s">
        <v>4</v>
      </c>
      <c r="G4468" s="28">
        <v>0.47499999999999998</v>
      </c>
      <c r="H4468" s="28">
        <v>0.48888888888888887</v>
      </c>
      <c r="I4468">
        <v>0</v>
      </c>
      <c r="J4468" t="s">
        <v>146</v>
      </c>
      <c r="K4468">
        <v>1</v>
      </c>
      <c r="L4468" t="s">
        <v>147</v>
      </c>
      <c r="M4468" t="s">
        <v>11306</v>
      </c>
      <c r="N4468" t="s">
        <v>11307</v>
      </c>
      <c r="O4468" t="s">
        <v>11308</v>
      </c>
      <c r="P4468" t="s">
        <v>11309</v>
      </c>
    </row>
    <row r="4469" spans="1:16" x14ac:dyDescent="0.35">
      <c r="A4469" t="s">
        <v>96</v>
      </c>
      <c r="B4469">
        <v>1322845170</v>
      </c>
      <c r="C4469" t="s">
        <v>18</v>
      </c>
      <c r="D4469" t="s">
        <v>21</v>
      </c>
      <c r="E4469" s="29">
        <v>46205</v>
      </c>
      <c r="F4469" t="s">
        <v>4</v>
      </c>
      <c r="G4469" s="28">
        <v>0.49583333333333335</v>
      </c>
      <c r="H4469" s="28">
        <v>0.50972222222222219</v>
      </c>
      <c r="I4469">
        <v>0</v>
      </c>
      <c r="J4469" t="s">
        <v>146</v>
      </c>
      <c r="K4469">
        <v>1</v>
      </c>
      <c r="L4469" t="s">
        <v>147</v>
      </c>
      <c r="M4469" t="s">
        <v>11310</v>
      </c>
      <c r="N4469" t="s">
        <v>10674</v>
      </c>
      <c r="O4469" t="s">
        <v>11311</v>
      </c>
      <c r="P4469" t="s">
        <v>11312</v>
      </c>
    </row>
    <row r="4470" spans="1:16" x14ac:dyDescent="0.35">
      <c r="A4470" t="s">
        <v>96</v>
      </c>
      <c r="B4470">
        <v>1322845170</v>
      </c>
      <c r="C4470" t="s">
        <v>18</v>
      </c>
      <c r="D4470" t="s">
        <v>21</v>
      </c>
      <c r="E4470" s="29">
        <v>46205</v>
      </c>
      <c r="F4470" t="s">
        <v>4</v>
      </c>
      <c r="G4470" s="28">
        <v>0.51666666666666672</v>
      </c>
      <c r="H4470" s="28">
        <v>0.53055555555555556</v>
      </c>
      <c r="I4470">
        <v>0</v>
      </c>
      <c r="J4470" t="s">
        <v>146</v>
      </c>
      <c r="K4470">
        <v>1</v>
      </c>
      <c r="L4470" t="s">
        <v>147</v>
      </c>
      <c r="M4470" t="s">
        <v>11306</v>
      </c>
      <c r="N4470" t="s">
        <v>11307</v>
      </c>
      <c r="O4470" t="s">
        <v>11308</v>
      </c>
      <c r="P4470" t="s">
        <v>11309</v>
      </c>
    </row>
    <row r="4471" spans="1:16" x14ac:dyDescent="0.35">
      <c r="A4471" t="s">
        <v>96</v>
      </c>
      <c r="B4471">
        <v>1322845170</v>
      </c>
      <c r="C4471" t="s">
        <v>18</v>
      </c>
      <c r="D4471" t="s">
        <v>21</v>
      </c>
      <c r="E4471" s="29">
        <v>46205</v>
      </c>
      <c r="F4471" t="s">
        <v>4</v>
      </c>
      <c r="G4471" s="28">
        <v>0.53749999999999998</v>
      </c>
      <c r="H4471" s="28">
        <v>0.53749999999999998</v>
      </c>
      <c r="I4471">
        <v>0</v>
      </c>
      <c r="J4471" t="s">
        <v>174</v>
      </c>
      <c r="K4471">
        <v>0</v>
      </c>
      <c r="L4471" t="s">
        <v>1307</v>
      </c>
      <c r="M4471" t="s">
        <v>11302</v>
      </c>
      <c r="N4471" t="s">
        <v>11303</v>
      </c>
      <c r="O4471" t="s">
        <v>11304</v>
      </c>
      <c r="P4471" t="s">
        <v>11305</v>
      </c>
    </row>
    <row r="4472" spans="1:16" x14ac:dyDescent="0.35">
      <c r="A4472" t="s">
        <v>96</v>
      </c>
      <c r="B4472">
        <v>1322845170</v>
      </c>
      <c r="C4472" t="s">
        <v>18</v>
      </c>
      <c r="D4472" t="s">
        <v>21</v>
      </c>
      <c r="E4472" s="29">
        <v>46205</v>
      </c>
      <c r="F4472" t="s">
        <v>4</v>
      </c>
      <c r="G4472" s="28">
        <v>0.5444444444444444</v>
      </c>
      <c r="H4472" s="28">
        <v>0.5444444444444444</v>
      </c>
      <c r="I4472">
        <v>0</v>
      </c>
      <c r="J4472" t="s">
        <v>174</v>
      </c>
      <c r="K4472">
        <v>0</v>
      </c>
      <c r="L4472" t="s">
        <v>3709</v>
      </c>
      <c r="M4472" t="s">
        <v>11298</v>
      </c>
      <c r="N4472" t="s">
        <v>11299</v>
      </c>
      <c r="O4472" t="s">
        <v>11300</v>
      </c>
      <c r="P4472" t="s">
        <v>11301</v>
      </c>
    </row>
    <row r="4473" spans="1:16" x14ac:dyDescent="0.35">
      <c r="A4473" t="s">
        <v>96</v>
      </c>
      <c r="B4473">
        <v>1322845170</v>
      </c>
      <c r="C4473" t="s">
        <v>18</v>
      </c>
      <c r="D4473" t="s">
        <v>21</v>
      </c>
      <c r="E4473" s="29">
        <v>46205</v>
      </c>
      <c r="F4473" t="s">
        <v>4</v>
      </c>
      <c r="G4473" s="28">
        <v>0.55138888888888893</v>
      </c>
      <c r="H4473" s="28">
        <v>0.55138888888888893</v>
      </c>
      <c r="I4473">
        <v>0</v>
      </c>
      <c r="J4473" t="s">
        <v>174</v>
      </c>
      <c r="K4473">
        <v>0</v>
      </c>
      <c r="L4473" t="s">
        <v>2772</v>
      </c>
      <c r="M4473" t="s">
        <v>11310</v>
      </c>
      <c r="N4473" t="s">
        <v>10674</v>
      </c>
      <c r="O4473" t="s">
        <v>11311</v>
      </c>
      <c r="P4473" t="s">
        <v>11312</v>
      </c>
    </row>
    <row r="4474" spans="1:16" x14ac:dyDescent="0.35">
      <c r="A4474" t="s">
        <v>96</v>
      </c>
      <c r="B4474">
        <v>1322845170</v>
      </c>
      <c r="C4474" t="s">
        <v>18</v>
      </c>
      <c r="D4474" t="s">
        <v>21</v>
      </c>
      <c r="E4474" s="29">
        <v>46205</v>
      </c>
      <c r="F4474" t="s">
        <v>4</v>
      </c>
      <c r="G4474" s="28">
        <v>0.55833333333333335</v>
      </c>
      <c r="H4474" s="28">
        <v>0.55833333333333335</v>
      </c>
      <c r="I4474">
        <v>0</v>
      </c>
      <c r="J4474" t="s">
        <v>174</v>
      </c>
      <c r="K4474">
        <v>0</v>
      </c>
      <c r="L4474" t="s">
        <v>5787</v>
      </c>
      <c r="M4474" t="s">
        <v>11306</v>
      </c>
      <c r="N4474" t="s">
        <v>11307</v>
      </c>
      <c r="O4474" t="s">
        <v>11308</v>
      </c>
      <c r="P4474" t="s">
        <v>11309</v>
      </c>
    </row>
    <row r="4475" spans="1:16" x14ac:dyDescent="0.35">
      <c r="A4475" t="s">
        <v>96</v>
      </c>
      <c r="B4475">
        <v>1322845170</v>
      </c>
      <c r="C4475" t="s">
        <v>18</v>
      </c>
      <c r="D4475" t="s">
        <v>21</v>
      </c>
      <c r="E4475" s="29">
        <v>46205</v>
      </c>
      <c r="F4475" t="s">
        <v>4</v>
      </c>
      <c r="G4475" s="28">
        <v>0.56527777777777777</v>
      </c>
      <c r="H4475" s="28">
        <v>0.56527777777777777</v>
      </c>
      <c r="I4475">
        <v>0</v>
      </c>
      <c r="J4475" t="s">
        <v>174</v>
      </c>
      <c r="K4475">
        <v>0</v>
      </c>
      <c r="L4475" t="s">
        <v>4630</v>
      </c>
      <c r="M4475" t="s">
        <v>11302</v>
      </c>
      <c r="N4475" t="s">
        <v>11303</v>
      </c>
      <c r="O4475" t="s">
        <v>11304</v>
      </c>
      <c r="P4475" t="s">
        <v>11305</v>
      </c>
    </row>
    <row r="4476" spans="1:16" x14ac:dyDescent="0.35">
      <c r="A4476" t="s">
        <v>96</v>
      </c>
      <c r="B4476">
        <v>1322845170</v>
      </c>
      <c r="C4476" t="s">
        <v>18</v>
      </c>
      <c r="D4476" t="s">
        <v>21</v>
      </c>
      <c r="E4476" s="29">
        <v>46205</v>
      </c>
      <c r="F4476" t="s">
        <v>4</v>
      </c>
      <c r="G4476" s="28">
        <v>0.57222222222222219</v>
      </c>
      <c r="H4476" s="28">
        <v>0.57222222222222219</v>
      </c>
      <c r="I4476">
        <v>0</v>
      </c>
      <c r="J4476" t="s">
        <v>174</v>
      </c>
      <c r="K4476">
        <v>0</v>
      </c>
      <c r="L4476" t="s">
        <v>3709</v>
      </c>
      <c r="M4476" t="s">
        <v>11310</v>
      </c>
      <c r="N4476" t="s">
        <v>10674</v>
      </c>
      <c r="O4476" t="s">
        <v>11311</v>
      </c>
      <c r="P4476" t="s">
        <v>11312</v>
      </c>
    </row>
    <row r="4477" spans="1:16" x14ac:dyDescent="0.35">
      <c r="A4477" t="s">
        <v>96</v>
      </c>
      <c r="B4477">
        <v>1322845170</v>
      </c>
      <c r="C4477" t="s">
        <v>18</v>
      </c>
      <c r="D4477" t="s">
        <v>21</v>
      </c>
      <c r="E4477" s="29">
        <v>46205</v>
      </c>
      <c r="F4477" t="s">
        <v>4</v>
      </c>
      <c r="G4477" s="28">
        <v>0.57916666666666672</v>
      </c>
      <c r="H4477" s="28">
        <v>0.57916666666666672</v>
      </c>
      <c r="I4477">
        <v>0</v>
      </c>
      <c r="J4477" t="s">
        <v>174</v>
      </c>
      <c r="K4477">
        <v>0</v>
      </c>
      <c r="L4477" t="s">
        <v>2416</v>
      </c>
      <c r="M4477" t="s">
        <v>11298</v>
      </c>
      <c r="N4477" t="s">
        <v>11299</v>
      </c>
      <c r="O4477" t="s">
        <v>11300</v>
      </c>
      <c r="P4477" t="s">
        <v>11301</v>
      </c>
    </row>
    <row r="4478" spans="1:16" x14ac:dyDescent="0.35">
      <c r="A4478" t="s">
        <v>96</v>
      </c>
      <c r="B4478">
        <v>1322845170</v>
      </c>
      <c r="C4478" t="s">
        <v>18</v>
      </c>
      <c r="D4478" t="s">
        <v>21</v>
      </c>
      <c r="E4478" s="29">
        <v>46205</v>
      </c>
      <c r="F4478" t="s">
        <v>4</v>
      </c>
      <c r="G4478" s="28">
        <v>0.58611111111111114</v>
      </c>
      <c r="H4478" s="28">
        <v>0.58611111111111114</v>
      </c>
      <c r="I4478">
        <v>0</v>
      </c>
      <c r="J4478" t="s">
        <v>174</v>
      </c>
      <c r="K4478">
        <v>0</v>
      </c>
      <c r="L4478" t="s">
        <v>11313</v>
      </c>
      <c r="M4478" t="s">
        <v>11306</v>
      </c>
      <c r="N4478" t="s">
        <v>11307</v>
      </c>
      <c r="O4478" t="s">
        <v>11308</v>
      </c>
      <c r="P4478" t="s">
        <v>11309</v>
      </c>
    </row>
    <row r="4479" spans="1:16" x14ac:dyDescent="0.35">
      <c r="A4479" t="s">
        <v>96</v>
      </c>
      <c r="B4479">
        <v>1322845170</v>
      </c>
      <c r="C4479" t="s">
        <v>18</v>
      </c>
      <c r="D4479" t="s">
        <v>21</v>
      </c>
      <c r="E4479" s="29">
        <v>46205</v>
      </c>
      <c r="F4479" t="s">
        <v>4</v>
      </c>
      <c r="G4479" s="28">
        <v>0.59375</v>
      </c>
      <c r="H4479" s="28">
        <v>0.59375</v>
      </c>
      <c r="I4479">
        <v>0</v>
      </c>
      <c r="J4479" t="s">
        <v>174</v>
      </c>
      <c r="K4479">
        <v>0</v>
      </c>
      <c r="L4479" t="s">
        <v>1302</v>
      </c>
      <c r="M4479" t="s">
        <v>11306</v>
      </c>
      <c r="N4479" t="s">
        <v>11314</v>
      </c>
      <c r="O4479" t="s">
        <v>11315</v>
      </c>
      <c r="P4479" t="s">
        <v>11316</v>
      </c>
    </row>
    <row r="4480" spans="1:16" x14ac:dyDescent="0.35">
      <c r="A4480" t="s">
        <v>96</v>
      </c>
      <c r="B4480">
        <v>1322845170</v>
      </c>
      <c r="C4480" t="s">
        <v>18</v>
      </c>
      <c r="D4480" t="s">
        <v>21</v>
      </c>
      <c r="E4480" s="29">
        <v>46205</v>
      </c>
      <c r="F4480" t="s">
        <v>4</v>
      </c>
      <c r="G4480" s="28">
        <v>0.6</v>
      </c>
      <c r="H4480" s="28">
        <v>0.68333333333333335</v>
      </c>
      <c r="I4480">
        <v>2</v>
      </c>
      <c r="J4480" t="s">
        <v>146</v>
      </c>
      <c r="K4480">
        <v>6</v>
      </c>
      <c r="L4480" t="s">
        <v>147</v>
      </c>
      <c r="M4480" t="s">
        <v>4226</v>
      </c>
      <c r="N4480" t="s">
        <v>4227</v>
      </c>
      <c r="O4480" t="s">
        <v>4228</v>
      </c>
      <c r="P4480" t="s">
        <v>4229</v>
      </c>
    </row>
    <row r="4481" spans="1:16" x14ac:dyDescent="0.35">
      <c r="A4481" t="s">
        <v>96</v>
      </c>
      <c r="B4481">
        <v>1322845170</v>
      </c>
      <c r="C4481" t="s">
        <v>18</v>
      </c>
      <c r="D4481" t="s">
        <v>21</v>
      </c>
      <c r="E4481" s="29">
        <v>46205</v>
      </c>
      <c r="F4481" t="s">
        <v>4</v>
      </c>
      <c r="G4481" s="28">
        <v>0.69027777777777777</v>
      </c>
      <c r="H4481" s="28">
        <v>0.69027777777777777</v>
      </c>
      <c r="I4481">
        <v>0</v>
      </c>
      <c r="J4481" t="s">
        <v>174</v>
      </c>
      <c r="K4481">
        <v>0</v>
      </c>
      <c r="L4481" t="s">
        <v>2416</v>
      </c>
      <c r="M4481" t="s">
        <v>11298</v>
      </c>
      <c r="N4481" t="s">
        <v>11299</v>
      </c>
      <c r="O4481" t="s">
        <v>11300</v>
      </c>
      <c r="P4481" t="s">
        <v>11301</v>
      </c>
    </row>
    <row r="4482" spans="1:16" x14ac:dyDescent="0.35">
      <c r="A4482" t="s">
        <v>96</v>
      </c>
      <c r="B4482">
        <v>1322845170</v>
      </c>
      <c r="C4482" t="s">
        <v>18</v>
      </c>
      <c r="D4482" t="s">
        <v>21</v>
      </c>
      <c r="E4482" s="29">
        <v>46205</v>
      </c>
      <c r="F4482" t="s">
        <v>4</v>
      </c>
      <c r="G4482" s="28">
        <v>0.69722222222222219</v>
      </c>
      <c r="H4482" s="28">
        <v>0.69722222222222219</v>
      </c>
      <c r="I4482">
        <v>0</v>
      </c>
      <c r="J4482" t="s">
        <v>174</v>
      </c>
      <c r="K4482">
        <v>0</v>
      </c>
      <c r="L4482" t="s">
        <v>5787</v>
      </c>
      <c r="M4482" t="s">
        <v>11306</v>
      </c>
      <c r="N4482" t="s">
        <v>11307</v>
      </c>
      <c r="O4482" t="s">
        <v>11308</v>
      </c>
      <c r="P4482" t="s">
        <v>11309</v>
      </c>
    </row>
    <row r="4483" spans="1:16" x14ac:dyDescent="0.35">
      <c r="A4483" t="s">
        <v>96</v>
      </c>
      <c r="B4483">
        <v>1322845170</v>
      </c>
      <c r="C4483" t="s">
        <v>18</v>
      </c>
      <c r="D4483" t="s">
        <v>21</v>
      </c>
      <c r="E4483" s="29">
        <v>46205</v>
      </c>
      <c r="F4483" t="s">
        <v>4</v>
      </c>
      <c r="G4483" s="28">
        <v>0.70416666666666672</v>
      </c>
      <c r="H4483" s="28">
        <v>0.70416666666666672</v>
      </c>
      <c r="I4483">
        <v>0</v>
      </c>
      <c r="J4483" t="s">
        <v>174</v>
      </c>
      <c r="K4483">
        <v>0</v>
      </c>
      <c r="L4483" t="s">
        <v>1307</v>
      </c>
      <c r="M4483" t="s">
        <v>11302</v>
      </c>
      <c r="N4483" t="s">
        <v>11303</v>
      </c>
      <c r="O4483" t="s">
        <v>11304</v>
      </c>
      <c r="P4483" t="s">
        <v>11305</v>
      </c>
    </row>
    <row r="4484" spans="1:16" x14ac:dyDescent="0.35">
      <c r="A4484" t="s">
        <v>96</v>
      </c>
      <c r="B4484">
        <v>1322845170</v>
      </c>
      <c r="C4484" t="s">
        <v>18</v>
      </c>
      <c r="D4484" t="s">
        <v>21</v>
      </c>
      <c r="E4484" s="29">
        <v>46205</v>
      </c>
      <c r="F4484" t="s">
        <v>4</v>
      </c>
      <c r="G4484" s="28">
        <v>0.71111111111111114</v>
      </c>
      <c r="H4484" s="28">
        <v>0.71111111111111114</v>
      </c>
      <c r="I4484">
        <v>0</v>
      </c>
      <c r="J4484" t="s">
        <v>174</v>
      </c>
      <c r="K4484">
        <v>0</v>
      </c>
      <c r="L4484" t="s">
        <v>2416</v>
      </c>
      <c r="M4484" t="s">
        <v>11298</v>
      </c>
      <c r="N4484" t="s">
        <v>11299</v>
      </c>
      <c r="O4484" t="s">
        <v>11300</v>
      </c>
      <c r="P4484" t="s">
        <v>11301</v>
      </c>
    </row>
    <row r="4485" spans="1:16" x14ac:dyDescent="0.35">
      <c r="A4485" t="s">
        <v>96</v>
      </c>
      <c r="B4485">
        <v>1322845170</v>
      </c>
      <c r="C4485" t="s">
        <v>18</v>
      </c>
      <c r="D4485" t="s">
        <v>21</v>
      </c>
      <c r="E4485" s="29">
        <v>46205</v>
      </c>
      <c r="F4485" t="s">
        <v>4</v>
      </c>
      <c r="G4485" s="28">
        <v>0.71805555555555556</v>
      </c>
      <c r="H4485" s="28">
        <v>0.71805555555555556</v>
      </c>
      <c r="I4485">
        <v>0</v>
      </c>
      <c r="J4485" t="s">
        <v>174</v>
      </c>
      <c r="K4485">
        <v>0</v>
      </c>
      <c r="L4485" t="s">
        <v>2416</v>
      </c>
      <c r="M4485" t="s">
        <v>11306</v>
      </c>
      <c r="N4485" t="s">
        <v>11307</v>
      </c>
      <c r="O4485" t="s">
        <v>11308</v>
      </c>
      <c r="P4485" t="s">
        <v>11309</v>
      </c>
    </row>
    <row r="4486" spans="1:16" x14ac:dyDescent="0.35">
      <c r="A4486" t="s">
        <v>96</v>
      </c>
      <c r="B4486">
        <v>1322845170</v>
      </c>
      <c r="C4486" t="s">
        <v>18</v>
      </c>
      <c r="D4486" t="s">
        <v>21</v>
      </c>
      <c r="E4486" s="29">
        <v>46205</v>
      </c>
      <c r="F4486" t="s">
        <v>4</v>
      </c>
      <c r="G4486" s="28">
        <v>0.72499999999999998</v>
      </c>
      <c r="H4486" s="28">
        <v>0.7319444444444444</v>
      </c>
      <c r="I4486">
        <v>0</v>
      </c>
      <c r="J4486" t="s">
        <v>146</v>
      </c>
      <c r="K4486">
        <v>0</v>
      </c>
      <c r="L4486" t="s">
        <v>147</v>
      </c>
      <c r="M4486" t="s">
        <v>11298</v>
      </c>
      <c r="N4486" t="s">
        <v>11299</v>
      </c>
      <c r="O4486" t="s">
        <v>11300</v>
      </c>
      <c r="P4486" t="s">
        <v>11301</v>
      </c>
    </row>
    <row r="4487" spans="1:16" x14ac:dyDescent="0.35">
      <c r="A4487" t="s">
        <v>96</v>
      </c>
      <c r="B4487">
        <v>1322845170</v>
      </c>
      <c r="C4487" t="s">
        <v>18</v>
      </c>
      <c r="D4487" t="s">
        <v>21</v>
      </c>
      <c r="E4487" s="29">
        <v>46205</v>
      </c>
      <c r="F4487" t="s">
        <v>4</v>
      </c>
      <c r="G4487" s="28">
        <v>0.73888888888888893</v>
      </c>
      <c r="H4487" s="28">
        <v>0.75277777777777777</v>
      </c>
      <c r="I4487">
        <v>0</v>
      </c>
      <c r="J4487" t="s">
        <v>146</v>
      </c>
      <c r="K4487">
        <v>1</v>
      </c>
      <c r="L4487" t="s">
        <v>147</v>
      </c>
      <c r="M4487" t="s">
        <v>11306</v>
      </c>
      <c r="N4487" t="s">
        <v>11307</v>
      </c>
      <c r="O4487" t="s">
        <v>11308</v>
      </c>
      <c r="P4487" t="s">
        <v>11309</v>
      </c>
    </row>
    <row r="4488" spans="1:16" x14ac:dyDescent="0.35">
      <c r="A4488" t="s">
        <v>96</v>
      </c>
      <c r="B4488">
        <v>1322845170</v>
      </c>
      <c r="C4488" t="s">
        <v>18</v>
      </c>
      <c r="D4488" t="s">
        <v>21</v>
      </c>
      <c r="E4488" s="29">
        <v>46205</v>
      </c>
      <c r="F4488" t="s">
        <v>4</v>
      </c>
      <c r="G4488" s="28">
        <v>0.75972222222222219</v>
      </c>
      <c r="H4488" s="28">
        <v>0.80138888888888893</v>
      </c>
      <c r="I4488">
        <v>1</v>
      </c>
      <c r="J4488" t="s">
        <v>146</v>
      </c>
      <c r="K4488">
        <v>3</v>
      </c>
      <c r="L4488" t="s">
        <v>147</v>
      </c>
      <c r="M4488" t="s">
        <v>11317</v>
      </c>
      <c r="N4488" t="s">
        <v>11318</v>
      </c>
      <c r="O4488" t="s">
        <v>11319</v>
      </c>
      <c r="P4488" t="s">
        <v>11320</v>
      </c>
    </row>
    <row r="4489" spans="1:16" x14ac:dyDescent="0.35">
      <c r="A4489" t="s">
        <v>96</v>
      </c>
      <c r="B4489">
        <v>1322845170</v>
      </c>
      <c r="C4489" t="s">
        <v>18</v>
      </c>
      <c r="D4489" t="s">
        <v>21</v>
      </c>
      <c r="E4489" s="29">
        <v>46207</v>
      </c>
      <c r="F4489" t="s">
        <v>5</v>
      </c>
      <c r="G4489" s="28">
        <v>0.37777777777777777</v>
      </c>
      <c r="H4489" s="28">
        <v>0.39166666666666666</v>
      </c>
      <c r="I4489">
        <v>0</v>
      </c>
      <c r="J4489" t="s">
        <v>146</v>
      </c>
      <c r="K4489">
        <v>1</v>
      </c>
      <c r="L4489" t="s">
        <v>147</v>
      </c>
      <c r="M4489" t="s">
        <v>11317</v>
      </c>
      <c r="N4489" t="s">
        <v>11318</v>
      </c>
      <c r="O4489" t="s">
        <v>11319</v>
      </c>
      <c r="P4489" t="s">
        <v>11320</v>
      </c>
    </row>
    <row r="4490" spans="1:16" x14ac:dyDescent="0.35">
      <c r="A4490" t="s">
        <v>96</v>
      </c>
      <c r="B4490">
        <v>1322845170</v>
      </c>
      <c r="C4490" t="s">
        <v>18</v>
      </c>
      <c r="D4490" t="s">
        <v>21</v>
      </c>
      <c r="E4490" s="29">
        <v>46207</v>
      </c>
      <c r="F4490" t="s">
        <v>5</v>
      </c>
      <c r="G4490" s="28">
        <v>0.39861111111111114</v>
      </c>
      <c r="H4490" s="28">
        <v>0.40555555555555556</v>
      </c>
      <c r="I4490">
        <v>0</v>
      </c>
      <c r="J4490" t="s">
        <v>146</v>
      </c>
      <c r="K4490">
        <v>0</v>
      </c>
      <c r="L4490" t="s">
        <v>147</v>
      </c>
      <c r="M4490" t="s">
        <v>11306</v>
      </c>
      <c r="N4490" t="s">
        <v>11307</v>
      </c>
      <c r="O4490" t="s">
        <v>11308</v>
      </c>
      <c r="P4490" t="s">
        <v>11309</v>
      </c>
    </row>
    <row r="4491" spans="1:16" x14ac:dyDescent="0.35">
      <c r="A4491" t="s">
        <v>96</v>
      </c>
      <c r="B4491">
        <v>1322845170</v>
      </c>
      <c r="C4491" t="s">
        <v>18</v>
      </c>
      <c r="D4491" t="s">
        <v>21</v>
      </c>
      <c r="E4491" s="29">
        <v>46207</v>
      </c>
      <c r="F4491" t="s">
        <v>5</v>
      </c>
      <c r="G4491" s="28">
        <v>0.41249999999999998</v>
      </c>
      <c r="H4491" s="28">
        <v>0.41944444444444445</v>
      </c>
      <c r="I4491">
        <v>0</v>
      </c>
      <c r="J4491" t="s">
        <v>146</v>
      </c>
      <c r="K4491">
        <v>1</v>
      </c>
      <c r="L4491" t="s">
        <v>147</v>
      </c>
      <c r="M4491" t="s">
        <v>11302</v>
      </c>
      <c r="N4491" t="s">
        <v>11303</v>
      </c>
      <c r="O4491" t="s">
        <v>11304</v>
      </c>
      <c r="P4491" t="s">
        <v>11305</v>
      </c>
    </row>
    <row r="4492" spans="1:16" x14ac:dyDescent="0.35">
      <c r="A4492" t="s">
        <v>96</v>
      </c>
      <c r="B4492">
        <v>1322845170</v>
      </c>
      <c r="C4492" t="s">
        <v>18</v>
      </c>
      <c r="D4492" t="s">
        <v>21</v>
      </c>
      <c r="E4492" s="29">
        <v>46207</v>
      </c>
      <c r="F4492" t="s">
        <v>5</v>
      </c>
      <c r="G4492" s="28">
        <v>0.42638888888888887</v>
      </c>
      <c r="H4492" s="28">
        <v>0.42638888888888887</v>
      </c>
      <c r="I4492">
        <v>0</v>
      </c>
      <c r="J4492" t="s">
        <v>174</v>
      </c>
      <c r="K4492">
        <v>0</v>
      </c>
      <c r="L4492" t="s">
        <v>2416</v>
      </c>
      <c r="M4492" t="s">
        <v>11298</v>
      </c>
      <c r="N4492" t="s">
        <v>11299</v>
      </c>
      <c r="O4492" t="s">
        <v>11300</v>
      </c>
      <c r="P4492" t="s">
        <v>11301</v>
      </c>
    </row>
    <row r="4493" spans="1:16" x14ac:dyDescent="0.35">
      <c r="A4493" t="s">
        <v>96</v>
      </c>
      <c r="B4493">
        <v>1322845170</v>
      </c>
      <c r="C4493" t="s">
        <v>18</v>
      </c>
      <c r="D4493" t="s">
        <v>21</v>
      </c>
      <c r="E4493" s="29">
        <v>46207</v>
      </c>
      <c r="F4493" t="s">
        <v>5</v>
      </c>
      <c r="G4493" s="28">
        <v>0.43333333333333335</v>
      </c>
      <c r="H4493" s="28">
        <v>0.45416666666666666</v>
      </c>
      <c r="I4493">
        <v>0</v>
      </c>
      <c r="J4493" t="s">
        <v>146</v>
      </c>
      <c r="K4493">
        <v>2</v>
      </c>
      <c r="L4493" t="s">
        <v>147</v>
      </c>
      <c r="M4493" t="s">
        <v>11306</v>
      </c>
      <c r="N4493" t="s">
        <v>11307</v>
      </c>
      <c r="O4493" t="s">
        <v>11308</v>
      </c>
      <c r="P4493" t="s">
        <v>11309</v>
      </c>
    </row>
    <row r="4494" spans="1:16" x14ac:dyDescent="0.35">
      <c r="A4494" t="s">
        <v>96</v>
      </c>
      <c r="B4494">
        <v>1322845170</v>
      </c>
      <c r="C4494" t="s">
        <v>18</v>
      </c>
      <c r="D4494" t="s">
        <v>21</v>
      </c>
      <c r="E4494" s="29">
        <v>46207</v>
      </c>
      <c r="F4494" t="s">
        <v>5</v>
      </c>
      <c r="G4494" s="28">
        <v>0.46111111111111114</v>
      </c>
      <c r="H4494" s="28">
        <v>0.46111111111111114</v>
      </c>
      <c r="I4494">
        <v>0</v>
      </c>
      <c r="J4494" t="s">
        <v>174</v>
      </c>
      <c r="K4494">
        <v>0</v>
      </c>
      <c r="L4494" t="s">
        <v>11321</v>
      </c>
      <c r="M4494" t="s">
        <v>11317</v>
      </c>
      <c r="N4494" t="s">
        <v>11318</v>
      </c>
      <c r="O4494" t="s">
        <v>11319</v>
      </c>
      <c r="P4494" t="s">
        <v>11320</v>
      </c>
    </row>
    <row r="4495" spans="1:16" x14ac:dyDescent="0.35">
      <c r="A4495" t="s">
        <v>96</v>
      </c>
      <c r="B4495">
        <v>1322845170</v>
      </c>
      <c r="C4495" t="s">
        <v>18</v>
      </c>
      <c r="D4495" t="s">
        <v>21</v>
      </c>
      <c r="E4495" s="29">
        <v>46207</v>
      </c>
      <c r="F4495" t="s">
        <v>5</v>
      </c>
      <c r="G4495" s="28">
        <v>0.46805555555555556</v>
      </c>
      <c r="H4495" s="28">
        <v>0.47499999999999998</v>
      </c>
      <c r="I4495">
        <v>0</v>
      </c>
      <c r="J4495" t="s">
        <v>146</v>
      </c>
      <c r="K4495">
        <v>0</v>
      </c>
      <c r="L4495" t="s">
        <v>147</v>
      </c>
      <c r="M4495" t="s">
        <v>11306</v>
      </c>
      <c r="N4495" t="s">
        <v>11307</v>
      </c>
      <c r="O4495" t="s">
        <v>11308</v>
      </c>
      <c r="P4495" t="s">
        <v>11309</v>
      </c>
    </row>
    <row r="4496" spans="1:16" x14ac:dyDescent="0.35">
      <c r="A4496" t="s">
        <v>96</v>
      </c>
      <c r="B4496">
        <v>1322845170</v>
      </c>
      <c r="C4496" t="s">
        <v>18</v>
      </c>
      <c r="D4496" t="s">
        <v>21</v>
      </c>
      <c r="E4496" s="29">
        <v>46207</v>
      </c>
      <c r="F4496" t="s">
        <v>5</v>
      </c>
      <c r="G4496" s="28">
        <v>0.48194444444444445</v>
      </c>
      <c r="H4496" s="28">
        <v>0.48194444444444445</v>
      </c>
      <c r="I4496">
        <v>0</v>
      </c>
      <c r="J4496" t="s">
        <v>174</v>
      </c>
      <c r="K4496">
        <v>0</v>
      </c>
      <c r="L4496" t="s">
        <v>11321</v>
      </c>
      <c r="M4496" t="s">
        <v>11317</v>
      </c>
      <c r="N4496" t="s">
        <v>11318</v>
      </c>
      <c r="O4496" t="s">
        <v>11319</v>
      </c>
      <c r="P4496" t="s">
        <v>11320</v>
      </c>
    </row>
    <row r="4497" spans="1:16" x14ac:dyDescent="0.35">
      <c r="A4497" t="s">
        <v>96</v>
      </c>
      <c r="B4497">
        <v>1322845170</v>
      </c>
      <c r="C4497" t="s">
        <v>18</v>
      </c>
      <c r="D4497" t="s">
        <v>21</v>
      </c>
      <c r="E4497" s="29">
        <v>46207</v>
      </c>
      <c r="F4497" t="s">
        <v>5</v>
      </c>
      <c r="G4497" s="28">
        <v>0.48888888888888887</v>
      </c>
      <c r="H4497" s="28">
        <v>0.53055555555555556</v>
      </c>
      <c r="I4497">
        <v>1</v>
      </c>
      <c r="J4497" t="s">
        <v>146</v>
      </c>
      <c r="K4497">
        <v>3</v>
      </c>
      <c r="L4497" t="s">
        <v>147</v>
      </c>
      <c r="M4497" t="s">
        <v>11306</v>
      </c>
      <c r="N4497" t="s">
        <v>11307</v>
      </c>
      <c r="O4497" t="s">
        <v>11308</v>
      </c>
      <c r="P4497" t="s">
        <v>11309</v>
      </c>
    </row>
    <row r="4498" spans="1:16" x14ac:dyDescent="0.35">
      <c r="A4498" t="s">
        <v>96</v>
      </c>
      <c r="B4498">
        <v>1322845170</v>
      </c>
      <c r="C4498" t="s">
        <v>18</v>
      </c>
      <c r="D4498" t="s">
        <v>21</v>
      </c>
      <c r="E4498" s="29">
        <v>46207</v>
      </c>
      <c r="F4498" t="s">
        <v>5</v>
      </c>
      <c r="G4498" s="28">
        <v>0.53749999999999998</v>
      </c>
      <c r="H4498" s="28">
        <v>0.53749999999999998</v>
      </c>
      <c r="I4498">
        <v>0</v>
      </c>
      <c r="J4498" t="s">
        <v>174</v>
      </c>
      <c r="K4498">
        <v>0</v>
      </c>
      <c r="L4498" t="s">
        <v>1170</v>
      </c>
      <c r="M4498" t="s">
        <v>11298</v>
      </c>
      <c r="N4498" t="s">
        <v>11299</v>
      </c>
      <c r="O4498" t="s">
        <v>11300</v>
      </c>
      <c r="P4498" t="s">
        <v>11301</v>
      </c>
    </row>
    <row r="4499" spans="1:16" x14ac:dyDescent="0.35">
      <c r="A4499" t="s">
        <v>96</v>
      </c>
      <c r="B4499">
        <v>1322845170</v>
      </c>
      <c r="C4499" t="s">
        <v>18</v>
      </c>
      <c r="D4499" t="s">
        <v>21</v>
      </c>
      <c r="E4499" s="29">
        <v>46207</v>
      </c>
      <c r="F4499" t="s">
        <v>5</v>
      </c>
      <c r="G4499" s="28">
        <v>0.5444444444444444</v>
      </c>
      <c r="H4499" s="28">
        <v>0.5444444444444444</v>
      </c>
      <c r="I4499">
        <v>0</v>
      </c>
      <c r="J4499" t="s">
        <v>174</v>
      </c>
      <c r="K4499">
        <v>0</v>
      </c>
      <c r="L4499" t="s">
        <v>1544</v>
      </c>
      <c r="M4499" t="s">
        <v>11317</v>
      </c>
      <c r="N4499" t="s">
        <v>11318</v>
      </c>
      <c r="O4499" t="s">
        <v>11319</v>
      </c>
      <c r="P4499" t="s">
        <v>11320</v>
      </c>
    </row>
    <row r="4500" spans="1:16" x14ac:dyDescent="0.35">
      <c r="A4500" t="s">
        <v>96</v>
      </c>
      <c r="B4500">
        <v>1322845170</v>
      </c>
      <c r="C4500" t="s">
        <v>18</v>
      </c>
      <c r="D4500" t="s">
        <v>21</v>
      </c>
      <c r="E4500" s="29">
        <v>46207</v>
      </c>
      <c r="F4500" t="s">
        <v>5</v>
      </c>
      <c r="G4500" s="28">
        <v>0.55138888888888893</v>
      </c>
      <c r="H4500" s="28">
        <v>0.55138888888888893</v>
      </c>
      <c r="I4500">
        <v>0</v>
      </c>
      <c r="J4500" t="s">
        <v>174</v>
      </c>
      <c r="K4500">
        <v>0</v>
      </c>
      <c r="L4500" t="s">
        <v>11322</v>
      </c>
      <c r="M4500" t="s">
        <v>11323</v>
      </c>
      <c r="N4500" t="s">
        <v>11324</v>
      </c>
      <c r="O4500" t="s">
        <v>11325</v>
      </c>
      <c r="P4500" t="s">
        <v>11326</v>
      </c>
    </row>
    <row r="4501" spans="1:16" x14ac:dyDescent="0.35">
      <c r="A4501" t="s">
        <v>96</v>
      </c>
      <c r="B4501">
        <v>1322845170</v>
      </c>
      <c r="C4501" t="s">
        <v>18</v>
      </c>
      <c r="D4501" t="s">
        <v>21</v>
      </c>
      <c r="E4501" s="29">
        <v>46207</v>
      </c>
      <c r="F4501" t="s">
        <v>5</v>
      </c>
      <c r="G4501" s="28">
        <v>0.55833333333333335</v>
      </c>
      <c r="H4501" s="28">
        <v>0.57222222222222219</v>
      </c>
      <c r="I4501">
        <v>0</v>
      </c>
      <c r="J4501" t="s">
        <v>146</v>
      </c>
      <c r="K4501">
        <v>1</v>
      </c>
      <c r="L4501" t="s">
        <v>147</v>
      </c>
      <c r="M4501" t="s">
        <v>11327</v>
      </c>
      <c r="N4501" t="s">
        <v>11328</v>
      </c>
      <c r="O4501" t="s">
        <v>11329</v>
      </c>
      <c r="P4501" t="s">
        <v>11330</v>
      </c>
    </row>
    <row r="4502" spans="1:16" x14ac:dyDescent="0.35">
      <c r="A4502" t="s">
        <v>96</v>
      </c>
      <c r="B4502">
        <v>1322845170</v>
      </c>
      <c r="C4502" t="s">
        <v>18</v>
      </c>
      <c r="D4502" t="s">
        <v>21</v>
      </c>
      <c r="E4502" s="29">
        <v>46207</v>
      </c>
      <c r="F4502" t="s">
        <v>5</v>
      </c>
      <c r="G4502" s="28">
        <v>0.57916666666666672</v>
      </c>
      <c r="H4502" s="28">
        <v>0.57916666666666672</v>
      </c>
      <c r="I4502">
        <v>0</v>
      </c>
      <c r="J4502" t="s">
        <v>174</v>
      </c>
      <c r="K4502">
        <v>0</v>
      </c>
      <c r="L4502" t="s">
        <v>2416</v>
      </c>
      <c r="M4502" t="s">
        <v>11298</v>
      </c>
      <c r="N4502" t="s">
        <v>11299</v>
      </c>
      <c r="O4502" t="s">
        <v>11300</v>
      </c>
      <c r="P4502" t="s">
        <v>11301</v>
      </c>
    </row>
    <row r="4503" spans="1:16" x14ac:dyDescent="0.35">
      <c r="A4503" t="s">
        <v>96</v>
      </c>
      <c r="B4503">
        <v>1322845170</v>
      </c>
      <c r="C4503" t="s">
        <v>18</v>
      </c>
      <c r="D4503" t="s">
        <v>21</v>
      </c>
      <c r="E4503" s="29">
        <v>46207</v>
      </c>
      <c r="F4503" t="s">
        <v>5</v>
      </c>
      <c r="G4503" s="28">
        <v>0.58611111111111114</v>
      </c>
      <c r="H4503" s="28">
        <v>0.61388888888888893</v>
      </c>
      <c r="I4503">
        <v>1</v>
      </c>
      <c r="J4503" t="s">
        <v>146</v>
      </c>
      <c r="K4503">
        <v>2</v>
      </c>
      <c r="L4503" t="s">
        <v>147</v>
      </c>
      <c r="M4503" t="s">
        <v>11306</v>
      </c>
      <c r="N4503" t="s">
        <v>11307</v>
      </c>
      <c r="O4503" t="s">
        <v>11308</v>
      </c>
      <c r="P4503" t="s">
        <v>11309</v>
      </c>
    </row>
    <row r="4504" spans="1:16" x14ac:dyDescent="0.35">
      <c r="A4504" t="s">
        <v>96</v>
      </c>
      <c r="B4504">
        <v>1322845170</v>
      </c>
      <c r="C4504" t="s">
        <v>18</v>
      </c>
      <c r="D4504" t="s">
        <v>21</v>
      </c>
      <c r="E4504" s="29">
        <v>46207</v>
      </c>
      <c r="F4504" t="s">
        <v>5</v>
      </c>
      <c r="G4504" s="28">
        <v>0.62083333333333335</v>
      </c>
      <c r="H4504" s="28">
        <v>0.62083333333333335</v>
      </c>
      <c r="I4504">
        <v>0</v>
      </c>
      <c r="J4504" t="s">
        <v>174</v>
      </c>
      <c r="K4504">
        <v>0</v>
      </c>
      <c r="L4504" t="s">
        <v>5787</v>
      </c>
      <c r="M4504" t="s">
        <v>11302</v>
      </c>
      <c r="N4504" t="s">
        <v>11303</v>
      </c>
      <c r="O4504" t="s">
        <v>11304</v>
      </c>
      <c r="P4504" t="s">
        <v>11305</v>
      </c>
    </row>
    <row r="4505" spans="1:16" x14ac:dyDescent="0.35">
      <c r="A4505" t="s">
        <v>96</v>
      </c>
      <c r="B4505">
        <v>1322845170</v>
      </c>
      <c r="C4505" t="s">
        <v>18</v>
      </c>
      <c r="D4505" t="s">
        <v>21</v>
      </c>
      <c r="E4505" s="29">
        <v>46207</v>
      </c>
      <c r="F4505" t="s">
        <v>5</v>
      </c>
      <c r="G4505" s="28">
        <v>0.62777777777777777</v>
      </c>
      <c r="H4505" s="28">
        <v>0.64166666666666672</v>
      </c>
      <c r="I4505">
        <v>0</v>
      </c>
      <c r="J4505" t="s">
        <v>146</v>
      </c>
      <c r="K4505">
        <v>1</v>
      </c>
      <c r="L4505" t="s">
        <v>147</v>
      </c>
      <c r="M4505" t="s">
        <v>11306</v>
      </c>
      <c r="N4505" t="s">
        <v>11307</v>
      </c>
      <c r="O4505" t="s">
        <v>11308</v>
      </c>
      <c r="P4505" t="s">
        <v>11309</v>
      </c>
    </row>
    <row r="4506" spans="1:16" x14ac:dyDescent="0.35">
      <c r="A4506" t="s">
        <v>96</v>
      </c>
      <c r="B4506">
        <v>1322845170</v>
      </c>
      <c r="C4506" t="s">
        <v>18</v>
      </c>
      <c r="D4506" t="s">
        <v>21</v>
      </c>
      <c r="E4506" s="29">
        <v>46207</v>
      </c>
      <c r="F4506" t="s">
        <v>5</v>
      </c>
      <c r="G4506" s="28">
        <v>0.64861111111111114</v>
      </c>
      <c r="H4506" s="28">
        <v>0.64861111111111114</v>
      </c>
      <c r="I4506">
        <v>0</v>
      </c>
      <c r="J4506" t="s">
        <v>174</v>
      </c>
      <c r="K4506">
        <v>0</v>
      </c>
      <c r="L4506" t="s">
        <v>2593</v>
      </c>
      <c r="M4506" t="s">
        <v>11317</v>
      </c>
      <c r="N4506" t="s">
        <v>11318</v>
      </c>
      <c r="O4506" t="s">
        <v>11319</v>
      </c>
      <c r="P4506" t="s">
        <v>11320</v>
      </c>
    </row>
    <row r="4507" spans="1:16" x14ac:dyDescent="0.35">
      <c r="A4507" t="s">
        <v>96</v>
      </c>
      <c r="B4507">
        <v>1322845170</v>
      </c>
      <c r="C4507" t="s">
        <v>18</v>
      </c>
      <c r="D4507" t="s">
        <v>21</v>
      </c>
      <c r="E4507" s="29">
        <v>46207</v>
      </c>
      <c r="F4507" t="s">
        <v>5</v>
      </c>
      <c r="G4507" s="28">
        <v>0.65555555555555556</v>
      </c>
      <c r="H4507" s="28">
        <v>0.65555555555555556</v>
      </c>
      <c r="I4507">
        <v>0</v>
      </c>
      <c r="J4507" t="s">
        <v>174</v>
      </c>
      <c r="K4507">
        <v>0</v>
      </c>
      <c r="L4507" t="s">
        <v>5787</v>
      </c>
      <c r="M4507" t="s">
        <v>11302</v>
      </c>
      <c r="N4507" t="s">
        <v>11303</v>
      </c>
      <c r="O4507" t="s">
        <v>11304</v>
      </c>
      <c r="P4507" t="s">
        <v>11305</v>
      </c>
    </row>
    <row r="4508" spans="1:16" x14ac:dyDescent="0.35">
      <c r="A4508" t="s">
        <v>96</v>
      </c>
      <c r="B4508">
        <v>1322845170</v>
      </c>
      <c r="C4508" t="s">
        <v>18</v>
      </c>
      <c r="D4508" t="s">
        <v>21</v>
      </c>
      <c r="E4508" s="29">
        <v>46207</v>
      </c>
      <c r="F4508" t="s">
        <v>5</v>
      </c>
      <c r="G4508" s="28">
        <v>0.66249999999999998</v>
      </c>
      <c r="H4508" s="28">
        <v>0.6694444444444444</v>
      </c>
      <c r="I4508">
        <v>0</v>
      </c>
      <c r="J4508" t="s">
        <v>146</v>
      </c>
      <c r="K4508">
        <v>0</v>
      </c>
      <c r="L4508" t="s">
        <v>147</v>
      </c>
      <c r="M4508" t="s">
        <v>11306</v>
      </c>
      <c r="N4508" t="s">
        <v>11307</v>
      </c>
      <c r="O4508" t="s">
        <v>11308</v>
      </c>
      <c r="P4508" t="s">
        <v>11309</v>
      </c>
    </row>
    <row r="4509" spans="1:16" x14ac:dyDescent="0.35">
      <c r="A4509" t="s">
        <v>96</v>
      </c>
      <c r="B4509">
        <v>1322845170</v>
      </c>
      <c r="C4509" t="s">
        <v>18</v>
      </c>
      <c r="D4509" t="s">
        <v>21</v>
      </c>
      <c r="E4509" s="29">
        <v>46207</v>
      </c>
      <c r="F4509" t="s">
        <v>5</v>
      </c>
      <c r="G4509" s="28">
        <v>0.67638888888888893</v>
      </c>
      <c r="H4509" s="28">
        <v>0.67638888888888893</v>
      </c>
      <c r="I4509">
        <v>0</v>
      </c>
      <c r="J4509" t="s">
        <v>174</v>
      </c>
      <c r="K4509">
        <v>0</v>
      </c>
      <c r="L4509" t="s">
        <v>11331</v>
      </c>
      <c r="M4509" t="s">
        <v>11310</v>
      </c>
      <c r="N4509" t="s">
        <v>10674</v>
      </c>
      <c r="O4509" t="s">
        <v>11311</v>
      </c>
      <c r="P4509" t="s">
        <v>11312</v>
      </c>
    </row>
    <row r="4510" spans="1:16" x14ac:dyDescent="0.35">
      <c r="A4510" t="s">
        <v>96</v>
      </c>
      <c r="B4510">
        <v>1322845170</v>
      </c>
      <c r="C4510" t="s">
        <v>18</v>
      </c>
      <c r="D4510" t="s">
        <v>21</v>
      </c>
      <c r="E4510" s="29">
        <v>46207</v>
      </c>
      <c r="F4510" t="s">
        <v>5</v>
      </c>
      <c r="G4510" s="28">
        <v>0.68333333333333335</v>
      </c>
      <c r="H4510" s="28">
        <v>0.68333333333333335</v>
      </c>
      <c r="I4510">
        <v>0</v>
      </c>
      <c r="J4510" t="s">
        <v>174</v>
      </c>
      <c r="K4510">
        <v>0</v>
      </c>
      <c r="L4510" t="s">
        <v>11331</v>
      </c>
      <c r="M4510" t="s">
        <v>11317</v>
      </c>
      <c r="N4510" t="s">
        <v>11318</v>
      </c>
      <c r="O4510" t="s">
        <v>11319</v>
      </c>
      <c r="P4510" t="s">
        <v>11320</v>
      </c>
    </row>
    <row r="4511" spans="1:16" x14ac:dyDescent="0.35">
      <c r="A4511" t="s">
        <v>96</v>
      </c>
      <c r="B4511">
        <v>1322845170</v>
      </c>
      <c r="C4511" t="s">
        <v>18</v>
      </c>
      <c r="D4511" t="s">
        <v>21</v>
      </c>
      <c r="E4511" s="29">
        <v>46207</v>
      </c>
      <c r="F4511" t="s">
        <v>5</v>
      </c>
      <c r="G4511" s="28">
        <v>0.69027777777777777</v>
      </c>
      <c r="H4511" s="28">
        <v>0.69027777777777777</v>
      </c>
      <c r="I4511">
        <v>0</v>
      </c>
      <c r="J4511" t="s">
        <v>174</v>
      </c>
      <c r="K4511">
        <v>0</v>
      </c>
      <c r="L4511" t="s">
        <v>4630</v>
      </c>
      <c r="M4511" t="s">
        <v>11310</v>
      </c>
      <c r="N4511" t="s">
        <v>10674</v>
      </c>
      <c r="O4511" t="s">
        <v>11311</v>
      </c>
      <c r="P4511" t="s">
        <v>11312</v>
      </c>
    </row>
    <row r="4512" spans="1:16" x14ac:dyDescent="0.35">
      <c r="A4512" t="s">
        <v>96</v>
      </c>
      <c r="B4512">
        <v>1322845170</v>
      </c>
      <c r="C4512" t="s">
        <v>18</v>
      </c>
      <c r="D4512" t="s">
        <v>21</v>
      </c>
      <c r="E4512" s="29">
        <v>46207</v>
      </c>
      <c r="F4512" t="s">
        <v>5</v>
      </c>
      <c r="G4512" s="28">
        <v>0.69722222222222219</v>
      </c>
      <c r="H4512" s="28">
        <v>0.69722222222222219</v>
      </c>
      <c r="I4512">
        <v>0</v>
      </c>
      <c r="J4512" t="s">
        <v>174</v>
      </c>
      <c r="K4512">
        <v>0</v>
      </c>
      <c r="L4512" t="s">
        <v>5787</v>
      </c>
      <c r="M4512" t="s">
        <v>11302</v>
      </c>
      <c r="N4512" t="s">
        <v>11303</v>
      </c>
      <c r="O4512" t="s">
        <v>11304</v>
      </c>
      <c r="P4512" t="s">
        <v>11305</v>
      </c>
    </row>
    <row r="4513" spans="1:16" x14ac:dyDescent="0.35">
      <c r="A4513" t="s">
        <v>96</v>
      </c>
      <c r="B4513">
        <v>1322845170</v>
      </c>
      <c r="C4513" t="s">
        <v>18</v>
      </c>
      <c r="D4513" t="s">
        <v>21</v>
      </c>
      <c r="E4513" s="29">
        <v>46207</v>
      </c>
      <c r="F4513" t="s">
        <v>5</v>
      </c>
      <c r="G4513" s="28">
        <v>0.70416666666666672</v>
      </c>
      <c r="H4513" s="28">
        <v>0.70416666666666672</v>
      </c>
      <c r="I4513">
        <v>0</v>
      </c>
      <c r="J4513" t="s">
        <v>174</v>
      </c>
      <c r="K4513">
        <v>0</v>
      </c>
      <c r="L4513" t="s">
        <v>5787</v>
      </c>
      <c r="M4513" t="s">
        <v>11306</v>
      </c>
      <c r="N4513" t="s">
        <v>11307</v>
      </c>
      <c r="O4513" t="s">
        <v>11308</v>
      </c>
      <c r="P4513" t="s">
        <v>11309</v>
      </c>
    </row>
    <row r="4514" spans="1:16" x14ac:dyDescent="0.35">
      <c r="A4514" t="s">
        <v>96</v>
      </c>
      <c r="B4514">
        <v>1322845170</v>
      </c>
      <c r="C4514" t="s">
        <v>18</v>
      </c>
      <c r="D4514" t="s">
        <v>21</v>
      </c>
      <c r="E4514" s="29">
        <v>46207</v>
      </c>
      <c r="F4514" t="s">
        <v>5</v>
      </c>
      <c r="G4514" s="28">
        <v>0.71111111111111114</v>
      </c>
      <c r="H4514" s="28">
        <v>0.71111111111111114</v>
      </c>
      <c r="I4514">
        <v>0</v>
      </c>
      <c r="J4514" t="s">
        <v>174</v>
      </c>
      <c r="K4514">
        <v>0</v>
      </c>
      <c r="L4514" t="s">
        <v>5787</v>
      </c>
      <c r="M4514" t="s">
        <v>11302</v>
      </c>
      <c r="N4514" t="s">
        <v>11303</v>
      </c>
      <c r="O4514" t="s">
        <v>11304</v>
      </c>
      <c r="P4514" t="s">
        <v>11305</v>
      </c>
    </row>
    <row r="4515" spans="1:16" x14ac:dyDescent="0.35">
      <c r="A4515" t="s">
        <v>96</v>
      </c>
      <c r="B4515">
        <v>1322845170</v>
      </c>
      <c r="C4515" t="s">
        <v>18</v>
      </c>
      <c r="D4515" t="s">
        <v>21</v>
      </c>
      <c r="E4515" s="29">
        <v>46207</v>
      </c>
      <c r="F4515" t="s">
        <v>5</v>
      </c>
      <c r="G4515" s="28">
        <v>0.71805555555555556</v>
      </c>
      <c r="H4515" s="28">
        <v>0.7319444444444444</v>
      </c>
      <c r="I4515">
        <v>0</v>
      </c>
      <c r="J4515" t="s">
        <v>146</v>
      </c>
      <c r="K4515">
        <v>1</v>
      </c>
      <c r="L4515" t="s">
        <v>147</v>
      </c>
      <c r="M4515" t="s">
        <v>11306</v>
      </c>
      <c r="N4515" t="s">
        <v>11307</v>
      </c>
      <c r="O4515" t="s">
        <v>11308</v>
      </c>
      <c r="P4515" t="s">
        <v>11309</v>
      </c>
    </row>
    <row r="4516" spans="1:16" x14ac:dyDescent="0.35">
      <c r="A4516" t="s">
        <v>96</v>
      </c>
      <c r="B4516">
        <v>1322845170</v>
      </c>
      <c r="C4516" t="s">
        <v>18</v>
      </c>
      <c r="D4516" t="s">
        <v>21</v>
      </c>
      <c r="E4516" s="29">
        <v>46207</v>
      </c>
      <c r="F4516" t="s">
        <v>5</v>
      </c>
      <c r="G4516" s="28">
        <v>0.76666666666666672</v>
      </c>
      <c r="H4516" s="28">
        <v>0.76666666666666672</v>
      </c>
      <c r="I4516">
        <v>0</v>
      </c>
      <c r="J4516" t="s">
        <v>174</v>
      </c>
      <c r="K4516">
        <v>0</v>
      </c>
      <c r="L4516" t="s">
        <v>11332</v>
      </c>
      <c r="M4516" t="s">
        <v>11302</v>
      </c>
      <c r="N4516" t="s">
        <v>11303</v>
      </c>
      <c r="O4516" t="s">
        <v>11304</v>
      </c>
      <c r="P4516" t="s">
        <v>11305</v>
      </c>
    </row>
    <row r="4517" spans="1:16" x14ac:dyDescent="0.35">
      <c r="A4517" t="s">
        <v>96</v>
      </c>
      <c r="B4517">
        <v>1322845170</v>
      </c>
      <c r="C4517" t="s">
        <v>18</v>
      </c>
      <c r="D4517" t="s">
        <v>21</v>
      </c>
      <c r="E4517" s="29">
        <v>46208</v>
      </c>
      <c r="F4517" t="s">
        <v>6</v>
      </c>
      <c r="G4517" s="28">
        <v>0.49583333333333335</v>
      </c>
      <c r="H4517" s="28">
        <v>0.52361111111111114</v>
      </c>
      <c r="I4517">
        <v>1</v>
      </c>
      <c r="J4517" t="s">
        <v>146</v>
      </c>
      <c r="K4517">
        <v>2</v>
      </c>
      <c r="L4517" t="s">
        <v>147</v>
      </c>
      <c r="M4517" t="s">
        <v>734</v>
      </c>
      <c r="N4517" t="s">
        <v>735</v>
      </c>
      <c r="O4517" t="s">
        <v>736</v>
      </c>
      <c r="P4517" t="s">
        <v>737</v>
      </c>
    </row>
    <row r="4518" spans="1:16" x14ac:dyDescent="0.35">
      <c r="A4518" t="s">
        <v>96</v>
      </c>
      <c r="B4518">
        <v>1322845170</v>
      </c>
      <c r="C4518" t="s">
        <v>18</v>
      </c>
      <c r="D4518" t="s">
        <v>21</v>
      </c>
      <c r="E4518" s="29">
        <v>46208</v>
      </c>
      <c r="F4518" t="s">
        <v>6</v>
      </c>
      <c r="G4518" s="28">
        <v>0.53055555555555556</v>
      </c>
      <c r="H4518" s="28">
        <v>0.53055555555555556</v>
      </c>
      <c r="I4518">
        <v>0</v>
      </c>
      <c r="J4518" t="s">
        <v>174</v>
      </c>
      <c r="K4518">
        <v>0</v>
      </c>
      <c r="L4518" t="s">
        <v>8595</v>
      </c>
      <c r="M4518" t="s">
        <v>11333</v>
      </c>
      <c r="N4518" t="s">
        <v>11334</v>
      </c>
      <c r="O4518" t="s">
        <v>11335</v>
      </c>
      <c r="P4518" t="s">
        <v>11336</v>
      </c>
    </row>
    <row r="4519" spans="1:16" x14ac:dyDescent="0.35">
      <c r="A4519" t="s">
        <v>96</v>
      </c>
      <c r="B4519">
        <v>1322845170</v>
      </c>
      <c r="C4519" t="s">
        <v>18</v>
      </c>
      <c r="D4519" t="s">
        <v>21</v>
      </c>
      <c r="E4519" s="29">
        <v>46208</v>
      </c>
      <c r="F4519" t="s">
        <v>6</v>
      </c>
      <c r="G4519" s="28">
        <v>0.53749999999999998</v>
      </c>
      <c r="H4519" s="28">
        <v>0.53749999999999998</v>
      </c>
      <c r="I4519">
        <v>0</v>
      </c>
      <c r="J4519" t="s">
        <v>174</v>
      </c>
      <c r="K4519">
        <v>0</v>
      </c>
      <c r="L4519" t="s">
        <v>4083</v>
      </c>
      <c r="M4519" t="s">
        <v>11283</v>
      </c>
      <c r="N4519" t="s">
        <v>11284</v>
      </c>
      <c r="O4519" t="s">
        <v>11285</v>
      </c>
      <c r="P4519" t="s">
        <v>11286</v>
      </c>
    </row>
    <row r="4520" spans="1:16" x14ac:dyDescent="0.35">
      <c r="A4520" t="s">
        <v>96</v>
      </c>
      <c r="B4520">
        <v>1322845170</v>
      </c>
      <c r="C4520" t="s">
        <v>18</v>
      </c>
      <c r="D4520" t="s">
        <v>21</v>
      </c>
      <c r="E4520" s="29">
        <v>46208</v>
      </c>
      <c r="F4520" t="s">
        <v>6</v>
      </c>
      <c r="G4520" s="28">
        <v>0.5444444444444444</v>
      </c>
      <c r="H4520" s="28">
        <v>0.5444444444444444</v>
      </c>
      <c r="I4520">
        <v>0</v>
      </c>
      <c r="J4520" t="s">
        <v>174</v>
      </c>
      <c r="K4520">
        <v>0</v>
      </c>
      <c r="L4520" t="s">
        <v>4654</v>
      </c>
      <c r="M4520" t="s">
        <v>11337</v>
      </c>
      <c r="N4520" t="s">
        <v>11338</v>
      </c>
      <c r="O4520" t="s">
        <v>11339</v>
      </c>
      <c r="P4520" t="s">
        <v>11340</v>
      </c>
    </row>
    <row r="4521" spans="1:16" x14ac:dyDescent="0.35">
      <c r="A4521" t="s">
        <v>96</v>
      </c>
      <c r="B4521">
        <v>1322845170</v>
      </c>
      <c r="C4521" t="s">
        <v>18</v>
      </c>
      <c r="D4521" t="s">
        <v>21</v>
      </c>
      <c r="E4521" s="29">
        <v>46208</v>
      </c>
      <c r="F4521" t="s">
        <v>6</v>
      </c>
      <c r="G4521" s="28">
        <v>0.55138888888888893</v>
      </c>
      <c r="H4521" s="28">
        <v>0.55138888888888893</v>
      </c>
      <c r="I4521">
        <v>0</v>
      </c>
      <c r="J4521" t="s">
        <v>174</v>
      </c>
      <c r="K4521">
        <v>0</v>
      </c>
      <c r="L4521" t="s">
        <v>5980</v>
      </c>
      <c r="M4521" t="s">
        <v>11341</v>
      </c>
      <c r="N4521" t="s">
        <v>11342</v>
      </c>
      <c r="O4521" t="s">
        <v>11343</v>
      </c>
      <c r="P4521" t="s">
        <v>11344</v>
      </c>
    </row>
    <row r="4522" spans="1:16" x14ac:dyDescent="0.35">
      <c r="A4522" t="s">
        <v>96</v>
      </c>
      <c r="B4522">
        <v>1322845170</v>
      </c>
      <c r="C4522" t="s">
        <v>18</v>
      </c>
      <c r="D4522" t="s">
        <v>21</v>
      </c>
      <c r="E4522" s="29">
        <v>46208</v>
      </c>
      <c r="F4522" t="s">
        <v>6</v>
      </c>
      <c r="G4522" s="28">
        <v>0.55833333333333335</v>
      </c>
      <c r="H4522" s="28">
        <v>0.55833333333333335</v>
      </c>
      <c r="I4522">
        <v>0</v>
      </c>
      <c r="J4522" t="s">
        <v>174</v>
      </c>
      <c r="K4522">
        <v>0</v>
      </c>
      <c r="L4522" t="s">
        <v>2279</v>
      </c>
      <c r="M4522" t="s">
        <v>11345</v>
      </c>
      <c r="N4522" t="s">
        <v>11346</v>
      </c>
      <c r="O4522" t="s">
        <v>11347</v>
      </c>
      <c r="P4522" t="s">
        <v>11348</v>
      </c>
    </row>
    <row r="4523" spans="1:16" x14ac:dyDescent="0.35">
      <c r="A4523" t="s">
        <v>96</v>
      </c>
      <c r="B4523">
        <v>1322845170</v>
      </c>
      <c r="C4523" t="s">
        <v>18</v>
      </c>
      <c r="D4523" t="s">
        <v>21</v>
      </c>
      <c r="E4523" s="29">
        <v>46208</v>
      </c>
      <c r="F4523" t="s">
        <v>6</v>
      </c>
      <c r="G4523" s="28">
        <v>0.57222222222222219</v>
      </c>
      <c r="H4523" s="28">
        <v>0.62777777777777777</v>
      </c>
      <c r="I4523">
        <v>1</v>
      </c>
      <c r="J4523" t="s">
        <v>146</v>
      </c>
      <c r="K4523">
        <v>4</v>
      </c>
      <c r="L4523" t="s">
        <v>147</v>
      </c>
      <c r="M4523" t="s">
        <v>1008</v>
      </c>
      <c r="N4523" t="s">
        <v>1009</v>
      </c>
      <c r="O4523" t="s">
        <v>1010</v>
      </c>
      <c r="P4523" t="s">
        <v>1011</v>
      </c>
    </row>
    <row r="4524" spans="1:16" x14ac:dyDescent="0.35">
      <c r="A4524" t="s">
        <v>96</v>
      </c>
      <c r="B4524">
        <v>1322845170</v>
      </c>
      <c r="C4524" t="s">
        <v>18</v>
      </c>
      <c r="D4524" t="s">
        <v>21</v>
      </c>
      <c r="E4524" s="29">
        <v>46208</v>
      </c>
      <c r="F4524" t="s">
        <v>6</v>
      </c>
      <c r="G4524" s="28">
        <v>0.63472222222222219</v>
      </c>
      <c r="H4524" s="28">
        <v>0.63472222222222219</v>
      </c>
      <c r="I4524">
        <v>0</v>
      </c>
      <c r="J4524" t="s">
        <v>174</v>
      </c>
      <c r="K4524">
        <v>0</v>
      </c>
      <c r="L4524" t="s">
        <v>2636</v>
      </c>
      <c r="M4524" t="s">
        <v>11349</v>
      </c>
      <c r="N4524" t="s">
        <v>11350</v>
      </c>
      <c r="O4524" t="s">
        <v>11351</v>
      </c>
      <c r="P4524" t="s">
        <v>11352</v>
      </c>
    </row>
    <row r="4525" spans="1:16" x14ac:dyDescent="0.35">
      <c r="A4525" t="s">
        <v>96</v>
      </c>
      <c r="B4525">
        <v>1322845170</v>
      </c>
      <c r="C4525" t="s">
        <v>18</v>
      </c>
      <c r="D4525" t="s">
        <v>21</v>
      </c>
      <c r="E4525" s="29">
        <v>46208</v>
      </c>
      <c r="F4525" t="s">
        <v>6</v>
      </c>
      <c r="G4525" s="28">
        <v>0.64166666666666672</v>
      </c>
      <c r="H4525" s="28">
        <v>0.64166666666666672</v>
      </c>
      <c r="I4525">
        <v>0</v>
      </c>
      <c r="J4525" t="s">
        <v>174</v>
      </c>
      <c r="K4525">
        <v>0</v>
      </c>
      <c r="L4525" t="s">
        <v>5161</v>
      </c>
      <c r="M4525" t="s">
        <v>11353</v>
      </c>
      <c r="N4525" t="s">
        <v>11354</v>
      </c>
      <c r="O4525" t="s">
        <v>11355</v>
      </c>
      <c r="P4525" t="s">
        <v>11356</v>
      </c>
    </row>
    <row r="4526" spans="1:16" x14ac:dyDescent="0.35">
      <c r="A4526" t="s">
        <v>96</v>
      </c>
      <c r="B4526">
        <v>1322845170</v>
      </c>
      <c r="C4526" t="s">
        <v>18</v>
      </c>
      <c r="D4526" t="s">
        <v>21</v>
      </c>
      <c r="E4526" s="29">
        <v>46208</v>
      </c>
      <c r="F4526" t="s">
        <v>6</v>
      </c>
      <c r="G4526" s="28">
        <v>0.64861111111111114</v>
      </c>
      <c r="H4526" s="28">
        <v>0.64861111111111114</v>
      </c>
      <c r="I4526">
        <v>0</v>
      </c>
      <c r="J4526" t="s">
        <v>174</v>
      </c>
      <c r="K4526">
        <v>0</v>
      </c>
      <c r="L4526" t="s">
        <v>4805</v>
      </c>
      <c r="M4526" t="s">
        <v>816</v>
      </c>
      <c r="N4526" t="s">
        <v>817</v>
      </c>
      <c r="O4526" t="s">
        <v>818</v>
      </c>
      <c r="P4526" t="s">
        <v>819</v>
      </c>
    </row>
    <row r="4527" spans="1:16" x14ac:dyDescent="0.35">
      <c r="A4527" t="s">
        <v>96</v>
      </c>
      <c r="B4527">
        <v>1322845170</v>
      </c>
      <c r="C4527" t="s">
        <v>18</v>
      </c>
      <c r="D4527" t="s">
        <v>21</v>
      </c>
      <c r="E4527" s="29">
        <v>46208</v>
      </c>
      <c r="F4527" t="s">
        <v>6</v>
      </c>
      <c r="G4527" s="28">
        <v>0.65555555555555556</v>
      </c>
      <c r="H4527" s="28">
        <v>0.65555555555555556</v>
      </c>
      <c r="I4527">
        <v>0</v>
      </c>
      <c r="J4527" t="s">
        <v>174</v>
      </c>
      <c r="K4527">
        <v>0</v>
      </c>
      <c r="L4527" t="s">
        <v>4860</v>
      </c>
      <c r="M4527" t="s">
        <v>11357</v>
      </c>
      <c r="N4527" t="s">
        <v>11358</v>
      </c>
      <c r="O4527" t="s">
        <v>11359</v>
      </c>
      <c r="P4527" t="s">
        <v>11360</v>
      </c>
    </row>
    <row r="4528" spans="1:16" x14ac:dyDescent="0.35">
      <c r="A4528" t="s">
        <v>96</v>
      </c>
      <c r="B4528">
        <v>1322845170</v>
      </c>
      <c r="C4528" t="s">
        <v>18</v>
      </c>
      <c r="D4528" t="s">
        <v>21</v>
      </c>
      <c r="E4528" s="29">
        <v>46208</v>
      </c>
      <c r="F4528" t="s">
        <v>6</v>
      </c>
      <c r="G4528" s="28">
        <v>0.66249999999999998</v>
      </c>
      <c r="H4528" s="28">
        <v>0.71111111111111114</v>
      </c>
      <c r="I4528">
        <v>1</v>
      </c>
      <c r="J4528" t="s">
        <v>146</v>
      </c>
      <c r="K4528">
        <v>4</v>
      </c>
      <c r="L4528" t="s">
        <v>147</v>
      </c>
      <c r="M4528" t="s">
        <v>11361</v>
      </c>
      <c r="N4528" t="s">
        <v>11362</v>
      </c>
      <c r="O4528" t="s">
        <v>11363</v>
      </c>
      <c r="P4528" t="s">
        <v>11364</v>
      </c>
    </row>
    <row r="4529" spans="1:16" x14ac:dyDescent="0.35">
      <c r="A4529" t="s">
        <v>96</v>
      </c>
      <c r="B4529">
        <v>1322845170</v>
      </c>
      <c r="C4529" t="s">
        <v>18</v>
      </c>
      <c r="D4529" t="s">
        <v>21</v>
      </c>
      <c r="E4529" s="29">
        <v>46208</v>
      </c>
      <c r="F4529" t="s">
        <v>6</v>
      </c>
      <c r="G4529" s="28">
        <v>0.71805555555555556</v>
      </c>
      <c r="H4529" s="28">
        <v>0.71805555555555556</v>
      </c>
      <c r="I4529">
        <v>0</v>
      </c>
      <c r="J4529" t="s">
        <v>174</v>
      </c>
      <c r="K4529">
        <v>0</v>
      </c>
      <c r="L4529" t="s">
        <v>5340</v>
      </c>
      <c r="M4529" t="s">
        <v>11365</v>
      </c>
      <c r="N4529" t="s">
        <v>11366</v>
      </c>
      <c r="O4529" t="s">
        <v>11367</v>
      </c>
      <c r="P4529" t="s">
        <v>11368</v>
      </c>
    </row>
    <row r="4530" spans="1:16" x14ac:dyDescent="0.35">
      <c r="A4530" t="s">
        <v>96</v>
      </c>
      <c r="B4530">
        <v>1322845170</v>
      </c>
      <c r="C4530" t="s">
        <v>18</v>
      </c>
      <c r="D4530" t="s">
        <v>21</v>
      </c>
      <c r="E4530" s="29">
        <v>46208</v>
      </c>
      <c r="F4530" t="s">
        <v>6</v>
      </c>
      <c r="G4530" s="28">
        <v>0.72499999999999998</v>
      </c>
      <c r="H4530" s="28">
        <v>0.72499999999999998</v>
      </c>
      <c r="I4530">
        <v>0</v>
      </c>
      <c r="J4530" t="s">
        <v>174</v>
      </c>
      <c r="K4530">
        <v>0</v>
      </c>
      <c r="L4530" t="s">
        <v>11369</v>
      </c>
      <c r="M4530" t="s">
        <v>11370</v>
      </c>
      <c r="N4530" t="s">
        <v>999</v>
      </c>
      <c r="O4530" t="s">
        <v>1000</v>
      </c>
      <c r="P4530" t="s">
        <v>1001</v>
      </c>
    </row>
    <row r="4531" spans="1:16" x14ac:dyDescent="0.35">
      <c r="A4531" t="s">
        <v>96</v>
      </c>
      <c r="B4531">
        <v>1322845170</v>
      </c>
      <c r="C4531" t="s">
        <v>18</v>
      </c>
      <c r="D4531" t="s">
        <v>21</v>
      </c>
      <c r="E4531" s="29">
        <v>46208</v>
      </c>
      <c r="F4531" t="s">
        <v>6</v>
      </c>
      <c r="G4531" s="28">
        <v>0.78749999999999998</v>
      </c>
      <c r="H4531" s="28">
        <v>0.78749999999999998</v>
      </c>
      <c r="I4531">
        <v>0</v>
      </c>
      <c r="J4531" t="s">
        <v>174</v>
      </c>
      <c r="K4531">
        <v>0</v>
      </c>
      <c r="L4531" t="s">
        <v>11371</v>
      </c>
      <c r="M4531" t="s">
        <v>11372</v>
      </c>
      <c r="N4531" t="s">
        <v>11373</v>
      </c>
      <c r="O4531" t="s">
        <v>11374</v>
      </c>
      <c r="P4531" t="s">
        <v>11375</v>
      </c>
    </row>
    <row r="4532" spans="1:16" x14ac:dyDescent="0.35">
      <c r="A4532" t="s">
        <v>11380</v>
      </c>
      <c r="B4532">
        <v>1322845178</v>
      </c>
      <c r="C4532" t="s">
        <v>18</v>
      </c>
      <c r="D4532" t="s">
        <v>21</v>
      </c>
      <c r="E4532" s="29">
        <v>46204</v>
      </c>
      <c r="F4532" t="s">
        <v>3</v>
      </c>
      <c r="G4532" s="28">
        <v>0.38055555555555554</v>
      </c>
      <c r="H4532" s="28">
        <v>0.38055555555555554</v>
      </c>
      <c r="I4532">
        <v>0</v>
      </c>
      <c r="J4532" t="s">
        <v>174</v>
      </c>
      <c r="K4532">
        <v>0</v>
      </c>
      <c r="L4532" t="s">
        <v>485</v>
      </c>
      <c r="M4532" t="s">
        <v>11381</v>
      </c>
      <c r="N4532" t="s">
        <v>11382</v>
      </c>
      <c r="O4532" t="s">
        <v>11383</v>
      </c>
      <c r="P4532" t="s">
        <v>11384</v>
      </c>
    </row>
    <row r="4533" spans="1:16" x14ac:dyDescent="0.35">
      <c r="A4533" t="s">
        <v>11380</v>
      </c>
      <c r="B4533">
        <v>1322845178</v>
      </c>
      <c r="C4533" t="s">
        <v>18</v>
      </c>
      <c r="D4533" t="s">
        <v>21</v>
      </c>
      <c r="E4533" s="29">
        <v>46204</v>
      </c>
      <c r="F4533" t="s">
        <v>3</v>
      </c>
      <c r="G4533" s="28">
        <v>0.38750000000000001</v>
      </c>
      <c r="H4533" s="28">
        <v>0.38750000000000001</v>
      </c>
      <c r="I4533">
        <v>0</v>
      </c>
      <c r="J4533" t="s">
        <v>174</v>
      </c>
      <c r="K4533">
        <v>0</v>
      </c>
      <c r="L4533" t="s">
        <v>213</v>
      </c>
      <c r="M4533" t="s">
        <v>11385</v>
      </c>
      <c r="N4533" t="s">
        <v>11386</v>
      </c>
      <c r="O4533" t="s">
        <v>11387</v>
      </c>
      <c r="P4533" t="s">
        <v>11388</v>
      </c>
    </row>
    <row r="4534" spans="1:16" x14ac:dyDescent="0.35">
      <c r="A4534" t="s">
        <v>11380</v>
      </c>
      <c r="B4534">
        <v>1322845178</v>
      </c>
      <c r="C4534" t="s">
        <v>18</v>
      </c>
      <c r="D4534" t="s">
        <v>21</v>
      </c>
      <c r="E4534" s="29">
        <v>46204</v>
      </c>
      <c r="F4534" t="s">
        <v>3</v>
      </c>
      <c r="G4534" s="28">
        <v>0.39444444444444443</v>
      </c>
      <c r="H4534" s="28">
        <v>0.39444444444444443</v>
      </c>
      <c r="I4534">
        <v>0</v>
      </c>
      <c r="J4534" t="s">
        <v>174</v>
      </c>
      <c r="K4534">
        <v>0</v>
      </c>
      <c r="L4534" t="s">
        <v>5634</v>
      </c>
      <c r="M4534" t="s">
        <v>11389</v>
      </c>
      <c r="N4534" t="s">
        <v>11390</v>
      </c>
      <c r="O4534" t="s">
        <v>11391</v>
      </c>
      <c r="P4534" t="s">
        <v>11392</v>
      </c>
    </row>
    <row r="4535" spans="1:16" x14ac:dyDescent="0.35">
      <c r="A4535" t="s">
        <v>11380</v>
      </c>
      <c r="B4535">
        <v>1322845178</v>
      </c>
      <c r="C4535" t="s">
        <v>18</v>
      </c>
      <c r="D4535" t="s">
        <v>21</v>
      </c>
      <c r="E4535" s="29">
        <v>46204</v>
      </c>
      <c r="F4535" t="s">
        <v>3</v>
      </c>
      <c r="G4535" s="28">
        <v>0.40138888888888891</v>
      </c>
      <c r="H4535" s="28">
        <v>0.40138888888888891</v>
      </c>
      <c r="I4535">
        <v>0</v>
      </c>
      <c r="J4535" t="s">
        <v>174</v>
      </c>
      <c r="K4535">
        <v>0</v>
      </c>
      <c r="L4535" t="s">
        <v>368</v>
      </c>
      <c r="M4535" t="s">
        <v>2417</v>
      </c>
      <c r="N4535" t="s">
        <v>11393</v>
      </c>
      <c r="O4535" t="s">
        <v>11394</v>
      </c>
      <c r="P4535" t="s">
        <v>2295</v>
      </c>
    </row>
    <row r="4536" spans="1:16" x14ac:dyDescent="0.35">
      <c r="A4536" t="s">
        <v>11380</v>
      </c>
      <c r="B4536">
        <v>1322845178</v>
      </c>
      <c r="C4536" t="s">
        <v>18</v>
      </c>
      <c r="D4536" t="s">
        <v>21</v>
      </c>
      <c r="E4536" s="29">
        <v>46204</v>
      </c>
      <c r="F4536" t="s">
        <v>3</v>
      </c>
      <c r="G4536" s="28">
        <v>0.40833333333333333</v>
      </c>
      <c r="H4536" s="28">
        <v>0.40833333333333333</v>
      </c>
      <c r="I4536">
        <v>0</v>
      </c>
      <c r="J4536" t="s">
        <v>174</v>
      </c>
      <c r="K4536">
        <v>0</v>
      </c>
      <c r="L4536" t="s">
        <v>6026</v>
      </c>
      <c r="M4536" t="s">
        <v>2365</v>
      </c>
      <c r="N4536" t="s">
        <v>2366</v>
      </c>
      <c r="O4536" t="s">
        <v>2367</v>
      </c>
      <c r="P4536" t="s">
        <v>2368</v>
      </c>
    </row>
    <row r="4537" spans="1:16" x14ac:dyDescent="0.35">
      <c r="A4537" t="s">
        <v>11380</v>
      </c>
      <c r="B4537">
        <v>1322845178</v>
      </c>
      <c r="C4537" t="s">
        <v>18</v>
      </c>
      <c r="D4537" t="s">
        <v>21</v>
      </c>
      <c r="E4537" s="29">
        <v>46204</v>
      </c>
      <c r="F4537" t="s">
        <v>3</v>
      </c>
      <c r="G4537" s="28">
        <v>0.4152777777777778</v>
      </c>
      <c r="H4537" s="28">
        <v>0.4152777777777778</v>
      </c>
      <c r="I4537">
        <v>0</v>
      </c>
      <c r="J4537" t="s">
        <v>174</v>
      </c>
      <c r="K4537">
        <v>0</v>
      </c>
      <c r="L4537" t="s">
        <v>657</v>
      </c>
      <c r="M4537" t="s">
        <v>11395</v>
      </c>
      <c r="N4537" t="s">
        <v>11396</v>
      </c>
      <c r="O4537" t="s">
        <v>11397</v>
      </c>
      <c r="P4537" t="s">
        <v>11398</v>
      </c>
    </row>
    <row r="4538" spans="1:16" x14ac:dyDescent="0.35">
      <c r="A4538" t="s">
        <v>11380</v>
      </c>
      <c r="B4538">
        <v>1322845178</v>
      </c>
      <c r="C4538" t="s">
        <v>18</v>
      </c>
      <c r="D4538" t="s">
        <v>21</v>
      </c>
      <c r="E4538" s="29">
        <v>46204</v>
      </c>
      <c r="F4538" t="s">
        <v>3</v>
      </c>
      <c r="G4538" s="28">
        <v>0.42222222222222222</v>
      </c>
      <c r="H4538" s="28">
        <v>0.42222222222222222</v>
      </c>
      <c r="I4538">
        <v>0</v>
      </c>
      <c r="J4538" t="s">
        <v>174</v>
      </c>
      <c r="K4538">
        <v>0</v>
      </c>
      <c r="L4538" t="s">
        <v>3608</v>
      </c>
      <c r="M4538" t="s">
        <v>11399</v>
      </c>
      <c r="N4538" t="s">
        <v>11400</v>
      </c>
      <c r="O4538" t="s">
        <v>11401</v>
      </c>
      <c r="P4538" t="s">
        <v>11402</v>
      </c>
    </row>
    <row r="4539" spans="1:16" x14ac:dyDescent="0.35">
      <c r="A4539" t="s">
        <v>11380</v>
      </c>
      <c r="B4539">
        <v>1322845178</v>
      </c>
      <c r="C4539" t="s">
        <v>18</v>
      </c>
      <c r="D4539" t="s">
        <v>21</v>
      </c>
      <c r="E4539" s="29">
        <v>46204</v>
      </c>
      <c r="F4539" t="s">
        <v>3</v>
      </c>
      <c r="G4539" s="28">
        <v>0.42916666666666664</v>
      </c>
      <c r="H4539" s="28">
        <v>0.42916666666666664</v>
      </c>
      <c r="I4539">
        <v>0</v>
      </c>
      <c r="J4539" t="s">
        <v>174</v>
      </c>
      <c r="K4539">
        <v>0</v>
      </c>
      <c r="L4539" t="s">
        <v>3882</v>
      </c>
      <c r="M4539" t="s">
        <v>11403</v>
      </c>
      <c r="N4539" t="s">
        <v>11404</v>
      </c>
      <c r="O4539" t="s">
        <v>11405</v>
      </c>
      <c r="P4539" t="s">
        <v>11406</v>
      </c>
    </row>
    <row r="4540" spans="1:16" x14ac:dyDescent="0.35">
      <c r="A4540" t="s">
        <v>11380</v>
      </c>
      <c r="B4540">
        <v>1322845178</v>
      </c>
      <c r="C4540" t="s">
        <v>18</v>
      </c>
      <c r="D4540" t="s">
        <v>21</v>
      </c>
      <c r="E4540" s="29">
        <v>46204</v>
      </c>
      <c r="F4540" t="s">
        <v>3</v>
      </c>
      <c r="G4540" s="28">
        <v>0.44305555555555554</v>
      </c>
      <c r="H4540" s="28">
        <v>0.44305555555555554</v>
      </c>
      <c r="I4540">
        <v>0</v>
      </c>
      <c r="J4540" t="s">
        <v>174</v>
      </c>
      <c r="K4540">
        <v>0</v>
      </c>
      <c r="L4540" t="s">
        <v>2767</v>
      </c>
      <c r="M4540" t="s">
        <v>11407</v>
      </c>
      <c r="N4540" t="s">
        <v>11408</v>
      </c>
      <c r="O4540" t="s">
        <v>11409</v>
      </c>
      <c r="P4540" t="s">
        <v>11410</v>
      </c>
    </row>
    <row r="4541" spans="1:16" x14ac:dyDescent="0.35">
      <c r="A4541" t="s">
        <v>11380</v>
      </c>
      <c r="B4541">
        <v>1322845178</v>
      </c>
      <c r="C4541" t="s">
        <v>18</v>
      </c>
      <c r="D4541" t="s">
        <v>21</v>
      </c>
      <c r="E4541" s="29">
        <v>46204</v>
      </c>
      <c r="F4541" t="s">
        <v>3</v>
      </c>
      <c r="G4541" s="28">
        <v>0.45</v>
      </c>
      <c r="H4541" s="28">
        <v>0.45</v>
      </c>
      <c r="I4541">
        <v>0</v>
      </c>
      <c r="J4541" t="s">
        <v>174</v>
      </c>
      <c r="K4541">
        <v>0</v>
      </c>
      <c r="L4541" t="s">
        <v>246</v>
      </c>
      <c r="M4541" t="s">
        <v>11411</v>
      </c>
      <c r="N4541" t="s">
        <v>11412</v>
      </c>
      <c r="O4541" t="s">
        <v>11413</v>
      </c>
      <c r="P4541" t="s">
        <v>11414</v>
      </c>
    </row>
    <row r="4542" spans="1:16" x14ac:dyDescent="0.35">
      <c r="A4542" t="s">
        <v>11380</v>
      </c>
      <c r="B4542">
        <v>1322845178</v>
      </c>
      <c r="C4542" t="s">
        <v>18</v>
      </c>
      <c r="D4542" t="s">
        <v>21</v>
      </c>
      <c r="E4542" s="29">
        <v>46204</v>
      </c>
      <c r="F4542" t="s">
        <v>3</v>
      </c>
      <c r="G4542" s="28">
        <v>0.45694444444444443</v>
      </c>
      <c r="H4542" s="28">
        <v>0.45694444444444443</v>
      </c>
      <c r="I4542">
        <v>0</v>
      </c>
      <c r="J4542" t="s">
        <v>174</v>
      </c>
      <c r="K4542">
        <v>0</v>
      </c>
      <c r="L4542" t="s">
        <v>2416</v>
      </c>
      <c r="M4542" t="s">
        <v>5623</v>
      </c>
      <c r="N4542" t="s">
        <v>5624</v>
      </c>
      <c r="O4542" t="s">
        <v>5625</v>
      </c>
      <c r="P4542" t="s">
        <v>11415</v>
      </c>
    </row>
    <row r="4543" spans="1:16" x14ac:dyDescent="0.35">
      <c r="A4543" t="s">
        <v>11380</v>
      </c>
      <c r="B4543">
        <v>1322845178</v>
      </c>
      <c r="C4543" t="s">
        <v>18</v>
      </c>
      <c r="D4543" t="s">
        <v>21</v>
      </c>
      <c r="E4543" s="29">
        <v>46204</v>
      </c>
      <c r="F4543" t="s">
        <v>3</v>
      </c>
      <c r="G4543" s="28">
        <v>0.46388888888888891</v>
      </c>
      <c r="H4543" s="28">
        <v>0.46388888888888891</v>
      </c>
      <c r="I4543">
        <v>0</v>
      </c>
      <c r="J4543" t="s">
        <v>174</v>
      </c>
      <c r="K4543">
        <v>0</v>
      </c>
      <c r="L4543" t="s">
        <v>2416</v>
      </c>
      <c r="M4543" t="s">
        <v>5615</v>
      </c>
      <c r="N4543" t="s">
        <v>11416</v>
      </c>
      <c r="O4543" t="s">
        <v>11417</v>
      </c>
      <c r="P4543" t="s">
        <v>11418</v>
      </c>
    </row>
    <row r="4544" spans="1:16" x14ac:dyDescent="0.35">
      <c r="A4544" t="s">
        <v>11380</v>
      </c>
      <c r="B4544">
        <v>1322845178</v>
      </c>
      <c r="C4544" t="s">
        <v>18</v>
      </c>
      <c r="D4544" t="s">
        <v>21</v>
      </c>
      <c r="E4544" s="29">
        <v>46204</v>
      </c>
      <c r="F4544" t="s">
        <v>3</v>
      </c>
      <c r="G4544" s="28">
        <v>0.47083333333333333</v>
      </c>
      <c r="H4544" s="28">
        <v>0.4777777777777778</v>
      </c>
      <c r="I4544">
        <v>0</v>
      </c>
      <c r="J4544" t="s">
        <v>146</v>
      </c>
      <c r="K4544">
        <v>1</v>
      </c>
      <c r="L4544" t="s">
        <v>147</v>
      </c>
      <c r="M4544" t="s">
        <v>5623</v>
      </c>
      <c r="N4544" t="s">
        <v>5624</v>
      </c>
      <c r="O4544" t="s">
        <v>5625</v>
      </c>
      <c r="P4544" t="s">
        <v>11415</v>
      </c>
    </row>
    <row r="4545" spans="1:16" x14ac:dyDescent="0.35">
      <c r="A4545" t="s">
        <v>11380</v>
      </c>
      <c r="B4545">
        <v>1322845178</v>
      </c>
      <c r="C4545" t="s">
        <v>18</v>
      </c>
      <c r="D4545" t="s">
        <v>21</v>
      </c>
      <c r="E4545" s="29">
        <v>46204</v>
      </c>
      <c r="F4545" t="s">
        <v>3</v>
      </c>
      <c r="G4545" s="28">
        <v>0.48472222222222222</v>
      </c>
      <c r="H4545" s="28">
        <v>0.49166666666666664</v>
      </c>
      <c r="I4545">
        <v>0</v>
      </c>
      <c r="J4545" t="s">
        <v>146</v>
      </c>
      <c r="K4545">
        <v>0</v>
      </c>
      <c r="L4545" t="s">
        <v>147</v>
      </c>
      <c r="M4545" t="s">
        <v>5615</v>
      </c>
      <c r="N4545" t="s">
        <v>11416</v>
      </c>
      <c r="O4545" t="s">
        <v>11417</v>
      </c>
      <c r="P4545" t="s">
        <v>11418</v>
      </c>
    </row>
    <row r="4546" spans="1:16" x14ac:dyDescent="0.35">
      <c r="A4546" t="s">
        <v>11380</v>
      </c>
      <c r="B4546">
        <v>1322845178</v>
      </c>
      <c r="C4546" t="s">
        <v>18</v>
      </c>
      <c r="D4546" t="s">
        <v>21</v>
      </c>
      <c r="E4546" s="29">
        <v>46204</v>
      </c>
      <c r="F4546" t="s">
        <v>3</v>
      </c>
      <c r="G4546" s="28">
        <v>0.49861111111111112</v>
      </c>
      <c r="H4546" s="28">
        <v>0.56111111111111112</v>
      </c>
      <c r="I4546">
        <v>2</v>
      </c>
      <c r="J4546" t="s">
        <v>146</v>
      </c>
      <c r="K4546">
        <v>4</v>
      </c>
      <c r="L4546" t="s">
        <v>147</v>
      </c>
      <c r="M4546" t="s">
        <v>2327</v>
      </c>
      <c r="N4546" t="s">
        <v>2328</v>
      </c>
      <c r="O4546" t="s">
        <v>2329</v>
      </c>
      <c r="P4546" t="s">
        <v>2330</v>
      </c>
    </row>
    <row r="4547" spans="1:16" x14ac:dyDescent="0.35">
      <c r="A4547" t="s">
        <v>11380</v>
      </c>
      <c r="B4547">
        <v>1322845178</v>
      </c>
      <c r="C4547" t="s">
        <v>18</v>
      </c>
      <c r="D4547" t="s">
        <v>21</v>
      </c>
      <c r="E4547" s="29">
        <v>46204</v>
      </c>
      <c r="F4547" t="s">
        <v>3</v>
      </c>
      <c r="G4547" s="28">
        <v>0.56805555555555554</v>
      </c>
      <c r="H4547" s="28">
        <v>0.56805555555555554</v>
      </c>
      <c r="I4547">
        <v>0</v>
      </c>
      <c r="J4547" t="s">
        <v>174</v>
      </c>
      <c r="K4547">
        <v>0</v>
      </c>
      <c r="L4547" t="s">
        <v>2268</v>
      </c>
      <c r="M4547" t="s">
        <v>11419</v>
      </c>
      <c r="N4547" t="s">
        <v>11420</v>
      </c>
      <c r="O4547" t="s">
        <v>11421</v>
      </c>
      <c r="P4547" t="s">
        <v>11422</v>
      </c>
    </row>
    <row r="4548" spans="1:16" x14ac:dyDescent="0.35">
      <c r="A4548" t="s">
        <v>11380</v>
      </c>
      <c r="B4548">
        <v>1322845178</v>
      </c>
      <c r="C4548" t="s">
        <v>18</v>
      </c>
      <c r="D4548" t="s">
        <v>21</v>
      </c>
      <c r="E4548" s="29">
        <v>46204</v>
      </c>
      <c r="F4548" t="s">
        <v>3</v>
      </c>
      <c r="G4548" s="28">
        <v>0.57499999999999996</v>
      </c>
      <c r="H4548" s="28">
        <v>0.58888888888888891</v>
      </c>
      <c r="I4548">
        <v>0</v>
      </c>
      <c r="J4548" t="s">
        <v>146</v>
      </c>
      <c r="K4548">
        <v>1</v>
      </c>
      <c r="L4548" t="s">
        <v>147</v>
      </c>
      <c r="M4548" t="s">
        <v>5615</v>
      </c>
      <c r="N4548" t="s">
        <v>5616</v>
      </c>
      <c r="O4548" t="s">
        <v>5617</v>
      </c>
      <c r="P4548" t="s">
        <v>11423</v>
      </c>
    </row>
    <row r="4549" spans="1:16" x14ac:dyDescent="0.35">
      <c r="A4549" t="s">
        <v>11380</v>
      </c>
      <c r="B4549">
        <v>1322845178</v>
      </c>
      <c r="C4549" t="s">
        <v>18</v>
      </c>
      <c r="D4549" t="s">
        <v>21</v>
      </c>
      <c r="E4549" s="29">
        <v>46204</v>
      </c>
      <c r="F4549" t="s">
        <v>3</v>
      </c>
      <c r="G4549" s="28">
        <v>0.59583333333333333</v>
      </c>
      <c r="H4549" s="28">
        <v>0.59583333333333333</v>
      </c>
      <c r="I4549">
        <v>0</v>
      </c>
      <c r="J4549" t="s">
        <v>174</v>
      </c>
      <c r="K4549">
        <v>0</v>
      </c>
      <c r="L4549" t="s">
        <v>2416</v>
      </c>
      <c r="M4549" t="s">
        <v>5615</v>
      </c>
      <c r="N4549" t="s">
        <v>11416</v>
      </c>
      <c r="O4549" t="s">
        <v>11417</v>
      </c>
      <c r="P4549" t="s">
        <v>11418</v>
      </c>
    </row>
    <row r="4550" spans="1:16" x14ac:dyDescent="0.35">
      <c r="A4550" t="s">
        <v>11380</v>
      </c>
      <c r="B4550">
        <v>1322845178</v>
      </c>
      <c r="C4550" t="s">
        <v>18</v>
      </c>
      <c r="D4550" t="s">
        <v>21</v>
      </c>
      <c r="E4550" s="29">
        <v>46204</v>
      </c>
      <c r="F4550" t="s">
        <v>3</v>
      </c>
      <c r="G4550" s="28">
        <v>0.60277777777777775</v>
      </c>
      <c r="H4550" s="28">
        <v>0.60972222222222228</v>
      </c>
      <c r="I4550">
        <v>0</v>
      </c>
      <c r="J4550" t="s">
        <v>146</v>
      </c>
      <c r="K4550">
        <v>1</v>
      </c>
      <c r="L4550" t="s">
        <v>147</v>
      </c>
      <c r="M4550" t="s">
        <v>5623</v>
      </c>
      <c r="N4550" t="s">
        <v>5624</v>
      </c>
      <c r="O4550" t="s">
        <v>5625</v>
      </c>
      <c r="P4550" t="s">
        <v>11415</v>
      </c>
    </row>
    <row r="4551" spans="1:16" x14ac:dyDescent="0.35">
      <c r="A4551" t="s">
        <v>11380</v>
      </c>
      <c r="B4551">
        <v>1322845178</v>
      </c>
      <c r="C4551" t="s">
        <v>18</v>
      </c>
      <c r="D4551" t="s">
        <v>21</v>
      </c>
      <c r="E4551" s="29">
        <v>46204</v>
      </c>
      <c r="F4551" t="s">
        <v>3</v>
      </c>
      <c r="G4551" s="28">
        <v>0.6166666666666667</v>
      </c>
      <c r="H4551" s="28">
        <v>0.6166666666666667</v>
      </c>
      <c r="I4551">
        <v>0</v>
      </c>
      <c r="J4551" t="s">
        <v>174</v>
      </c>
      <c r="K4551">
        <v>0</v>
      </c>
      <c r="L4551" t="s">
        <v>2416</v>
      </c>
      <c r="M4551" t="s">
        <v>5615</v>
      </c>
      <c r="N4551" t="s">
        <v>11416</v>
      </c>
      <c r="O4551" t="s">
        <v>11417</v>
      </c>
      <c r="P4551" t="s">
        <v>11418</v>
      </c>
    </row>
    <row r="4552" spans="1:16" x14ac:dyDescent="0.35">
      <c r="A4552" t="s">
        <v>11380</v>
      </c>
      <c r="B4552">
        <v>1322845178</v>
      </c>
      <c r="C4552" t="s">
        <v>18</v>
      </c>
      <c r="D4552" t="s">
        <v>21</v>
      </c>
      <c r="E4552" s="29">
        <v>46204</v>
      </c>
      <c r="F4552" t="s">
        <v>3</v>
      </c>
      <c r="G4552" s="28">
        <v>0.62361111111111112</v>
      </c>
      <c r="H4552" s="28">
        <v>0.63749999999999996</v>
      </c>
      <c r="I4552">
        <v>0</v>
      </c>
      <c r="J4552" t="s">
        <v>146</v>
      </c>
      <c r="K4552">
        <v>1</v>
      </c>
      <c r="L4552" t="s">
        <v>147</v>
      </c>
      <c r="M4552" t="s">
        <v>5623</v>
      </c>
      <c r="N4552" t="s">
        <v>5624</v>
      </c>
      <c r="O4552" t="s">
        <v>5625</v>
      </c>
      <c r="P4552" t="s">
        <v>11415</v>
      </c>
    </row>
    <row r="4553" spans="1:16" x14ac:dyDescent="0.35">
      <c r="A4553" t="s">
        <v>11380</v>
      </c>
      <c r="B4553">
        <v>1322845178</v>
      </c>
      <c r="C4553" t="s">
        <v>18</v>
      </c>
      <c r="D4553" t="s">
        <v>21</v>
      </c>
      <c r="E4553" s="29">
        <v>46204</v>
      </c>
      <c r="F4553" t="s">
        <v>3</v>
      </c>
      <c r="G4553" s="28">
        <v>0.64444444444444449</v>
      </c>
      <c r="H4553" s="28">
        <v>0.64444444444444449</v>
      </c>
      <c r="I4553">
        <v>0</v>
      </c>
      <c r="J4553" t="s">
        <v>174</v>
      </c>
      <c r="K4553">
        <v>0</v>
      </c>
      <c r="L4553" t="s">
        <v>11424</v>
      </c>
      <c r="M4553" t="s">
        <v>2323</v>
      </c>
      <c r="N4553" t="s">
        <v>2324</v>
      </c>
      <c r="O4553" t="s">
        <v>2325</v>
      </c>
      <c r="P4553" t="s">
        <v>2326</v>
      </c>
    </row>
    <row r="4554" spans="1:16" x14ac:dyDescent="0.35">
      <c r="A4554" t="s">
        <v>11380</v>
      </c>
      <c r="B4554">
        <v>1322845178</v>
      </c>
      <c r="C4554" t="s">
        <v>18</v>
      </c>
      <c r="D4554" t="s">
        <v>21</v>
      </c>
      <c r="E4554" s="29">
        <v>46204</v>
      </c>
      <c r="F4554" t="s">
        <v>3</v>
      </c>
      <c r="G4554" s="28">
        <v>0.65138888888888891</v>
      </c>
      <c r="H4554" s="28">
        <v>0.65138888888888891</v>
      </c>
      <c r="I4554">
        <v>0</v>
      </c>
      <c r="J4554" t="s">
        <v>174</v>
      </c>
      <c r="K4554">
        <v>0</v>
      </c>
      <c r="L4554" t="s">
        <v>3500</v>
      </c>
      <c r="M4554" t="s">
        <v>2310</v>
      </c>
      <c r="N4554" t="s">
        <v>2311</v>
      </c>
      <c r="O4554" t="s">
        <v>2312</v>
      </c>
      <c r="P4554" t="s">
        <v>2313</v>
      </c>
    </row>
    <row r="4555" spans="1:16" x14ac:dyDescent="0.35">
      <c r="A4555" t="s">
        <v>11380</v>
      </c>
      <c r="B4555">
        <v>1322845178</v>
      </c>
      <c r="C4555" t="s">
        <v>18</v>
      </c>
      <c r="D4555" t="s">
        <v>21</v>
      </c>
      <c r="E4555" s="29">
        <v>46204</v>
      </c>
      <c r="F4555" t="s">
        <v>3</v>
      </c>
      <c r="G4555" s="28">
        <v>0.65833333333333333</v>
      </c>
      <c r="H4555" s="28">
        <v>0.65833333333333333</v>
      </c>
      <c r="I4555">
        <v>0</v>
      </c>
      <c r="J4555" t="s">
        <v>174</v>
      </c>
      <c r="K4555">
        <v>0</v>
      </c>
      <c r="L4555" t="s">
        <v>7559</v>
      </c>
      <c r="M4555" t="s">
        <v>11425</v>
      </c>
      <c r="N4555" t="s">
        <v>11426</v>
      </c>
      <c r="O4555" t="s">
        <v>11427</v>
      </c>
      <c r="P4555" t="s">
        <v>11428</v>
      </c>
    </row>
    <row r="4556" spans="1:16" x14ac:dyDescent="0.35">
      <c r="A4556" t="s">
        <v>11380</v>
      </c>
      <c r="B4556">
        <v>1322845178</v>
      </c>
      <c r="C4556" t="s">
        <v>18</v>
      </c>
      <c r="D4556" t="s">
        <v>21</v>
      </c>
      <c r="E4556" s="29">
        <v>46204</v>
      </c>
      <c r="F4556" t="s">
        <v>3</v>
      </c>
      <c r="G4556" s="28">
        <v>0.66527777777777775</v>
      </c>
      <c r="H4556" s="28">
        <v>0.66527777777777775</v>
      </c>
      <c r="I4556">
        <v>0</v>
      </c>
      <c r="J4556" t="s">
        <v>174</v>
      </c>
      <c r="K4556">
        <v>0</v>
      </c>
      <c r="L4556" t="s">
        <v>3608</v>
      </c>
      <c r="M4556" t="s">
        <v>11403</v>
      </c>
      <c r="N4556" t="s">
        <v>11404</v>
      </c>
      <c r="O4556" t="s">
        <v>11405</v>
      </c>
      <c r="P4556" t="s">
        <v>11406</v>
      </c>
    </row>
    <row r="4557" spans="1:16" x14ac:dyDescent="0.35">
      <c r="A4557" t="s">
        <v>11380</v>
      </c>
      <c r="B4557">
        <v>1322845178</v>
      </c>
      <c r="C4557" t="s">
        <v>18</v>
      </c>
      <c r="D4557" t="s">
        <v>21</v>
      </c>
      <c r="E4557" s="29">
        <v>46204</v>
      </c>
      <c r="F4557" t="s">
        <v>3</v>
      </c>
      <c r="G4557" s="28">
        <v>0.67222222222222228</v>
      </c>
      <c r="H4557" s="28">
        <v>0.67222222222222228</v>
      </c>
      <c r="I4557">
        <v>0</v>
      </c>
      <c r="J4557" t="s">
        <v>174</v>
      </c>
      <c r="K4557">
        <v>0</v>
      </c>
      <c r="L4557" t="s">
        <v>394</v>
      </c>
      <c r="M4557" t="s">
        <v>11429</v>
      </c>
      <c r="N4557" t="s">
        <v>11400</v>
      </c>
      <c r="O4557" t="s">
        <v>11401</v>
      </c>
      <c r="P4557" t="s">
        <v>11402</v>
      </c>
    </row>
    <row r="4558" spans="1:16" x14ac:dyDescent="0.35">
      <c r="A4558" t="s">
        <v>11380</v>
      </c>
      <c r="B4558">
        <v>1322845178</v>
      </c>
      <c r="C4558" t="s">
        <v>18</v>
      </c>
      <c r="D4558" t="s">
        <v>21</v>
      </c>
      <c r="E4558" s="29">
        <v>46204</v>
      </c>
      <c r="F4558" t="s">
        <v>3</v>
      </c>
      <c r="G4558" s="28">
        <v>0.6791666666666667</v>
      </c>
      <c r="H4558" s="28">
        <v>0.69305555555555554</v>
      </c>
      <c r="I4558">
        <v>0</v>
      </c>
      <c r="J4558" t="s">
        <v>146</v>
      </c>
      <c r="K4558">
        <v>1</v>
      </c>
      <c r="L4558" t="s">
        <v>147</v>
      </c>
      <c r="M4558" t="s">
        <v>11430</v>
      </c>
      <c r="N4558" t="s">
        <v>11431</v>
      </c>
      <c r="O4558" t="s">
        <v>11432</v>
      </c>
      <c r="P4558" t="s">
        <v>11433</v>
      </c>
    </row>
    <row r="4559" spans="1:16" x14ac:dyDescent="0.35">
      <c r="A4559" t="s">
        <v>11380</v>
      </c>
      <c r="B4559">
        <v>1322845178</v>
      </c>
      <c r="C4559" t="s">
        <v>18</v>
      </c>
      <c r="D4559" t="s">
        <v>21</v>
      </c>
      <c r="E4559" s="29">
        <v>46204</v>
      </c>
      <c r="F4559" t="s">
        <v>3</v>
      </c>
      <c r="G4559" s="28">
        <v>0.7</v>
      </c>
      <c r="H4559" s="28">
        <v>0.72777777777777775</v>
      </c>
      <c r="I4559">
        <v>1</v>
      </c>
      <c r="J4559" t="s">
        <v>146</v>
      </c>
      <c r="K4559">
        <v>2</v>
      </c>
      <c r="L4559" t="s">
        <v>147</v>
      </c>
      <c r="M4559" t="s">
        <v>11395</v>
      </c>
      <c r="N4559" t="s">
        <v>11396</v>
      </c>
      <c r="O4559" t="s">
        <v>11397</v>
      </c>
      <c r="P4559" t="s">
        <v>11398</v>
      </c>
    </row>
    <row r="4560" spans="1:16" x14ac:dyDescent="0.35">
      <c r="A4560" t="s">
        <v>11380</v>
      </c>
      <c r="B4560">
        <v>1322845178</v>
      </c>
      <c r="C4560" t="s">
        <v>18</v>
      </c>
      <c r="D4560" t="s">
        <v>21</v>
      </c>
      <c r="E4560" s="29">
        <v>46204</v>
      </c>
      <c r="F4560" t="s">
        <v>3</v>
      </c>
      <c r="G4560" s="28">
        <v>0.73472222222222228</v>
      </c>
      <c r="H4560" s="28">
        <v>0.74861111111111112</v>
      </c>
      <c r="I4560">
        <v>0</v>
      </c>
      <c r="J4560" t="s">
        <v>146</v>
      </c>
      <c r="K4560">
        <v>1</v>
      </c>
      <c r="L4560" t="s">
        <v>147</v>
      </c>
      <c r="M4560" t="s">
        <v>11430</v>
      </c>
      <c r="N4560" t="s">
        <v>11431</v>
      </c>
      <c r="O4560" t="s">
        <v>11432</v>
      </c>
      <c r="P4560" t="s">
        <v>11433</v>
      </c>
    </row>
    <row r="4561" spans="1:16" x14ac:dyDescent="0.35">
      <c r="A4561" t="s">
        <v>11380</v>
      </c>
      <c r="B4561">
        <v>1322845178</v>
      </c>
      <c r="C4561" t="s">
        <v>18</v>
      </c>
      <c r="D4561" t="s">
        <v>21</v>
      </c>
      <c r="E4561" s="29">
        <v>46204</v>
      </c>
      <c r="F4561" t="s">
        <v>3</v>
      </c>
      <c r="G4561" s="28">
        <v>0.75555555555555554</v>
      </c>
      <c r="H4561" s="28">
        <v>0.77638888888888891</v>
      </c>
      <c r="I4561">
        <v>1</v>
      </c>
      <c r="J4561" t="s">
        <v>146</v>
      </c>
      <c r="K4561">
        <v>2</v>
      </c>
      <c r="L4561" t="s">
        <v>147</v>
      </c>
      <c r="M4561" t="s">
        <v>11395</v>
      </c>
      <c r="N4561" t="s">
        <v>11396</v>
      </c>
      <c r="O4561" t="s">
        <v>11397</v>
      </c>
      <c r="P4561" t="s">
        <v>11398</v>
      </c>
    </row>
    <row r="4562" spans="1:16" x14ac:dyDescent="0.35">
      <c r="A4562" t="s">
        <v>11380</v>
      </c>
      <c r="B4562">
        <v>1322845178</v>
      </c>
      <c r="C4562" t="s">
        <v>18</v>
      </c>
      <c r="D4562" t="s">
        <v>21</v>
      </c>
      <c r="E4562" s="29">
        <v>46204</v>
      </c>
      <c r="F4562" t="s">
        <v>3</v>
      </c>
      <c r="G4562" s="28">
        <v>0.78333333333333333</v>
      </c>
      <c r="H4562" s="28">
        <v>0.79027777777777775</v>
      </c>
      <c r="I4562">
        <v>0</v>
      </c>
      <c r="J4562" t="s">
        <v>146</v>
      </c>
      <c r="K4562">
        <v>0</v>
      </c>
      <c r="L4562" t="s">
        <v>147</v>
      </c>
      <c r="M4562" t="s">
        <v>11430</v>
      </c>
      <c r="N4562" t="s">
        <v>11431</v>
      </c>
      <c r="O4562" t="s">
        <v>11432</v>
      </c>
      <c r="P4562" t="s">
        <v>11433</v>
      </c>
    </row>
    <row r="4563" spans="1:16" x14ac:dyDescent="0.35">
      <c r="A4563" t="s">
        <v>11380</v>
      </c>
      <c r="B4563">
        <v>1322845178</v>
      </c>
      <c r="C4563" t="s">
        <v>18</v>
      </c>
      <c r="D4563" t="s">
        <v>21</v>
      </c>
      <c r="E4563" s="29">
        <v>46205</v>
      </c>
      <c r="F4563" t="s">
        <v>4</v>
      </c>
      <c r="G4563" s="28">
        <v>0.38055555555555554</v>
      </c>
      <c r="H4563" s="28">
        <v>0.40833333333333333</v>
      </c>
      <c r="I4563">
        <v>1</v>
      </c>
      <c r="J4563" t="s">
        <v>146</v>
      </c>
      <c r="K4563">
        <v>2</v>
      </c>
      <c r="L4563" t="s">
        <v>147</v>
      </c>
      <c r="M4563" t="s">
        <v>2365</v>
      </c>
      <c r="N4563" t="s">
        <v>2366</v>
      </c>
      <c r="O4563" t="s">
        <v>2367</v>
      </c>
      <c r="P4563" t="s">
        <v>2368</v>
      </c>
    </row>
    <row r="4564" spans="1:16" x14ac:dyDescent="0.35">
      <c r="A4564" t="s">
        <v>11380</v>
      </c>
      <c r="B4564">
        <v>1322845178</v>
      </c>
      <c r="C4564" t="s">
        <v>18</v>
      </c>
      <c r="D4564" t="s">
        <v>21</v>
      </c>
      <c r="E4564" s="29">
        <v>46205</v>
      </c>
      <c r="F4564" t="s">
        <v>4</v>
      </c>
      <c r="G4564" s="28">
        <v>0.4152777777777778</v>
      </c>
      <c r="H4564" s="28">
        <v>0.4152777777777778</v>
      </c>
      <c r="I4564">
        <v>0</v>
      </c>
      <c r="J4564" t="s">
        <v>174</v>
      </c>
      <c r="K4564">
        <v>0</v>
      </c>
      <c r="L4564" t="s">
        <v>11434</v>
      </c>
      <c r="M4564" t="s">
        <v>11435</v>
      </c>
      <c r="N4564" t="s">
        <v>11436</v>
      </c>
      <c r="O4564" t="s">
        <v>11437</v>
      </c>
      <c r="P4564" t="s">
        <v>11438</v>
      </c>
    </row>
    <row r="4565" spans="1:16" x14ac:dyDescent="0.35">
      <c r="A4565" t="s">
        <v>11380</v>
      </c>
      <c r="B4565">
        <v>1322845178</v>
      </c>
      <c r="C4565" t="s">
        <v>18</v>
      </c>
      <c r="D4565" t="s">
        <v>21</v>
      </c>
      <c r="E4565" s="29">
        <v>46205</v>
      </c>
      <c r="F4565" t="s">
        <v>4</v>
      </c>
      <c r="G4565" s="28">
        <v>0.42222222222222222</v>
      </c>
      <c r="H4565" s="28">
        <v>0.42222222222222222</v>
      </c>
      <c r="I4565">
        <v>0</v>
      </c>
      <c r="J4565" t="s">
        <v>174</v>
      </c>
      <c r="K4565">
        <v>0</v>
      </c>
      <c r="L4565" t="s">
        <v>11439</v>
      </c>
      <c r="M4565" t="s">
        <v>11440</v>
      </c>
      <c r="N4565" t="s">
        <v>11441</v>
      </c>
      <c r="O4565" t="s">
        <v>11442</v>
      </c>
      <c r="P4565" t="s">
        <v>11443</v>
      </c>
    </row>
    <row r="4566" spans="1:16" x14ac:dyDescent="0.35">
      <c r="A4566" t="s">
        <v>11380</v>
      </c>
      <c r="B4566">
        <v>1322845178</v>
      </c>
      <c r="C4566" t="s">
        <v>18</v>
      </c>
      <c r="D4566" t="s">
        <v>21</v>
      </c>
      <c r="E4566" s="29">
        <v>46205</v>
      </c>
      <c r="F4566" t="s">
        <v>4</v>
      </c>
      <c r="G4566" s="28">
        <v>0.42916666666666664</v>
      </c>
      <c r="H4566" s="28">
        <v>0.42916666666666664</v>
      </c>
      <c r="I4566">
        <v>0</v>
      </c>
      <c r="J4566" t="s">
        <v>174</v>
      </c>
      <c r="K4566">
        <v>0</v>
      </c>
      <c r="L4566" t="s">
        <v>340</v>
      </c>
      <c r="M4566" t="s">
        <v>11444</v>
      </c>
      <c r="N4566" t="s">
        <v>11445</v>
      </c>
      <c r="O4566" t="s">
        <v>11446</v>
      </c>
      <c r="P4566" t="s">
        <v>11447</v>
      </c>
    </row>
    <row r="4567" spans="1:16" x14ac:dyDescent="0.35">
      <c r="A4567" t="s">
        <v>11380</v>
      </c>
      <c r="B4567">
        <v>1322845178</v>
      </c>
      <c r="C4567" t="s">
        <v>18</v>
      </c>
      <c r="D4567" t="s">
        <v>21</v>
      </c>
      <c r="E4567" s="29">
        <v>46205</v>
      </c>
      <c r="F4567" t="s">
        <v>4</v>
      </c>
      <c r="G4567" s="28">
        <v>0.43611111111111112</v>
      </c>
      <c r="H4567" s="28">
        <v>0.47083333333333333</v>
      </c>
      <c r="I4567">
        <v>1</v>
      </c>
      <c r="J4567" t="s">
        <v>146</v>
      </c>
      <c r="K4567">
        <v>2</v>
      </c>
      <c r="L4567" t="s">
        <v>147</v>
      </c>
      <c r="M4567" t="s">
        <v>11448</v>
      </c>
      <c r="N4567" t="s">
        <v>11449</v>
      </c>
      <c r="O4567" t="s">
        <v>11450</v>
      </c>
      <c r="P4567" t="s">
        <v>11451</v>
      </c>
    </row>
    <row r="4568" spans="1:16" x14ac:dyDescent="0.35">
      <c r="A4568" t="s">
        <v>11380</v>
      </c>
      <c r="B4568">
        <v>1322845178</v>
      </c>
      <c r="C4568" t="s">
        <v>18</v>
      </c>
      <c r="D4568" t="s">
        <v>21</v>
      </c>
      <c r="E4568" s="29">
        <v>46205</v>
      </c>
      <c r="F4568" t="s">
        <v>4</v>
      </c>
      <c r="G4568" s="28">
        <v>0.4777777777777778</v>
      </c>
      <c r="H4568" s="28">
        <v>0.48472222222222222</v>
      </c>
      <c r="I4568">
        <v>0</v>
      </c>
      <c r="J4568" t="s">
        <v>146</v>
      </c>
      <c r="K4568">
        <v>0</v>
      </c>
      <c r="L4568" t="s">
        <v>147</v>
      </c>
      <c r="M4568" t="s">
        <v>11444</v>
      </c>
      <c r="N4568" t="s">
        <v>11445</v>
      </c>
      <c r="O4568" t="s">
        <v>11446</v>
      </c>
      <c r="P4568" t="s">
        <v>11447</v>
      </c>
    </row>
    <row r="4569" spans="1:16" x14ac:dyDescent="0.35">
      <c r="A4569" t="s">
        <v>11380</v>
      </c>
      <c r="B4569">
        <v>1322845178</v>
      </c>
      <c r="C4569" t="s">
        <v>18</v>
      </c>
      <c r="D4569" t="s">
        <v>21</v>
      </c>
      <c r="E4569" s="29">
        <v>46205</v>
      </c>
      <c r="F4569" t="s">
        <v>4</v>
      </c>
      <c r="G4569" s="28">
        <v>0.49166666666666664</v>
      </c>
      <c r="H4569" s="28">
        <v>0.52638888888888891</v>
      </c>
      <c r="I4569">
        <v>1</v>
      </c>
      <c r="J4569" t="s">
        <v>146</v>
      </c>
      <c r="K4569">
        <v>2</v>
      </c>
      <c r="L4569" t="s">
        <v>147</v>
      </c>
      <c r="M4569" t="s">
        <v>11448</v>
      </c>
      <c r="N4569" t="s">
        <v>11449</v>
      </c>
      <c r="O4569" t="s">
        <v>11450</v>
      </c>
      <c r="P4569" t="s">
        <v>11451</v>
      </c>
    </row>
    <row r="4570" spans="1:16" x14ac:dyDescent="0.35">
      <c r="A4570" t="s">
        <v>11380</v>
      </c>
      <c r="B4570">
        <v>1322845178</v>
      </c>
      <c r="C4570" t="s">
        <v>18</v>
      </c>
      <c r="D4570" t="s">
        <v>21</v>
      </c>
      <c r="E4570" s="29">
        <v>46205</v>
      </c>
      <c r="F4570" t="s">
        <v>4</v>
      </c>
      <c r="G4570" s="28">
        <v>0.53333333333333333</v>
      </c>
      <c r="H4570" s="28">
        <v>0.53333333333333333</v>
      </c>
      <c r="I4570">
        <v>0</v>
      </c>
      <c r="J4570" t="s">
        <v>174</v>
      </c>
      <c r="K4570">
        <v>0</v>
      </c>
      <c r="L4570" t="s">
        <v>340</v>
      </c>
      <c r="M4570" t="s">
        <v>11444</v>
      </c>
      <c r="N4570" t="s">
        <v>11445</v>
      </c>
      <c r="O4570" t="s">
        <v>11446</v>
      </c>
      <c r="P4570" t="s">
        <v>11447</v>
      </c>
    </row>
    <row r="4571" spans="1:16" x14ac:dyDescent="0.35">
      <c r="A4571" t="s">
        <v>11380</v>
      </c>
      <c r="B4571">
        <v>1322845178</v>
      </c>
      <c r="C4571" t="s">
        <v>18</v>
      </c>
      <c r="D4571" t="s">
        <v>21</v>
      </c>
      <c r="E4571" s="29">
        <v>46205</v>
      </c>
      <c r="F4571" t="s">
        <v>4</v>
      </c>
      <c r="G4571" s="28">
        <v>0.54027777777777775</v>
      </c>
      <c r="H4571" s="28">
        <v>0.54027777777777775</v>
      </c>
      <c r="I4571">
        <v>0</v>
      </c>
      <c r="J4571" t="s">
        <v>174</v>
      </c>
      <c r="K4571">
        <v>0</v>
      </c>
      <c r="L4571" t="s">
        <v>2309</v>
      </c>
      <c r="M4571" t="s">
        <v>11448</v>
      </c>
      <c r="N4571" t="s">
        <v>11449</v>
      </c>
      <c r="O4571" t="s">
        <v>11450</v>
      </c>
      <c r="P4571" t="s">
        <v>11451</v>
      </c>
    </row>
    <row r="4572" spans="1:16" x14ac:dyDescent="0.35">
      <c r="A4572" t="s">
        <v>11380</v>
      </c>
      <c r="B4572">
        <v>1322845178</v>
      </c>
      <c r="C4572" t="s">
        <v>18</v>
      </c>
      <c r="D4572" t="s">
        <v>21</v>
      </c>
      <c r="E4572" s="29">
        <v>46205</v>
      </c>
      <c r="F4572" t="s">
        <v>4</v>
      </c>
      <c r="G4572" s="28">
        <v>0.54722222222222228</v>
      </c>
      <c r="H4572" s="28">
        <v>0.54722222222222228</v>
      </c>
      <c r="I4572">
        <v>0</v>
      </c>
      <c r="J4572" t="s">
        <v>174</v>
      </c>
      <c r="K4572">
        <v>0</v>
      </c>
      <c r="L4572" t="s">
        <v>2416</v>
      </c>
      <c r="M4572" t="s">
        <v>2525</v>
      </c>
      <c r="N4572" t="s">
        <v>2526</v>
      </c>
      <c r="O4572" t="s">
        <v>2527</v>
      </c>
      <c r="P4572" t="s">
        <v>2528</v>
      </c>
    </row>
    <row r="4573" spans="1:16" x14ac:dyDescent="0.35">
      <c r="A4573" t="s">
        <v>11380</v>
      </c>
      <c r="B4573">
        <v>1322845178</v>
      </c>
      <c r="C4573" t="s">
        <v>18</v>
      </c>
      <c r="D4573" t="s">
        <v>21</v>
      </c>
      <c r="E4573" s="29">
        <v>46205</v>
      </c>
      <c r="F4573" t="s">
        <v>4</v>
      </c>
      <c r="G4573" s="28">
        <v>0.5541666666666667</v>
      </c>
      <c r="H4573" s="28">
        <v>0.56111111111111112</v>
      </c>
      <c r="I4573">
        <v>0</v>
      </c>
      <c r="J4573" t="s">
        <v>146</v>
      </c>
      <c r="K4573">
        <v>0</v>
      </c>
      <c r="L4573" t="s">
        <v>147</v>
      </c>
      <c r="M4573" t="s">
        <v>11452</v>
      </c>
      <c r="N4573" t="s">
        <v>11453</v>
      </c>
      <c r="O4573" t="s">
        <v>11454</v>
      </c>
      <c r="P4573" t="s">
        <v>11455</v>
      </c>
    </row>
    <row r="4574" spans="1:16" x14ac:dyDescent="0.35">
      <c r="A4574" t="s">
        <v>11380</v>
      </c>
      <c r="B4574">
        <v>1322845178</v>
      </c>
      <c r="C4574" t="s">
        <v>18</v>
      </c>
      <c r="D4574" t="s">
        <v>21</v>
      </c>
      <c r="E4574" s="29">
        <v>46205</v>
      </c>
      <c r="F4574" t="s">
        <v>4</v>
      </c>
      <c r="G4574" s="28">
        <v>0.56805555555555554</v>
      </c>
      <c r="H4574" s="28">
        <v>0.57499999999999996</v>
      </c>
      <c r="I4574">
        <v>0</v>
      </c>
      <c r="J4574" t="s">
        <v>146</v>
      </c>
      <c r="K4574">
        <v>0</v>
      </c>
      <c r="L4574" t="s">
        <v>147</v>
      </c>
      <c r="M4574" t="s">
        <v>11448</v>
      </c>
      <c r="N4574" t="s">
        <v>11449</v>
      </c>
      <c r="O4574" t="s">
        <v>11450</v>
      </c>
      <c r="P4574" t="s">
        <v>11451</v>
      </c>
    </row>
    <row r="4575" spans="1:16" x14ac:dyDescent="0.35">
      <c r="A4575" t="s">
        <v>11380</v>
      </c>
      <c r="B4575">
        <v>1322845178</v>
      </c>
      <c r="C4575" t="s">
        <v>18</v>
      </c>
      <c r="D4575" t="s">
        <v>21</v>
      </c>
      <c r="E4575" s="29">
        <v>46205</v>
      </c>
      <c r="F4575" t="s">
        <v>4</v>
      </c>
      <c r="G4575" s="28">
        <v>0.58194444444444449</v>
      </c>
      <c r="H4575" s="28">
        <v>0.58194444444444449</v>
      </c>
      <c r="I4575">
        <v>0</v>
      </c>
      <c r="J4575" t="s">
        <v>174</v>
      </c>
      <c r="K4575">
        <v>0</v>
      </c>
      <c r="L4575" t="s">
        <v>340</v>
      </c>
      <c r="M4575" t="s">
        <v>11444</v>
      </c>
      <c r="N4575" t="s">
        <v>11445</v>
      </c>
      <c r="O4575" t="s">
        <v>11446</v>
      </c>
      <c r="P4575" t="s">
        <v>11447</v>
      </c>
    </row>
    <row r="4576" spans="1:16" x14ac:dyDescent="0.35">
      <c r="A4576" t="s">
        <v>11380</v>
      </c>
      <c r="B4576">
        <v>1322845178</v>
      </c>
      <c r="C4576" t="s">
        <v>18</v>
      </c>
      <c r="D4576" t="s">
        <v>21</v>
      </c>
      <c r="E4576" s="29">
        <v>46205</v>
      </c>
      <c r="F4576" t="s">
        <v>4</v>
      </c>
      <c r="G4576" s="28">
        <v>0.58888888888888891</v>
      </c>
      <c r="H4576" s="28">
        <v>0.58888888888888891</v>
      </c>
      <c r="I4576">
        <v>0</v>
      </c>
      <c r="J4576" t="s">
        <v>174</v>
      </c>
      <c r="K4576">
        <v>0</v>
      </c>
      <c r="L4576" t="s">
        <v>340</v>
      </c>
      <c r="M4576" t="s">
        <v>11448</v>
      </c>
      <c r="N4576" t="s">
        <v>11449</v>
      </c>
      <c r="O4576" t="s">
        <v>11450</v>
      </c>
      <c r="P4576" t="s">
        <v>11451</v>
      </c>
    </row>
    <row r="4577" spans="1:16" x14ac:dyDescent="0.35">
      <c r="A4577" t="s">
        <v>11380</v>
      </c>
      <c r="B4577">
        <v>1322845178</v>
      </c>
      <c r="C4577" t="s">
        <v>18</v>
      </c>
      <c r="D4577" t="s">
        <v>21</v>
      </c>
      <c r="E4577" s="29">
        <v>46205</v>
      </c>
      <c r="F4577" t="s">
        <v>4</v>
      </c>
      <c r="G4577" s="28">
        <v>0.59583333333333333</v>
      </c>
      <c r="H4577" s="28">
        <v>0.59583333333333333</v>
      </c>
      <c r="I4577">
        <v>0</v>
      </c>
      <c r="J4577" t="s">
        <v>174</v>
      </c>
      <c r="K4577">
        <v>0</v>
      </c>
      <c r="L4577" t="s">
        <v>11456</v>
      </c>
      <c r="M4577" t="s">
        <v>11444</v>
      </c>
      <c r="N4577" t="s">
        <v>11445</v>
      </c>
      <c r="O4577" t="s">
        <v>11446</v>
      </c>
      <c r="P4577" t="s">
        <v>11447</v>
      </c>
    </row>
    <row r="4578" spans="1:16" x14ac:dyDescent="0.35">
      <c r="A4578" t="s">
        <v>11380</v>
      </c>
      <c r="B4578">
        <v>1322845178</v>
      </c>
      <c r="C4578" t="s">
        <v>18</v>
      </c>
      <c r="D4578" t="s">
        <v>21</v>
      </c>
      <c r="E4578" s="29">
        <v>46205</v>
      </c>
      <c r="F4578" t="s">
        <v>4</v>
      </c>
      <c r="G4578" s="28">
        <v>0.60277777777777775</v>
      </c>
      <c r="H4578" s="28">
        <v>0.60277777777777775</v>
      </c>
      <c r="I4578">
        <v>0</v>
      </c>
      <c r="J4578" t="s">
        <v>174</v>
      </c>
      <c r="K4578">
        <v>0</v>
      </c>
      <c r="L4578" t="s">
        <v>614</v>
      </c>
      <c r="M4578" t="s">
        <v>11435</v>
      </c>
      <c r="N4578" t="s">
        <v>11436</v>
      </c>
      <c r="O4578" t="s">
        <v>11437</v>
      </c>
      <c r="P4578" t="s">
        <v>11438</v>
      </c>
    </row>
    <row r="4579" spans="1:16" x14ac:dyDescent="0.35">
      <c r="A4579" t="s">
        <v>11380</v>
      </c>
      <c r="B4579">
        <v>1322845178</v>
      </c>
      <c r="C4579" t="s">
        <v>18</v>
      </c>
      <c r="D4579" t="s">
        <v>21</v>
      </c>
      <c r="E4579" s="29">
        <v>46205</v>
      </c>
      <c r="F4579" t="s">
        <v>4</v>
      </c>
      <c r="G4579" s="28">
        <v>0.60972222222222228</v>
      </c>
      <c r="H4579" s="28">
        <v>0.60972222222222228</v>
      </c>
      <c r="I4579">
        <v>0</v>
      </c>
      <c r="J4579" t="s">
        <v>174</v>
      </c>
      <c r="K4579">
        <v>0</v>
      </c>
      <c r="L4579" t="s">
        <v>2398</v>
      </c>
      <c r="M4579" t="s">
        <v>11395</v>
      </c>
      <c r="N4579" t="s">
        <v>11396</v>
      </c>
      <c r="O4579" t="s">
        <v>11397</v>
      </c>
      <c r="P4579" t="s">
        <v>11398</v>
      </c>
    </row>
    <row r="4580" spans="1:16" x14ac:dyDescent="0.35">
      <c r="A4580" t="s">
        <v>11380</v>
      </c>
      <c r="B4580">
        <v>1322845178</v>
      </c>
      <c r="C4580" t="s">
        <v>18</v>
      </c>
      <c r="D4580" t="s">
        <v>21</v>
      </c>
      <c r="E4580" s="29">
        <v>46205</v>
      </c>
      <c r="F4580" t="s">
        <v>4</v>
      </c>
      <c r="G4580" s="28">
        <v>0.6166666666666667</v>
      </c>
      <c r="H4580" s="28">
        <v>0.63749999999999996</v>
      </c>
      <c r="I4580">
        <v>0</v>
      </c>
      <c r="J4580" t="s">
        <v>146</v>
      </c>
      <c r="K4580">
        <v>1</v>
      </c>
      <c r="L4580" t="s">
        <v>147</v>
      </c>
      <c r="M4580" t="s">
        <v>11430</v>
      </c>
      <c r="N4580" t="s">
        <v>11431</v>
      </c>
      <c r="O4580" t="s">
        <v>11432</v>
      </c>
      <c r="P4580" t="s">
        <v>11433</v>
      </c>
    </row>
    <row r="4581" spans="1:16" x14ac:dyDescent="0.35">
      <c r="A4581" t="s">
        <v>11380</v>
      </c>
      <c r="B4581">
        <v>1322845178</v>
      </c>
      <c r="C4581" t="s">
        <v>18</v>
      </c>
      <c r="D4581" t="s">
        <v>21</v>
      </c>
      <c r="E4581" s="29">
        <v>46205</v>
      </c>
      <c r="F4581" t="s">
        <v>4</v>
      </c>
      <c r="G4581" s="28">
        <v>0.64444444444444449</v>
      </c>
      <c r="H4581" s="28">
        <v>0.64444444444444449</v>
      </c>
      <c r="I4581">
        <v>0</v>
      </c>
      <c r="J4581" t="s">
        <v>174</v>
      </c>
      <c r="K4581">
        <v>0</v>
      </c>
      <c r="L4581" t="s">
        <v>2757</v>
      </c>
      <c r="M4581" t="s">
        <v>11435</v>
      </c>
      <c r="N4581" t="s">
        <v>11436</v>
      </c>
      <c r="O4581" t="s">
        <v>11437</v>
      </c>
      <c r="P4581" t="s">
        <v>11438</v>
      </c>
    </row>
    <row r="4582" spans="1:16" x14ac:dyDescent="0.35">
      <c r="A4582" t="s">
        <v>11380</v>
      </c>
      <c r="B4582">
        <v>1322845178</v>
      </c>
      <c r="C4582" t="s">
        <v>18</v>
      </c>
      <c r="D4582" t="s">
        <v>21</v>
      </c>
      <c r="E4582" s="29">
        <v>46205</v>
      </c>
      <c r="F4582" t="s">
        <v>4</v>
      </c>
      <c r="G4582" s="28">
        <v>0.65138888888888891</v>
      </c>
      <c r="H4582" s="28">
        <v>0.65138888888888891</v>
      </c>
      <c r="I4582">
        <v>0</v>
      </c>
      <c r="J4582" t="s">
        <v>174</v>
      </c>
      <c r="K4582">
        <v>0</v>
      </c>
      <c r="L4582" t="s">
        <v>3241</v>
      </c>
      <c r="M4582" t="s">
        <v>2525</v>
      </c>
      <c r="N4582" t="s">
        <v>2526</v>
      </c>
      <c r="O4582" t="s">
        <v>2527</v>
      </c>
      <c r="P4582" t="s">
        <v>2528</v>
      </c>
    </row>
    <row r="4583" spans="1:16" x14ac:dyDescent="0.35">
      <c r="A4583" t="s">
        <v>11380</v>
      </c>
      <c r="B4583">
        <v>1322845178</v>
      </c>
      <c r="C4583" t="s">
        <v>18</v>
      </c>
      <c r="D4583" t="s">
        <v>21</v>
      </c>
      <c r="E4583" s="29">
        <v>46205</v>
      </c>
      <c r="F4583" t="s">
        <v>4</v>
      </c>
      <c r="G4583" s="28">
        <v>0.65833333333333333</v>
      </c>
      <c r="H4583" s="28">
        <v>0.66527777777777775</v>
      </c>
      <c r="I4583">
        <v>0</v>
      </c>
      <c r="J4583" t="s">
        <v>146</v>
      </c>
      <c r="K4583">
        <v>0</v>
      </c>
      <c r="L4583" t="s">
        <v>147</v>
      </c>
      <c r="M4583" t="s">
        <v>11444</v>
      </c>
      <c r="N4583" t="s">
        <v>11445</v>
      </c>
      <c r="O4583" t="s">
        <v>11446</v>
      </c>
      <c r="P4583" t="s">
        <v>11447</v>
      </c>
    </row>
    <row r="4584" spans="1:16" x14ac:dyDescent="0.35">
      <c r="A4584" t="s">
        <v>11380</v>
      </c>
      <c r="B4584">
        <v>1322845178</v>
      </c>
      <c r="C4584" t="s">
        <v>18</v>
      </c>
      <c r="D4584" t="s">
        <v>21</v>
      </c>
      <c r="E4584" s="29">
        <v>46205</v>
      </c>
      <c r="F4584" t="s">
        <v>4</v>
      </c>
      <c r="G4584" s="28">
        <v>0.67222222222222228</v>
      </c>
      <c r="H4584" s="28">
        <v>0.67222222222222228</v>
      </c>
      <c r="I4584">
        <v>0</v>
      </c>
      <c r="J4584" t="s">
        <v>174</v>
      </c>
      <c r="K4584">
        <v>0</v>
      </c>
      <c r="L4584" t="s">
        <v>340</v>
      </c>
      <c r="M4584" t="s">
        <v>11448</v>
      </c>
      <c r="N4584" t="s">
        <v>11449</v>
      </c>
      <c r="O4584" t="s">
        <v>11450</v>
      </c>
      <c r="P4584" t="s">
        <v>11451</v>
      </c>
    </row>
    <row r="4585" spans="1:16" x14ac:dyDescent="0.35">
      <c r="A4585" t="s">
        <v>11380</v>
      </c>
      <c r="B4585">
        <v>1322845178</v>
      </c>
      <c r="C4585" t="s">
        <v>18</v>
      </c>
      <c r="D4585" t="s">
        <v>21</v>
      </c>
      <c r="E4585" s="29">
        <v>46205</v>
      </c>
      <c r="F4585" t="s">
        <v>4</v>
      </c>
      <c r="G4585" s="28">
        <v>0.68611111111111112</v>
      </c>
      <c r="H4585" s="28">
        <v>0.69305555555555554</v>
      </c>
      <c r="I4585">
        <v>0</v>
      </c>
      <c r="J4585" t="s">
        <v>146</v>
      </c>
      <c r="K4585">
        <v>0</v>
      </c>
      <c r="L4585" t="s">
        <v>147</v>
      </c>
      <c r="M4585" t="s">
        <v>11444</v>
      </c>
      <c r="N4585" t="s">
        <v>11445</v>
      </c>
      <c r="O4585" t="s">
        <v>11446</v>
      </c>
      <c r="P4585" t="s">
        <v>11447</v>
      </c>
    </row>
    <row r="4586" spans="1:16" x14ac:dyDescent="0.35">
      <c r="A4586" t="s">
        <v>11380</v>
      </c>
      <c r="B4586">
        <v>1322845178</v>
      </c>
      <c r="C4586" t="s">
        <v>18</v>
      </c>
      <c r="D4586" t="s">
        <v>21</v>
      </c>
      <c r="E4586" s="29">
        <v>46205</v>
      </c>
      <c r="F4586" t="s">
        <v>4</v>
      </c>
      <c r="G4586" s="28">
        <v>0.7</v>
      </c>
      <c r="H4586" s="28">
        <v>0.70694444444444449</v>
      </c>
      <c r="I4586">
        <v>0</v>
      </c>
      <c r="J4586" t="s">
        <v>146</v>
      </c>
      <c r="K4586">
        <v>1</v>
      </c>
      <c r="L4586" t="s">
        <v>147</v>
      </c>
      <c r="M4586" t="s">
        <v>11448</v>
      </c>
      <c r="N4586" t="s">
        <v>11449</v>
      </c>
      <c r="O4586" t="s">
        <v>11450</v>
      </c>
      <c r="P4586" t="s">
        <v>11451</v>
      </c>
    </row>
    <row r="4587" spans="1:16" x14ac:dyDescent="0.35">
      <c r="A4587" t="s">
        <v>11380</v>
      </c>
      <c r="B4587">
        <v>1322845178</v>
      </c>
      <c r="C4587" t="s">
        <v>18</v>
      </c>
      <c r="D4587" t="s">
        <v>21</v>
      </c>
      <c r="E4587" s="29">
        <v>46205</v>
      </c>
      <c r="F4587" t="s">
        <v>4</v>
      </c>
      <c r="G4587" s="28">
        <v>0.71388888888888891</v>
      </c>
      <c r="H4587" s="28">
        <v>0.72083333333333333</v>
      </c>
      <c r="I4587">
        <v>0</v>
      </c>
      <c r="J4587" t="s">
        <v>146</v>
      </c>
      <c r="K4587">
        <v>0</v>
      </c>
      <c r="L4587" t="s">
        <v>147</v>
      </c>
      <c r="M4587" t="s">
        <v>11452</v>
      </c>
      <c r="N4587" t="s">
        <v>11453</v>
      </c>
      <c r="O4587" t="s">
        <v>11454</v>
      </c>
      <c r="P4587" t="s">
        <v>11455</v>
      </c>
    </row>
    <row r="4588" spans="1:16" x14ac:dyDescent="0.35">
      <c r="A4588" t="s">
        <v>11380</v>
      </c>
      <c r="B4588">
        <v>1322845178</v>
      </c>
      <c r="C4588" t="s">
        <v>18</v>
      </c>
      <c r="D4588" t="s">
        <v>21</v>
      </c>
      <c r="E4588" s="29">
        <v>46205</v>
      </c>
      <c r="F4588" t="s">
        <v>4</v>
      </c>
      <c r="G4588" s="28">
        <v>0.72777777777777775</v>
      </c>
      <c r="H4588" s="28">
        <v>0.72777777777777775</v>
      </c>
      <c r="I4588">
        <v>0</v>
      </c>
      <c r="J4588" t="s">
        <v>174</v>
      </c>
      <c r="K4588">
        <v>0</v>
      </c>
      <c r="L4588" t="s">
        <v>5170</v>
      </c>
      <c r="M4588" t="s">
        <v>2525</v>
      </c>
      <c r="N4588" t="s">
        <v>2526</v>
      </c>
      <c r="O4588" t="s">
        <v>2527</v>
      </c>
      <c r="P4588" t="s">
        <v>2528</v>
      </c>
    </row>
    <row r="4589" spans="1:16" x14ac:dyDescent="0.35">
      <c r="A4589" t="s">
        <v>11380</v>
      </c>
      <c r="B4589">
        <v>1322845178</v>
      </c>
      <c r="C4589" t="s">
        <v>18</v>
      </c>
      <c r="D4589" t="s">
        <v>21</v>
      </c>
      <c r="E4589" s="29">
        <v>46205</v>
      </c>
      <c r="F4589" t="s">
        <v>4</v>
      </c>
      <c r="G4589" s="28">
        <v>0.73472222222222228</v>
      </c>
      <c r="H4589" s="28">
        <v>0.73472222222222228</v>
      </c>
      <c r="I4589">
        <v>0</v>
      </c>
      <c r="J4589" t="s">
        <v>174</v>
      </c>
      <c r="K4589">
        <v>0</v>
      </c>
      <c r="L4589" t="s">
        <v>186</v>
      </c>
      <c r="M4589" t="s">
        <v>11457</v>
      </c>
      <c r="N4589" t="s">
        <v>11458</v>
      </c>
      <c r="O4589" t="s">
        <v>11459</v>
      </c>
      <c r="P4589" t="s">
        <v>11460</v>
      </c>
    </row>
    <row r="4590" spans="1:16" x14ac:dyDescent="0.35">
      <c r="A4590" t="s">
        <v>11380</v>
      </c>
      <c r="B4590">
        <v>1322845178</v>
      </c>
      <c r="C4590" t="s">
        <v>18</v>
      </c>
      <c r="D4590" t="s">
        <v>21</v>
      </c>
      <c r="E4590" s="29">
        <v>46205</v>
      </c>
      <c r="F4590" t="s">
        <v>4</v>
      </c>
      <c r="G4590" s="28">
        <v>0.74861111111111112</v>
      </c>
      <c r="H4590" s="28">
        <v>0.76249999999999996</v>
      </c>
      <c r="I4590">
        <v>0</v>
      </c>
      <c r="J4590" t="s">
        <v>146</v>
      </c>
      <c r="K4590">
        <v>1</v>
      </c>
      <c r="L4590" t="s">
        <v>147</v>
      </c>
      <c r="M4590" t="s">
        <v>11461</v>
      </c>
      <c r="N4590" t="s">
        <v>2254</v>
      </c>
      <c r="O4590" t="s">
        <v>2255</v>
      </c>
      <c r="P4590" t="s">
        <v>2256</v>
      </c>
    </row>
    <row r="4591" spans="1:16" x14ac:dyDescent="0.35">
      <c r="A4591" t="s">
        <v>11380</v>
      </c>
      <c r="B4591">
        <v>1322845178</v>
      </c>
      <c r="C4591" t="s">
        <v>18</v>
      </c>
      <c r="D4591" t="s">
        <v>21</v>
      </c>
      <c r="E4591" s="29">
        <v>46205</v>
      </c>
      <c r="F4591" t="s">
        <v>4</v>
      </c>
      <c r="G4591" s="28">
        <v>0.76944444444444449</v>
      </c>
      <c r="H4591" s="28">
        <v>0.77638888888888891</v>
      </c>
      <c r="I4591">
        <v>0</v>
      </c>
      <c r="J4591" t="s">
        <v>146</v>
      </c>
      <c r="K4591">
        <v>0</v>
      </c>
      <c r="L4591" t="s">
        <v>147</v>
      </c>
      <c r="M4591" t="s">
        <v>11462</v>
      </c>
      <c r="N4591" t="s">
        <v>2270</v>
      </c>
      <c r="O4591" t="s">
        <v>2271</v>
      </c>
      <c r="P4591" t="s">
        <v>2272</v>
      </c>
    </row>
    <row r="4592" spans="1:16" x14ac:dyDescent="0.35">
      <c r="A4592" t="s">
        <v>11380</v>
      </c>
      <c r="B4592">
        <v>1322845178</v>
      </c>
      <c r="C4592" t="s">
        <v>18</v>
      </c>
      <c r="D4592" t="s">
        <v>21</v>
      </c>
      <c r="E4592" s="29">
        <v>46205</v>
      </c>
      <c r="F4592" t="s">
        <v>4</v>
      </c>
      <c r="G4592" s="28">
        <v>0.78333333333333333</v>
      </c>
      <c r="H4592" s="28">
        <v>0.8041666666666667</v>
      </c>
      <c r="I4592">
        <v>1</v>
      </c>
      <c r="J4592" t="s">
        <v>146</v>
      </c>
      <c r="K4592">
        <v>2</v>
      </c>
      <c r="L4592" t="s">
        <v>147</v>
      </c>
      <c r="M4592" t="s">
        <v>2249</v>
      </c>
      <c r="N4592" t="s">
        <v>2250</v>
      </c>
      <c r="O4592" t="s">
        <v>2251</v>
      </c>
      <c r="P4592" t="s">
        <v>2252</v>
      </c>
    </row>
    <row r="4593" spans="1:16" x14ac:dyDescent="0.35">
      <c r="A4593" t="s">
        <v>11380</v>
      </c>
      <c r="B4593">
        <v>1322845178</v>
      </c>
      <c r="C4593" t="s">
        <v>18</v>
      </c>
      <c r="D4593" t="s">
        <v>21</v>
      </c>
      <c r="E4593" s="29">
        <v>46207</v>
      </c>
      <c r="F4593" t="s">
        <v>5</v>
      </c>
      <c r="G4593" s="28">
        <v>0.38055555555555554</v>
      </c>
      <c r="H4593" s="28">
        <v>0.38750000000000001</v>
      </c>
      <c r="I4593">
        <v>0</v>
      </c>
      <c r="J4593" t="s">
        <v>146</v>
      </c>
      <c r="K4593">
        <v>1</v>
      </c>
      <c r="L4593" t="s">
        <v>147</v>
      </c>
      <c r="M4593" t="s">
        <v>11430</v>
      </c>
      <c r="N4593" t="s">
        <v>11431</v>
      </c>
      <c r="O4593" t="s">
        <v>11432</v>
      </c>
      <c r="P4593" t="s">
        <v>11433</v>
      </c>
    </row>
    <row r="4594" spans="1:16" x14ac:dyDescent="0.35">
      <c r="A4594" t="s">
        <v>11380</v>
      </c>
      <c r="B4594">
        <v>1322845178</v>
      </c>
      <c r="C4594" t="s">
        <v>18</v>
      </c>
      <c r="D4594" t="s">
        <v>21</v>
      </c>
      <c r="E4594" s="29">
        <v>46207</v>
      </c>
      <c r="F4594" t="s">
        <v>5</v>
      </c>
      <c r="G4594" s="28">
        <v>0.39444444444444443</v>
      </c>
      <c r="H4594" s="28">
        <v>0.40833333333333333</v>
      </c>
      <c r="I4594">
        <v>0</v>
      </c>
      <c r="J4594" t="s">
        <v>146</v>
      </c>
      <c r="K4594">
        <v>1</v>
      </c>
      <c r="L4594" t="s">
        <v>147</v>
      </c>
      <c r="M4594" t="s">
        <v>11395</v>
      </c>
      <c r="N4594" t="s">
        <v>11396</v>
      </c>
      <c r="O4594" t="s">
        <v>11397</v>
      </c>
      <c r="P4594" t="s">
        <v>11398</v>
      </c>
    </row>
    <row r="4595" spans="1:16" x14ac:dyDescent="0.35">
      <c r="A4595" t="s">
        <v>11380</v>
      </c>
      <c r="B4595">
        <v>1322845178</v>
      </c>
      <c r="C4595" t="s">
        <v>18</v>
      </c>
      <c r="D4595" t="s">
        <v>21</v>
      </c>
      <c r="E4595" s="29">
        <v>46207</v>
      </c>
      <c r="F4595" t="s">
        <v>5</v>
      </c>
      <c r="G4595" s="28">
        <v>0.4152777777777778</v>
      </c>
      <c r="H4595" s="28">
        <v>0.4152777777777778</v>
      </c>
      <c r="I4595">
        <v>0</v>
      </c>
      <c r="J4595" t="s">
        <v>174</v>
      </c>
      <c r="K4595">
        <v>0</v>
      </c>
      <c r="L4595" t="s">
        <v>3025</v>
      </c>
      <c r="M4595" t="s">
        <v>11435</v>
      </c>
      <c r="N4595" t="s">
        <v>11436</v>
      </c>
      <c r="O4595" t="s">
        <v>11437</v>
      </c>
      <c r="P4595" t="s">
        <v>11438</v>
      </c>
    </row>
    <row r="4596" spans="1:16" x14ac:dyDescent="0.35">
      <c r="A4596" t="s">
        <v>11380</v>
      </c>
      <c r="B4596">
        <v>1322845178</v>
      </c>
      <c r="C4596" t="s">
        <v>18</v>
      </c>
      <c r="D4596" t="s">
        <v>21</v>
      </c>
      <c r="E4596" s="29">
        <v>46207</v>
      </c>
      <c r="F4596" t="s">
        <v>5</v>
      </c>
      <c r="G4596" s="28">
        <v>0.42222222222222222</v>
      </c>
      <c r="H4596" s="28">
        <v>0.42222222222222222</v>
      </c>
      <c r="I4596">
        <v>0</v>
      </c>
      <c r="J4596" t="s">
        <v>174</v>
      </c>
      <c r="K4596">
        <v>0</v>
      </c>
      <c r="L4596" t="s">
        <v>1855</v>
      </c>
      <c r="M4596" t="s">
        <v>11463</v>
      </c>
      <c r="N4596" t="s">
        <v>11464</v>
      </c>
      <c r="O4596" t="s">
        <v>11465</v>
      </c>
      <c r="P4596" t="s">
        <v>11466</v>
      </c>
    </row>
    <row r="4597" spans="1:16" x14ac:dyDescent="0.35">
      <c r="A4597" t="s">
        <v>11380</v>
      </c>
      <c r="B4597">
        <v>1322845178</v>
      </c>
      <c r="C4597" t="s">
        <v>18</v>
      </c>
      <c r="D4597" t="s">
        <v>21</v>
      </c>
      <c r="E4597" s="29">
        <v>46207</v>
      </c>
      <c r="F4597" t="s">
        <v>5</v>
      </c>
      <c r="G4597" s="28">
        <v>0.42916666666666664</v>
      </c>
      <c r="H4597" s="28">
        <v>0.42916666666666664</v>
      </c>
      <c r="I4597">
        <v>0</v>
      </c>
      <c r="J4597" t="s">
        <v>174</v>
      </c>
      <c r="K4597">
        <v>0</v>
      </c>
      <c r="L4597" t="s">
        <v>7600</v>
      </c>
      <c r="M4597" t="s">
        <v>10514</v>
      </c>
      <c r="N4597" t="s">
        <v>10515</v>
      </c>
      <c r="O4597" t="s">
        <v>10516</v>
      </c>
      <c r="P4597" t="s">
        <v>10517</v>
      </c>
    </row>
    <row r="4598" spans="1:16" x14ac:dyDescent="0.35">
      <c r="A4598" t="s">
        <v>11380</v>
      </c>
      <c r="B4598">
        <v>1322845178</v>
      </c>
      <c r="C4598" t="s">
        <v>18</v>
      </c>
      <c r="D4598" t="s">
        <v>21</v>
      </c>
      <c r="E4598" s="29">
        <v>46207</v>
      </c>
      <c r="F4598" t="s">
        <v>5</v>
      </c>
      <c r="G4598" s="28">
        <v>0.45</v>
      </c>
      <c r="H4598" s="28">
        <v>0.45694444444444443</v>
      </c>
      <c r="I4598">
        <v>0</v>
      </c>
      <c r="J4598" t="s">
        <v>146</v>
      </c>
      <c r="K4598">
        <v>0</v>
      </c>
      <c r="L4598" t="s">
        <v>147</v>
      </c>
      <c r="M4598" t="s">
        <v>11467</v>
      </c>
      <c r="N4598" t="s">
        <v>11468</v>
      </c>
      <c r="O4598" t="s">
        <v>11469</v>
      </c>
      <c r="P4598" t="s">
        <v>11470</v>
      </c>
    </row>
    <row r="4599" spans="1:16" x14ac:dyDescent="0.35">
      <c r="A4599" t="s">
        <v>11380</v>
      </c>
      <c r="B4599">
        <v>1322845178</v>
      </c>
      <c r="C4599" t="s">
        <v>18</v>
      </c>
      <c r="D4599" t="s">
        <v>21</v>
      </c>
      <c r="E4599" s="29">
        <v>46207</v>
      </c>
      <c r="F4599" t="s">
        <v>5</v>
      </c>
      <c r="G4599" s="28">
        <v>0.46388888888888891</v>
      </c>
      <c r="H4599" s="28">
        <v>0.46388888888888891</v>
      </c>
      <c r="I4599">
        <v>0</v>
      </c>
      <c r="J4599" t="s">
        <v>174</v>
      </c>
      <c r="K4599">
        <v>0</v>
      </c>
      <c r="L4599" t="s">
        <v>4959</v>
      </c>
      <c r="M4599" t="s">
        <v>10304</v>
      </c>
      <c r="N4599" t="s">
        <v>10305</v>
      </c>
      <c r="O4599" t="s">
        <v>10306</v>
      </c>
      <c r="P4599" t="s">
        <v>10307</v>
      </c>
    </row>
    <row r="4600" spans="1:16" x14ac:dyDescent="0.35">
      <c r="A4600" t="s">
        <v>11380</v>
      </c>
      <c r="B4600">
        <v>1322845178</v>
      </c>
      <c r="C4600" t="s">
        <v>18</v>
      </c>
      <c r="D4600" t="s">
        <v>21</v>
      </c>
      <c r="E4600" s="29">
        <v>46207</v>
      </c>
      <c r="F4600" t="s">
        <v>5</v>
      </c>
      <c r="G4600" s="28">
        <v>0.47152777777777777</v>
      </c>
      <c r="H4600" s="28">
        <v>0.47152777777777777</v>
      </c>
      <c r="I4600">
        <v>0</v>
      </c>
      <c r="J4600" t="s">
        <v>174</v>
      </c>
      <c r="K4600">
        <v>0</v>
      </c>
      <c r="L4600" t="s">
        <v>6475</v>
      </c>
      <c r="M4600" t="s">
        <v>9441</v>
      </c>
      <c r="N4600" t="s">
        <v>9442</v>
      </c>
      <c r="O4600" t="s">
        <v>9443</v>
      </c>
      <c r="P4600" t="s">
        <v>9444</v>
      </c>
    </row>
    <row r="4601" spans="1:16" x14ac:dyDescent="0.35">
      <c r="A4601" t="s">
        <v>11380</v>
      </c>
      <c r="B4601">
        <v>1322845178</v>
      </c>
      <c r="C4601" t="s">
        <v>18</v>
      </c>
      <c r="D4601" t="s">
        <v>21</v>
      </c>
      <c r="E4601" s="29">
        <v>46207</v>
      </c>
      <c r="F4601" t="s">
        <v>5</v>
      </c>
      <c r="G4601" s="28">
        <v>0.4777777777777778</v>
      </c>
      <c r="H4601" s="28">
        <v>0.4777777777777778</v>
      </c>
      <c r="I4601">
        <v>0</v>
      </c>
      <c r="J4601" t="s">
        <v>174</v>
      </c>
      <c r="K4601">
        <v>0</v>
      </c>
      <c r="L4601" t="s">
        <v>1440</v>
      </c>
      <c r="M4601" t="s">
        <v>11471</v>
      </c>
      <c r="N4601" t="s">
        <v>11472</v>
      </c>
      <c r="O4601" t="s">
        <v>11473</v>
      </c>
      <c r="P4601" t="s">
        <v>11474</v>
      </c>
    </row>
    <row r="4602" spans="1:16" x14ac:dyDescent="0.35">
      <c r="A4602" t="s">
        <v>11380</v>
      </c>
      <c r="B4602">
        <v>1322845178</v>
      </c>
      <c r="C4602" t="s">
        <v>18</v>
      </c>
      <c r="D4602" t="s">
        <v>21</v>
      </c>
      <c r="E4602" s="29">
        <v>46207</v>
      </c>
      <c r="F4602" t="s">
        <v>5</v>
      </c>
      <c r="G4602" s="28">
        <v>0.48472222222222222</v>
      </c>
      <c r="H4602" s="28">
        <v>0.48472222222222222</v>
      </c>
      <c r="I4602">
        <v>0</v>
      </c>
      <c r="J4602" t="s">
        <v>174</v>
      </c>
      <c r="K4602">
        <v>0</v>
      </c>
      <c r="L4602" t="s">
        <v>359</v>
      </c>
      <c r="M4602" t="s">
        <v>11475</v>
      </c>
      <c r="N4602" t="s">
        <v>11476</v>
      </c>
      <c r="O4602" t="s">
        <v>11477</v>
      </c>
      <c r="P4602" t="s">
        <v>499</v>
      </c>
    </row>
    <row r="4603" spans="1:16" x14ac:dyDescent="0.35">
      <c r="A4603" t="s">
        <v>11380</v>
      </c>
      <c r="B4603">
        <v>1322845178</v>
      </c>
      <c r="C4603" t="s">
        <v>18</v>
      </c>
      <c r="D4603" t="s">
        <v>21</v>
      </c>
      <c r="E4603" s="29">
        <v>46207</v>
      </c>
      <c r="F4603" t="s">
        <v>5</v>
      </c>
      <c r="G4603" s="28">
        <v>0.49166666666666664</v>
      </c>
      <c r="H4603" s="28">
        <v>0.54027777777777775</v>
      </c>
      <c r="I4603">
        <v>1</v>
      </c>
      <c r="J4603" t="s">
        <v>146</v>
      </c>
      <c r="K4603">
        <v>4</v>
      </c>
      <c r="L4603" t="s">
        <v>147</v>
      </c>
      <c r="M4603" t="s">
        <v>11478</v>
      </c>
      <c r="N4603" t="s">
        <v>11479</v>
      </c>
      <c r="O4603" t="s">
        <v>11480</v>
      </c>
      <c r="P4603" t="s">
        <v>11481</v>
      </c>
    </row>
    <row r="4604" spans="1:16" x14ac:dyDescent="0.35">
      <c r="A4604" t="s">
        <v>11380</v>
      </c>
      <c r="B4604">
        <v>1322845178</v>
      </c>
      <c r="C4604" t="s">
        <v>18</v>
      </c>
      <c r="D4604" t="s">
        <v>21</v>
      </c>
      <c r="E4604" s="29">
        <v>46207</v>
      </c>
      <c r="F4604" t="s">
        <v>5</v>
      </c>
      <c r="G4604" s="28">
        <v>0.54722222222222228</v>
      </c>
      <c r="H4604" s="28">
        <v>0.5541666666666667</v>
      </c>
      <c r="I4604">
        <v>0</v>
      </c>
      <c r="J4604" t="s">
        <v>146</v>
      </c>
      <c r="K4604">
        <v>0</v>
      </c>
      <c r="L4604" t="s">
        <v>147</v>
      </c>
      <c r="M4604" t="s">
        <v>11482</v>
      </c>
      <c r="N4604" t="s">
        <v>11483</v>
      </c>
      <c r="O4604" t="s">
        <v>11484</v>
      </c>
      <c r="P4604" t="s">
        <v>2734</v>
      </c>
    </row>
    <row r="4605" spans="1:16" x14ac:dyDescent="0.35">
      <c r="A4605" t="s">
        <v>11380</v>
      </c>
      <c r="B4605">
        <v>1322845178</v>
      </c>
      <c r="C4605" t="s">
        <v>18</v>
      </c>
      <c r="D4605" t="s">
        <v>21</v>
      </c>
      <c r="E4605" s="29">
        <v>46207</v>
      </c>
      <c r="F4605" t="s">
        <v>5</v>
      </c>
      <c r="G4605" s="28">
        <v>0.56111111111111112</v>
      </c>
      <c r="H4605" s="28">
        <v>0.56805555555555554</v>
      </c>
      <c r="I4605">
        <v>0</v>
      </c>
      <c r="J4605" t="s">
        <v>146</v>
      </c>
      <c r="K4605">
        <v>0</v>
      </c>
      <c r="L4605" t="s">
        <v>147</v>
      </c>
      <c r="M4605" t="s">
        <v>11485</v>
      </c>
      <c r="N4605" t="s">
        <v>11486</v>
      </c>
      <c r="O4605" t="s">
        <v>11487</v>
      </c>
      <c r="P4605" t="s">
        <v>11488</v>
      </c>
    </row>
    <row r="4606" spans="1:16" x14ac:dyDescent="0.35">
      <c r="A4606" t="s">
        <v>11380</v>
      </c>
      <c r="B4606">
        <v>1322845178</v>
      </c>
      <c r="C4606" t="s">
        <v>18</v>
      </c>
      <c r="D4606" t="s">
        <v>21</v>
      </c>
      <c r="E4606" s="29">
        <v>46207</v>
      </c>
      <c r="F4606" t="s">
        <v>5</v>
      </c>
      <c r="G4606" s="28">
        <v>0.57499999999999996</v>
      </c>
      <c r="H4606" s="28">
        <v>0.57499999999999996</v>
      </c>
      <c r="I4606">
        <v>0</v>
      </c>
      <c r="J4606" t="s">
        <v>174</v>
      </c>
      <c r="K4606">
        <v>0</v>
      </c>
      <c r="L4606" t="s">
        <v>11489</v>
      </c>
      <c r="M4606" t="s">
        <v>11471</v>
      </c>
      <c r="N4606" t="s">
        <v>11490</v>
      </c>
      <c r="O4606" t="s">
        <v>11491</v>
      </c>
      <c r="P4606" t="s">
        <v>11492</v>
      </c>
    </row>
    <row r="4607" spans="1:16" x14ac:dyDescent="0.35">
      <c r="A4607" t="s">
        <v>11380</v>
      </c>
      <c r="B4607">
        <v>1322845178</v>
      </c>
      <c r="C4607" t="s">
        <v>18</v>
      </c>
      <c r="D4607" t="s">
        <v>21</v>
      </c>
      <c r="E4607" s="29">
        <v>46207</v>
      </c>
      <c r="F4607" t="s">
        <v>5</v>
      </c>
      <c r="G4607" s="28">
        <v>0.58194444444444449</v>
      </c>
      <c r="H4607" s="28">
        <v>0.58194444444444449</v>
      </c>
      <c r="I4607">
        <v>0</v>
      </c>
      <c r="J4607" t="s">
        <v>174</v>
      </c>
      <c r="K4607">
        <v>0</v>
      </c>
      <c r="L4607" t="s">
        <v>6951</v>
      </c>
      <c r="M4607" t="s">
        <v>11493</v>
      </c>
      <c r="N4607" t="s">
        <v>11494</v>
      </c>
      <c r="O4607" t="s">
        <v>11495</v>
      </c>
      <c r="P4607" t="s">
        <v>11496</v>
      </c>
    </row>
    <row r="4608" spans="1:16" x14ac:dyDescent="0.35">
      <c r="A4608" t="s">
        <v>11380</v>
      </c>
      <c r="B4608">
        <v>1322845178</v>
      </c>
      <c r="C4608" t="s">
        <v>18</v>
      </c>
      <c r="D4608" t="s">
        <v>21</v>
      </c>
      <c r="E4608" s="29">
        <v>46207</v>
      </c>
      <c r="F4608" t="s">
        <v>5</v>
      </c>
      <c r="G4608" s="28">
        <v>0.58888888888888891</v>
      </c>
      <c r="H4608" s="28">
        <v>0.58888888888888891</v>
      </c>
      <c r="I4608">
        <v>0</v>
      </c>
      <c r="J4608" t="s">
        <v>174</v>
      </c>
      <c r="K4608">
        <v>0</v>
      </c>
      <c r="L4608" t="s">
        <v>4706</v>
      </c>
      <c r="M4608" t="s">
        <v>9437</v>
      </c>
      <c r="N4608" t="s">
        <v>9438</v>
      </c>
      <c r="O4608" t="s">
        <v>9439</v>
      </c>
      <c r="P4608" t="s">
        <v>9440</v>
      </c>
    </row>
    <row r="4609" spans="1:16" x14ac:dyDescent="0.35">
      <c r="A4609" t="s">
        <v>11380</v>
      </c>
      <c r="B4609">
        <v>1322845178</v>
      </c>
      <c r="C4609" t="s">
        <v>18</v>
      </c>
      <c r="D4609" t="s">
        <v>21</v>
      </c>
      <c r="E4609" s="29">
        <v>46207</v>
      </c>
      <c r="F4609" t="s">
        <v>5</v>
      </c>
      <c r="G4609" s="28">
        <v>0.59583333333333333</v>
      </c>
      <c r="H4609" s="28">
        <v>0.59583333333333333</v>
      </c>
      <c r="I4609">
        <v>0</v>
      </c>
      <c r="J4609" t="s">
        <v>174</v>
      </c>
      <c r="K4609">
        <v>0</v>
      </c>
      <c r="L4609" t="s">
        <v>8312</v>
      </c>
      <c r="M4609" t="s">
        <v>11497</v>
      </c>
      <c r="N4609" t="s">
        <v>11498</v>
      </c>
      <c r="O4609" t="s">
        <v>11499</v>
      </c>
      <c r="P4609" t="s">
        <v>9446</v>
      </c>
    </row>
    <row r="4610" spans="1:16" x14ac:dyDescent="0.35">
      <c r="A4610" t="s">
        <v>11380</v>
      </c>
      <c r="B4610">
        <v>1322845178</v>
      </c>
      <c r="C4610" t="s">
        <v>18</v>
      </c>
      <c r="D4610" t="s">
        <v>21</v>
      </c>
      <c r="E4610" s="29">
        <v>46207</v>
      </c>
      <c r="F4610" t="s">
        <v>5</v>
      </c>
      <c r="G4610" s="28">
        <v>0.60277777777777775</v>
      </c>
      <c r="H4610" s="28">
        <v>0.60277777777777775</v>
      </c>
      <c r="I4610">
        <v>0</v>
      </c>
      <c r="J4610" t="s">
        <v>174</v>
      </c>
      <c r="K4610">
        <v>0</v>
      </c>
      <c r="L4610" t="s">
        <v>442</v>
      </c>
      <c r="M4610" t="s">
        <v>11500</v>
      </c>
      <c r="N4610" t="s">
        <v>11501</v>
      </c>
      <c r="O4610" t="s">
        <v>11502</v>
      </c>
      <c r="P4610" t="s">
        <v>11503</v>
      </c>
    </row>
    <row r="4611" spans="1:16" x14ac:dyDescent="0.35">
      <c r="A4611" t="s">
        <v>11380</v>
      </c>
      <c r="B4611">
        <v>1322845178</v>
      </c>
      <c r="C4611" t="s">
        <v>18</v>
      </c>
      <c r="D4611" t="s">
        <v>21</v>
      </c>
      <c r="E4611" s="29">
        <v>46207</v>
      </c>
      <c r="F4611" t="s">
        <v>5</v>
      </c>
      <c r="G4611" s="28">
        <v>0.60972222222222228</v>
      </c>
      <c r="H4611" s="28">
        <v>0.60972222222222228</v>
      </c>
      <c r="I4611">
        <v>0</v>
      </c>
      <c r="J4611" t="s">
        <v>174</v>
      </c>
      <c r="K4611">
        <v>0</v>
      </c>
      <c r="L4611" t="s">
        <v>5905</v>
      </c>
      <c r="M4611" t="s">
        <v>11467</v>
      </c>
      <c r="N4611" t="s">
        <v>11468</v>
      </c>
      <c r="O4611" t="s">
        <v>11469</v>
      </c>
      <c r="P4611" t="s">
        <v>11470</v>
      </c>
    </row>
    <row r="4612" spans="1:16" x14ac:dyDescent="0.35">
      <c r="A4612" t="s">
        <v>11380</v>
      </c>
      <c r="B4612">
        <v>1322845178</v>
      </c>
      <c r="C4612" t="s">
        <v>18</v>
      </c>
      <c r="D4612" t="s">
        <v>21</v>
      </c>
      <c r="E4612" s="29">
        <v>46207</v>
      </c>
      <c r="F4612" t="s">
        <v>5</v>
      </c>
      <c r="G4612" s="28">
        <v>0.6166666666666667</v>
      </c>
      <c r="H4612" s="28">
        <v>0.6166666666666667</v>
      </c>
      <c r="I4612">
        <v>0</v>
      </c>
      <c r="J4612" t="s">
        <v>174</v>
      </c>
      <c r="K4612">
        <v>0</v>
      </c>
      <c r="L4612" t="s">
        <v>11504</v>
      </c>
      <c r="M4612" t="s">
        <v>11505</v>
      </c>
      <c r="N4612" t="s">
        <v>11506</v>
      </c>
      <c r="O4612" t="s">
        <v>11507</v>
      </c>
      <c r="P4612" t="s">
        <v>11508</v>
      </c>
    </row>
    <row r="4613" spans="1:16" x14ac:dyDescent="0.35">
      <c r="A4613" t="s">
        <v>11380</v>
      </c>
      <c r="B4613">
        <v>1322845178</v>
      </c>
      <c r="C4613" t="s">
        <v>18</v>
      </c>
      <c r="D4613" t="s">
        <v>21</v>
      </c>
      <c r="E4613" s="29">
        <v>46207</v>
      </c>
      <c r="F4613" t="s">
        <v>5</v>
      </c>
      <c r="G4613" s="28">
        <v>0.63055555555555554</v>
      </c>
      <c r="H4613" s="28">
        <v>0.63055555555555554</v>
      </c>
      <c r="I4613">
        <v>0</v>
      </c>
      <c r="J4613" t="s">
        <v>174</v>
      </c>
      <c r="K4613">
        <v>0</v>
      </c>
      <c r="L4613" t="s">
        <v>2416</v>
      </c>
      <c r="M4613" t="s">
        <v>2284</v>
      </c>
      <c r="N4613" t="s">
        <v>2285</v>
      </c>
      <c r="O4613" t="s">
        <v>2286</v>
      </c>
      <c r="P4613" t="s">
        <v>2287</v>
      </c>
    </row>
    <row r="4614" spans="1:16" x14ac:dyDescent="0.35">
      <c r="A4614" t="s">
        <v>11380</v>
      </c>
      <c r="B4614">
        <v>1322845178</v>
      </c>
      <c r="C4614" t="s">
        <v>18</v>
      </c>
      <c r="D4614" t="s">
        <v>21</v>
      </c>
      <c r="E4614" s="29">
        <v>46207</v>
      </c>
      <c r="F4614" t="s">
        <v>5</v>
      </c>
      <c r="G4614" s="28">
        <v>0.63749999999999996</v>
      </c>
      <c r="H4614" s="28">
        <v>0.63749999999999996</v>
      </c>
      <c r="I4614">
        <v>0</v>
      </c>
      <c r="J4614" t="s">
        <v>174</v>
      </c>
      <c r="K4614">
        <v>0</v>
      </c>
      <c r="L4614" t="s">
        <v>2884</v>
      </c>
      <c r="M4614" t="s">
        <v>11435</v>
      </c>
      <c r="N4614" t="s">
        <v>11436</v>
      </c>
      <c r="O4614" t="s">
        <v>11437</v>
      </c>
      <c r="P4614" t="s">
        <v>11438</v>
      </c>
    </row>
    <row r="4615" spans="1:16" x14ac:dyDescent="0.35">
      <c r="A4615" t="s">
        <v>11380</v>
      </c>
      <c r="B4615">
        <v>1322845178</v>
      </c>
      <c r="C4615" t="s">
        <v>18</v>
      </c>
      <c r="D4615" t="s">
        <v>21</v>
      </c>
      <c r="E4615" s="29">
        <v>46207</v>
      </c>
      <c r="F4615" t="s">
        <v>5</v>
      </c>
      <c r="G4615" s="28">
        <v>0.64444444444444449</v>
      </c>
      <c r="H4615" s="28">
        <v>0.64444444444444449</v>
      </c>
      <c r="I4615">
        <v>0</v>
      </c>
      <c r="J4615" t="s">
        <v>174</v>
      </c>
      <c r="K4615">
        <v>0</v>
      </c>
      <c r="L4615" t="s">
        <v>394</v>
      </c>
      <c r="M4615" t="s">
        <v>11429</v>
      </c>
      <c r="N4615" t="s">
        <v>11400</v>
      </c>
      <c r="O4615" t="s">
        <v>11401</v>
      </c>
      <c r="P4615" t="s">
        <v>11402</v>
      </c>
    </row>
    <row r="4616" spans="1:16" x14ac:dyDescent="0.35">
      <c r="A4616" t="s">
        <v>11380</v>
      </c>
      <c r="B4616">
        <v>1322845178</v>
      </c>
      <c r="C4616" t="s">
        <v>18</v>
      </c>
      <c r="D4616" t="s">
        <v>21</v>
      </c>
      <c r="E4616" s="29">
        <v>46207</v>
      </c>
      <c r="F4616" t="s">
        <v>5</v>
      </c>
      <c r="G4616" s="28">
        <v>0.65138888888888891</v>
      </c>
      <c r="H4616" s="28">
        <v>0.66527777777777775</v>
      </c>
      <c r="I4616">
        <v>0</v>
      </c>
      <c r="J4616" t="s">
        <v>146</v>
      </c>
      <c r="K4616">
        <v>1</v>
      </c>
      <c r="L4616" t="s">
        <v>147</v>
      </c>
      <c r="M4616" t="s">
        <v>11430</v>
      </c>
      <c r="N4616" t="s">
        <v>11431</v>
      </c>
      <c r="O4616" t="s">
        <v>11432</v>
      </c>
      <c r="P4616" t="s">
        <v>11433</v>
      </c>
    </row>
    <row r="4617" spans="1:16" x14ac:dyDescent="0.35">
      <c r="A4617" t="s">
        <v>11380</v>
      </c>
      <c r="B4617">
        <v>1322845178</v>
      </c>
      <c r="C4617" t="s">
        <v>18</v>
      </c>
      <c r="D4617" t="s">
        <v>21</v>
      </c>
      <c r="E4617" s="29">
        <v>46207</v>
      </c>
      <c r="F4617" t="s">
        <v>5</v>
      </c>
      <c r="G4617" s="28">
        <v>0.67222222222222228</v>
      </c>
      <c r="H4617" s="28">
        <v>0.67222222222222228</v>
      </c>
      <c r="I4617">
        <v>0</v>
      </c>
      <c r="J4617" t="s">
        <v>174</v>
      </c>
      <c r="K4617">
        <v>0</v>
      </c>
      <c r="L4617" t="s">
        <v>3245</v>
      </c>
      <c r="M4617" t="s">
        <v>2365</v>
      </c>
      <c r="N4617" t="s">
        <v>2366</v>
      </c>
      <c r="O4617" t="s">
        <v>2367</v>
      </c>
      <c r="P4617" t="s">
        <v>2368</v>
      </c>
    </row>
    <row r="4618" spans="1:16" x14ac:dyDescent="0.35">
      <c r="A4618" t="s">
        <v>11380</v>
      </c>
      <c r="B4618">
        <v>1322845178</v>
      </c>
      <c r="C4618" t="s">
        <v>18</v>
      </c>
      <c r="D4618" t="s">
        <v>21</v>
      </c>
      <c r="E4618" s="29">
        <v>46207</v>
      </c>
      <c r="F4618" t="s">
        <v>5</v>
      </c>
      <c r="G4618" s="28">
        <v>0.6791666666666667</v>
      </c>
      <c r="H4618" s="28">
        <v>0.6791666666666667</v>
      </c>
      <c r="I4618">
        <v>0</v>
      </c>
      <c r="J4618" t="s">
        <v>174</v>
      </c>
      <c r="K4618">
        <v>0</v>
      </c>
      <c r="L4618" t="s">
        <v>466</v>
      </c>
      <c r="M4618" t="s">
        <v>2253</v>
      </c>
      <c r="N4618" t="s">
        <v>2254</v>
      </c>
      <c r="O4618" t="s">
        <v>2255</v>
      </c>
      <c r="P4618" t="s">
        <v>2256</v>
      </c>
    </row>
    <row r="4619" spans="1:16" x14ac:dyDescent="0.35">
      <c r="A4619" t="s">
        <v>11380</v>
      </c>
      <c r="B4619">
        <v>1322845178</v>
      </c>
      <c r="C4619" t="s">
        <v>18</v>
      </c>
      <c r="D4619" t="s">
        <v>21</v>
      </c>
      <c r="E4619" s="29">
        <v>46207</v>
      </c>
      <c r="F4619" t="s">
        <v>5</v>
      </c>
      <c r="G4619" s="28">
        <v>0.68611111111111112</v>
      </c>
      <c r="H4619" s="28">
        <v>0.69305555555555554</v>
      </c>
      <c r="I4619">
        <v>0</v>
      </c>
      <c r="J4619" t="s">
        <v>146</v>
      </c>
      <c r="K4619">
        <v>0</v>
      </c>
      <c r="L4619" t="s">
        <v>147</v>
      </c>
      <c r="M4619" t="s">
        <v>11509</v>
      </c>
      <c r="N4619" t="s">
        <v>11510</v>
      </c>
      <c r="O4619" t="s">
        <v>11511</v>
      </c>
      <c r="P4619" t="s">
        <v>11512</v>
      </c>
    </row>
    <row r="4620" spans="1:16" x14ac:dyDescent="0.35">
      <c r="A4620" t="s">
        <v>11380</v>
      </c>
      <c r="B4620">
        <v>1322845178</v>
      </c>
      <c r="C4620" t="s">
        <v>18</v>
      </c>
      <c r="D4620" t="s">
        <v>21</v>
      </c>
      <c r="E4620" s="29">
        <v>46207</v>
      </c>
      <c r="F4620" t="s">
        <v>5</v>
      </c>
      <c r="G4620" s="28">
        <v>0.7</v>
      </c>
      <c r="H4620" s="28">
        <v>0.7</v>
      </c>
      <c r="I4620">
        <v>0</v>
      </c>
      <c r="J4620" t="s">
        <v>174</v>
      </c>
      <c r="K4620">
        <v>0</v>
      </c>
      <c r="L4620" t="s">
        <v>3193</v>
      </c>
      <c r="M4620" t="s">
        <v>11513</v>
      </c>
      <c r="N4620" t="s">
        <v>11514</v>
      </c>
      <c r="O4620" t="s">
        <v>11515</v>
      </c>
      <c r="P4620" t="s">
        <v>11516</v>
      </c>
    </row>
    <row r="4621" spans="1:16" x14ac:dyDescent="0.35">
      <c r="A4621" t="s">
        <v>11380</v>
      </c>
      <c r="B4621">
        <v>1322845178</v>
      </c>
      <c r="C4621" t="s">
        <v>18</v>
      </c>
      <c r="D4621" t="s">
        <v>21</v>
      </c>
      <c r="E4621" s="29">
        <v>46207</v>
      </c>
      <c r="F4621" t="s">
        <v>5</v>
      </c>
      <c r="G4621" s="28">
        <v>0.70694444444444449</v>
      </c>
      <c r="H4621" s="28">
        <v>0.72083333333333333</v>
      </c>
      <c r="I4621">
        <v>0</v>
      </c>
      <c r="J4621" t="s">
        <v>146</v>
      </c>
      <c r="K4621">
        <v>1</v>
      </c>
      <c r="L4621" t="s">
        <v>147</v>
      </c>
      <c r="M4621" t="s">
        <v>2296</v>
      </c>
      <c r="N4621" t="s">
        <v>2297</v>
      </c>
      <c r="O4621" t="s">
        <v>2298</v>
      </c>
      <c r="P4621" t="s">
        <v>2299</v>
      </c>
    </row>
    <row r="4622" spans="1:16" x14ac:dyDescent="0.35">
      <c r="A4622" t="s">
        <v>11380</v>
      </c>
      <c r="B4622">
        <v>1322845178</v>
      </c>
      <c r="C4622" t="s">
        <v>18</v>
      </c>
      <c r="D4622" t="s">
        <v>21</v>
      </c>
      <c r="E4622" s="29">
        <v>46207</v>
      </c>
      <c r="F4622" t="s">
        <v>5</v>
      </c>
      <c r="G4622" s="28">
        <v>0.72777777777777775</v>
      </c>
      <c r="H4622" s="28">
        <v>0.74861111111111112</v>
      </c>
      <c r="I4622">
        <v>1</v>
      </c>
      <c r="J4622" t="s">
        <v>146</v>
      </c>
      <c r="K4622">
        <v>2</v>
      </c>
      <c r="L4622" t="s">
        <v>147</v>
      </c>
      <c r="M4622" t="s">
        <v>2301</v>
      </c>
      <c r="N4622" t="s">
        <v>2302</v>
      </c>
      <c r="O4622" t="s">
        <v>2303</v>
      </c>
      <c r="P4622" t="s">
        <v>2304</v>
      </c>
    </row>
    <row r="4623" spans="1:16" x14ac:dyDescent="0.35">
      <c r="A4623" t="s">
        <v>11380</v>
      </c>
      <c r="B4623">
        <v>1322845178</v>
      </c>
      <c r="C4623" t="s">
        <v>18</v>
      </c>
      <c r="D4623" t="s">
        <v>21</v>
      </c>
      <c r="E4623" s="29">
        <v>46207</v>
      </c>
      <c r="F4623" t="s">
        <v>5</v>
      </c>
      <c r="G4623" s="28">
        <v>0.75555555555555554</v>
      </c>
      <c r="H4623" s="28">
        <v>0.75555555555555554</v>
      </c>
      <c r="I4623">
        <v>0</v>
      </c>
      <c r="J4623" t="s">
        <v>174</v>
      </c>
      <c r="K4623">
        <v>0</v>
      </c>
      <c r="L4623" t="s">
        <v>519</v>
      </c>
      <c r="M4623" t="s">
        <v>6060</v>
      </c>
      <c r="N4623" t="s">
        <v>6061</v>
      </c>
      <c r="O4623" t="s">
        <v>6062</v>
      </c>
      <c r="P4623" t="s">
        <v>11517</v>
      </c>
    </row>
    <row r="4624" spans="1:16" x14ac:dyDescent="0.35">
      <c r="A4624" t="s">
        <v>11380</v>
      </c>
      <c r="B4624">
        <v>1322845178</v>
      </c>
      <c r="C4624" t="s">
        <v>18</v>
      </c>
      <c r="D4624" t="s">
        <v>21</v>
      </c>
      <c r="E4624" s="29">
        <v>46207</v>
      </c>
      <c r="F4624" t="s">
        <v>5</v>
      </c>
      <c r="G4624" s="28">
        <v>0.76249999999999996</v>
      </c>
      <c r="H4624" s="28">
        <v>0.77638888888888891</v>
      </c>
      <c r="I4624">
        <v>0</v>
      </c>
      <c r="J4624" t="s">
        <v>146</v>
      </c>
      <c r="K4624">
        <v>1</v>
      </c>
      <c r="L4624" t="s">
        <v>147</v>
      </c>
      <c r="M4624" t="s">
        <v>11518</v>
      </c>
      <c r="N4624" t="s">
        <v>11519</v>
      </c>
      <c r="O4624" t="s">
        <v>11520</v>
      </c>
      <c r="P4624" t="s">
        <v>11521</v>
      </c>
    </row>
    <row r="4625" spans="1:16" x14ac:dyDescent="0.35">
      <c r="A4625" t="s">
        <v>11380</v>
      </c>
      <c r="B4625">
        <v>1322845178</v>
      </c>
      <c r="C4625" t="s">
        <v>18</v>
      </c>
      <c r="D4625" t="s">
        <v>21</v>
      </c>
      <c r="E4625" s="29">
        <v>46207</v>
      </c>
      <c r="F4625" t="s">
        <v>5</v>
      </c>
      <c r="G4625" s="28">
        <v>0.78333333333333333</v>
      </c>
      <c r="H4625" s="28">
        <v>0.78333333333333333</v>
      </c>
      <c r="I4625">
        <v>0</v>
      </c>
      <c r="J4625" t="s">
        <v>174</v>
      </c>
      <c r="K4625">
        <v>0</v>
      </c>
      <c r="L4625" t="s">
        <v>648</v>
      </c>
      <c r="M4625" t="s">
        <v>11522</v>
      </c>
      <c r="N4625" t="s">
        <v>11523</v>
      </c>
      <c r="O4625" t="s">
        <v>11524</v>
      </c>
      <c r="P4625" t="s">
        <v>11525</v>
      </c>
    </row>
    <row r="4626" spans="1:16" x14ac:dyDescent="0.35">
      <c r="A4626" t="s">
        <v>11380</v>
      </c>
      <c r="B4626">
        <v>1322845178</v>
      </c>
      <c r="C4626" t="s">
        <v>18</v>
      </c>
      <c r="D4626" t="s">
        <v>21</v>
      </c>
      <c r="E4626" s="29">
        <v>46207</v>
      </c>
      <c r="F4626" t="s">
        <v>5</v>
      </c>
      <c r="G4626" s="28">
        <v>0.79027777777777775</v>
      </c>
      <c r="H4626" s="28">
        <v>0.79722222222222228</v>
      </c>
      <c r="I4626">
        <v>0</v>
      </c>
      <c r="J4626" t="s">
        <v>146</v>
      </c>
      <c r="K4626">
        <v>1</v>
      </c>
      <c r="L4626" t="s">
        <v>147</v>
      </c>
      <c r="M4626" t="s">
        <v>11526</v>
      </c>
      <c r="N4626" t="s">
        <v>11527</v>
      </c>
      <c r="O4626" t="s">
        <v>9447</v>
      </c>
      <c r="P4626" t="s">
        <v>11528</v>
      </c>
    </row>
    <row r="4627" spans="1:16" x14ac:dyDescent="0.35">
      <c r="A4627" t="s">
        <v>11380</v>
      </c>
      <c r="B4627">
        <v>1322845178</v>
      </c>
      <c r="C4627" t="s">
        <v>18</v>
      </c>
      <c r="D4627" t="s">
        <v>21</v>
      </c>
      <c r="E4627" s="29">
        <v>46208</v>
      </c>
      <c r="F4627" t="s">
        <v>6</v>
      </c>
      <c r="G4627" s="28">
        <v>0.40138888888888891</v>
      </c>
      <c r="H4627" s="28">
        <v>0.40138888888888891</v>
      </c>
      <c r="I4627">
        <v>0</v>
      </c>
      <c r="J4627" t="s">
        <v>174</v>
      </c>
      <c r="K4627">
        <v>0</v>
      </c>
      <c r="L4627" t="s">
        <v>2309</v>
      </c>
      <c r="M4627" t="s">
        <v>11399</v>
      </c>
      <c r="N4627" t="s">
        <v>11400</v>
      </c>
      <c r="O4627" t="s">
        <v>11401</v>
      </c>
      <c r="P4627" t="s">
        <v>11402</v>
      </c>
    </row>
    <row r="4628" spans="1:16" x14ac:dyDescent="0.35">
      <c r="A4628" t="s">
        <v>11380</v>
      </c>
      <c r="B4628">
        <v>1322845178</v>
      </c>
      <c r="C4628" t="s">
        <v>18</v>
      </c>
      <c r="D4628" t="s">
        <v>21</v>
      </c>
      <c r="E4628" s="29">
        <v>46208</v>
      </c>
      <c r="F4628" t="s">
        <v>6</v>
      </c>
      <c r="G4628" s="28">
        <v>0.40833333333333333</v>
      </c>
      <c r="H4628" s="28">
        <v>0.40833333333333333</v>
      </c>
      <c r="I4628">
        <v>0</v>
      </c>
      <c r="J4628" t="s">
        <v>174</v>
      </c>
      <c r="K4628">
        <v>0</v>
      </c>
      <c r="L4628" t="s">
        <v>10071</v>
      </c>
      <c r="M4628" t="s">
        <v>2284</v>
      </c>
      <c r="N4628" t="s">
        <v>2285</v>
      </c>
      <c r="O4628" t="s">
        <v>2286</v>
      </c>
      <c r="P4628" t="s">
        <v>2287</v>
      </c>
    </row>
    <row r="4629" spans="1:16" x14ac:dyDescent="0.35">
      <c r="A4629" t="s">
        <v>11380</v>
      </c>
      <c r="B4629">
        <v>1322845178</v>
      </c>
      <c r="C4629" t="s">
        <v>18</v>
      </c>
      <c r="D4629" t="s">
        <v>21</v>
      </c>
      <c r="E4629" s="29">
        <v>46208</v>
      </c>
      <c r="F4629" t="s">
        <v>6</v>
      </c>
      <c r="G4629" s="28">
        <v>0.4152777777777778</v>
      </c>
      <c r="H4629" s="28">
        <v>0.4152777777777778</v>
      </c>
      <c r="I4629">
        <v>0</v>
      </c>
      <c r="J4629" t="s">
        <v>174</v>
      </c>
      <c r="K4629">
        <v>0</v>
      </c>
      <c r="L4629" t="s">
        <v>2185</v>
      </c>
      <c r="M4629" t="s">
        <v>6043</v>
      </c>
      <c r="N4629" t="s">
        <v>3692</v>
      </c>
      <c r="O4629" t="s">
        <v>6044</v>
      </c>
      <c r="P4629" t="s">
        <v>10518</v>
      </c>
    </row>
    <row r="4630" spans="1:16" x14ac:dyDescent="0.35">
      <c r="A4630" t="s">
        <v>11380</v>
      </c>
      <c r="B4630">
        <v>1322845178</v>
      </c>
      <c r="C4630" t="s">
        <v>18</v>
      </c>
      <c r="D4630" t="s">
        <v>21</v>
      </c>
      <c r="E4630" s="29">
        <v>46208</v>
      </c>
      <c r="F4630" t="s">
        <v>6</v>
      </c>
      <c r="G4630" s="28">
        <v>0.42222222222222222</v>
      </c>
      <c r="H4630" s="28">
        <v>0.42222222222222222</v>
      </c>
      <c r="I4630">
        <v>0</v>
      </c>
      <c r="J4630" t="s">
        <v>174</v>
      </c>
      <c r="K4630">
        <v>0</v>
      </c>
      <c r="L4630" t="s">
        <v>8099</v>
      </c>
      <c r="M4630" t="s">
        <v>11529</v>
      </c>
      <c r="N4630" t="s">
        <v>11530</v>
      </c>
      <c r="O4630" t="s">
        <v>11531</v>
      </c>
      <c r="P4630" t="s">
        <v>11532</v>
      </c>
    </row>
    <row r="4631" spans="1:16" x14ac:dyDescent="0.35">
      <c r="A4631" t="s">
        <v>11380</v>
      </c>
      <c r="B4631">
        <v>1322845178</v>
      </c>
      <c r="C4631" t="s">
        <v>18</v>
      </c>
      <c r="D4631" t="s">
        <v>21</v>
      </c>
      <c r="E4631" s="29">
        <v>46208</v>
      </c>
      <c r="F4631" t="s">
        <v>6</v>
      </c>
      <c r="G4631" s="28">
        <v>0.42916666666666664</v>
      </c>
      <c r="H4631" s="28">
        <v>0.42916666666666664</v>
      </c>
      <c r="I4631">
        <v>0</v>
      </c>
      <c r="J4631" t="s">
        <v>174</v>
      </c>
      <c r="K4631">
        <v>0</v>
      </c>
      <c r="L4631" t="s">
        <v>3836</v>
      </c>
      <c r="M4631" t="s">
        <v>462</v>
      </c>
      <c r="N4631" t="s">
        <v>463</v>
      </c>
      <c r="O4631" t="s">
        <v>464</v>
      </c>
      <c r="P4631" t="s">
        <v>11533</v>
      </c>
    </row>
    <row r="4632" spans="1:16" x14ac:dyDescent="0.35">
      <c r="A4632" t="s">
        <v>11380</v>
      </c>
      <c r="B4632">
        <v>1322845178</v>
      </c>
      <c r="C4632" t="s">
        <v>18</v>
      </c>
      <c r="D4632" t="s">
        <v>21</v>
      </c>
      <c r="E4632" s="29">
        <v>46208</v>
      </c>
      <c r="F4632" t="s">
        <v>6</v>
      </c>
      <c r="G4632" s="28">
        <v>0.43611111111111112</v>
      </c>
      <c r="H4632" s="28">
        <v>0.43611111111111112</v>
      </c>
      <c r="I4632">
        <v>0</v>
      </c>
      <c r="J4632" t="s">
        <v>174</v>
      </c>
      <c r="K4632">
        <v>0</v>
      </c>
      <c r="L4632" t="s">
        <v>2128</v>
      </c>
      <c r="M4632" t="s">
        <v>6027</v>
      </c>
      <c r="N4632" t="s">
        <v>6028</v>
      </c>
      <c r="O4632" t="s">
        <v>6029</v>
      </c>
      <c r="P4632" t="s">
        <v>11534</v>
      </c>
    </row>
    <row r="4633" spans="1:16" x14ac:dyDescent="0.35">
      <c r="A4633" t="s">
        <v>11380</v>
      </c>
      <c r="B4633">
        <v>1322845178</v>
      </c>
      <c r="C4633" t="s">
        <v>18</v>
      </c>
      <c r="D4633" t="s">
        <v>21</v>
      </c>
      <c r="E4633" s="29">
        <v>46208</v>
      </c>
      <c r="F4633" t="s">
        <v>6</v>
      </c>
      <c r="G4633" s="28">
        <v>0.44305555555555554</v>
      </c>
      <c r="H4633" s="28">
        <v>0.59583333333333333</v>
      </c>
      <c r="I4633">
        <v>4</v>
      </c>
      <c r="J4633" t="s">
        <v>146</v>
      </c>
      <c r="K4633">
        <v>11</v>
      </c>
      <c r="L4633" t="s">
        <v>147</v>
      </c>
      <c r="M4633" t="s">
        <v>414</v>
      </c>
      <c r="N4633" t="s">
        <v>415</v>
      </c>
      <c r="O4633" t="s">
        <v>416</v>
      </c>
      <c r="P4633" t="s">
        <v>2043</v>
      </c>
    </row>
    <row r="4634" spans="1:16" x14ac:dyDescent="0.35">
      <c r="A4634" t="s">
        <v>11380</v>
      </c>
      <c r="B4634">
        <v>1322845178</v>
      </c>
      <c r="C4634" t="s">
        <v>18</v>
      </c>
      <c r="D4634" t="s">
        <v>21</v>
      </c>
      <c r="E4634" s="29">
        <v>46208</v>
      </c>
      <c r="F4634" t="s">
        <v>6</v>
      </c>
      <c r="G4634" s="28">
        <v>0.60277777777777775</v>
      </c>
      <c r="H4634" s="28">
        <v>0.60277777777777775</v>
      </c>
      <c r="I4634">
        <v>0</v>
      </c>
      <c r="J4634" t="s">
        <v>174</v>
      </c>
      <c r="K4634">
        <v>0</v>
      </c>
      <c r="L4634" t="s">
        <v>418</v>
      </c>
      <c r="M4634" t="s">
        <v>419</v>
      </c>
      <c r="N4634" t="s">
        <v>420</v>
      </c>
      <c r="O4634" t="s">
        <v>421</v>
      </c>
      <c r="P4634" t="s">
        <v>9436</v>
      </c>
    </row>
    <row r="4635" spans="1:16" x14ac:dyDescent="0.35">
      <c r="A4635" t="s">
        <v>11380</v>
      </c>
      <c r="B4635">
        <v>1322845178</v>
      </c>
      <c r="C4635" t="s">
        <v>18</v>
      </c>
      <c r="D4635" t="s">
        <v>21</v>
      </c>
      <c r="E4635" s="29">
        <v>46208</v>
      </c>
      <c r="F4635" t="s">
        <v>6</v>
      </c>
      <c r="G4635" s="28">
        <v>0.60972222222222228</v>
      </c>
      <c r="H4635" s="28">
        <v>0.62361111111111112</v>
      </c>
      <c r="I4635">
        <v>0</v>
      </c>
      <c r="J4635" t="s">
        <v>146</v>
      </c>
      <c r="K4635">
        <v>1</v>
      </c>
      <c r="L4635" t="s">
        <v>147</v>
      </c>
      <c r="M4635" t="s">
        <v>414</v>
      </c>
      <c r="N4635" t="s">
        <v>415</v>
      </c>
      <c r="O4635" t="s">
        <v>416</v>
      </c>
      <c r="P4635" t="s">
        <v>2043</v>
      </c>
    </row>
    <row r="4636" spans="1:16" x14ac:dyDescent="0.35">
      <c r="A4636" t="s">
        <v>11380</v>
      </c>
      <c r="B4636">
        <v>1322845178</v>
      </c>
      <c r="C4636" t="s">
        <v>18</v>
      </c>
      <c r="D4636" t="s">
        <v>21</v>
      </c>
      <c r="E4636" s="29">
        <v>46208</v>
      </c>
      <c r="F4636" t="s">
        <v>6</v>
      </c>
      <c r="G4636" s="28">
        <v>0.63055555555555554</v>
      </c>
      <c r="H4636" s="28">
        <v>0.63055555555555554</v>
      </c>
      <c r="I4636">
        <v>0</v>
      </c>
      <c r="J4636" t="s">
        <v>174</v>
      </c>
      <c r="K4636">
        <v>0</v>
      </c>
      <c r="L4636" t="s">
        <v>1544</v>
      </c>
      <c r="M4636" t="s">
        <v>11376</v>
      </c>
      <c r="N4636" t="s">
        <v>11377</v>
      </c>
      <c r="O4636" t="s">
        <v>11378</v>
      </c>
      <c r="P4636" t="s">
        <v>11379</v>
      </c>
    </row>
    <row r="4637" spans="1:16" x14ac:dyDescent="0.35">
      <c r="A4637" t="s">
        <v>11380</v>
      </c>
      <c r="B4637">
        <v>1322845178</v>
      </c>
      <c r="C4637" t="s">
        <v>18</v>
      </c>
      <c r="D4637" t="s">
        <v>21</v>
      </c>
      <c r="E4637" s="29">
        <v>46208</v>
      </c>
      <c r="F4637" t="s">
        <v>6</v>
      </c>
      <c r="G4637" s="28">
        <v>0.63749999999999996</v>
      </c>
      <c r="H4637" s="28">
        <v>0.63749999999999996</v>
      </c>
      <c r="I4637">
        <v>0</v>
      </c>
      <c r="J4637" t="s">
        <v>174</v>
      </c>
      <c r="K4637">
        <v>0</v>
      </c>
      <c r="L4637" t="s">
        <v>5147</v>
      </c>
      <c r="M4637" t="s">
        <v>11535</v>
      </c>
      <c r="N4637" t="s">
        <v>11536</v>
      </c>
      <c r="O4637" t="s">
        <v>11537</v>
      </c>
      <c r="P4637" t="s">
        <v>11538</v>
      </c>
    </row>
    <row r="4638" spans="1:16" x14ac:dyDescent="0.35">
      <c r="A4638" t="s">
        <v>11380</v>
      </c>
      <c r="B4638">
        <v>1322845178</v>
      </c>
      <c r="C4638" t="s">
        <v>18</v>
      </c>
      <c r="D4638" t="s">
        <v>21</v>
      </c>
      <c r="E4638" s="29">
        <v>46208</v>
      </c>
      <c r="F4638" t="s">
        <v>6</v>
      </c>
      <c r="G4638" s="28">
        <v>0.64444444444444449</v>
      </c>
      <c r="H4638" s="28">
        <v>0.64444444444444449</v>
      </c>
      <c r="I4638">
        <v>0</v>
      </c>
      <c r="J4638" t="s">
        <v>174</v>
      </c>
      <c r="K4638">
        <v>0</v>
      </c>
      <c r="L4638" t="s">
        <v>8755</v>
      </c>
      <c r="M4638" t="s">
        <v>11539</v>
      </c>
      <c r="N4638" t="s">
        <v>11540</v>
      </c>
      <c r="O4638" t="s">
        <v>11541</v>
      </c>
      <c r="P4638" t="s">
        <v>11542</v>
      </c>
    </row>
    <row r="4639" spans="1:16" x14ac:dyDescent="0.35">
      <c r="A4639" t="s">
        <v>11380</v>
      </c>
      <c r="B4639">
        <v>1322845178</v>
      </c>
      <c r="C4639" t="s">
        <v>18</v>
      </c>
      <c r="D4639" t="s">
        <v>21</v>
      </c>
      <c r="E4639" s="29">
        <v>46208</v>
      </c>
      <c r="F4639" t="s">
        <v>6</v>
      </c>
      <c r="G4639" s="28">
        <v>0.65138888888888891</v>
      </c>
      <c r="H4639" s="28">
        <v>0.65138888888888891</v>
      </c>
      <c r="I4639">
        <v>0</v>
      </c>
      <c r="J4639" t="s">
        <v>174</v>
      </c>
      <c r="K4639">
        <v>0</v>
      </c>
      <c r="L4639" t="s">
        <v>8455</v>
      </c>
      <c r="M4639" t="s">
        <v>11543</v>
      </c>
      <c r="N4639" t="s">
        <v>11544</v>
      </c>
      <c r="O4639" t="s">
        <v>11545</v>
      </c>
      <c r="P4639" t="s">
        <v>11546</v>
      </c>
    </row>
    <row r="4640" spans="1:16" x14ac:dyDescent="0.35">
      <c r="A4640" t="s">
        <v>11380</v>
      </c>
      <c r="B4640">
        <v>1322845178</v>
      </c>
      <c r="C4640" t="s">
        <v>18</v>
      </c>
      <c r="D4640" t="s">
        <v>21</v>
      </c>
      <c r="E4640" s="29">
        <v>46208</v>
      </c>
      <c r="F4640" t="s">
        <v>6</v>
      </c>
      <c r="G4640" s="28">
        <v>0.65833333333333333</v>
      </c>
      <c r="H4640" s="28">
        <v>0.68611111111111112</v>
      </c>
      <c r="I4640">
        <v>1</v>
      </c>
      <c r="J4640" t="s">
        <v>146</v>
      </c>
      <c r="K4640">
        <v>2</v>
      </c>
      <c r="L4640" t="s">
        <v>147</v>
      </c>
      <c r="M4640" t="s">
        <v>11461</v>
      </c>
      <c r="N4640" t="s">
        <v>2254</v>
      </c>
      <c r="O4640" t="s">
        <v>2255</v>
      </c>
      <c r="P4640" t="s">
        <v>2256</v>
      </c>
    </row>
    <row r="4641" spans="1:16" x14ac:dyDescent="0.35">
      <c r="A4641" t="s">
        <v>11380</v>
      </c>
      <c r="B4641">
        <v>1322845178</v>
      </c>
      <c r="C4641" t="s">
        <v>18</v>
      </c>
      <c r="D4641" t="s">
        <v>21</v>
      </c>
      <c r="E4641" s="29">
        <v>46208</v>
      </c>
      <c r="F4641" t="s">
        <v>6</v>
      </c>
      <c r="G4641" s="28">
        <v>0.69374999999999998</v>
      </c>
      <c r="H4641" s="28">
        <v>0.69374999999999998</v>
      </c>
      <c r="I4641">
        <v>0</v>
      </c>
      <c r="J4641" t="s">
        <v>174</v>
      </c>
      <c r="K4641">
        <v>0</v>
      </c>
      <c r="L4641" t="s">
        <v>2273</v>
      </c>
      <c r="M4641" t="s">
        <v>2275</v>
      </c>
      <c r="N4641" t="s">
        <v>2276</v>
      </c>
      <c r="O4641" t="s">
        <v>2277</v>
      </c>
      <c r="P4641" t="s">
        <v>2278</v>
      </c>
    </row>
    <row r="4642" spans="1:16" x14ac:dyDescent="0.35">
      <c r="A4642" t="s">
        <v>11380</v>
      </c>
      <c r="B4642">
        <v>1322845178</v>
      </c>
      <c r="C4642" t="s">
        <v>18</v>
      </c>
      <c r="D4642" t="s">
        <v>21</v>
      </c>
      <c r="E4642" s="29">
        <v>46208</v>
      </c>
      <c r="F4642" t="s">
        <v>6</v>
      </c>
      <c r="G4642" s="28">
        <v>0.7</v>
      </c>
      <c r="H4642" s="28">
        <v>0.7</v>
      </c>
      <c r="I4642">
        <v>0</v>
      </c>
      <c r="J4642" t="s">
        <v>174</v>
      </c>
      <c r="K4642">
        <v>0</v>
      </c>
      <c r="L4642" t="s">
        <v>1369</v>
      </c>
      <c r="M4642" t="s">
        <v>2249</v>
      </c>
      <c r="N4642" t="s">
        <v>2250</v>
      </c>
      <c r="O4642" t="s">
        <v>2251</v>
      </c>
      <c r="P4642" t="s">
        <v>2252</v>
      </c>
    </row>
    <row r="4643" spans="1:16" x14ac:dyDescent="0.35">
      <c r="A4643" t="s">
        <v>11380</v>
      </c>
      <c r="B4643">
        <v>1322845178</v>
      </c>
      <c r="C4643" t="s">
        <v>18</v>
      </c>
      <c r="D4643" t="s">
        <v>21</v>
      </c>
      <c r="E4643" s="29">
        <v>46208</v>
      </c>
      <c r="F4643" t="s">
        <v>6</v>
      </c>
      <c r="G4643" s="28">
        <v>0.70694444444444449</v>
      </c>
      <c r="H4643" s="28">
        <v>0.72777777777777775</v>
      </c>
      <c r="I4643">
        <v>0</v>
      </c>
      <c r="J4643" t="s">
        <v>146</v>
      </c>
      <c r="K4643">
        <v>1</v>
      </c>
      <c r="L4643" t="s">
        <v>147</v>
      </c>
      <c r="M4643" t="s">
        <v>11452</v>
      </c>
      <c r="N4643" t="s">
        <v>11453</v>
      </c>
      <c r="O4643" t="s">
        <v>11454</v>
      </c>
      <c r="P4643" t="s">
        <v>11455</v>
      </c>
    </row>
    <row r="4644" spans="1:16" x14ac:dyDescent="0.35">
      <c r="A4644" t="s">
        <v>11380</v>
      </c>
      <c r="B4644">
        <v>1322845178</v>
      </c>
      <c r="C4644" t="s">
        <v>18</v>
      </c>
      <c r="D4644" t="s">
        <v>21</v>
      </c>
      <c r="E4644" s="29">
        <v>46208</v>
      </c>
      <c r="F4644" t="s">
        <v>6</v>
      </c>
      <c r="G4644" s="28">
        <v>0.73472222222222228</v>
      </c>
      <c r="H4644" s="28">
        <v>0.73472222222222228</v>
      </c>
      <c r="I4644">
        <v>0</v>
      </c>
      <c r="J4644" t="s">
        <v>174</v>
      </c>
      <c r="K4644">
        <v>0</v>
      </c>
      <c r="L4644" t="s">
        <v>2309</v>
      </c>
      <c r="M4644" t="s">
        <v>11448</v>
      </c>
      <c r="N4644" t="s">
        <v>11449</v>
      </c>
      <c r="O4644" t="s">
        <v>11450</v>
      </c>
      <c r="P4644" t="s">
        <v>11451</v>
      </c>
    </row>
    <row r="4645" spans="1:16" x14ac:dyDescent="0.35">
      <c r="A4645" t="s">
        <v>11380</v>
      </c>
      <c r="B4645">
        <v>1322845178</v>
      </c>
      <c r="C4645" t="s">
        <v>18</v>
      </c>
      <c r="D4645" t="s">
        <v>21</v>
      </c>
      <c r="E4645" s="29">
        <v>46208</v>
      </c>
      <c r="F4645" t="s">
        <v>6</v>
      </c>
      <c r="G4645" s="28">
        <v>0.7416666666666667</v>
      </c>
      <c r="H4645" s="28">
        <v>0.7416666666666667</v>
      </c>
      <c r="I4645">
        <v>0</v>
      </c>
      <c r="J4645" t="s">
        <v>174</v>
      </c>
      <c r="K4645">
        <v>0</v>
      </c>
      <c r="L4645" t="s">
        <v>2309</v>
      </c>
      <c r="M4645" t="s">
        <v>2525</v>
      </c>
      <c r="N4645" t="s">
        <v>2526</v>
      </c>
      <c r="O4645" t="s">
        <v>2527</v>
      </c>
      <c r="P4645" t="s">
        <v>2528</v>
      </c>
    </row>
    <row r="4646" spans="1:16" x14ac:dyDescent="0.35">
      <c r="A4646" t="s">
        <v>11380</v>
      </c>
      <c r="B4646">
        <v>1322845178</v>
      </c>
      <c r="C4646" t="s">
        <v>18</v>
      </c>
      <c r="D4646" t="s">
        <v>21</v>
      </c>
      <c r="E4646" s="29">
        <v>46208</v>
      </c>
      <c r="F4646" t="s">
        <v>6</v>
      </c>
      <c r="G4646" s="28">
        <v>0.74861111111111112</v>
      </c>
      <c r="H4646" s="28">
        <v>0.74861111111111112</v>
      </c>
      <c r="I4646">
        <v>0</v>
      </c>
      <c r="J4646" t="s">
        <v>174</v>
      </c>
      <c r="K4646">
        <v>0</v>
      </c>
      <c r="L4646" t="s">
        <v>11547</v>
      </c>
      <c r="M4646" t="s">
        <v>11448</v>
      </c>
      <c r="N4646" t="s">
        <v>11449</v>
      </c>
      <c r="O4646" t="s">
        <v>11450</v>
      </c>
      <c r="P4646" t="s">
        <v>11451</v>
      </c>
    </row>
    <row r="4647" spans="1:16" x14ac:dyDescent="0.35">
      <c r="A4647" t="s">
        <v>11380</v>
      </c>
      <c r="B4647">
        <v>1322845178</v>
      </c>
      <c r="C4647" t="s">
        <v>18</v>
      </c>
      <c r="D4647" t="s">
        <v>21</v>
      </c>
      <c r="E4647" s="29">
        <v>46208</v>
      </c>
      <c r="F4647" t="s">
        <v>6</v>
      </c>
      <c r="G4647" s="28">
        <v>0.75555555555555554</v>
      </c>
      <c r="H4647" s="28">
        <v>0.75555555555555554</v>
      </c>
      <c r="I4647">
        <v>0</v>
      </c>
      <c r="J4647" t="s">
        <v>174</v>
      </c>
      <c r="K4647">
        <v>0</v>
      </c>
      <c r="L4647" t="s">
        <v>6026</v>
      </c>
      <c r="M4647" t="s">
        <v>11452</v>
      </c>
      <c r="N4647" t="s">
        <v>11453</v>
      </c>
      <c r="O4647" t="s">
        <v>11454</v>
      </c>
      <c r="P4647" t="s">
        <v>11455</v>
      </c>
    </row>
    <row r="4648" spans="1:16" x14ac:dyDescent="0.35">
      <c r="A4648" t="s">
        <v>11380</v>
      </c>
      <c r="B4648">
        <v>1322845178</v>
      </c>
      <c r="C4648" t="s">
        <v>18</v>
      </c>
      <c r="D4648" t="s">
        <v>21</v>
      </c>
      <c r="E4648" s="29">
        <v>46208</v>
      </c>
      <c r="F4648" t="s">
        <v>6</v>
      </c>
      <c r="G4648" s="28">
        <v>0.76249999999999996</v>
      </c>
      <c r="H4648" s="28">
        <v>0.76944444444444449</v>
      </c>
      <c r="I4648">
        <v>0</v>
      </c>
      <c r="J4648" t="s">
        <v>146</v>
      </c>
      <c r="K4648">
        <v>1</v>
      </c>
      <c r="L4648" t="s">
        <v>147</v>
      </c>
      <c r="M4648" t="s">
        <v>11429</v>
      </c>
      <c r="N4648" t="s">
        <v>11400</v>
      </c>
      <c r="O4648" t="s">
        <v>11401</v>
      </c>
      <c r="P4648" t="s">
        <v>11402</v>
      </c>
    </row>
    <row r="4649" spans="1:16" x14ac:dyDescent="0.35">
      <c r="A4649" t="s">
        <v>11380</v>
      </c>
      <c r="B4649">
        <v>1322845178</v>
      </c>
      <c r="C4649" t="s">
        <v>18</v>
      </c>
      <c r="D4649" t="s">
        <v>21</v>
      </c>
      <c r="E4649" s="29">
        <v>46208</v>
      </c>
      <c r="F4649" t="s">
        <v>6</v>
      </c>
      <c r="G4649" s="28">
        <v>0.77638888888888891</v>
      </c>
      <c r="H4649" s="28">
        <v>0.8041666666666667</v>
      </c>
      <c r="I4649">
        <v>1</v>
      </c>
      <c r="J4649" t="s">
        <v>146</v>
      </c>
      <c r="K4649">
        <v>2</v>
      </c>
      <c r="L4649" t="s">
        <v>147</v>
      </c>
      <c r="M4649" t="s">
        <v>11430</v>
      </c>
      <c r="N4649" t="s">
        <v>11431</v>
      </c>
      <c r="O4649" t="s">
        <v>11432</v>
      </c>
      <c r="P4649" t="s">
        <v>11433</v>
      </c>
    </row>
    <row r="4650" spans="1:16" x14ac:dyDescent="0.35">
      <c r="A4650" t="s">
        <v>121</v>
      </c>
      <c r="B4650">
        <v>1701216088</v>
      </c>
      <c r="C4650" t="s">
        <v>18</v>
      </c>
      <c r="D4650" t="s">
        <v>20</v>
      </c>
      <c r="E4650" s="29">
        <v>46204</v>
      </c>
      <c r="F4650" t="s">
        <v>3</v>
      </c>
      <c r="G4650" s="28">
        <v>0.41041666666666665</v>
      </c>
      <c r="H4650" s="28">
        <v>0.41041666666666665</v>
      </c>
      <c r="I4650">
        <v>0</v>
      </c>
      <c r="J4650" t="s">
        <v>174</v>
      </c>
      <c r="K4650">
        <v>0</v>
      </c>
      <c r="L4650" t="s">
        <v>11548</v>
      </c>
      <c r="M4650" t="s">
        <v>3600</v>
      </c>
      <c r="N4650" t="s">
        <v>3601</v>
      </c>
      <c r="O4650" t="s">
        <v>3602</v>
      </c>
      <c r="P4650" t="s">
        <v>3603</v>
      </c>
    </row>
    <row r="4651" spans="1:16" x14ac:dyDescent="0.35">
      <c r="A4651" t="s">
        <v>121</v>
      </c>
      <c r="B4651">
        <v>1701216088</v>
      </c>
      <c r="C4651" t="s">
        <v>18</v>
      </c>
      <c r="D4651" t="s">
        <v>20</v>
      </c>
      <c r="E4651" s="29">
        <v>46204</v>
      </c>
      <c r="F4651" t="s">
        <v>3</v>
      </c>
      <c r="G4651" s="28">
        <v>0.41736111111111113</v>
      </c>
      <c r="H4651" s="28">
        <v>0.41736111111111113</v>
      </c>
      <c r="I4651">
        <v>0</v>
      </c>
      <c r="J4651" t="s">
        <v>174</v>
      </c>
      <c r="K4651">
        <v>0</v>
      </c>
      <c r="L4651" t="s">
        <v>11548</v>
      </c>
      <c r="M4651" t="s">
        <v>3557</v>
      </c>
      <c r="N4651" t="s">
        <v>3558</v>
      </c>
      <c r="O4651" t="s">
        <v>3559</v>
      </c>
      <c r="P4651" t="s">
        <v>3560</v>
      </c>
    </row>
    <row r="4652" spans="1:16" x14ac:dyDescent="0.35">
      <c r="A4652" t="s">
        <v>121</v>
      </c>
      <c r="B4652">
        <v>1701216088</v>
      </c>
      <c r="C4652" t="s">
        <v>18</v>
      </c>
      <c r="D4652" t="s">
        <v>20</v>
      </c>
      <c r="E4652" s="29">
        <v>46204</v>
      </c>
      <c r="F4652" t="s">
        <v>3</v>
      </c>
      <c r="G4652" s="28">
        <v>0.42430555555555555</v>
      </c>
      <c r="H4652" s="28">
        <v>0.48680555555555555</v>
      </c>
      <c r="I4652">
        <v>2</v>
      </c>
      <c r="J4652" t="s">
        <v>146</v>
      </c>
      <c r="K4652">
        <v>4</v>
      </c>
      <c r="L4652" t="s">
        <v>147</v>
      </c>
      <c r="M4652" t="s">
        <v>3600</v>
      </c>
      <c r="N4652" t="s">
        <v>3601</v>
      </c>
      <c r="O4652" t="s">
        <v>3602</v>
      </c>
      <c r="P4652" t="s">
        <v>3603</v>
      </c>
    </row>
    <row r="4653" spans="1:16" x14ac:dyDescent="0.35">
      <c r="A4653" t="s">
        <v>121</v>
      </c>
      <c r="B4653">
        <v>1701216088</v>
      </c>
      <c r="C4653" t="s">
        <v>18</v>
      </c>
      <c r="D4653" t="s">
        <v>20</v>
      </c>
      <c r="E4653" s="29">
        <v>46204</v>
      </c>
      <c r="F4653" t="s">
        <v>3</v>
      </c>
      <c r="G4653" s="28">
        <v>0.49375000000000002</v>
      </c>
      <c r="H4653" s="28">
        <v>0.50763888888888886</v>
      </c>
      <c r="I4653">
        <v>0</v>
      </c>
      <c r="J4653" t="s">
        <v>146</v>
      </c>
      <c r="K4653">
        <v>1</v>
      </c>
      <c r="L4653" t="s">
        <v>147</v>
      </c>
      <c r="M4653" t="s">
        <v>3544</v>
      </c>
      <c r="N4653" t="s">
        <v>3545</v>
      </c>
      <c r="O4653" t="s">
        <v>3546</v>
      </c>
      <c r="P4653" t="s">
        <v>3547</v>
      </c>
    </row>
    <row r="4654" spans="1:16" x14ac:dyDescent="0.35">
      <c r="A4654" t="s">
        <v>121</v>
      </c>
      <c r="B4654">
        <v>1701216088</v>
      </c>
      <c r="C4654" t="s">
        <v>18</v>
      </c>
      <c r="D4654" t="s">
        <v>20</v>
      </c>
      <c r="E4654" s="29">
        <v>46204</v>
      </c>
      <c r="F4654" t="s">
        <v>3</v>
      </c>
      <c r="G4654" s="28">
        <v>0.51458333333333328</v>
      </c>
      <c r="H4654" s="28">
        <v>0.51458333333333328</v>
      </c>
      <c r="I4654">
        <v>0</v>
      </c>
      <c r="J4654" t="s">
        <v>174</v>
      </c>
      <c r="K4654">
        <v>0</v>
      </c>
      <c r="L4654" t="s">
        <v>246</v>
      </c>
      <c r="M4654" t="s">
        <v>3592</v>
      </c>
      <c r="N4654" t="s">
        <v>3593</v>
      </c>
      <c r="O4654" t="s">
        <v>3594</v>
      </c>
      <c r="P4654" t="s">
        <v>3576</v>
      </c>
    </row>
    <row r="4655" spans="1:16" x14ac:dyDescent="0.35">
      <c r="A4655" t="s">
        <v>121</v>
      </c>
      <c r="B4655">
        <v>1701216088</v>
      </c>
      <c r="C4655" t="s">
        <v>18</v>
      </c>
      <c r="D4655" t="s">
        <v>20</v>
      </c>
      <c r="E4655" s="29">
        <v>46204</v>
      </c>
      <c r="F4655" t="s">
        <v>3</v>
      </c>
      <c r="G4655" s="28">
        <v>0.52152777777777781</v>
      </c>
      <c r="H4655" s="28">
        <v>0.52152777777777781</v>
      </c>
      <c r="I4655">
        <v>0</v>
      </c>
      <c r="J4655" t="s">
        <v>174</v>
      </c>
      <c r="K4655">
        <v>0</v>
      </c>
      <c r="L4655" t="s">
        <v>4316</v>
      </c>
      <c r="M4655" t="s">
        <v>3609</v>
      </c>
      <c r="N4655" t="s">
        <v>3582</v>
      </c>
      <c r="O4655" t="s">
        <v>3583</v>
      </c>
      <c r="P4655" t="s">
        <v>3584</v>
      </c>
    </row>
    <row r="4656" spans="1:16" x14ac:dyDescent="0.35">
      <c r="A4656" t="s">
        <v>121</v>
      </c>
      <c r="B4656">
        <v>1701216088</v>
      </c>
      <c r="C4656" t="s">
        <v>18</v>
      </c>
      <c r="D4656" t="s">
        <v>20</v>
      </c>
      <c r="E4656" s="29">
        <v>46204</v>
      </c>
      <c r="F4656" t="s">
        <v>3</v>
      </c>
      <c r="G4656" s="28">
        <v>0.52847222222222223</v>
      </c>
      <c r="H4656" s="28">
        <v>0.52847222222222223</v>
      </c>
      <c r="I4656">
        <v>0</v>
      </c>
      <c r="J4656" t="s">
        <v>174</v>
      </c>
      <c r="K4656">
        <v>0</v>
      </c>
      <c r="L4656" t="s">
        <v>1425</v>
      </c>
      <c r="M4656" t="s">
        <v>11549</v>
      </c>
      <c r="N4656" t="s">
        <v>11550</v>
      </c>
      <c r="O4656" t="s">
        <v>11551</v>
      </c>
      <c r="P4656" t="s">
        <v>11552</v>
      </c>
    </row>
    <row r="4657" spans="1:16" x14ac:dyDescent="0.35">
      <c r="A4657" t="s">
        <v>121</v>
      </c>
      <c r="B4657">
        <v>1701216088</v>
      </c>
      <c r="C4657" t="s">
        <v>18</v>
      </c>
      <c r="D4657" t="s">
        <v>20</v>
      </c>
      <c r="E4657" s="29">
        <v>46204</v>
      </c>
      <c r="F4657" t="s">
        <v>3</v>
      </c>
      <c r="G4657" s="28">
        <v>0.53541666666666665</v>
      </c>
      <c r="H4657" s="28">
        <v>0.53541666666666665</v>
      </c>
      <c r="I4657">
        <v>0</v>
      </c>
      <c r="J4657" t="s">
        <v>174</v>
      </c>
      <c r="K4657">
        <v>0</v>
      </c>
      <c r="L4657" t="s">
        <v>1851</v>
      </c>
      <c r="M4657" t="s">
        <v>11553</v>
      </c>
      <c r="N4657" t="s">
        <v>11554</v>
      </c>
      <c r="O4657" t="s">
        <v>11555</v>
      </c>
      <c r="P4657" t="s">
        <v>11556</v>
      </c>
    </row>
    <row r="4658" spans="1:16" x14ac:dyDescent="0.35">
      <c r="A4658" t="s">
        <v>121</v>
      </c>
      <c r="B4658">
        <v>1701216088</v>
      </c>
      <c r="C4658" t="s">
        <v>18</v>
      </c>
      <c r="D4658" t="s">
        <v>20</v>
      </c>
      <c r="E4658" s="29">
        <v>46204</v>
      </c>
      <c r="F4658" t="s">
        <v>3</v>
      </c>
      <c r="G4658" s="28">
        <v>0.54236111111111107</v>
      </c>
      <c r="H4658" s="28">
        <v>0.66736111111111107</v>
      </c>
      <c r="I4658">
        <v>3</v>
      </c>
      <c r="J4658" t="s">
        <v>146</v>
      </c>
      <c r="K4658">
        <v>9</v>
      </c>
      <c r="L4658" t="s">
        <v>147</v>
      </c>
      <c r="M4658" t="s">
        <v>11557</v>
      </c>
      <c r="N4658" t="s">
        <v>11558</v>
      </c>
      <c r="O4658" t="s">
        <v>11559</v>
      </c>
      <c r="P4658" t="s">
        <v>11560</v>
      </c>
    </row>
    <row r="4659" spans="1:16" x14ac:dyDescent="0.35">
      <c r="A4659" t="s">
        <v>121</v>
      </c>
      <c r="B4659">
        <v>1701216088</v>
      </c>
      <c r="C4659" t="s">
        <v>18</v>
      </c>
      <c r="D4659" t="s">
        <v>20</v>
      </c>
      <c r="E4659" s="29">
        <v>46204</v>
      </c>
      <c r="F4659" t="s">
        <v>3</v>
      </c>
      <c r="G4659" s="28">
        <v>0.67083333333333328</v>
      </c>
      <c r="H4659" s="28">
        <v>0.67083333333333328</v>
      </c>
      <c r="I4659">
        <v>0</v>
      </c>
      <c r="J4659" t="s">
        <v>174</v>
      </c>
      <c r="K4659">
        <v>0</v>
      </c>
      <c r="L4659" t="s">
        <v>1514</v>
      </c>
      <c r="M4659" t="s">
        <v>11561</v>
      </c>
      <c r="N4659" t="s">
        <v>11562</v>
      </c>
      <c r="O4659" t="s">
        <v>11563</v>
      </c>
      <c r="P4659" t="s">
        <v>11564</v>
      </c>
    </row>
    <row r="4660" spans="1:16" x14ac:dyDescent="0.35">
      <c r="A4660" t="s">
        <v>121</v>
      </c>
      <c r="B4660">
        <v>1701216088</v>
      </c>
      <c r="C4660" t="s">
        <v>18</v>
      </c>
      <c r="D4660" t="s">
        <v>20</v>
      </c>
      <c r="E4660" s="29">
        <v>46204</v>
      </c>
      <c r="F4660" t="s">
        <v>3</v>
      </c>
      <c r="G4660" s="28">
        <v>0.68125000000000002</v>
      </c>
      <c r="H4660" s="28">
        <v>0.7368055555555556</v>
      </c>
      <c r="I4660">
        <v>1</v>
      </c>
      <c r="J4660" t="s">
        <v>146</v>
      </c>
      <c r="K4660">
        <v>4</v>
      </c>
      <c r="L4660" t="s">
        <v>147</v>
      </c>
      <c r="M4660" t="s">
        <v>11565</v>
      </c>
      <c r="N4660" t="s">
        <v>11566</v>
      </c>
      <c r="O4660" t="s">
        <v>11567</v>
      </c>
      <c r="P4660" t="s">
        <v>11568</v>
      </c>
    </row>
    <row r="4661" spans="1:16" x14ac:dyDescent="0.35">
      <c r="A4661" t="s">
        <v>121</v>
      </c>
      <c r="B4661">
        <v>1701216088</v>
      </c>
      <c r="C4661" t="s">
        <v>18</v>
      </c>
      <c r="D4661" t="s">
        <v>20</v>
      </c>
      <c r="E4661" s="29">
        <v>46204</v>
      </c>
      <c r="F4661" t="s">
        <v>3</v>
      </c>
      <c r="G4661" s="28">
        <v>0.74375000000000002</v>
      </c>
      <c r="H4661" s="28">
        <v>0.74375000000000002</v>
      </c>
      <c r="I4661">
        <v>0</v>
      </c>
      <c r="J4661" t="s">
        <v>174</v>
      </c>
      <c r="K4661">
        <v>0</v>
      </c>
      <c r="L4661" t="s">
        <v>4640</v>
      </c>
      <c r="M4661" t="s">
        <v>11569</v>
      </c>
      <c r="N4661" t="s">
        <v>11570</v>
      </c>
      <c r="O4661" t="s">
        <v>11571</v>
      </c>
      <c r="P4661" t="s">
        <v>11572</v>
      </c>
    </row>
    <row r="4662" spans="1:16" x14ac:dyDescent="0.35">
      <c r="A4662" t="s">
        <v>121</v>
      </c>
      <c r="B4662">
        <v>1701216088</v>
      </c>
      <c r="C4662" t="s">
        <v>18</v>
      </c>
      <c r="D4662" t="s">
        <v>20</v>
      </c>
      <c r="E4662" s="29">
        <v>46204</v>
      </c>
      <c r="F4662" t="s">
        <v>3</v>
      </c>
      <c r="G4662" s="28">
        <v>0.75069444444444444</v>
      </c>
      <c r="H4662" s="28">
        <v>0.75069444444444444</v>
      </c>
      <c r="I4662">
        <v>0</v>
      </c>
      <c r="J4662" t="s">
        <v>174</v>
      </c>
      <c r="K4662">
        <v>0</v>
      </c>
      <c r="L4662" t="s">
        <v>3741</v>
      </c>
      <c r="M4662" t="s">
        <v>11573</v>
      </c>
      <c r="N4662" t="s">
        <v>11574</v>
      </c>
      <c r="O4662" t="s">
        <v>11575</v>
      </c>
      <c r="P4662" t="s">
        <v>11576</v>
      </c>
    </row>
    <row r="4663" spans="1:16" x14ac:dyDescent="0.35">
      <c r="A4663" t="s">
        <v>121</v>
      </c>
      <c r="B4663">
        <v>1701216088</v>
      </c>
      <c r="C4663" t="s">
        <v>18</v>
      </c>
      <c r="D4663" t="s">
        <v>20</v>
      </c>
      <c r="E4663" s="29">
        <v>46204</v>
      </c>
      <c r="F4663" t="s">
        <v>3</v>
      </c>
      <c r="G4663" s="28">
        <v>0.75763888888888886</v>
      </c>
      <c r="H4663" s="28">
        <v>0.75763888888888886</v>
      </c>
      <c r="I4663">
        <v>0</v>
      </c>
      <c r="J4663" t="s">
        <v>174</v>
      </c>
      <c r="K4663">
        <v>0</v>
      </c>
      <c r="L4663" t="s">
        <v>1089</v>
      </c>
      <c r="M4663" t="s">
        <v>11577</v>
      </c>
      <c r="N4663" t="s">
        <v>11578</v>
      </c>
      <c r="O4663" t="s">
        <v>11579</v>
      </c>
      <c r="P4663" t="s">
        <v>11580</v>
      </c>
    </row>
    <row r="4664" spans="1:16" x14ac:dyDescent="0.35">
      <c r="A4664" t="s">
        <v>121</v>
      </c>
      <c r="B4664">
        <v>1701216088</v>
      </c>
      <c r="C4664" t="s">
        <v>18</v>
      </c>
      <c r="D4664" t="s">
        <v>20</v>
      </c>
      <c r="E4664" s="29">
        <v>46204</v>
      </c>
      <c r="F4664" t="s">
        <v>3</v>
      </c>
      <c r="G4664" s="28">
        <v>0.76458333333333328</v>
      </c>
      <c r="H4664" s="28">
        <v>0.76458333333333328</v>
      </c>
      <c r="I4664">
        <v>0</v>
      </c>
      <c r="J4664" t="s">
        <v>174</v>
      </c>
      <c r="K4664">
        <v>0</v>
      </c>
      <c r="L4664" t="s">
        <v>2466</v>
      </c>
      <c r="M4664" t="s">
        <v>11581</v>
      </c>
      <c r="N4664" t="s">
        <v>11582</v>
      </c>
      <c r="O4664" t="s">
        <v>11583</v>
      </c>
      <c r="P4664" t="s">
        <v>7501</v>
      </c>
    </row>
    <row r="4665" spans="1:16" x14ac:dyDescent="0.35">
      <c r="A4665" t="s">
        <v>121</v>
      </c>
      <c r="B4665">
        <v>1701216088</v>
      </c>
      <c r="C4665" t="s">
        <v>18</v>
      </c>
      <c r="D4665" t="s">
        <v>20</v>
      </c>
      <c r="E4665" s="29">
        <v>46204</v>
      </c>
      <c r="F4665" t="s">
        <v>3</v>
      </c>
      <c r="G4665" s="28">
        <v>0.77152777777777781</v>
      </c>
      <c r="H4665" s="28">
        <v>0.77152777777777781</v>
      </c>
      <c r="I4665">
        <v>0</v>
      </c>
      <c r="J4665" t="s">
        <v>174</v>
      </c>
      <c r="K4665">
        <v>0</v>
      </c>
      <c r="L4665" t="s">
        <v>11584</v>
      </c>
      <c r="M4665" t="s">
        <v>11585</v>
      </c>
      <c r="N4665" t="s">
        <v>11586</v>
      </c>
      <c r="O4665" t="s">
        <v>11587</v>
      </c>
      <c r="P4665" t="s">
        <v>11588</v>
      </c>
    </row>
    <row r="4666" spans="1:16" x14ac:dyDescent="0.35">
      <c r="A4666" t="s">
        <v>121</v>
      </c>
      <c r="B4666">
        <v>1701216088</v>
      </c>
      <c r="C4666" t="s">
        <v>18</v>
      </c>
      <c r="D4666" t="s">
        <v>20</v>
      </c>
      <c r="E4666" s="29">
        <v>46204</v>
      </c>
      <c r="F4666" t="s">
        <v>3</v>
      </c>
      <c r="G4666" s="28">
        <v>0.77847222222222223</v>
      </c>
      <c r="H4666" s="28">
        <v>0.84791666666666665</v>
      </c>
      <c r="I4666">
        <v>2</v>
      </c>
      <c r="J4666" t="s">
        <v>146</v>
      </c>
      <c r="K4666">
        <v>5</v>
      </c>
      <c r="L4666" t="s">
        <v>147</v>
      </c>
      <c r="M4666" t="s">
        <v>11589</v>
      </c>
      <c r="N4666" t="s">
        <v>11590</v>
      </c>
      <c r="O4666" t="s">
        <v>11591</v>
      </c>
      <c r="P4666" t="s">
        <v>11592</v>
      </c>
    </row>
    <row r="4667" spans="1:16" x14ac:dyDescent="0.35">
      <c r="A4667" t="s">
        <v>121</v>
      </c>
      <c r="B4667">
        <v>1701216088</v>
      </c>
      <c r="C4667" t="s">
        <v>18</v>
      </c>
      <c r="D4667" t="s">
        <v>20</v>
      </c>
      <c r="E4667" s="29">
        <v>46205</v>
      </c>
      <c r="F4667" t="s">
        <v>4</v>
      </c>
      <c r="G4667" s="28">
        <v>0.50763888888888886</v>
      </c>
      <c r="H4667" s="28">
        <v>0.50763888888888886</v>
      </c>
      <c r="I4667">
        <v>0</v>
      </c>
      <c r="J4667" t="s">
        <v>174</v>
      </c>
      <c r="K4667">
        <v>0</v>
      </c>
      <c r="L4667" t="s">
        <v>3595</v>
      </c>
      <c r="M4667" t="s">
        <v>3596</v>
      </c>
      <c r="N4667" t="s">
        <v>3597</v>
      </c>
      <c r="O4667" t="s">
        <v>3598</v>
      </c>
      <c r="P4667" t="s">
        <v>3599</v>
      </c>
    </row>
    <row r="4668" spans="1:16" x14ac:dyDescent="0.35">
      <c r="A4668" t="s">
        <v>121</v>
      </c>
      <c r="B4668">
        <v>1701216088</v>
      </c>
      <c r="C4668" t="s">
        <v>18</v>
      </c>
      <c r="D4668" t="s">
        <v>20</v>
      </c>
      <c r="E4668" s="29">
        <v>46205</v>
      </c>
      <c r="F4668" t="s">
        <v>4</v>
      </c>
      <c r="G4668" s="28">
        <v>0.51458333333333328</v>
      </c>
      <c r="H4668" s="28">
        <v>0.51458333333333328</v>
      </c>
      <c r="I4668">
        <v>0</v>
      </c>
      <c r="J4668" t="s">
        <v>174</v>
      </c>
      <c r="K4668">
        <v>0</v>
      </c>
      <c r="L4668" t="s">
        <v>11548</v>
      </c>
      <c r="M4668" t="s">
        <v>3600</v>
      </c>
      <c r="N4668" t="s">
        <v>3601</v>
      </c>
      <c r="O4668" t="s">
        <v>3602</v>
      </c>
      <c r="P4668" t="s">
        <v>3603</v>
      </c>
    </row>
    <row r="4669" spans="1:16" x14ac:dyDescent="0.35">
      <c r="A4669" t="s">
        <v>121</v>
      </c>
      <c r="B4669">
        <v>1701216088</v>
      </c>
      <c r="C4669" t="s">
        <v>18</v>
      </c>
      <c r="D4669" t="s">
        <v>20</v>
      </c>
      <c r="E4669" s="29">
        <v>46205</v>
      </c>
      <c r="F4669" t="s">
        <v>4</v>
      </c>
      <c r="G4669" s="28">
        <v>0.52152777777777781</v>
      </c>
      <c r="H4669" s="28">
        <v>0.52152777777777781</v>
      </c>
      <c r="I4669">
        <v>0</v>
      </c>
      <c r="J4669" t="s">
        <v>174</v>
      </c>
      <c r="K4669">
        <v>0</v>
      </c>
      <c r="L4669" t="s">
        <v>1811</v>
      </c>
      <c r="M4669" t="s">
        <v>3557</v>
      </c>
      <c r="N4669" t="s">
        <v>3558</v>
      </c>
      <c r="O4669" t="s">
        <v>3559</v>
      </c>
      <c r="P4669" t="s">
        <v>3560</v>
      </c>
    </row>
    <row r="4670" spans="1:16" x14ac:dyDescent="0.35">
      <c r="A4670" t="s">
        <v>121</v>
      </c>
      <c r="B4670">
        <v>1701216088</v>
      </c>
      <c r="C4670" t="s">
        <v>18</v>
      </c>
      <c r="D4670" t="s">
        <v>20</v>
      </c>
      <c r="E4670" s="29">
        <v>46205</v>
      </c>
      <c r="F4670" t="s">
        <v>4</v>
      </c>
      <c r="G4670" s="28">
        <v>0.52847222222222223</v>
      </c>
      <c r="H4670" s="28">
        <v>0.5493055555555556</v>
      </c>
      <c r="I4670">
        <v>1</v>
      </c>
      <c r="J4670" t="s">
        <v>146</v>
      </c>
      <c r="K4670">
        <v>2</v>
      </c>
      <c r="L4670" t="s">
        <v>147</v>
      </c>
      <c r="M4670" t="s">
        <v>11593</v>
      </c>
      <c r="N4670" t="s">
        <v>3570</v>
      </c>
      <c r="O4670" t="s">
        <v>3571</v>
      </c>
      <c r="P4670" t="s">
        <v>3572</v>
      </c>
    </row>
    <row r="4671" spans="1:16" x14ac:dyDescent="0.35">
      <c r="A4671" t="s">
        <v>121</v>
      </c>
      <c r="B4671">
        <v>1701216088</v>
      </c>
      <c r="C4671" t="s">
        <v>18</v>
      </c>
      <c r="D4671" t="s">
        <v>20</v>
      </c>
      <c r="E4671" s="29">
        <v>46205</v>
      </c>
      <c r="F4671" t="s">
        <v>4</v>
      </c>
      <c r="G4671" s="28">
        <v>0.55625000000000002</v>
      </c>
      <c r="H4671" s="28">
        <v>0.55625000000000002</v>
      </c>
      <c r="I4671">
        <v>0</v>
      </c>
      <c r="J4671" t="s">
        <v>174</v>
      </c>
      <c r="K4671">
        <v>0</v>
      </c>
      <c r="L4671" t="s">
        <v>11594</v>
      </c>
      <c r="M4671" t="s">
        <v>3544</v>
      </c>
      <c r="N4671" t="s">
        <v>3545</v>
      </c>
      <c r="O4671" t="s">
        <v>3546</v>
      </c>
      <c r="P4671" t="s">
        <v>3547</v>
      </c>
    </row>
    <row r="4672" spans="1:16" x14ac:dyDescent="0.35">
      <c r="A4672" t="s">
        <v>121</v>
      </c>
      <c r="B4672">
        <v>1701216088</v>
      </c>
      <c r="C4672" t="s">
        <v>18</v>
      </c>
      <c r="D4672" t="s">
        <v>20</v>
      </c>
      <c r="E4672" s="29">
        <v>46205</v>
      </c>
      <c r="F4672" t="s">
        <v>4</v>
      </c>
      <c r="G4672" s="28">
        <v>0.56319444444444444</v>
      </c>
      <c r="H4672" s="28">
        <v>0.56319444444444444</v>
      </c>
      <c r="I4672">
        <v>0</v>
      </c>
      <c r="J4672" t="s">
        <v>174</v>
      </c>
      <c r="K4672">
        <v>0</v>
      </c>
      <c r="L4672" t="s">
        <v>11594</v>
      </c>
      <c r="M4672" t="s">
        <v>11595</v>
      </c>
      <c r="N4672" t="s">
        <v>11596</v>
      </c>
      <c r="O4672" t="s">
        <v>11597</v>
      </c>
      <c r="P4672" t="s">
        <v>11598</v>
      </c>
    </row>
    <row r="4673" spans="1:16" x14ac:dyDescent="0.35">
      <c r="A4673" t="s">
        <v>121</v>
      </c>
      <c r="B4673">
        <v>1701216088</v>
      </c>
      <c r="C4673" t="s">
        <v>18</v>
      </c>
      <c r="D4673" t="s">
        <v>20</v>
      </c>
      <c r="E4673" s="29">
        <v>46205</v>
      </c>
      <c r="F4673" t="s">
        <v>4</v>
      </c>
      <c r="G4673" s="28">
        <v>0.57013888888888886</v>
      </c>
      <c r="H4673" s="28">
        <v>0.57708333333333328</v>
      </c>
      <c r="I4673">
        <v>0</v>
      </c>
      <c r="J4673" t="s">
        <v>146</v>
      </c>
      <c r="K4673">
        <v>0</v>
      </c>
      <c r="L4673" t="s">
        <v>147</v>
      </c>
      <c r="M4673" t="s">
        <v>3544</v>
      </c>
      <c r="N4673" t="s">
        <v>3545</v>
      </c>
      <c r="O4673" t="s">
        <v>3546</v>
      </c>
      <c r="P4673" t="s">
        <v>3547</v>
      </c>
    </row>
    <row r="4674" spans="1:16" x14ac:dyDescent="0.35">
      <c r="A4674" t="s">
        <v>121</v>
      </c>
      <c r="B4674">
        <v>1701216088</v>
      </c>
      <c r="C4674" t="s">
        <v>18</v>
      </c>
      <c r="D4674" t="s">
        <v>20</v>
      </c>
      <c r="E4674" s="29">
        <v>46205</v>
      </c>
      <c r="F4674" t="s">
        <v>4</v>
      </c>
      <c r="G4674" s="28">
        <v>0.58402777777777781</v>
      </c>
      <c r="H4674" s="28">
        <v>0.58402777777777781</v>
      </c>
      <c r="I4674">
        <v>0</v>
      </c>
      <c r="J4674" t="s">
        <v>174</v>
      </c>
      <c r="K4674">
        <v>0</v>
      </c>
      <c r="L4674" t="s">
        <v>11594</v>
      </c>
      <c r="M4674" t="s">
        <v>11595</v>
      </c>
      <c r="N4674" t="s">
        <v>11596</v>
      </c>
      <c r="O4674" t="s">
        <v>11597</v>
      </c>
      <c r="P4674" t="s">
        <v>11598</v>
      </c>
    </row>
    <row r="4675" spans="1:16" x14ac:dyDescent="0.35">
      <c r="A4675" t="s">
        <v>121</v>
      </c>
      <c r="B4675">
        <v>1701216088</v>
      </c>
      <c r="C4675" t="s">
        <v>18</v>
      </c>
      <c r="D4675" t="s">
        <v>20</v>
      </c>
      <c r="E4675" s="29">
        <v>46205</v>
      </c>
      <c r="F4675" t="s">
        <v>4</v>
      </c>
      <c r="G4675" s="28">
        <v>0.59097222222222223</v>
      </c>
      <c r="H4675" s="28">
        <v>0.60486111111111107</v>
      </c>
      <c r="I4675">
        <v>0</v>
      </c>
      <c r="J4675" t="s">
        <v>146</v>
      </c>
      <c r="K4675">
        <v>1</v>
      </c>
      <c r="L4675" t="s">
        <v>147</v>
      </c>
      <c r="M4675" t="s">
        <v>3544</v>
      </c>
      <c r="N4675" t="s">
        <v>3545</v>
      </c>
      <c r="O4675" t="s">
        <v>3546</v>
      </c>
      <c r="P4675" t="s">
        <v>3547</v>
      </c>
    </row>
    <row r="4676" spans="1:16" x14ac:dyDescent="0.35">
      <c r="A4676" t="s">
        <v>121</v>
      </c>
      <c r="B4676">
        <v>1701216088</v>
      </c>
      <c r="C4676" t="s">
        <v>18</v>
      </c>
      <c r="D4676" t="s">
        <v>20</v>
      </c>
      <c r="E4676" s="29">
        <v>46205</v>
      </c>
      <c r="F4676" t="s">
        <v>4</v>
      </c>
      <c r="G4676" s="28">
        <v>0.6118055555555556</v>
      </c>
      <c r="H4676" s="28">
        <v>0.63958333333333328</v>
      </c>
      <c r="I4676">
        <v>1</v>
      </c>
      <c r="J4676" t="s">
        <v>146</v>
      </c>
      <c r="K4676">
        <v>2</v>
      </c>
      <c r="L4676" t="s">
        <v>147</v>
      </c>
      <c r="M4676" t="s">
        <v>3548</v>
      </c>
      <c r="N4676" t="s">
        <v>3549</v>
      </c>
      <c r="O4676" t="s">
        <v>3550</v>
      </c>
      <c r="P4676" t="s">
        <v>3551</v>
      </c>
    </row>
    <row r="4677" spans="1:16" x14ac:dyDescent="0.35">
      <c r="A4677" t="s">
        <v>121</v>
      </c>
      <c r="B4677">
        <v>1701216088</v>
      </c>
      <c r="C4677" t="s">
        <v>18</v>
      </c>
      <c r="D4677" t="s">
        <v>20</v>
      </c>
      <c r="E4677" s="29">
        <v>46205</v>
      </c>
      <c r="F4677" t="s">
        <v>4</v>
      </c>
      <c r="G4677" s="28">
        <v>0.64652777777777781</v>
      </c>
      <c r="H4677" s="28">
        <v>0.72291666666666665</v>
      </c>
      <c r="I4677">
        <v>2</v>
      </c>
      <c r="J4677" t="s">
        <v>146</v>
      </c>
      <c r="K4677">
        <v>6</v>
      </c>
      <c r="L4677" t="s">
        <v>147</v>
      </c>
      <c r="M4677" t="s">
        <v>11589</v>
      </c>
      <c r="N4677" t="s">
        <v>11590</v>
      </c>
      <c r="O4677" t="s">
        <v>11591</v>
      </c>
      <c r="P4677" t="s">
        <v>11592</v>
      </c>
    </row>
    <row r="4678" spans="1:16" x14ac:dyDescent="0.35">
      <c r="A4678" t="s">
        <v>121</v>
      </c>
      <c r="B4678">
        <v>1701216088</v>
      </c>
      <c r="C4678" t="s">
        <v>18</v>
      </c>
      <c r="D4678" t="s">
        <v>20</v>
      </c>
      <c r="E4678" s="29">
        <v>46205</v>
      </c>
      <c r="F4678" t="s">
        <v>4</v>
      </c>
      <c r="G4678" s="28">
        <v>0.72986111111111107</v>
      </c>
      <c r="H4678" s="28">
        <v>0.72986111111111107</v>
      </c>
      <c r="I4678">
        <v>0</v>
      </c>
      <c r="J4678" t="s">
        <v>174</v>
      </c>
      <c r="K4678">
        <v>0</v>
      </c>
      <c r="L4678" t="s">
        <v>1851</v>
      </c>
      <c r="M4678" t="s">
        <v>11599</v>
      </c>
      <c r="N4678" t="s">
        <v>11600</v>
      </c>
      <c r="O4678" t="s">
        <v>11601</v>
      </c>
      <c r="P4678" t="s">
        <v>11602</v>
      </c>
    </row>
    <row r="4679" spans="1:16" x14ac:dyDescent="0.35">
      <c r="A4679" t="s">
        <v>121</v>
      </c>
      <c r="B4679">
        <v>1701216088</v>
      </c>
      <c r="C4679" t="s">
        <v>18</v>
      </c>
      <c r="D4679" t="s">
        <v>20</v>
      </c>
      <c r="E4679" s="29">
        <v>46205</v>
      </c>
      <c r="F4679" t="s">
        <v>4</v>
      </c>
      <c r="G4679" s="28">
        <v>0.7368055555555556</v>
      </c>
      <c r="H4679" s="28">
        <v>0.76458333333333328</v>
      </c>
      <c r="I4679">
        <v>1</v>
      </c>
      <c r="J4679" t="s">
        <v>146</v>
      </c>
      <c r="K4679">
        <v>2</v>
      </c>
      <c r="L4679" t="s">
        <v>147</v>
      </c>
      <c r="M4679" t="s">
        <v>3600</v>
      </c>
      <c r="N4679" t="s">
        <v>3601</v>
      </c>
      <c r="O4679" t="s">
        <v>3602</v>
      </c>
      <c r="P4679" t="s">
        <v>3603</v>
      </c>
    </row>
    <row r="4680" spans="1:16" x14ac:dyDescent="0.35">
      <c r="A4680" t="s">
        <v>121</v>
      </c>
      <c r="B4680">
        <v>1701216088</v>
      </c>
      <c r="C4680" t="s">
        <v>18</v>
      </c>
      <c r="D4680" t="s">
        <v>20</v>
      </c>
      <c r="E4680" s="29">
        <v>46205</v>
      </c>
      <c r="F4680" t="s">
        <v>4</v>
      </c>
      <c r="G4680" s="28">
        <v>0.77152777777777781</v>
      </c>
      <c r="H4680" s="28">
        <v>0.79236111111111107</v>
      </c>
      <c r="I4680">
        <v>0</v>
      </c>
      <c r="J4680" t="s">
        <v>146</v>
      </c>
      <c r="K4680">
        <v>1</v>
      </c>
      <c r="L4680" t="s">
        <v>147</v>
      </c>
      <c r="M4680" t="s">
        <v>11603</v>
      </c>
      <c r="N4680" t="s">
        <v>11604</v>
      </c>
      <c r="O4680" t="s">
        <v>11605</v>
      </c>
      <c r="P4680" t="s">
        <v>11606</v>
      </c>
    </row>
    <row r="4681" spans="1:16" x14ac:dyDescent="0.35">
      <c r="A4681" t="s">
        <v>121</v>
      </c>
      <c r="B4681">
        <v>1701216088</v>
      </c>
      <c r="C4681" t="s">
        <v>18</v>
      </c>
      <c r="D4681" t="s">
        <v>20</v>
      </c>
      <c r="E4681" s="29">
        <v>46207</v>
      </c>
      <c r="F4681" t="s">
        <v>5</v>
      </c>
      <c r="G4681" s="28">
        <v>0.41041666666666665</v>
      </c>
      <c r="H4681" s="28">
        <v>0.41736111111111113</v>
      </c>
      <c r="I4681">
        <v>0</v>
      </c>
      <c r="J4681" t="s">
        <v>146</v>
      </c>
      <c r="K4681">
        <v>1</v>
      </c>
      <c r="L4681" t="s">
        <v>147</v>
      </c>
      <c r="M4681" t="s">
        <v>3588</v>
      </c>
      <c r="N4681" t="s">
        <v>3589</v>
      </c>
      <c r="O4681" t="s">
        <v>3590</v>
      </c>
      <c r="P4681" t="s">
        <v>3591</v>
      </c>
    </row>
    <row r="4682" spans="1:16" x14ac:dyDescent="0.35">
      <c r="A4682" t="s">
        <v>121</v>
      </c>
      <c r="B4682">
        <v>1701216088</v>
      </c>
      <c r="C4682" t="s">
        <v>18</v>
      </c>
      <c r="D4682" t="s">
        <v>20</v>
      </c>
      <c r="E4682" s="29">
        <v>46207</v>
      </c>
      <c r="F4682" t="s">
        <v>5</v>
      </c>
      <c r="G4682" s="28">
        <v>0.42430555555555555</v>
      </c>
      <c r="H4682" s="28">
        <v>0.44513888888888886</v>
      </c>
      <c r="I4682">
        <v>0</v>
      </c>
      <c r="J4682" t="s">
        <v>146</v>
      </c>
      <c r="K4682">
        <v>2</v>
      </c>
      <c r="L4682" t="s">
        <v>147</v>
      </c>
      <c r="M4682" t="s">
        <v>3596</v>
      </c>
      <c r="N4682" t="s">
        <v>3597</v>
      </c>
      <c r="O4682" t="s">
        <v>3598</v>
      </c>
      <c r="P4682" t="s">
        <v>3599</v>
      </c>
    </row>
    <row r="4683" spans="1:16" x14ac:dyDescent="0.35">
      <c r="A4683" t="s">
        <v>121</v>
      </c>
      <c r="B4683">
        <v>1701216088</v>
      </c>
      <c r="C4683" t="s">
        <v>18</v>
      </c>
      <c r="D4683" t="s">
        <v>20</v>
      </c>
      <c r="E4683" s="29">
        <v>46207</v>
      </c>
      <c r="F4683" t="s">
        <v>5</v>
      </c>
      <c r="G4683" s="28">
        <v>0.45208333333333334</v>
      </c>
      <c r="H4683" s="28">
        <v>0.48680555555555555</v>
      </c>
      <c r="I4683">
        <v>1</v>
      </c>
      <c r="J4683" t="s">
        <v>146</v>
      </c>
      <c r="K4683">
        <v>2</v>
      </c>
      <c r="L4683" t="s">
        <v>147</v>
      </c>
      <c r="M4683" t="s">
        <v>3600</v>
      </c>
      <c r="N4683" t="s">
        <v>3601</v>
      </c>
      <c r="O4683" t="s">
        <v>3602</v>
      </c>
      <c r="P4683" t="s">
        <v>3603</v>
      </c>
    </row>
    <row r="4684" spans="1:16" x14ac:dyDescent="0.35">
      <c r="A4684" t="s">
        <v>121</v>
      </c>
      <c r="B4684">
        <v>1701216088</v>
      </c>
      <c r="C4684" t="s">
        <v>18</v>
      </c>
      <c r="D4684" t="s">
        <v>20</v>
      </c>
      <c r="E4684" s="29">
        <v>46207</v>
      </c>
      <c r="F4684" t="s">
        <v>5</v>
      </c>
      <c r="G4684" s="28">
        <v>0.49375000000000002</v>
      </c>
      <c r="H4684" s="28">
        <v>0.50763888888888886</v>
      </c>
      <c r="I4684">
        <v>0</v>
      </c>
      <c r="J4684" t="s">
        <v>146</v>
      </c>
      <c r="K4684">
        <v>1</v>
      </c>
      <c r="L4684" t="s">
        <v>147</v>
      </c>
      <c r="M4684" t="s">
        <v>11589</v>
      </c>
      <c r="N4684" t="s">
        <v>11590</v>
      </c>
      <c r="O4684" t="s">
        <v>11591</v>
      </c>
      <c r="P4684" t="s">
        <v>11592</v>
      </c>
    </row>
    <row r="4685" spans="1:16" x14ac:dyDescent="0.35">
      <c r="A4685" t="s">
        <v>121</v>
      </c>
      <c r="B4685">
        <v>1701216088</v>
      </c>
      <c r="C4685" t="s">
        <v>18</v>
      </c>
      <c r="D4685" t="s">
        <v>20</v>
      </c>
      <c r="E4685" s="29">
        <v>46207</v>
      </c>
      <c r="F4685" t="s">
        <v>5</v>
      </c>
      <c r="G4685" s="28">
        <v>0.51458333333333328</v>
      </c>
      <c r="H4685" s="28">
        <v>0.51458333333333328</v>
      </c>
      <c r="I4685">
        <v>0</v>
      </c>
      <c r="J4685" t="s">
        <v>174</v>
      </c>
      <c r="K4685">
        <v>0</v>
      </c>
      <c r="L4685" t="s">
        <v>278</v>
      </c>
      <c r="M4685" t="s">
        <v>3588</v>
      </c>
      <c r="N4685" t="s">
        <v>3589</v>
      </c>
      <c r="O4685" t="s">
        <v>3590</v>
      </c>
      <c r="P4685" t="s">
        <v>3591</v>
      </c>
    </row>
    <row r="4686" spans="1:16" x14ac:dyDescent="0.35">
      <c r="A4686" t="s">
        <v>121</v>
      </c>
      <c r="B4686">
        <v>1701216088</v>
      </c>
      <c r="C4686" t="s">
        <v>18</v>
      </c>
      <c r="D4686" t="s">
        <v>20</v>
      </c>
      <c r="E4686" s="29">
        <v>46207</v>
      </c>
      <c r="F4686" t="s">
        <v>5</v>
      </c>
      <c r="G4686" s="28">
        <v>0.52152777777777781</v>
      </c>
      <c r="H4686" s="28">
        <v>0.52152777777777781</v>
      </c>
      <c r="I4686">
        <v>0</v>
      </c>
      <c r="J4686" t="s">
        <v>174</v>
      </c>
      <c r="K4686">
        <v>0</v>
      </c>
      <c r="L4686" t="s">
        <v>558</v>
      </c>
      <c r="M4686" t="s">
        <v>11607</v>
      </c>
      <c r="N4686" t="s">
        <v>11608</v>
      </c>
      <c r="O4686" t="s">
        <v>11609</v>
      </c>
      <c r="P4686" t="s">
        <v>7611</v>
      </c>
    </row>
    <row r="4687" spans="1:16" x14ac:dyDescent="0.35">
      <c r="A4687" t="s">
        <v>121</v>
      </c>
      <c r="B4687">
        <v>1701216088</v>
      </c>
      <c r="C4687" t="s">
        <v>18</v>
      </c>
      <c r="D4687" t="s">
        <v>20</v>
      </c>
      <c r="E4687" s="29">
        <v>46207</v>
      </c>
      <c r="F4687" t="s">
        <v>5</v>
      </c>
      <c r="G4687" s="28">
        <v>0.52847222222222223</v>
      </c>
      <c r="H4687" s="28">
        <v>0.52847222222222223</v>
      </c>
      <c r="I4687">
        <v>0</v>
      </c>
      <c r="J4687" t="s">
        <v>174</v>
      </c>
      <c r="K4687">
        <v>0</v>
      </c>
      <c r="L4687" t="s">
        <v>3311</v>
      </c>
      <c r="M4687" t="s">
        <v>11610</v>
      </c>
      <c r="N4687" t="s">
        <v>11611</v>
      </c>
      <c r="O4687" t="s">
        <v>11612</v>
      </c>
      <c r="P4687" t="s">
        <v>11613</v>
      </c>
    </row>
    <row r="4688" spans="1:16" x14ac:dyDescent="0.35">
      <c r="A4688" t="s">
        <v>121</v>
      </c>
      <c r="B4688">
        <v>1701216088</v>
      </c>
      <c r="C4688" t="s">
        <v>18</v>
      </c>
      <c r="D4688" t="s">
        <v>20</v>
      </c>
      <c r="E4688" s="29">
        <v>46207</v>
      </c>
      <c r="F4688" t="s">
        <v>5</v>
      </c>
      <c r="G4688" s="28">
        <v>0.53541666666666665</v>
      </c>
      <c r="H4688" s="28">
        <v>0.53541666666666665</v>
      </c>
      <c r="I4688">
        <v>0</v>
      </c>
      <c r="J4688" t="s">
        <v>174</v>
      </c>
      <c r="K4688">
        <v>0</v>
      </c>
      <c r="L4688" t="s">
        <v>7417</v>
      </c>
      <c r="M4688" t="s">
        <v>11614</v>
      </c>
      <c r="N4688" t="s">
        <v>11615</v>
      </c>
      <c r="O4688" t="s">
        <v>11616</v>
      </c>
      <c r="P4688" t="s">
        <v>11617</v>
      </c>
    </row>
    <row r="4689" spans="1:16" x14ac:dyDescent="0.35">
      <c r="A4689" t="s">
        <v>121</v>
      </c>
      <c r="B4689">
        <v>1701216088</v>
      </c>
      <c r="C4689" t="s">
        <v>18</v>
      </c>
      <c r="D4689" t="s">
        <v>20</v>
      </c>
      <c r="E4689" s="29">
        <v>46207</v>
      </c>
      <c r="F4689" t="s">
        <v>5</v>
      </c>
      <c r="G4689" s="28">
        <v>0.54236111111111107</v>
      </c>
      <c r="H4689" s="28">
        <v>0.54236111111111107</v>
      </c>
      <c r="I4689">
        <v>0</v>
      </c>
      <c r="J4689" t="s">
        <v>174</v>
      </c>
      <c r="K4689">
        <v>0</v>
      </c>
      <c r="L4689" t="s">
        <v>7493</v>
      </c>
      <c r="M4689" t="s">
        <v>11618</v>
      </c>
      <c r="N4689" t="s">
        <v>11619</v>
      </c>
      <c r="O4689" t="s">
        <v>11620</v>
      </c>
      <c r="P4689" t="s">
        <v>11621</v>
      </c>
    </row>
    <row r="4690" spans="1:16" x14ac:dyDescent="0.35">
      <c r="A4690" t="s">
        <v>121</v>
      </c>
      <c r="B4690">
        <v>1701216088</v>
      </c>
      <c r="C4690" t="s">
        <v>18</v>
      </c>
      <c r="D4690" t="s">
        <v>20</v>
      </c>
      <c r="E4690" s="29">
        <v>46207</v>
      </c>
      <c r="F4690" t="s">
        <v>5</v>
      </c>
      <c r="G4690" s="28">
        <v>0.55000000000000004</v>
      </c>
      <c r="H4690" s="28">
        <v>0.55000000000000004</v>
      </c>
      <c r="I4690">
        <v>0</v>
      </c>
      <c r="J4690" t="s">
        <v>174</v>
      </c>
      <c r="K4690">
        <v>0</v>
      </c>
      <c r="L4690" t="s">
        <v>11622</v>
      </c>
      <c r="M4690" t="s">
        <v>11623</v>
      </c>
      <c r="N4690" t="s">
        <v>11624</v>
      </c>
      <c r="O4690" t="s">
        <v>11625</v>
      </c>
      <c r="P4690" t="s">
        <v>11626</v>
      </c>
    </row>
    <row r="4691" spans="1:16" x14ac:dyDescent="0.35">
      <c r="A4691" t="s">
        <v>121</v>
      </c>
      <c r="B4691">
        <v>1701216088</v>
      </c>
      <c r="C4691" t="s">
        <v>18</v>
      </c>
      <c r="D4691" t="s">
        <v>20</v>
      </c>
      <c r="E4691" s="29">
        <v>46207</v>
      </c>
      <c r="F4691" t="s">
        <v>5</v>
      </c>
      <c r="G4691" s="28">
        <v>0.55625000000000002</v>
      </c>
      <c r="H4691" s="28">
        <v>0.55625000000000002</v>
      </c>
      <c r="I4691">
        <v>0</v>
      </c>
      <c r="J4691" t="s">
        <v>174</v>
      </c>
      <c r="K4691">
        <v>0</v>
      </c>
      <c r="L4691" t="s">
        <v>11627</v>
      </c>
      <c r="M4691" t="s">
        <v>11628</v>
      </c>
      <c r="N4691" t="s">
        <v>11629</v>
      </c>
      <c r="O4691" t="s">
        <v>11630</v>
      </c>
      <c r="P4691" t="s">
        <v>11631</v>
      </c>
    </row>
    <row r="4692" spans="1:16" x14ac:dyDescent="0.35">
      <c r="A4692" t="s">
        <v>121</v>
      </c>
      <c r="B4692">
        <v>1701216088</v>
      </c>
      <c r="C4692" t="s">
        <v>18</v>
      </c>
      <c r="D4692" t="s">
        <v>20</v>
      </c>
      <c r="E4692" s="29">
        <v>46207</v>
      </c>
      <c r="F4692" t="s">
        <v>5</v>
      </c>
      <c r="G4692" s="28">
        <v>0.56319444444444444</v>
      </c>
      <c r="H4692" s="28">
        <v>0.56319444444444444</v>
      </c>
      <c r="I4692">
        <v>0</v>
      </c>
      <c r="J4692" t="s">
        <v>174</v>
      </c>
      <c r="K4692">
        <v>0</v>
      </c>
      <c r="L4692" t="s">
        <v>1515</v>
      </c>
      <c r="M4692" t="s">
        <v>11632</v>
      </c>
      <c r="N4692" t="s">
        <v>11633</v>
      </c>
      <c r="O4692" t="s">
        <v>11634</v>
      </c>
      <c r="P4692" t="s">
        <v>11635</v>
      </c>
    </row>
    <row r="4693" spans="1:16" x14ac:dyDescent="0.35">
      <c r="A4693" t="s">
        <v>121</v>
      </c>
      <c r="B4693">
        <v>1701216088</v>
      </c>
      <c r="C4693" t="s">
        <v>18</v>
      </c>
      <c r="D4693" t="s">
        <v>20</v>
      </c>
      <c r="E4693" s="29">
        <v>46207</v>
      </c>
      <c r="F4693" t="s">
        <v>5</v>
      </c>
      <c r="G4693" s="28">
        <v>0.57013888888888886</v>
      </c>
      <c r="H4693" s="28">
        <v>0.57013888888888886</v>
      </c>
      <c r="I4693">
        <v>0</v>
      </c>
      <c r="J4693" t="s">
        <v>174</v>
      </c>
      <c r="K4693">
        <v>0</v>
      </c>
      <c r="L4693" t="s">
        <v>4640</v>
      </c>
      <c r="M4693" t="s">
        <v>11636</v>
      </c>
      <c r="N4693" t="s">
        <v>11637</v>
      </c>
      <c r="O4693" t="s">
        <v>11638</v>
      </c>
      <c r="P4693" t="s">
        <v>11639</v>
      </c>
    </row>
    <row r="4694" spans="1:16" x14ac:dyDescent="0.35">
      <c r="A4694" t="s">
        <v>121</v>
      </c>
      <c r="B4694">
        <v>1701216088</v>
      </c>
      <c r="C4694" t="s">
        <v>18</v>
      </c>
      <c r="D4694" t="s">
        <v>20</v>
      </c>
      <c r="E4694" s="29">
        <v>46207</v>
      </c>
      <c r="F4694" t="s">
        <v>5</v>
      </c>
      <c r="G4694" s="28">
        <v>0.57708333333333328</v>
      </c>
      <c r="H4694" s="28">
        <v>0.57708333333333328</v>
      </c>
      <c r="I4694">
        <v>0</v>
      </c>
      <c r="J4694" t="s">
        <v>174</v>
      </c>
      <c r="K4694">
        <v>0</v>
      </c>
      <c r="L4694" t="s">
        <v>8755</v>
      </c>
      <c r="M4694" t="s">
        <v>11640</v>
      </c>
      <c r="N4694" t="s">
        <v>11641</v>
      </c>
      <c r="O4694" t="s">
        <v>11642</v>
      </c>
      <c r="P4694" t="s">
        <v>11643</v>
      </c>
    </row>
    <row r="4695" spans="1:16" x14ac:dyDescent="0.35">
      <c r="A4695" t="s">
        <v>121</v>
      </c>
      <c r="B4695">
        <v>1701216088</v>
      </c>
      <c r="C4695" t="s">
        <v>18</v>
      </c>
      <c r="D4695" t="s">
        <v>20</v>
      </c>
      <c r="E4695" s="29">
        <v>46207</v>
      </c>
      <c r="F4695" t="s">
        <v>5</v>
      </c>
      <c r="G4695" s="28">
        <v>0.58402777777777781</v>
      </c>
      <c r="H4695" s="28">
        <v>0.58402777777777781</v>
      </c>
      <c r="I4695">
        <v>0</v>
      </c>
      <c r="J4695" t="s">
        <v>174</v>
      </c>
      <c r="K4695">
        <v>0</v>
      </c>
      <c r="L4695" t="s">
        <v>11644</v>
      </c>
      <c r="M4695" t="s">
        <v>11645</v>
      </c>
      <c r="N4695" t="s">
        <v>11646</v>
      </c>
      <c r="O4695" t="s">
        <v>11647</v>
      </c>
      <c r="P4695" t="s">
        <v>11648</v>
      </c>
    </row>
    <row r="4696" spans="1:16" x14ac:dyDescent="0.35">
      <c r="A4696" t="s">
        <v>121</v>
      </c>
      <c r="B4696">
        <v>1701216088</v>
      </c>
      <c r="C4696" t="s">
        <v>18</v>
      </c>
      <c r="D4696" t="s">
        <v>20</v>
      </c>
      <c r="E4696" s="29">
        <v>46207</v>
      </c>
      <c r="F4696" t="s">
        <v>5</v>
      </c>
      <c r="G4696" s="28">
        <v>0.59097222222222223</v>
      </c>
      <c r="H4696" s="28">
        <v>0.59097222222222223</v>
      </c>
      <c r="I4696">
        <v>0</v>
      </c>
      <c r="J4696" t="s">
        <v>174</v>
      </c>
      <c r="K4696">
        <v>0</v>
      </c>
      <c r="L4696" t="s">
        <v>4949</v>
      </c>
      <c r="M4696" t="s">
        <v>11649</v>
      </c>
      <c r="N4696" t="s">
        <v>11650</v>
      </c>
      <c r="O4696" t="s">
        <v>11651</v>
      </c>
      <c r="P4696" t="s">
        <v>11652</v>
      </c>
    </row>
    <row r="4697" spans="1:16" x14ac:dyDescent="0.35">
      <c r="A4697" t="s">
        <v>121</v>
      </c>
      <c r="B4697">
        <v>1701216088</v>
      </c>
      <c r="C4697" t="s">
        <v>18</v>
      </c>
      <c r="D4697" t="s">
        <v>20</v>
      </c>
      <c r="E4697" s="29">
        <v>46207</v>
      </c>
      <c r="F4697" t="s">
        <v>5</v>
      </c>
      <c r="G4697" s="28">
        <v>0.59791666666666665</v>
      </c>
      <c r="H4697" s="28">
        <v>0.59791666666666665</v>
      </c>
      <c r="I4697">
        <v>0</v>
      </c>
      <c r="J4697" t="s">
        <v>174</v>
      </c>
      <c r="K4697">
        <v>0</v>
      </c>
      <c r="L4697" t="s">
        <v>3897</v>
      </c>
      <c r="M4697" t="s">
        <v>11653</v>
      </c>
      <c r="N4697" t="s">
        <v>11654</v>
      </c>
      <c r="O4697" t="s">
        <v>11655</v>
      </c>
      <c r="P4697" t="s">
        <v>11656</v>
      </c>
    </row>
    <row r="4698" spans="1:16" x14ac:dyDescent="0.35">
      <c r="A4698" t="s">
        <v>121</v>
      </c>
      <c r="B4698">
        <v>1701216088</v>
      </c>
      <c r="C4698" t="s">
        <v>18</v>
      </c>
      <c r="D4698" t="s">
        <v>20</v>
      </c>
      <c r="E4698" s="29">
        <v>46207</v>
      </c>
      <c r="F4698" t="s">
        <v>5</v>
      </c>
      <c r="G4698" s="28">
        <v>0.60486111111111107</v>
      </c>
      <c r="H4698" s="28">
        <v>0.60486111111111107</v>
      </c>
      <c r="I4698">
        <v>0</v>
      </c>
      <c r="J4698" t="s">
        <v>174</v>
      </c>
      <c r="K4698">
        <v>0</v>
      </c>
      <c r="L4698" t="s">
        <v>4964</v>
      </c>
      <c r="M4698" t="s">
        <v>11657</v>
      </c>
      <c r="N4698" t="s">
        <v>11658</v>
      </c>
      <c r="O4698" t="s">
        <v>11659</v>
      </c>
      <c r="P4698" t="s">
        <v>11660</v>
      </c>
    </row>
    <row r="4699" spans="1:16" x14ac:dyDescent="0.35">
      <c r="A4699" t="s">
        <v>121</v>
      </c>
      <c r="B4699">
        <v>1701216088</v>
      </c>
      <c r="C4699" t="s">
        <v>18</v>
      </c>
      <c r="D4699" t="s">
        <v>20</v>
      </c>
      <c r="E4699" s="29">
        <v>46207</v>
      </c>
      <c r="F4699" t="s">
        <v>5</v>
      </c>
      <c r="G4699" s="28">
        <v>0.6118055555555556</v>
      </c>
      <c r="H4699" s="28">
        <v>0.6743055555555556</v>
      </c>
      <c r="I4699">
        <v>2</v>
      </c>
      <c r="J4699" t="s">
        <v>146</v>
      </c>
      <c r="K4699">
        <v>4</v>
      </c>
      <c r="L4699" t="s">
        <v>147</v>
      </c>
      <c r="M4699" t="s">
        <v>11661</v>
      </c>
      <c r="N4699" t="s">
        <v>11662</v>
      </c>
      <c r="O4699" t="s">
        <v>11663</v>
      </c>
      <c r="P4699" t="s">
        <v>11664</v>
      </c>
    </row>
    <row r="4700" spans="1:16" x14ac:dyDescent="0.35">
      <c r="A4700" t="s">
        <v>121</v>
      </c>
      <c r="B4700">
        <v>1701216088</v>
      </c>
      <c r="C4700" t="s">
        <v>18</v>
      </c>
      <c r="D4700" t="s">
        <v>20</v>
      </c>
      <c r="E4700" s="29">
        <v>46207</v>
      </c>
      <c r="F4700" t="s">
        <v>5</v>
      </c>
      <c r="G4700" s="28">
        <v>0.68125000000000002</v>
      </c>
      <c r="H4700" s="28">
        <v>0.68125000000000002</v>
      </c>
      <c r="I4700">
        <v>0</v>
      </c>
      <c r="J4700" t="s">
        <v>174</v>
      </c>
      <c r="K4700">
        <v>0</v>
      </c>
      <c r="L4700" t="s">
        <v>6288</v>
      </c>
      <c r="M4700" t="s">
        <v>11665</v>
      </c>
      <c r="N4700" t="s">
        <v>11666</v>
      </c>
      <c r="O4700" t="s">
        <v>11667</v>
      </c>
      <c r="P4700" t="s">
        <v>11668</v>
      </c>
    </row>
    <row r="4701" spans="1:16" x14ac:dyDescent="0.35">
      <c r="A4701" t="s">
        <v>121</v>
      </c>
      <c r="B4701">
        <v>1701216088</v>
      </c>
      <c r="C4701" t="s">
        <v>18</v>
      </c>
      <c r="D4701" t="s">
        <v>20</v>
      </c>
      <c r="E4701" s="29">
        <v>46207</v>
      </c>
      <c r="F4701" t="s">
        <v>5</v>
      </c>
      <c r="G4701" s="28">
        <v>0.68819444444444444</v>
      </c>
      <c r="H4701" s="28">
        <v>0.68819444444444444</v>
      </c>
      <c r="I4701">
        <v>0</v>
      </c>
      <c r="J4701" t="s">
        <v>174</v>
      </c>
      <c r="K4701">
        <v>0</v>
      </c>
      <c r="L4701" t="s">
        <v>1783</v>
      </c>
      <c r="M4701" t="s">
        <v>11669</v>
      </c>
      <c r="N4701" t="s">
        <v>11670</v>
      </c>
      <c r="O4701" t="s">
        <v>11671</v>
      </c>
      <c r="P4701" t="s">
        <v>11672</v>
      </c>
    </row>
    <row r="4702" spans="1:16" x14ac:dyDescent="0.35">
      <c r="A4702" t="s">
        <v>121</v>
      </c>
      <c r="B4702">
        <v>1701216088</v>
      </c>
      <c r="C4702" t="s">
        <v>18</v>
      </c>
      <c r="D4702" t="s">
        <v>20</v>
      </c>
      <c r="E4702" s="29">
        <v>46207</v>
      </c>
      <c r="F4702" t="s">
        <v>5</v>
      </c>
      <c r="G4702" s="28">
        <v>0.69513888888888886</v>
      </c>
      <c r="H4702" s="28">
        <v>0.69513888888888886</v>
      </c>
      <c r="I4702">
        <v>0</v>
      </c>
      <c r="J4702" t="s">
        <v>174</v>
      </c>
      <c r="K4702">
        <v>0</v>
      </c>
      <c r="L4702" t="s">
        <v>2539</v>
      </c>
      <c r="M4702" t="s">
        <v>11673</v>
      </c>
      <c r="N4702" t="s">
        <v>11674</v>
      </c>
      <c r="O4702" t="s">
        <v>11675</v>
      </c>
      <c r="P4702" t="s">
        <v>11676</v>
      </c>
    </row>
    <row r="4703" spans="1:16" x14ac:dyDescent="0.35">
      <c r="A4703" t="s">
        <v>121</v>
      </c>
      <c r="B4703">
        <v>1701216088</v>
      </c>
      <c r="C4703" t="s">
        <v>18</v>
      </c>
      <c r="D4703" t="s">
        <v>20</v>
      </c>
      <c r="E4703" s="29">
        <v>46207</v>
      </c>
      <c r="F4703" t="s">
        <v>5</v>
      </c>
      <c r="G4703" s="28">
        <v>0.70208333333333328</v>
      </c>
      <c r="H4703" s="28">
        <v>0.72291666666666665</v>
      </c>
      <c r="I4703">
        <v>1</v>
      </c>
      <c r="J4703" t="s">
        <v>146</v>
      </c>
      <c r="K4703">
        <v>2</v>
      </c>
      <c r="L4703" t="s">
        <v>147</v>
      </c>
      <c r="M4703" t="s">
        <v>11677</v>
      </c>
      <c r="N4703" t="s">
        <v>11678</v>
      </c>
      <c r="O4703" t="s">
        <v>11679</v>
      </c>
      <c r="P4703" t="s">
        <v>11680</v>
      </c>
    </row>
    <row r="4704" spans="1:16" x14ac:dyDescent="0.35">
      <c r="A4704" t="s">
        <v>121</v>
      </c>
      <c r="B4704">
        <v>1701216088</v>
      </c>
      <c r="C4704" t="s">
        <v>18</v>
      </c>
      <c r="D4704" t="s">
        <v>20</v>
      </c>
      <c r="E4704" s="29">
        <v>46207</v>
      </c>
      <c r="F4704" t="s">
        <v>5</v>
      </c>
      <c r="G4704" s="28">
        <v>0.72986111111111107</v>
      </c>
      <c r="H4704" s="28">
        <v>0.72986111111111107</v>
      </c>
      <c r="I4704">
        <v>0</v>
      </c>
      <c r="J4704" t="s">
        <v>174</v>
      </c>
      <c r="K4704">
        <v>0</v>
      </c>
      <c r="L4704" t="s">
        <v>213</v>
      </c>
      <c r="M4704" t="s">
        <v>11681</v>
      </c>
      <c r="N4704" t="s">
        <v>11682</v>
      </c>
      <c r="O4704" t="s">
        <v>11683</v>
      </c>
      <c r="P4704" t="s">
        <v>11684</v>
      </c>
    </row>
    <row r="4705" spans="1:16" x14ac:dyDescent="0.35">
      <c r="A4705" t="s">
        <v>121</v>
      </c>
      <c r="B4705">
        <v>1701216088</v>
      </c>
      <c r="C4705" t="s">
        <v>18</v>
      </c>
      <c r="D4705" t="s">
        <v>20</v>
      </c>
      <c r="E4705" s="29">
        <v>46207</v>
      </c>
      <c r="F4705" t="s">
        <v>5</v>
      </c>
      <c r="G4705" s="28">
        <v>0.7368055555555556</v>
      </c>
      <c r="H4705" s="28">
        <v>0.74375000000000002</v>
      </c>
      <c r="I4705">
        <v>0</v>
      </c>
      <c r="J4705" t="s">
        <v>146</v>
      </c>
      <c r="K4705">
        <v>0</v>
      </c>
      <c r="L4705" t="s">
        <v>147</v>
      </c>
      <c r="M4705" t="s">
        <v>11677</v>
      </c>
      <c r="N4705" t="s">
        <v>11678</v>
      </c>
      <c r="O4705" t="s">
        <v>11679</v>
      </c>
      <c r="P4705" t="s">
        <v>11680</v>
      </c>
    </row>
    <row r="4706" spans="1:16" x14ac:dyDescent="0.35">
      <c r="A4706" t="s">
        <v>121</v>
      </c>
      <c r="B4706">
        <v>1701216088</v>
      </c>
      <c r="C4706" t="s">
        <v>18</v>
      </c>
      <c r="D4706" t="s">
        <v>20</v>
      </c>
      <c r="E4706" s="29">
        <v>46207</v>
      </c>
      <c r="F4706" t="s">
        <v>5</v>
      </c>
      <c r="G4706" s="28">
        <v>0.75069444444444444</v>
      </c>
      <c r="H4706" s="28">
        <v>0.75763888888888886</v>
      </c>
      <c r="I4706">
        <v>0</v>
      </c>
      <c r="J4706" t="s">
        <v>146</v>
      </c>
      <c r="K4706">
        <v>0</v>
      </c>
      <c r="L4706" t="s">
        <v>147</v>
      </c>
      <c r="M4706" t="s">
        <v>11681</v>
      </c>
      <c r="N4706" t="s">
        <v>11682</v>
      </c>
      <c r="O4706" t="s">
        <v>11683</v>
      </c>
      <c r="P4706" t="s">
        <v>11684</v>
      </c>
    </row>
    <row r="4707" spans="1:16" x14ac:dyDescent="0.35">
      <c r="A4707" t="s">
        <v>121</v>
      </c>
      <c r="B4707">
        <v>1701216088</v>
      </c>
      <c r="C4707" t="s">
        <v>18</v>
      </c>
      <c r="D4707" t="s">
        <v>20</v>
      </c>
      <c r="E4707" s="29">
        <v>46207</v>
      </c>
      <c r="F4707" t="s">
        <v>5</v>
      </c>
      <c r="G4707" s="28">
        <v>0.76458333333333328</v>
      </c>
      <c r="H4707" s="28">
        <v>0.82708333333333328</v>
      </c>
      <c r="I4707">
        <v>2</v>
      </c>
      <c r="J4707" t="s">
        <v>146</v>
      </c>
      <c r="K4707">
        <v>4</v>
      </c>
      <c r="L4707" t="s">
        <v>147</v>
      </c>
      <c r="M4707" t="s">
        <v>11677</v>
      </c>
      <c r="N4707" t="s">
        <v>11678</v>
      </c>
      <c r="O4707" t="s">
        <v>11679</v>
      </c>
      <c r="P4707" t="s">
        <v>11680</v>
      </c>
    </row>
    <row r="4708" spans="1:16" x14ac:dyDescent="0.35">
      <c r="A4708" t="s">
        <v>121</v>
      </c>
      <c r="B4708">
        <v>1701216088</v>
      </c>
      <c r="C4708" t="s">
        <v>18</v>
      </c>
      <c r="D4708" t="s">
        <v>20</v>
      </c>
      <c r="E4708" s="29">
        <v>46208</v>
      </c>
      <c r="F4708" t="s">
        <v>6</v>
      </c>
      <c r="G4708" s="28">
        <v>0.38958333333333334</v>
      </c>
      <c r="H4708" s="28">
        <v>0.38958333333333334</v>
      </c>
      <c r="I4708">
        <v>0</v>
      </c>
      <c r="J4708" t="s">
        <v>174</v>
      </c>
      <c r="K4708">
        <v>0</v>
      </c>
      <c r="L4708" t="s">
        <v>8796</v>
      </c>
      <c r="M4708" t="s">
        <v>11685</v>
      </c>
      <c r="N4708" t="s">
        <v>11686</v>
      </c>
      <c r="O4708" t="s">
        <v>11687</v>
      </c>
      <c r="P4708" t="s">
        <v>11688</v>
      </c>
    </row>
    <row r="4709" spans="1:16" x14ac:dyDescent="0.35">
      <c r="A4709" t="s">
        <v>121</v>
      </c>
      <c r="B4709">
        <v>1701216088</v>
      </c>
      <c r="C4709" t="s">
        <v>18</v>
      </c>
      <c r="D4709" t="s">
        <v>20</v>
      </c>
      <c r="E4709" s="29">
        <v>46208</v>
      </c>
      <c r="F4709" t="s">
        <v>6</v>
      </c>
      <c r="G4709" s="28">
        <v>0.39652777777777776</v>
      </c>
      <c r="H4709" s="28">
        <v>0.39652777777777776</v>
      </c>
      <c r="I4709">
        <v>0</v>
      </c>
      <c r="J4709" t="s">
        <v>174</v>
      </c>
      <c r="K4709">
        <v>0</v>
      </c>
      <c r="L4709" t="s">
        <v>11689</v>
      </c>
      <c r="M4709" t="s">
        <v>11557</v>
      </c>
      <c r="N4709" t="s">
        <v>11558</v>
      </c>
      <c r="O4709" t="s">
        <v>11559</v>
      </c>
      <c r="P4709" t="s">
        <v>11560</v>
      </c>
    </row>
    <row r="4710" spans="1:16" x14ac:dyDescent="0.35">
      <c r="A4710" t="s">
        <v>121</v>
      </c>
      <c r="B4710">
        <v>1701216088</v>
      </c>
      <c r="C4710" t="s">
        <v>18</v>
      </c>
      <c r="D4710" t="s">
        <v>20</v>
      </c>
      <c r="E4710" s="29">
        <v>46208</v>
      </c>
      <c r="F4710" t="s">
        <v>6</v>
      </c>
      <c r="G4710" s="28">
        <v>0.40347222222222223</v>
      </c>
      <c r="H4710" s="28">
        <v>0.40347222222222223</v>
      </c>
      <c r="I4710">
        <v>0</v>
      </c>
      <c r="J4710" t="s">
        <v>174</v>
      </c>
      <c r="K4710">
        <v>0</v>
      </c>
      <c r="L4710" t="s">
        <v>7600</v>
      </c>
      <c r="M4710" t="s">
        <v>11577</v>
      </c>
      <c r="N4710" t="s">
        <v>11578</v>
      </c>
      <c r="O4710" t="s">
        <v>11579</v>
      </c>
      <c r="P4710" t="s">
        <v>11580</v>
      </c>
    </row>
    <row r="4711" spans="1:16" x14ac:dyDescent="0.35">
      <c r="A4711" t="s">
        <v>121</v>
      </c>
      <c r="B4711">
        <v>1701216088</v>
      </c>
      <c r="C4711" t="s">
        <v>18</v>
      </c>
      <c r="D4711" t="s">
        <v>20</v>
      </c>
      <c r="E4711" s="29">
        <v>46208</v>
      </c>
      <c r="F4711" t="s">
        <v>6</v>
      </c>
      <c r="G4711" s="28">
        <v>0.41041666666666665</v>
      </c>
      <c r="H4711" s="28">
        <v>0.41041666666666665</v>
      </c>
      <c r="I4711">
        <v>0</v>
      </c>
      <c r="J4711" t="s">
        <v>174</v>
      </c>
      <c r="K4711">
        <v>0</v>
      </c>
      <c r="L4711" t="s">
        <v>9046</v>
      </c>
      <c r="M4711" t="s">
        <v>11690</v>
      </c>
      <c r="N4711" t="s">
        <v>11691</v>
      </c>
      <c r="O4711" t="s">
        <v>11692</v>
      </c>
      <c r="P4711" t="s">
        <v>11693</v>
      </c>
    </row>
    <row r="4712" spans="1:16" x14ac:dyDescent="0.35">
      <c r="A4712" t="s">
        <v>121</v>
      </c>
      <c r="B4712">
        <v>1701216088</v>
      </c>
      <c r="C4712" t="s">
        <v>18</v>
      </c>
      <c r="D4712" t="s">
        <v>20</v>
      </c>
      <c r="E4712" s="29">
        <v>46208</v>
      </c>
      <c r="F4712" t="s">
        <v>6</v>
      </c>
      <c r="G4712" s="28">
        <v>0.41736111111111113</v>
      </c>
      <c r="H4712" s="28">
        <v>0.41736111111111113</v>
      </c>
      <c r="I4712">
        <v>0</v>
      </c>
      <c r="J4712" t="s">
        <v>174</v>
      </c>
      <c r="K4712">
        <v>0</v>
      </c>
      <c r="L4712" t="s">
        <v>624</v>
      </c>
      <c r="M4712" t="s">
        <v>3565</v>
      </c>
      <c r="N4712" t="s">
        <v>11694</v>
      </c>
      <c r="O4712" t="s">
        <v>11695</v>
      </c>
      <c r="P4712" t="s">
        <v>11696</v>
      </c>
    </row>
    <row r="4713" spans="1:16" x14ac:dyDescent="0.35">
      <c r="A4713" t="s">
        <v>121</v>
      </c>
      <c r="B4713">
        <v>1701216088</v>
      </c>
      <c r="C4713" t="s">
        <v>18</v>
      </c>
      <c r="D4713" t="s">
        <v>20</v>
      </c>
      <c r="E4713" s="29">
        <v>46208</v>
      </c>
      <c r="F4713" t="s">
        <v>6</v>
      </c>
      <c r="G4713" s="28">
        <v>0.42430555555555555</v>
      </c>
      <c r="H4713" s="28">
        <v>0.44513888888888886</v>
      </c>
      <c r="I4713">
        <v>0</v>
      </c>
      <c r="J4713" t="s">
        <v>146</v>
      </c>
      <c r="K4713">
        <v>2</v>
      </c>
      <c r="L4713" t="s">
        <v>147</v>
      </c>
      <c r="M4713" t="s">
        <v>11593</v>
      </c>
      <c r="N4713" t="s">
        <v>3570</v>
      </c>
      <c r="O4713" t="s">
        <v>3571</v>
      </c>
      <c r="P4713" t="s">
        <v>3572</v>
      </c>
    </row>
    <row r="4714" spans="1:16" x14ac:dyDescent="0.35">
      <c r="A4714" t="s">
        <v>121</v>
      </c>
      <c r="B4714">
        <v>1701216088</v>
      </c>
      <c r="C4714" t="s">
        <v>18</v>
      </c>
      <c r="D4714" t="s">
        <v>20</v>
      </c>
      <c r="E4714" s="29">
        <v>46208</v>
      </c>
      <c r="F4714" t="s">
        <v>6</v>
      </c>
      <c r="G4714" s="28">
        <v>0.45208333333333334</v>
      </c>
      <c r="H4714" s="28">
        <v>0.45902777777777776</v>
      </c>
      <c r="I4714">
        <v>0</v>
      </c>
      <c r="J4714" t="s">
        <v>146</v>
      </c>
      <c r="K4714">
        <v>0</v>
      </c>
      <c r="L4714" t="s">
        <v>147</v>
      </c>
      <c r="M4714" t="s">
        <v>11595</v>
      </c>
      <c r="N4714" t="s">
        <v>11596</v>
      </c>
      <c r="O4714" t="s">
        <v>11597</v>
      </c>
      <c r="P4714" t="s">
        <v>11598</v>
      </c>
    </row>
    <row r="4715" spans="1:16" x14ac:dyDescent="0.35">
      <c r="A4715" t="s">
        <v>121</v>
      </c>
      <c r="B4715">
        <v>1701216088</v>
      </c>
      <c r="C4715" t="s">
        <v>18</v>
      </c>
      <c r="D4715" t="s">
        <v>20</v>
      </c>
      <c r="E4715" s="29">
        <v>46208</v>
      </c>
      <c r="F4715" t="s">
        <v>6</v>
      </c>
      <c r="G4715" s="28">
        <v>0.46597222222222223</v>
      </c>
      <c r="H4715" s="28">
        <v>0.46597222222222223</v>
      </c>
      <c r="I4715">
        <v>0</v>
      </c>
      <c r="J4715" t="s">
        <v>174</v>
      </c>
      <c r="K4715">
        <v>0</v>
      </c>
      <c r="L4715" t="s">
        <v>11594</v>
      </c>
      <c r="M4715" t="s">
        <v>3544</v>
      </c>
      <c r="N4715" t="s">
        <v>3545</v>
      </c>
      <c r="O4715" t="s">
        <v>3546</v>
      </c>
      <c r="P4715" t="s">
        <v>3547</v>
      </c>
    </row>
    <row r="4716" spans="1:16" x14ac:dyDescent="0.35">
      <c r="A4716" t="s">
        <v>121</v>
      </c>
      <c r="B4716">
        <v>1701216088</v>
      </c>
      <c r="C4716" t="s">
        <v>18</v>
      </c>
      <c r="D4716" t="s">
        <v>20</v>
      </c>
      <c r="E4716" s="29">
        <v>46208</v>
      </c>
      <c r="F4716" t="s">
        <v>6</v>
      </c>
      <c r="G4716" s="28">
        <v>0.47291666666666665</v>
      </c>
      <c r="H4716" s="28">
        <v>0.48680555555555555</v>
      </c>
      <c r="I4716">
        <v>0</v>
      </c>
      <c r="J4716" t="s">
        <v>146</v>
      </c>
      <c r="K4716">
        <v>1</v>
      </c>
      <c r="L4716" t="s">
        <v>147</v>
      </c>
      <c r="M4716" t="s">
        <v>11595</v>
      </c>
      <c r="N4716" t="s">
        <v>11596</v>
      </c>
      <c r="O4716" t="s">
        <v>11597</v>
      </c>
      <c r="P4716" t="s">
        <v>11598</v>
      </c>
    </row>
    <row r="4717" spans="1:16" x14ac:dyDescent="0.35">
      <c r="A4717" t="s">
        <v>121</v>
      </c>
      <c r="B4717">
        <v>1701216088</v>
      </c>
      <c r="C4717" t="s">
        <v>18</v>
      </c>
      <c r="D4717" t="s">
        <v>20</v>
      </c>
      <c r="E4717" s="29">
        <v>46208</v>
      </c>
      <c r="F4717" t="s">
        <v>6</v>
      </c>
      <c r="G4717" s="28">
        <v>0.49375000000000002</v>
      </c>
      <c r="H4717" s="28">
        <v>0.54236111111111107</v>
      </c>
      <c r="I4717">
        <v>1</v>
      </c>
      <c r="J4717" t="s">
        <v>146</v>
      </c>
      <c r="K4717">
        <v>4</v>
      </c>
      <c r="L4717" t="s">
        <v>147</v>
      </c>
      <c r="M4717" t="s">
        <v>3544</v>
      </c>
      <c r="N4717" t="s">
        <v>3545</v>
      </c>
      <c r="O4717" t="s">
        <v>3546</v>
      </c>
      <c r="P4717" t="s">
        <v>3547</v>
      </c>
    </row>
    <row r="4718" spans="1:16" x14ac:dyDescent="0.35">
      <c r="A4718" t="s">
        <v>121</v>
      </c>
      <c r="B4718">
        <v>1701216088</v>
      </c>
      <c r="C4718" t="s">
        <v>18</v>
      </c>
      <c r="D4718" t="s">
        <v>20</v>
      </c>
      <c r="E4718" s="29">
        <v>46208</v>
      </c>
      <c r="F4718" t="s">
        <v>6</v>
      </c>
      <c r="G4718" s="28">
        <v>0.5493055555555556</v>
      </c>
      <c r="H4718" s="28">
        <v>0.55625000000000002</v>
      </c>
      <c r="I4718">
        <v>0</v>
      </c>
      <c r="J4718" t="s">
        <v>146</v>
      </c>
      <c r="K4718">
        <v>0</v>
      </c>
      <c r="L4718" t="s">
        <v>147</v>
      </c>
      <c r="M4718" t="s">
        <v>3610</v>
      </c>
      <c r="N4718" t="s">
        <v>3562</v>
      </c>
      <c r="O4718" t="s">
        <v>3563</v>
      </c>
      <c r="P4718" t="s">
        <v>3564</v>
      </c>
    </row>
    <row r="4719" spans="1:16" x14ac:dyDescent="0.35">
      <c r="A4719" t="s">
        <v>121</v>
      </c>
      <c r="B4719">
        <v>1701216088</v>
      </c>
      <c r="C4719" t="s">
        <v>18</v>
      </c>
      <c r="D4719" t="s">
        <v>20</v>
      </c>
      <c r="E4719" s="29">
        <v>46208</v>
      </c>
      <c r="F4719" t="s">
        <v>6</v>
      </c>
      <c r="G4719" s="28">
        <v>0.56319444444444444</v>
      </c>
      <c r="H4719" s="28">
        <v>0.56319444444444444</v>
      </c>
      <c r="I4719">
        <v>0</v>
      </c>
      <c r="J4719" t="s">
        <v>174</v>
      </c>
      <c r="K4719">
        <v>0</v>
      </c>
      <c r="L4719" t="s">
        <v>10071</v>
      </c>
      <c r="M4719" t="s">
        <v>3544</v>
      </c>
      <c r="N4719" t="s">
        <v>3545</v>
      </c>
      <c r="O4719" t="s">
        <v>3546</v>
      </c>
      <c r="P4719" t="s">
        <v>3547</v>
      </c>
    </row>
    <row r="4720" spans="1:16" x14ac:dyDescent="0.35">
      <c r="A4720" t="s">
        <v>121</v>
      </c>
      <c r="B4720">
        <v>1701216088</v>
      </c>
      <c r="C4720" t="s">
        <v>18</v>
      </c>
      <c r="D4720" t="s">
        <v>20</v>
      </c>
      <c r="E4720" s="29">
        <v>46208</v>
      </c>
      <c r="F4720" t="s">
        <v>6</v>
      </c>
      <c r="G4720" s="28">
        <v>0.57013888888888886</v>
      </c>
      <c r="H4720" s="28">
        <v>0.57013888888888886</v>
      </c>
      <c r="I4720">
        <v>0</v>
      </c>
      <c r="J4720" t="s">
        <v>174</v>
      </c>
      <c r="K4720">
        <v>0</v>
      </c>
      <c r="L4720" t="s">
        <v>1073</v>
      </c>
      <c r="M4720" t="s">
        <v>11697</v>
      </c>
      <c r="N4720" t="s">
        <v>11698</v>
      </c>
      <c r="O4720" t="s">
        <v>11699</v>
      </c>
      <c r="P4720" t="s">
        <v>11700</v>
      </c>
    </row>
    <row r="4721" spans="1:16" x14ac:dyDescent="0.35">
      <c r="A4721" t="s">
        <v>121</v>
      </c>
      <c r="B4721">
        <v>1701216088</v>
      </c>
      <c r="C4721" t="s">
        <v>18</v>
      </c>
      <c r="D4721" t="s">
        <v>20</v>
      </c>
      <c r="E4721" s="29">
        <v>46208</v>
      </c>
      <c r="F4721" t="s">
        <v>6</v>
      </c>
      <c r="G4721" s="28">
        <v>0.57708333333333328</v>
      </c>
      <c r="H4721" s="28">
        <v>0.57708333333333328</v>
      </c>
      <c r="I4721">
        <v>0</v>
      </c>
      <c r="J4721" t="s">
        <v>174</v>
      </c>
      <c r="K4721">
        <v>0</v>
      </c>
      <c r="L4721" t="s">
        <v>5109</v>
      </c>
      <c r="M4721" t="s">
        <v>11701</v>
      </c>
      <c r="N4721" t="s">
        <v>11702</v>
      </c>
      <c r="O4721" t="s">
        <v>11703</v>
      </c>
      <c r="P4721" t="s">
        <v>11704</v>
      </c>
    </row>
    <row r="4722" spans="1:16" x14ac:dyDescent="0.35">
      <c r="A4722" t="s">
        <v>121</v>
      </c>
      <c r="B4722">
        <v>1701216088</v>
      </c>
      <c r="C4722" t="s">
        <v>18</v>
      </c>
      <c r="D4722" t="s">
        <v>20</v>
      </c>
      <c r="E4722" s="29">
        <v>46208</v>
      </c>
      <c r="F4722" t="s">
        <v>6</v>
      </c>
      <c r="G4722" s="28">
        <v>0.58402777777777781</v>
      </c>
      <c r="H4722" s="28">
        <v>0.58402777777777781</v>
      </c>
      <c r="I4722">
        <v>0</v>
      </c>
      <c r="J4722" t="s">
        <v>174</v>
      </c>
      <c r="K4722">
        <v>0</v>
      </c>
      <c r="L4722" t="s">
        <v>11705</v>
      </c>
      <c r="M4722" t="s">
        <v>11706</v>
      </c>
      <c r="N4722" t="s">
        <v>11707</v>
      </c>
      <c r="O4722" t="s">
        <v>11708</v>
      </c>
      <c r="P4722" t="s">
        <v>10843</v>
      </c>
    </row>
    <row r="4723" spans="1:16" x14ac:dyDescent="0.35">
      <c r="A4723" t="s">
        <v>121</v>
      </c>
      <c r="B4723">
        <v>1701216088</v>
      </c>
      <c r="C4723" t="s">
        <v>18</v>
      </c>
      <c r="D4723" t="s">
        <v>20</v>
      </c>
      <c r="E4723" s="29">
        <v>46208</v>
      </c>
      <c r="F4723" t="s">
        <v>6</v>
      </c>
      <c r="G4723" s="28">
        <v>0.59097222222222223</v>
      </c>
      <c r="H4723" s="28">
        <v>0.59097222222222223</v>
      </c>
      <c r="I4723">
        <v>0</v>
      </c>
      <c r="J4723" t="s">
        <v>174</v>
      </c>
      <c r="K4723">
        <v>0</v>
      </c>
      <c r="L4723" t="s">
        <v>4439</v>
      </c>
      <c r="M4723" t="s">
        <v>11709</v>
      </c>
      <c r="N4723" t="s">
        <v>11710</v>
      </c>
      <c r="O4723" t="s">
        <v>11711</v>
      </c>
      <c r="P4723" t="s">
        <v>11712</v>
      </c>
    </row>
    <row r="4724" spans="1:16" x14ac:dyDescent="0.35">
      <c r="A4724" t="s">
        <v>121</v>
      </c>
      <c r="B4724">
        <v>1701216088</v>
      </c>
      <c r="C4724" t="s">
        <v>18</v>
      </c>
      <c r="D4724" t="s">
        <v>20</v>
      </c>
      <c r="E4724" s="29">
        <v>46208</v>
      </c>
      <c r="F4724" t="s">
        <v>6</v>
      </c>
      <c r="G4724" s="28">
        <v>0.59791666666666665</v>
      </c>
      <c r="H4724" s="28">
        <v>0.7368055555555556</v>
      </c>
      <c r="I4724">
        <v>3</v>
      </c>
      <c r="J4724" t="s">
        <v>146</v>
      </c>
      <c r="K4724">
        <v>10</v>
      </c>
      <c r="L4724" t="s">
        <v>147</v>
      </c>
      <c r="M4724" t="s">
        <v>11713</v>
      </c>
      <c r="N4724" t="s">
        <v>11714</v>
      </c>
      <c r="O4724" t="s">
        <v>11715</v>
      </c>
      <c r="P4724" t="s">
        <v>11716</v>
      </c>
    </row>
    <row r="4725" spans="1:16" x14ac:dyDescent="0.35">
      <c r="A4725" t="s">
        <v>121</v>
      </c>
      <c r="B4725">
        <v>1701216088</v>
      </c>
      <c r="C4725" t="s">
        <v>18</v>
      </c>
      <c r="D4725" t="s">
        <v>20</v>
      </c>
      <c r="E4725" s="29">
        <v>46208</v>
      </c>
      <c r="F4725" t="s">
        <v>6</v>
      </c>
      <c r="G4725" s="28">
        <v>0.74375000000000002</v>
      </c>
      <c r="H4725" s="28">
        <v>0.74375000000000002</v>
      </c>
      <c r="I4725">
        <v>0</v>
      </c>
      <c r="J4725" t="s">
        <v>174</v>
      </c>
      <c r="K4725">
        <v>0</v>
      </c>
      <c r="L4725" t="s">
        <v>6875</v>
      </c>
      <c r="M4725" t="s">
        <v>11717</v>
      </c>
      <c r="N4725" t="s">
        <v>11718</v>
      </c>
      <c r="O4725" t="s">
        <v>11719</v>
      </c>
      <c r="P4725" t="s">
        <v>11720</v>
      </c>
    </row>
    <row r="4726" spans="1:16" x14ac:dyDescent="0.35">
      <c r="A4726" t="s">
        <v>121</v>
      </c>
      <c r="B4726">
        <v>1701216088</v>
      </c>
      <c r="C4726" t="s">
        <v>18</v>
      </c>
      <c r="D4726" t="s">
        <v>20</v>
      </c>
      <c r="E4726" s="29">
        <v>46208</v>
      </c>
      <c r="F4726" t="s">
        <v>6</v>
      </c>
      <c r="G4726" s="28">
        <v>0.75069444444444444</v>
      </c>
      <c r="H4726" s="28">
        <v>0.75069444444444444</v>
      </c>
      <c r="I4726">
        <v>0</v>
      </c>
      <c r="J4726" t="s">
        <v>174</v>
      </c>
      <c r="K4726">
        <v>0</v>
      </c>
      <c r="L4726" t="s">
        <v>3611</v>
      </c>
      <c r="M4726" t="s">
        <v>11721</v>
      </c>
      <c r="N4726" t="s">
        <v>11722</v>
      </c>
      <c r="O4726" t="s">
        <v>11723</v>
      </c>
      <c r="P4726" t="s">
        <v>11724</v>
      </c>
    </row>
    <row r="4727" spans="1:16" x14ac:dyDescent="0.35">
      <c r="A4727" t="s">
        <v>121</v>
      </c>
      <c r="B4727">
        <v>1701216088</v>
      </c>
      <c r="C4727" t="s">
        <v>18</v>
      </c>
      <c r="D4727" t="s">
        <v>20</v>
      </c>
      <c r="E4727" s="29">
        <v>46208</v>
      </c>
      <c r="F4727" t="s">
        <v>6</v>
      </c>
      <c r="G4727" s="28">
        <v>0.75763888888888886</v>
      </c>
      <c r="H4727" s="28">
        <v>0.75763888888888886</v>
      </c>
      <c r="I4727">
        <v>0</v>
      </c>
      <c r="J4727" t="s">
        <v>174</v>
      </c>
      <c r="K4727">
        <v>0</v>
      </c>
      <c r="L4727" t="s">
        <v>4706</v>
      </c>
      <c r="M4727" t="s">
        <v>11725</v>
      </c>
      <c r="N4727" t="s">
        <v>11726</v>
      </c>
      <c r="O4727" t="s">
        <v>11727</v>
      </c>
      <c r="P4727" t="s">
        <v>11728</v>
      </c>
    </row>
    <row r="4728" spans="1:16" x14ac:dyDescent="0.35">
      <c r="A4728" t="s">
        <v>121</v>
      </c>
      <c r="B4728">
        <v>1701216088</v>
      </c>
      <c r="C4728" t="s">
        <v>18</v>
      </c>
      <c r="D4728" t="s">
        <v>20</v>
      </c>
      <c r="E4728" s="29">
        <v>46208</v>
      </c>
      <c r="F4728" t="s">
        <v>6</v>
      </c>
      <c r="G4728" s="28">
        <v>0.76458333333333328</v>
      </c>
      <c r="H4728" s="28">
        <v>0.76458333333333328</v>
      </c>
      <c r="I4728">
        <v>0</v>
      </c>
      <c r="J4728" t="s">
        <v>174</v>
      </c>
      <c r="K4728">
        <v>0</v>
      </c>
      <c r="L4728" t="s">
        <v>11729</v>
      </c>
      <c r="M4728" t="s">
        <v>11730</v>
      </c>
      <c r="N4728" t="s">
        <v>11731</v>
      </c>
      <c r="O4728" t="s">
        <v>11732</v>
      </c>
      <c r="P4728" t="s">
        <v>11733</v>
      </c>
    </row>
    <row r="4729" spans="1:16" x14ac:dyDescent="0.35">
      <c r="A4729" t="s">
        <v>121</v>
      </c>
      <c r="B4729">
        <v>1701216088</v>
      </c>
      <c r="C4729" t="s">
        <v>18</v>
      </c>
      <c r="D4729" t="s">
        <v>20</v>
      </c>
      <c r="E4729" s="29">
        <v>46208</v>
      </c>
      <c r="F4729" t="s">
        <v>6</v>
      </c>
      <c r="G4729" s="28">
        <v>0.77152777777777781</v>
      </c>
      <c r="H4729" s="28">
        <v>0.77152777777777781</v>
      </c>
      <c r="I4729">
        <v>0</v>
      </c>
      <c r="J4729" t="s">
        <v>174</v>
      </c>
      <c r="K4729">
        <v>0</v>
      </c>
      <c r="L4729" t="s">
        <v>10369</v>
      </c>
      <c r="M4729" t="s">
        <v>11734</v>
      </c>
      <c r="N4729" t="s">
        <v>11735</v>
      </c>
      <c r="O4729" t="s">
        <v>11736</v>
      </c>
      <c r="P4729" t="s">
        <v>6240</v>
      </c>
    </row>
    <row r="4730" spans="1:16" x14ac:dyDescent="0.35">
      <c r="A4730" t="s">
        <v>121</v>
      </c>
      <c r="B4730">
        <v>1701216088</v>
      </c>
      <c r="C4730" t="s">
        <v>18</v>
      </c>
      <c r="D4730" t="s">
        <v>20</v>
      </c>
      <c r="E4730" s="29">
        <v>46208</v>
      </c>
      <c r="F4730" t="s">
        <v>6</v>
      </c>
      <c r="G4730" s="28">
        <v>0.77847222222222223</v>
      </c>
      <c r="H4730" s="28">
        <v>0.77847222222222223</v>
      </c>
      <c r="I4730">
        <v>0</v>
      </c>
      <c r="J4730" t="s">
        <v>174</v>
      </c>
      <c r="K4730">
        <v>0</v>
      </c>
      <c r="L4730" t="s">
        <v>1589</v>
      </c>
      <c r="M4730" t="s">
        <v>11737</v>
      </c>
      <c r="N4730" t="s">
        <v>11738</v>
      </c>
      <c r="O4730" t="s">
        <v>11739</v>
      </c>
      <c r="P4730" t="s">
        <v>11740</v>
      </c>
    </row>
    <row r="4731" spans="1:16" x14ac:dyDescent="0.35">
      <c r="A4731" t="s">
        <v>121</v>
      </c>
      <c r="B4731">
        <v>1701216088</v>
      </c>
      <c r="C4731" t="s">
        <v>18</v>
      </c>
      <c r="D4731" t="s">
        <v>20</v>
      </c>
      <c r="E4731" s="29">
        <v>46208</v>
      </c>
      <c r="F4731" t="s">
        <v>6</v>
      </c>
      <c r="G4731" s="28">
        <v>0.78541666666666665</v>
      </c>
      <c r="H4731" s="28">
        <v>0.81319444444444444</v>
      </c>
      <c r="I4731">
        <v>1</v>
      </c>
      <c r="J4731" t="s">
        <v>146</v>
      </c>
      <c r="K4731">
        <v>2</v>
      </c>
      <c r="L4731" t="s">
        <v>147</v>
      </c>
      <c r="M4731" t="s">
        <v>11741</v>
      </c>
      <c r="N4731" t="s">
        <v>11742</v>
      </c>
      <c r="O4731" t="s">
        <v>11743</v>
      </c>
      <c r="P4731" t="s">
        <v>11744</v>
      </c>
    </row>
    <row r="4732" spans="1:16" x14ac:dyDescent="0.35">
      <c r="A4732" t="s">
        <v>117</v>
      </c>
      <c r="B4732">
        <v>1700702247</v>
      </c>
      <c r="C4732" t="s">
        <v>18</v>
      </c>
      <c r="D4732" t="s">
        <v>20</v>
      </c>
      <c r="E4732" s="29">
        <v>46204</v>
      </c>
      <c r="F4732" t="s">
        <v>3</v>
      </c>
      <c r="G4732" s="28">
        <v>0.39305555555555555</v>
      </c>
      <c r="H4732" s="28">
        <v>0.39305555555555555</v>
      </c>
      <c r="I4732">
        <v>0</v>
      </c>
      <c r="J4732" t="s">
        <v>174</v>
      </c>
      <c r="K4732">
        <v>0</v>
      </c>
      <c r="L4732" t="s">
        <v>1022</v>
      </c>
      <c r="M4732" t="s">
        <v>11745</v>
      </c>
      <c r="N4732" t="s">
        <v>11746</v>
      </c>
      <c r="O4732" t="s">
        <v>11747</v>
      </c>
      <c r="P4732" t="s">
        <v>9712</v>
      </c>
    </row>
    <row r="4733" spans="1:16" x14ac:dyDescent="0.35">
      <c r="A4733" t="s">
        <v>117</v>
      </c>
      <c r="B4733">
        <v>1700702247</v>
      </c>
      <c r="C4733" t="s">
        <v>18</v>
      </c>
      <c r="D4733" t="s">
        <v>20</v>
      </c>
      <c r="E4733" s="29">
        <v>46204</v>
      </c>
      <c r="F4733" t="s">
        <v>3</v>
      </c>
      <c r="G4733" s="28">
        <v>0.4</v>
      </c>
      <c r="H4733" s="28">
        <v>0.4</v>
      </c>
      <c r="I4733">
        <v>0</v>
      </c>
      <c r="J4733" t="s">
        <v>174</v>
      </c>
      <c r="K4733">
        <v>0</v>
      </c>
      <c r="L4733" t="s">
        <v>212</v>
      </c>
      <c r="M4733" t="s">
        <v>11748</v>
      </c>
      <c r="N4733" t="s">
        <v>11749</v>
      </c>
      <c r="O4733" t="s">
        <v>11750</v>
      </c>
      <c r="P4733" t="s">
        <v>11751</v>
      </c>
    </row>
    <row r="4734" spans="1:16" x14ac:dyDescent="0.35">
      <c r="A4734" t="s">
        <v>117</v>
      </c>
      <c r="B4734">
        <v>1700702247</v>
      </c>
      <c r="C4734" t="s">
        <v>18</v>
      </c>
      <c r="D4734" t="s">
        <v>20</v>
      </c>
      <c r="E4734" s="29">
        <v>46204</v>
      </c>
      <c r="F4734" t="s">
        <v>3</v>
      </c>
      <c r="G4734" s="28">
        <v>0.40694444444444444</v>
      </c>
      <c r="H4734" s="28">
        <v>0.40694444444444444</v>
      </c>
      <c r="I4734">
        <v>0</v>
      </c>
      <c r="J4734" t="s">
        <v>174</v>
      </c>
      <c r="K4734">
        <v>0</v>
      </c>
      <c r="L4734" t="s">
        <v>2416</v>
      </c>
      <c r="M4734" t="s">
        <v>11752</v>
      </c>
      <c r="N4734" t="s">
        <v>11753</v>
      </c>
      <c r="O4734" t="s">
        <v>11754</v>
      </c>
      <c r="P4734" t="s">
        <v>9632</v>
      </c>
    </row>
    <row r="4735" spans="1:16" x14ac:dyDescent="0.35">
      <c r="A4735" t="s">
        <v>117</v>
      </c>
      <c r="B4735">
        <v>1700702247</v>
      </c>
      <c r="C4735" t="s">
        <v>18</v>
      </c>
      <c r="D4735" t="s">
        <v>20</v>
      </c>
      <c r="E4735" s="29">
        <v>46204</v>
      </c>
      <c r="F4735" t="s">
        <v>3</v>
      </c>
      <c r="G4735" s="28">
        <v>0.41388888888888886</v>
      </c>
      <c r="H4735" s="28">
        <v>0.42083333333333334</v>
      </c>
      <c r="I4735">
        <v>0</v>
      </c>
      <c r="J4735" t="s">
        <v>146</v>
      </c>
      <c r="K4735">
        <v>1</v>
      </c>
      <c r="L4735" t="s">
        <v>147</v>
      </c>
      <c r="M4735" t="s">
        <v>11755</v>
      </c>
      <c r="N4735" t="s">
        <v>11756</v>
      </c>
      <c r="O4735" t="s">
        <v>11757</v>
      </c>
      <c r="P4735" t="s">
        <v>11758</v>
      </c>
    </row>
    <row r="4736" spans="1:16" x14ac:dyDescent="0.35">
      <c r="A4736" t="s">
        <v>117</v>
      </c>
      <c r="B4736">
        <v>1700702247</v>
      </c>
      <c r="C4736" t="s">
        <v>18</v>
      </c>
      <c r="D4736" t="s">
        <v>20</v>
      </c>
      <c r="E4736" s="29">
        <v>46204</v>
      </c>
      <c r="F4736" t="s">
        <v>3</v>
      </c>
      <c r="G4736" s="28">
        <v>0.42777777777777776</v>
      </c>
      <c r="H4736" s="28">
        <v>0.42777777777777776</v>
      </c>
      <c r="I4736">
        <v>0</v>
      </c>
      <c r="J4736" t="s">
        <v>174</v>
      </c>
      <c r="K4736">
        <v>0</v>
      </c>
      <c r="L4736" t="s">
        <v>340</v>
      </c>
      <c r="M4736" t="s">
        <v>11759</v>
      </c>
      <c r="N4736" t="s">
        <v>11760</v>
      </c>
      <c r="O4736" t="s">
        <v>11761</v>
      </c>
      <c r="P4736" t="s">
        <v>11762</v>
      </c>
    </row>
    <row r="4737" spans="1:16" x14ac:dyDescent="0.35">
      <c r="A4737" t="s">
        <v>117</v>
      </c>
      <c r="B4737">
        <v>1700702247</v>
      </c>
      <c r="C4737" t="s">
        <v>18</v>
      </c>
      <c r="D4737" t="s">
        <v>20</v>
      </c>
      <c r="E4737" s="29">
        <v>46204</v>
      </c>
      <c r="F4737" t="s">
        <v>3</v>
      </c>
      <c r="G4737" s="28">
        <v>0.43472222222222223</v>
      </c>
      <c r="H4737" s="28">
        <v>0.44166666666666665</v>
      </c>
      <c r="I4737">
        <v>0</v>
      </c>
      <c r="J4737" t="s">
        <v>146</v>
      </c>
      <c r="K4737">
        <v>0</v>
      </c>
      <c r="L4737" t="s">
        <v>147</v>
      </c>
      <c r="M4737" t="s">
        <v>649</v>
      </c>
      <c r="N4737" t="s">
        <v>650</v>
      </c>
      <c r="O4737" t="s">
        <v>651</v>
      </c>
      <c r="P4737" t="s">
        <v>11763</v>
      </c>
    </row>
    <row r="4738" spans="1:16" x14ac:dyDescent="0.35">
      <c r="A4738" t="s">
        <v>117</v>
      </c>
      <c r="B4738">
        <v>1700702247</v>
      </c>
      <c r="C4738" t="s">
        <v>18</v>
      </c>
      <c r="D4738" t="s">
        <v>20</v>
      </c>
      <c r="E4738" s="29">
        <v>46204</v>
      </c>
      <c r="F4738" t="s">
        <v>3</v>
      </c>
      <c r="G4738" s="28">
        <v>0.44861111111111113</v>
      </c>
      <c r="H4738" s="28">
        <v>0.44861111111111113</v>
      </c>
      <c r="I4738">
        <v>0</v>
      </c>
      <c r="J4738" t="s">
        <v>174</v>
      </c>
      <c r="K4738">
        <v>0</v>
      </c>
      <c r="L4738" t="s">
        <v>2218</v>
      </c>
      <c r="M4738" t="s">
        <v>9801</v>
      </c>
      <c r="N4738" t="s">
        <v>9802</v>
      </c>
      <c r="O4738" t="s">
        <v>9803</v>
      </c>
      <c r="P4738" t="s">
        <v>11764</v>
      </c>
    </row>
    <row r="4739" spans="1:16" x14ac:dyDescent="0.35">
      <c r="A4739" t="s">
        <v>117</v>
      </c>
      <c r="B4739">
        <v>1700702247</v>
      </c>
      <c r="C4739" t="s">
        <v>18</v>
      </c>
      <c r="D4739" t="s">
        <v>20</v>
      </c>
      <c r="E4739" s="29">
        <v>46204</v>
      </c>
      <c r="F4739" t="s">
        <v>3</v>
      </c>
      <c r="G4739" s="28">
        <v>0.45555555555555555</v>
      </c>
      <c r="H4739" s="28">
        <v>0.48333333333333334</v>
      </c>
      <c r="I4739">
        <v>1</v>
      </c>
      <c r="J4739" t="s">
        <v>146</v>
      </c>
      <c r="K4739">
        <v>2</v>
      </c>
      <c r="L4739" t="s">
        <v>147</v>
      </c>
      <c r="M4739" t="s">
        <v>9944</v>
      </c>
      <c r="N4739" t="s">
        <v>9945</v>
      </c>
      <c r="O4739" t="s">
        <v>9946</v>
      </c>
      <c r="P4739" t="s">
        <v>9716</v>
      </c>
    </row>
    <row r="4740" spans="1:16" x14ac:dyDescent="0.35">
      <c r="A4740" t="s">
        <v>117</v>
      </c>
      <c r="B4740">
        <v>1700702247</v>
      </c>
      <c r="C4740" t="s">
        <v>18</v>
      </c>
      <c r="D4740" t="s">
        <v>20</v>
      </c>
      <c r="E4740" s="29">
        <v>46204</v>
      </c>
      <c r="F4740" t="s">
        <v>3</v>
      </c>
      <c r="G4740" s="28">
        <v>0.49027777777777776</v>
      </c>
      <c r="H4740" s="28">
        <v>0.49027777777777776</v>
      </c>
      <c r="I4740">
        <v>0</v>
      </c>
      <c r="J4740" t="s">
        <v>174</v>
      </c>
      <c r="K4740">
        <v>0</v>
      </c>
      <c r="L4740" t="s">
        <v>11765</v>
      </c>
      <c r="M4740" t="s">
        <v>649</v>
      </c>
      <c r="N4740" t="s">
        <v>650</v>
      </c>
      <c r="O4740" t="s">
        <v>651</v>
      </c>
      <c r="P4740" t="s">
        <v>11763</v>
      </c>
    </row>
    <row r="4741" spans="1:16" x14ac:dyDescent="0.35">
      <c r="A4741" t="s">
        <v>117</v>
      </c>
      <c r="B4741">
        <v>1700702247</v>
      </c>
      <c r="C4741" t="s">
        <v>18</v>
      </c>
      <c r="D4741" t="s">
        <v>20</v>
      </c>
      <c r="E4741" s="29">
        <v>46204</v>
      </c>
      <c r="F4741" t="s">
        <v>3</v>
      </c>
      <c r="G4741" s="28">
        <v>0.49722222222222223</v>
      </c>
      <c r="H4741" s="28">
        <v>0.49722222222222223</v>
      </c>
      <c r="I4741">
        <v>0</v>
      </c>
      <c r="J4741" t="s">
        <v>174</v>
      </c>
      <c r="K4741">
        <v>0</v>
      </c>
      <c r="L4741" t="s">
        <v>246</v>
      </c>
      <c r="M4741" t="s">
        <v>2870</v>
      </c>
      <c r="N4741" t="s">
        <v>2871</v>
      </c>
      <c r="O4741" t="s">
        <v>2872</v>
      </c>
      <c r="P4741" t="s">
        <v>2873</v>
      </c>
    </row>
    <row r="4742" spans="1:16" x14ac:dyDescent="0.35">
      <c r="A4742" t="s">
        <v>117</v>
      </c>
      <c r="B4742">
        <v>1700702247</v>
      </c>
      <c r="C4742" t="s">
        <v>18</v>
      </c>
      <c r="D4742" t="s">
        <v>20</v>
      </c>
      <c r="E4742" s="29">
        <v>46204</v>
      </c>
      <c r="F4742" t="s">
        <v>3</v>
      </c>
      <c r="G4742" s="28">
        <v>0.50416666666666665</v>
      </c>
      <c r="H4742" s="28">
        <v>0.50416666666666665</v>
      </c>
      <c r="I4742">
        <v>0</v>
      </c>
      <c r="J4742" t="s">
        <v>174</v>
      </c>
      <c r="K4742">
        <v>0</v>
      </c>
      <c r="L4742" t="s">
        <v>11766</v>
      </c>
      <c r="M4742" t="s">
        <v>9951</v>
      </c>
      <c r="N4742" t="s">
        <v>9952</v>
      </c>
      <c r="O4742" t="s">
        <v>9953</v>
      </c>
      <c r="P4742" t="s">
        <v>11767</v>
      </c>
    </row>
    <row r="4743" spans="1:16" x14ac:dyDescent="0.35">
      <c r="A4743" t="s">
        <v>117</v>
      </c>
      <c r="B4743">
        <v>1700702247</v>
      </c>
      <c r="C4743" t="s">
        <v>18</v>
      </c>
      <c r="D4743" t="s">
        <v>20</v>
      </c>
      <c r="E4743" s="29">
        <v>46204</v>
      </c>
      <c r="F4743" t="s">
        <v>3</v>
      </c>
      <c r="G4743" s="28">
        <v>0.51111111111111107</v>
      </c>
      <c r="H4743" s="28">
        <v>0.51111111111111107</v>
      </c>
      <c r="I4743">
        <v>0</v>
      </c>
      <c r="J4743" t="s">
        <v>174</v>
      </c>
      <c r="K4743">
        <v>0</v>
      </c>
      <c r="L4743" t="s">
        <v>579</v>
      </c>
      <c r="M4743" t="s">
        <v>11768</v>
      </c>
      <c r="N4743" t="s">
        <v>11769</v>
      </c>
      <c r="O4743" t="s">
        <v>11770</v>
      </c>
      <c r="P4743" t="s">
        <v>11771</v>
      </c>
    </row>
    <row r="4744" spans="1:16" x14ac:dyDescent="0.35">
      <c r="A4744" t="s">
        <v>117</v>
      </c>
      <c r="B4744">
        <v>1700702247</v>
      </c>
      <c r="C4744" t="s">
        <v>18</v>
      </c>
      <c r="D4744" t="s">
        <v>20</v>
      </c>
      <c r="E4744" s="29">
        <v>46204</v>
      </c>
      <c r="F4744" t="s">
        <v>3</v>
      </c>
      <c r="G4744" s="28">
        <v>0.5180555555555556</v>
      </c>
      <c r="H4744" s="28">
        <v>0.5180555555555556</v>
      </c>
      <c r="I4744">
        <v>0</v>
      </c>
      <c r="J4744" t="s">
        <v>174</v>
      </c>
      <c r="K4744">
        <v>0</v>
      </c>
      <c r="L4744" t="s">
        <v>5459</v>
      </c>
      <c r="M4744" t="s">
        <v>11772</v>
      </c>
      <c r="N4744" t="s">
        <v>11773</v>
      </c>
      <c r="O4744" t="s">
        <v>11774</v>
      </c>
      <c r="P4744" t="s">
        <v>11775</v>
      </c>
    </row>
    <row r="4745" spans="1:16" x14ac:dyDescent="0.35">
      <c r="A4745" t="s">
        <v>117</v>
      </c>
      <c r="B4745">
        <v>1700702247</v>
      </c>
      <c r="C4745" t="s">
        <v>18</v>
      </c>
      <c r="D4745" t="s">
        <v>20</v>
      </c>
      <c r="E4745" s="29">
        <v>46204</v>
      </c>
      <c r="F4745" t="s">
        <v>3</v>
      </c>
      <c r="G4745" s="28">
        <v>0.52500000000000002</v>
      </c>
      <c r="H4745" s="28">
        <v>0.53194444444444444</v>
      </c>
      <c r="I4745">
        <v>0</v>
      </c>
      <c r="J4745" t="s">
        <v>146</v>
      </c>
      <c r="K4745">
        <v>0</v>
      </c>
      <c r="L4745" t="s">
        <v>147</v>
      </c>
      <c r="M4745" t="s">
        <v>649</v>
      </c>
      <c r="N4745" t="s">
        <v>650</v>
      </c>
      <c r="O4745" t="s">
        <v>651</v>
      </c>
      <c r="P4745" t="s">
        <v>11763</v>
      </c>
    </row>
    <row r="4746" spans="1:16" x14ac:dyDescent="0.35">
      <c r="A4746" t="s">
        <v>117</v>
      </c>
      <c r="B4746">
        <v>1700702247</v>
      </c>
      <c r="C4746" t="s">
        <v>18</v>
      </c>
      <c r="D4746" t="s">
        <v>20</v>
      </c>
      <c r="E4746" s="29">
        <v>46204</v>
      </c>
      <c r="F4746" t="s">
        <v>3</v>
      </c>
      <c r="G4746" s="28">
        <v>0.53888888888888886</v>
      </c>
      <c r="H4746" s="28">
        <v>0.53888888888888886</v>
      </c>
      <c r="I4746">
        <v>0</v>
      </c>
      <c r="J4746" t="s">
        <v>174</v>
      </c>
      <c r="K4746">
        <v>0</v>
      </c>
      <c r="L4746" t="s">
        <v>3836</v>
      </c>
      <c r="M4746" t="s">
        <v>9706</v>
      </c>
      <c r="N4746" t="s">
        <v>9707</v>
      </c>
      <c r="O4746" t="s">
        <v>9708</v>
      </c>
      <c r="P4746" t="s">
        <v>11776</v>
      </c>
    </row>
    <row r="4747" spans="1:16" x14ac:dyDescent="0.35">
      <c r="A4747" t="s">
        <v>117</v>
      </c>
      <c r="B4747">
        <v>1700702247</v>
      </c>
      <c r="C4747" t="s">
        <v>18</v>
      </c>
      <c r="D4747" t="s">
        <v>20</v>
      </c>
      <c r="E4747" s="29">
        <v>46204</v>
      </c>
      <c r="F4747" t="s">
        <v>3</v>
      </c>
      <c r="G4747" s="28">
        <v>0.54583333333333328</v>
      </c>
      <c r="H4747" s="28">
        <v>0.56666666666666665</v>
      </c>
      <c r="I4747">
        <v>1</v>
      </c>
      <c r="J4747" t="s">
        <v>146</v>
      </c>
      <c r="K4747">
        <v>2</v>
      </c>
      <c r="L4747" t="s">
        <v>147</v>
      </c>
      <c r="M4747" t="s">
        <v>11772</v>
      </c>
      <c r="N4747" t="s">
        <v>11773</v>
      </c>
      <c r="O4747" t="s">
        <v>11774</v>
      </c>
      <c r="P4747" t="s">
        <v>11775</v>
      </c>
    </row>
    <row r="4748" spans="1:16" x14ac:dyDescent="0.35">
      <c r="A4748" t="s">
        <v>117</v>
      </c>
      <c r="B4748">
        <v>1700702247</v>
      </c>
      <c r="C4748" t="s">
        <v>18</v>
      </c>
      <c r="D4748" t="s">
        <v>20</v>
      </c>
      <c r="E4748" s="29">
        <v>46204</v>
      </c>
      <c r="F4748" t="s">
        <v>3</v>
      </c>
      <c r="G4748" s="28">
        <v>0.57361111111111107</v>
      </c>
      <c r="H4748" s="28">
        <v>0.57361111111111107</v>
      </c>
      <c r="I4748">
        <v>0</v>
      </c>
      <c r="J4748" t="s">
        <v>174</v>
      </c>
      <c r="K4748">
        <v>0</v>
      </c>
      <c r="L4748" t="s">
        <v>685</v>
      </c>
      <c r="M4748" t="s">
        <v>649</v>
      </c>
      <c r="N4748" t="s">
        <v>650</v>
      </c>
      <c r="O4748" t="s">
        <v>651</v>
      </c>
      <c r="P4748" t="s">
        <v>11763</v>
      </c>
    </row>
    <row r="4749" spans="1:16" x14ac:dyDescent="0.35">
      <c r="A4749" t="s">
        <v>117</v>
      </c>
      <c r="B4749">
        <v>1700702247</v>
      </c>
      <c r="C4749" t="s">
        <v>18</v>
      </c>
      <c r="D4749" t="s">
        <v>20</v>
      </c>
      <c r="E4749" s="29">
        <v>46204</v>
      </c>
      <c r="F4749" t="s">
        <v>3</v>
      </c>
      <c r="G4749" s="28">
        <v>0.5805555555555556</v>
      </c>
      <c r="H4749" s="28">
        <v>0.5805555555555556</v>
      </c>
      <c r="I4749">
        <v>0</v>
      </c>
      <c r="J4749" t="s">
        <v>174</v>
      </c>
      <c r="K4749">
        <v>0</v>
      </c>
      <c r="L4749" t="s">
        <v>11777</v>
      </c>
      <c r="M4749" t="s">
        <v>11778</v>
      </c>
      <c r="N4749" t="s">
        <v>11779</v>
      </c>
      <c r="O4749" t="s">
        <v>11780</v>
      </c>
      <c r="P4749" t="s">
        <v>11781</v>
      </c>
    </row>
    <row r="4750" spans="1:16" x14ac:dyDescent="0.35">
      <c r="A4750" t="s">
        <v>117</v>
      </c>
      <c r="B4750">
        <v>1700702247</v>
      </c>
      <c r="C4750" t="s">
        <v>18</v>
      </c>
      <c r="D4750" t="s">
        <v>20</v>
      </c>
      <c r="E4750" s="29">
        <v>46204</v>
      </c>
      <c r="F4750" t="s">
        <v>3</v>
      </c>
      <c r="G4750" s="28">
        <v>0.59444444444444444</v>
      </c>
      <c r="H4750" s="28">
        <v>0.59444444444444444</v>
      </c>
      <c r="I4750">
        <v>0</v>
      </c>
      <c r="J4750" t="s">
        <v>174</v>
      </c>
      <c r="K4750">
        <v>0</v>
      </c>
      <c r="L4750" t="s">
        <v>11782</v>
      </c>
      <c r="M4750" t="s">
        <v>9932</v>
      </c>
      <c r="N4750" t="s">
        <v>9933</v>
      </c>
      <c r="O4750" t="s">
        <v>9934</v>
      </c>
      <c r="P4750" t="s">
        <v>11783</v>
      </c>
    </row>
    <row r="4751" spans="1:16" x14ac:dyDescent="0.35">
      <c r="A4751" t="s">
        <v>117</v>
      </c>
      <c r="B4751">
        <v>1700702247</v>
      </c>
      <c r="C4751" t="s">
        <v>18</v>
      </c>
      <c r="D4751" t="s">
        <v>20</v>
      </c>
      <c r="E4751" s="29">
        <v>46204</v>
      </c>
      <c r="F4751" t="s">
        <v>3</v>
      </c>
      <c r="G4751" s="28">
        <v>0.60138888888888886</v>
      </c>
      <c r="H4751" s="28">
        <v>0.62222222222222223</v>
      </c>
      <c r="I4751">
        <v>1</v>
      </c>
      <c r="J4751" t="s">
        <v>146</v>
      </c>
      <c r="K4751">
        <v>2</v>
      </c>
      <c r="L4751" t="s">
        <v>147</v>
      </c>
      <c r="M4751" t="s">
        <v>9944</v>
      </c>
      <c r="N4751" t="s">
        <v>9945</v>
      </c>
      <c r="O4751" t="s">
        <v>9946</v>
      </c>
      <c r="P4751" t="s">
        <v>9716</v>
      </c>
    </row>
    <row r="4752" spans="1:16" x14ac:dyDescent="0.35">
      <c r="A4752" t="s">
        <v>117</v>
      </c>
      <c r="B4752">
        <v>1700702247</v>
      </c>
      <c r="C4752" t="s">
        <v>18</v>
      </c>
      <c r="D4752" t="s">
        <v>20</v>
      </c>
      <c r="E4752" s="29">
        <v>46204</v>
      </c>
      <c r="F4752" t="s">
        <v>3</v>
      </c>
      <c r="G4752" s="28">
        <v>0.62916666666666665</v>
      </c>
      <c r="H4752" s="28">
        <v>0.65694444444444444</v>
      </c>
      <c r="I4752">
        <v>1</v>
      </c>
      <c r="J4752" t="s">
        <v>146</v>
      </c>
      <c r="K4752">
        <v>2</v>
      </c>
      <c r="L4752" t="s">
        <v>147</v>
      </c>
      <c r="M4752" t="s">
        <v>9932</v>
      </c>
      <c r="N4752" t="s">
        <v>9933</v>
      </c>
      <c r="O4752" t="s">
        <v>9934</v>
      </c>
      <c r="P4752" t="s">
        <v>11783</v>
      </c>
    </row>
    <row r="4753" spans="1:16" x14ac:dyDescent="0.35">
      <c r="A4753" t="s">
        <v>117</v>
      </c>
      <c r="B4753">
        <v>1700702247</v>
      </c>
      <c r="C4753" t="s">
        <v>18</v>
      </c>
      <c r="D4753" t="s">
        <v>20</v>
      </c>
      <c r="E4753" s="29">
        <v>46204</v>
      </c>
      <c r="F4753" t="s">
        <v>3</v>
      </c>
      <c r="G4753" s="28">
        <v>0.66388888888888886</v>
      </c>
      <c r="H4753" s="28">
        <v>0.66388888888888886</v>
      </c>
      <c r="I4753">
        <v>0</v>
      </c>
      <c r="J4753" t="s">
        <v>174</v>
      </c>
      <c r="K4753">
        <v>0</v>
      </c>
      <c r="L4753" t="s">
        <v>11782</v>
      </c>
      <c r="M4753" t="s">
        <v>9944</v>
      </c>
      <c r="N4753" t="s">
        <v>9945</v>
      </c>
      <c r="O4753" t="s">
        <v>9946</v>
      </c>
      <c r="P4753" t="s">
        <v>9716</v>
      </c>
    </row>
    <row r="4754" spans="1:16" x14ac:dyDescent="0.35">
      <c r="A4754" t="s">
        <v>117</v>
      </c>
      <c r="B4754">
        <v>1700702247</v>
      </c>
      <c r="C4754" t="s">
        <v>18</v>
      </c>
      <c r="D4754" t="s">
        <v>20</v>
      </c>
      <c r="E4754" s="29">
        <v>46204</v>
      </c>
      <c r="F4754" t="s">
        <v>3</v>
      </c>
      <c r="G4754" s="28">
        <v>0.67083333333333328</v>
      </c>
      <c r="H4754" s="28">
        <v>0.67777777777777781</v>
      </c>
      <c r="I4754">
        <v>0</v>
      </c>
      <c r="J4754" t="s">
        <v>146</v>
      </c>
      <c r="K4754">
        <v>1</v>
      </c>
      <c r="L4754" t="s">
        <v>147</v>
      </c>
      <c r="M4754" t="s">
        <v>9932</v>
      </c>
      <c r="N4754" t="s">
        <v>9933</v>
      </c>
      <c r="O4754" t="s">
        <v>9934</v>
      </c>
      <c r="P4754" t="s">
        <v>11783</v>
      </c>
    </row>
    <row r="4755" spans="1:16" x14ac:dyDescent="0.35">
      <c r="A4755" t="s">
        <v>117</v>
      </c>
      <c r="B4755">
        <v>1700702247</v>
      </c>
      <c r="C4755" t="s">
        <v>18</v>
      </c>
      <c r="D4755" t="s">
        <v>20</v>
      </c>
      <c r="E4755" s="29">
        <v>46204</v>
      </c>
      <c r="F4755" t="s">
        <v>3</v>
      </c>
      <c r="G4755" s="28">
        <v>0.68472222222222223</v>
      </c>
      <c r="H4755" s="28">
        <v>0.69166666666666665</v>
      </c>
      <c r="I4755">
        <v>0</v>
      </c>
      <c r="J4755" t="s">
        <v>146</v>
      </c>
      <c r="K4755">
        <v>0</v>
      </c>
      <c r="L4755" t="s">
        <v>147</v>
      </c>
      <c r="M4755" t="s">
        <v>9944</v>
      </c>
      <c r="N4755" t="s">
        <v>9945</v>
      </c>
      <c r="O4755" t="s">
        <v>9946</v>
      </c>
      <c r="P4755" t="s">
        <v>9716</v>
      </c>
    </row>
    <row r="4756" spans="1:16" x14ac:dyDescent="0.35">
      <c r="A4756" t="s">
        <v>117</v>
      </c>
      <c r="B4756">
        <v>1700702247</v>
      </c>
      <c r="C4756" t="s">
        <v>18</v>
      </c>
      <c r="D4756" t="s">
        <v>20</v>
      </c>
      <c r="E4756" s="29">
        <v>46204</v>
      </c>
      <c r="F4756" t="s">
        <v>3</v>
      </c>
      <c r="G4756" s="28">
        <v>0.69861111111111107</v>
      </c>
      <c r="H4756" s="28">
        <v>0.69861111111111107</v>
      </c>
      <c r="I4756">
        <v>0</v>
      </c>
      <c r="J4756" t="s">
        <v>174</v>
      </c>
      <c r="K4756">
        <v>0</v>
      </c>
      <c r="L4756" t="s">
        <v>2879</v>
      </c>
      <c r="M4756" t="s">
        <v>9932</v>
      </c>
      <c r="N4756" t="s">
        <v>9933</v>
      </c>
      <c r="O4756" t="s">
        <v>9934</v>
      </c>
      <c r="P4756" t="s">
        <v>11783</v>
      </c>
    </row>
    <row r="4757" spans="1:16" x14ac:dyDescent="0.35">
      <c r="A4757" t="s">
        <v>117</v>
      </c>
      <c r="B4757">
        <v>1700702247</v>
      </c>
      <c r="C4757" t="s">
        <v>18</v>
      </c>
      <c r="D4757" t="s">
        <v>20</v>
      </c>
      <c r="E4757" s="29">
        <v>46204</v>
      </c>
      <c r="F4757" t="s">
        <v>3</v>
      </c>
      <c r="G4757" s="28">
        <v>0.7055555555555556</v>
      </c>
      <c r="H4757" s="28">
        <v>0.7055555555555556</v>
      </c>
      <c r="I4757">
        <v>0</v>
      </c>
      <c r="J4757" t="s">
        <v>174</v>
      </c>
      <c r="K4757">
        <v>0</v>
      </c>
      <c r="L4757" t="s">
        <v>379</v>
      </c>
      <c r="M4757" t="s">
        <v>9940</v>
      </c>
      <c r="N4757" t="s">
        <v>9941</v>
      </c>
      <c r="O4757" t="s">
        <v>9942</v>
      </c>
      <c r="P4757" t="s">
        <v>11775</v>
      </c>
    </row>
    <row r="4758" spans="1:16" x14ac:dyDescent="0.35">
      <c r="A4758" t="s">
        <v>117</v>
      </c>
      <c r="B4758">
        <v>1700702247</v>
      </c>
      <c r="C4758" t="s">
        <v>18</v>
      </c>
      <c r="D4758" t="s">
        <v>20</v>
      </c>
      <c r="E4758" s="29">
        <v>46204</v>
      </c>
      <c r="F4758" t="s">
        <v>3</v>
      </c>
      <c r="G4758" s="28">
        <v>0.71250000000000002</v>
      </c>
      <c r="H4758" s="28">
        <v>0.71250000000000002</v>
      </c>
      <c r="I4758">
        <v>0</v>
      </c>
      <c r="J4758" t="s">
        <v>174</v>
      </c>
      <c r="K4758">
        <v>0</v>
      </c>
      <c r="L4758" t="s">
        <v>11784</v>
      </c>
      <c r="M4758" t="s">
        <v>591</v>
      </c>
      <c r="N4758" t="s">
        <v>11785</v>
      </c>
      <c r="O4758" t="s">
        <v>11786</v>
      </c>
      <c r="P4758" t="s">
        <v>11787</v>
      </c>
    </row>
    <row r="4759" spans="1:16" x14ac:dyDescent="0.35">
      <c r="A4759" t="s">
        <v>117</v>
      </c>
      <c r="B4759">
        <v>1700702247</v>
      </c>
      <c r="C4759" t="s">
        <v>18</v>
      </c>
      <c r="D4759" t="s">
        <v>20</v>
      </c>
      <c r="E4759" s="29">
        <v>46204</v>
      </c>
      <c r="F4759" t="s">
        <v>3</v>
      </c>
      <c r="G4759" s="28">
        <v>0.71944444444444444</v>
      </c>
      <c r="H4759" s="28">
        <v>0.73333333333333328</v>
      </c>
      <c r="I4759">
        <v>0</v>
      </c>
      <c r="J4759" t="s">
        <v>146</v>
      </c>
      <c r="K4759">
        <v>1</v>
      </c>
      <c r="L4759" t="s">
        <v>147</v>
      </c>
      <c r="M4759" t="s">
        <v>644</v>
      </c>
      <c r="N4759" t="s">
        <v>645</v>
      </c>
      <c r="O4759" t="s">
        <v>646</v>
      </c>
      <c r="P4759" t="s">
        <v>11788</v>
      </c>
    </row>
    <row r="4760" spans="1:16" x14ac:dyDescent="0.35">
      <c r="A4760" t="s">
        <v>117</v>
      </c>
      <c r="B4760">
        <v>1700702247</v>
      </c>
      <c r="C4760" t="s">
        <v>18</v>
      </c>
      <c r="D4760" t="s">
        <v>20</v>
      </c>
      <c r="E4760" s="29">
        <v>46204</v>
      </c>
      <c r="F4760" t="s">
        <v>3</v>
      </c>
      <c r="G4760" s="28">
        <v>0.74027777777777781</v>
      </c>
      <c r="H4760" s="28">
        <v>0.74027777777777781</v>
      </c>
      <c r="I4760">
        <v>0</v>
      </c>
      <c r="J4760" t="s">
        <v>174</v>
      </c>
      <c r="K4760">
        <v>0</v>
      </c>
      <c r="L4760" t="s">
        <v>369</v>
      </c>
      <c r="M4760" t="s">
        <v>11789</v>
      </c>
      <c r="N4760" t="s">
        <v>11790</v>
      </c>
      <c r="O4760" t="s">
        <v>11791</v>
      </c>
      <c r="P4760" t="s">
        <v>11792</v>
      </c>
    </row>
    <row r="4761" spans="1:16" x14ac:dyDescent="0.35">
      <c r="A4761" t="s">
        <v>117</v>
      </c>
      <c r="B4761">
        <v>1700702247</v>
      </c>
      <c r="C4761" t="s">
        <v>18</v>
      </c>
      <c r="D4761" t="s">
        <v>20</v>
      </c>
      <c r="E4761" s="29">
        <v>46204</v>
      </c>
      <c r="F4761" t="s">
        <v>3</v>
      </c>
      <c r="G4761" s="28">
        <v>0.74722222222222223</v>
      </c>
      <c r="H4761" s="28">
        <v>0.74722222222222223</v>
      </c>
      <c r="I4761">
        <v>0</v>
      </c>
      <c r="J4761" t="s">
        <v>174</v>
      </c>
      <c r="K4761">
        <v>0</v>
      </c>
      <c r="L4761" t="s">
        <v>1331</v>
      </c>
      <c r="M4761" t="s">
        <v>11793</v>
      </c>
      <c r="N4761" t="s">
        <v>11794</v>
      </c>
      <c r="O4761" t="s">
        <v>11795</v>
      </c>
      <c r="P4761" t="s">
        <v>11796</v>
      </c>
    </row>
    <row r="4762" spans="1:16" x14ac:dyDescent="0.35">
      <c r="A4762" t="s">
        <v>117</v>
      </c>
      <c r="B4762">
        <v>1700702247</v>
      </c>
      <c r="C4762" t="s">
        <v>18</v>
      </c>
      <c r="D4762" t="s">
        <v>20</v>
      </c>
      <c r="E4762" s="29">
        <v>46204</v>
      </c>
      <c r="F4762" t="s">
        <v>3</v>
      </c>
      <c r="G4762" s="28">
        <v>0.75416666666666665</v>
      </c>
      <c r="H4762" s="28">
        <v>0.75416666666666665</v>
      </c>
      <c r="I4762">
        <v>0</v>
      </c>
      <c r="J4762" t="s">
        <v>174</v>
      </c>
      <c r="K4762">
        <v>0</v>
      </c>
      <c r="L4762" t="s">
        <v>1589</v>
      </c>
      <c r="M4762" t="s">
        <v>11797</v>
      </c>
      <c r="N4762" t="s">
        <v>11798</v>
      </c>
      <c r="O4762" t="s">
        <v>11799</v>
      </c>
      <c r="P4762" t="s">
        <v>11800</v>
      </c>
    </row>
    <row r="4763" spans="1:16" x14ac:dyDescent="0.35">
      <c r="A4763" t="s">
        <v>117</v>
      </c>
      <c r="B4763">
        <v>1700702247</v>
      </c>
      <c r="C4763" t="s">
        <v>18</v>
      </c>
      <c r="D4763" t="s">
        <v>20</v>
      </c>
      <c r="E4763" s="29">
        <v>46204</v>
      </c>
      <c r="F4763" t="s">
        <v>3</v>
      </c>
      <c r="G4763" s="28">
        <v>0.76111111111111107</v>
      </c>
      <c r="H4763" s="28">
        <v>0.76111111111111107</v>
      </c>
      <c r="I4763">
        <v>0</v>
      </c>
      <c r="J4763" t="s">
        <v>174</v>
      </c>
      <c r="K4763">
        <v>0</v>
      </c>
      <c r="L4763" t="s">
        <v>715</v>
      </c>
      <c r="M4763" t="s">
        <v>11801</v>
      </c>
      <c r="N4763" t="s">
        <v>9798</v>
      </c>
      <c r="O4763" t="s">
        <v>9799</v>
      </c>
      <c r="P4763" t="s">
        <v>11802</v>
      </c>
    </row>
    <row r="4764" spans="1:16" x14ac:dyDescent="0.35">
      <c r="A4764" t="s">
        <v>117</v>
      </c>
      <c r="B4764">
        <v>1700702247</v>
      </c>
      <c r="C4764" t="s">
        <v>18</v>
      </c>
      <c r="D4764" t="s">
        <v>20</v>
      </c>
      <c r="E4764" s="29">
        <v>46204</v>
      </c>
      <c r="F4764" t="s">
        <v>3</v>
      </c>
      <c r="G4764" s="28">
        <v>0.7680555555555556</v>
      </c>
      <c r="H4764" s="28">
        <v>0.7680555555555556</v>
      </c>
      <c r="I4764">
        <v>0</v>
      </c>
      <c r="J4764" t="s">
        <v>174</v>
      </c>
      <c r="K4764">
        <v>0</v>
      </c>
      <c r="L4764" t="s">
        <v>11803</v>
      </c>
      <c r="M4764" t="s">
        <v>9948</v>
      </c>
      <c r="N4764" t="s">
        <v>9949</v>
      </c>
      <c r="O4764" t="s">
        <v>9950</v>
      </c>
      <c r="P4764" t="s">
        <v>11804</v>
      </c>
    </row>
    <row r="4765" spans="1:16" x14ac:dyDescent="0.35">
      <c r="A4765" t="s">
        <v>117</v>
      </c>
      <c r="B4765">
        <v>1700702247</v>
      </c>
      <c r="C4765" t="s">
        <v>18</v>
      </c>
      <c r="D4765" t="s">
        <v>20</v>
      </c>
      <c r="E4765" s="29">
        <v>46204</v>
      </c>
      <c r="F4765" t="s">
        <v>3</v>
      </c>
      <c r="G4765" s="28">
        <v>0.77500000000000002</v>
      </c>
      <c r="H4765" s="28">
        <v>0.77500000000000002</v>
      </c>
      <c r="I4765">
        <v>0</v>
      </c>
      <c r="J4765" t="s">
        <v>174</v>
      </c>
      <c r="K4765">
        <v>0</v>
      </c>
      <c r="L4765" t="s">
        <v>11805</v>
      </c>
      <c r="M4765" t="s">
        <v>9951</v>
      </c>
      <c r="N4765" t="s">
        <v>9952</v>
      </c>
      <c r="O4765" t="s">
        <v>9953</v>
      </c>
      <c r="P4765" t="s">
        <v>11767</v>
      </c>
    </row>
    <row r="4766" spans="1:16" x14ac:dyDescent="0.35">
      <c r="A4766" t="s">
        <v>117</v>
      </c>
      <c r="B4766">
        <v>1700702247</v>
      </c>
      <c r="C4766" t="s">
        <v>18</v>
      </c>
      <c r="D4766" t="s">
        <v>20</v>
      </c>
      <c r="E4766" s="29">
        <v>46204</v>
      </c>
      <c r="F4766" t="s">
        <v>3</v>
      </c>
      <c r="G4766" s="28">
        <v>0.78194444444444444</v>
      </c>
      <c r="H4766" s="28">
        <v>0.78194444444444444</v>
      </c>
      <c r="I4766">
        <v>0</v>
      </c>
      <c r="J4766" t="s">
        <v>174</v>
      </c>
      <c r="K4766">
        <v>0</v>
      </c>
      <c r="L4766" t="s">
        <v>11806</v>
      </c>
      <c r="M4766" t="s">
        <v>11807</v>
      </c>
      <c r="N4766" t="s">
        <v>11808</v>
      </c>
      <c r="O4766" t="s">
        <v>11809</v>
      </c>
      <c r="P4766" t="s">
        <v>11810</v>
      </c>
    </row>
    <row r="4767" spans="1:16" x14ac:dyDescent="0.35">
      <c r="A4767" t="s">
        <v>117</v>
      </c>
      <c r="B4767">
        <v>1700702247</v>
      </c>
      <c r="C4767" t="s">
        <v>18</v>
      </c>
      <c r="D4767" t="s">
        <v>20</v>
      </c>
      <c r="E4767" s="29">
        <v>46204</v>
      </c>
      <c r="F4767" t="s">
        <v>3</v>
      </c>
      <c r="G4767" s="28">
        <v>0.78888888888888886</v>
      </c>
      <c r="H4767" s="28">
        <v>0.81666666666666665</v>
      </c>
      <c r="I4767">
        <v>1</v>
      </c>
      <c r="J4767" t="s">
        <v>146</v>
      </c>
      <c r="K4767">
        <v>2</v>
      </c>
      <c r="L4767" t="s">
        <v>147</v>
      </c>
      <c r="M4767" t="s">
        <v>11811</v>
      </c>
      <c r="N4767" t="s">
        <v>11812</v>
      </c>
      <c r="O4767" t="s">
        <v>11813</v>
      </c>
      <c r="P4767" t="s">
        <v>2470</v>
      </c>
    </row>
    <row r="4768" spans="1:16" x14ac:dyDescent="0.35">
      <c r="A4768" t="s">
        <v>117</v>
      </c>
      <c r="B4768">
        <v>1700702247</v>
      </c>
      <c r="C4768" t="s">
        <v>18</v>
      </c>
      <c r="D4768" t="s">
        <v>20</v>
      </c>
      <c r="E4768" s="29">
        <v>46205</v>
      </c>
      <c r="F4768" t="s">
        <v>4</v>
      </c>
      <c r="G4768" s="28">
        <v>0.38611111111111113</v>
      </c>
      <c r="H4768" s="28">
        <v>0.42083333333333334</v>
      </c>
      <c r="I4768">
        <v>1</v>
      </c>
      <c r="J4768" t="s">
        <v>146</v>
      </c>
      <c r="K4768">
        <v>2</v>
      </c>
      <c r="L4768" t="s">
        <v>147</v>
      </c>
      <c r="M4768" t="s">
        <v>11814</v>
      </c>
      <c r="N4768" t="s">
        <v>11815</v>
      </c>
      <c r="O4768" t="s">
        <v>11816</v>
      </c>
      <c r="P4768" t="s">
        <v>6009</v>
      </c>
    </row>
    <row r="4769" spans="1:16" x14ac:dyDescent="0.35">
      <c r="A4769" t="s">
        <v>117</v>
      </c>
      <c r="B4769">
        <v>1700702247</v>
      </c>
      <c r="C4769" t="s">
        <v>18</v>
      </c>
      <c r="D4769" t="s">
        <v>20</v>
      </c>
      <c r="E4769" s="29">
        <v>46205</v>
      </c>
      <c r="F4769" t="s">
        <v>4</v>
      </c>
      <c r="G4769" s="28">
        <v>0.42777777777777776</v>
      </c>
      <c r="H4769" s="28">
        <v>0.42777777777777776</v>
      </c>
      <c r="I4769">
        <v>0</v>
      </c>
      <c r="J4769" t="s">
        <v>174</v>
      </c>
      <c r="K4769">
        <v>0</v>
      </c>
      <c r="L4769" t="s">
        <v>509</v>
      </c>
      <c r="M4769" t="s">
        <v>11817</v>
      </c>
      <c r="N4769" t="s">
        <v>11818</v>
      </c>
      <c r="O4769" t="s">
        <v>11819</v>
      </c>
      <c r="P4769" t="s">
        <v>11820</v>
      </c>
    </row>
    <row r="4770" spans="1:16" x14ac:dyDescent="0.35">
      <c r="A4770" t="s">
        <v>117</v>
      </c>
      <c r="B4770">
        <v>1700702247</v>
      </c>
      <c r="C4770" t="s">
        <v>18</v>
      </c>
      <c r="D4770" t="s">
        <v>20</v>
      </c>
      <c r="E4770" s="29">
        <v>46205</v>
      </c>
      <c r="F4770" t="s">
        <v>4</v>
      </c>
      <c r="G4770" s="28">
        <v>0.43472222222222223</v>
      </c>
      <c r="H4770" s="28">
        <v>0.44861111111111113</v>
      </c>
      <c r="I4770">
        <v>0</v>
      </c>
      <c r="J4770" t="s">
        <v>146</v>
      </c>
      <c r="K4770">
        <v>1</v>
      </c>
      <c r="L4770" t="s">
        <v>147</v>
      </c>
      <c r="M4770" t="s">
        <v>11821</v>
      </c>
      <c r="N4770" t="s">
        <v>11822</v>
      </c>
      <c r="O4770" t="s">
        <v>11823</v>
      </c>
      <c r="P4770" t="s">
        <v>11824</v>
      </c>
    </row>
    <row r="4771" spans="1:16" x14ac:dyDescent="0.35">
      <c r="A4771" t="s">
        <v>117</v>
      </c>
      <c r="B4771">
        <v>1700702247</v>
      </c>
      <c r="C4771" t="s">
        <v>18</v>
      </c>
      <c r="D4771" t="s">
        <v>20</v>
      </c>
      <c r="E4771" s="29">
        <v>46205</v>
      </c>
      <c r="F4771" t="s">
        <v>4</v>
      </c>
      <c r="G4771" s="28">
        <v>0.45555555555555555</v>
      </c>
      <c r="H4771" s="28">
        <v>0.45555555555555555</v>
      </c>
      <c r="I4771">
        <v>0</v>
      </c>
      <c r="J4771" t="s">
        <v>174</v>
      </c>
      <c r="K4771">
        <v>0</v>
      </c>
      <c r="L4771" t="s">
        <v>7443</v>
      </c>
      <c r="M4771" t="s">
        <v>11825</v>
      </c>
      <c r="N4771" t="s">
        <v>11826</v>
      </c>
      <c r="O4771" t="s">
        <v>11827</v>
      </c>
      <c r="P4771" t="s">
        <v>11828</v>
      </c>
    </row>
    <row r="4772" spans="1:16" x14ac:dyDescent="0.35">
      <c r="A4772" t="s">
        <v>117</v>
      </c>
      <c r="B4772">
        <v>1700702247</v>
      </c>
      <c r="C4772" t="s">
        <v>18</v>
      </c>
      <c r="D4772" t="s">
        <v>20</v>
      </c>
      <c r="E4772" s="29">
        <v>46205</v>
      </c>
      <c r="F4772" t="s">
        <v>4</v>
      </c>
      <c r="G4772" s="28">
        <v>0.46250000000000002</v>
      </c>
      <c r="H4772" s="28">
        <v>0.46250000000000002</v>
      </c>
      <c r="I4772">
        <v>0</v>
      </c>
      <c r="J4772" t="s">
        <v>174</v>
      </c>
      <c r="K4772">
        <v>0</v>
      </c>
      <c r="L4772" t="s">
        <v>2208</v>
      </c>
      <c r="M4772" t="s">
        <v>11829</v>
      </c>
      <c r="N4772" t="s">
        <v>11830</v>
      </c>
      <c r="O4772" t="s">
        <v>11831</v>
      </c>
      <c r="P4772" t="s">
        <v>11832</v>
      </c>
    </row>
    <row r="4773" spans="1:16" x14ac:dyDescent="0.35">
      <c r="A4773" t="s">
        <v>117</v>
      </c>
      <c r="B4773">
        <v>1700702247</v>
      </c>
      <c r="C4773" t="s">
        <v>18</v>
      </c>
      <c r="D4773" t="s">
        <v>20</v>
      </c>
      <c r="E4773" s="29">
        <v>46205</v>
      </c>
      <c r="F4773" t="s">
        <v>4</v>
      </c>
      <c r="G4773" s="28">
        <v>0.46944444444444444</v>
      </c>
      <c r="H4773" s="28">
        <v>0.47638888888888886</v>
      </c>
      <c r="I4773">
        <v>0</v>
      </c>
      <c r="J4773" t="s">
        <v>146</v>
      </c>
      <c r="K4773">
        <v>0</v>
      </c>
      <c r="L4773" t="s">
        <v>147</v>
      </c>
      <c r="M4773" t="s">
        <v>481</v>
      </c>
      <c r="N4773" t="s">
        <v>482</v>
      </c>
      <c r="O4773" t="s">
        <v>483</v>
      </c>
      <c r="P4773" t="s">
        <v>2599</v>
      </c>
    </row>
    <row r="4774" spans="1:16" x14ac:dyDescent="0.35">
      <c r="A4774" t="s">
        <v>117</v>
      </c>
      <c r="B4774">
        <v>1700702247</v>
      </c>
      <c r="C4774" t="s">
        <v>18</v>
      </c>
      <c r="D4774" t="s">
        <v>20</v>
      </c>
      <c r="E4774" s="29">
        <v>46205</v>
      </c>
      <c r="F4774" t="s">
        <v>4</v>
      </c>
      <c r="G4774" s="28">
        <v>0.49027777777777776</v>
      </c>
      <c r="H4774" s="28">
        <v>0.53194444444444444</v>
      </c>
      <c r="I4774">
        <v>1</v>
      </c>
      <c r="J4774" t="s">
        <v>146</v>
      </c>
      <c r="K4774">
        <v>3</v>
      </c>
      <c r="L4774" t="s">
        <v>147</v>
      </c>
      <c r="M4774" t="s">
        <v>11833</v>
      </c>
      <c r="N4774" t="s">
        <v>11834</v>
      </c>
      <c r="O4774" t="s">
        <v>11835</v>
      </c>
      <c r="P4774" t="s">
        <v>2599</v>
      </c>
    </row>
    <row r="4775" spans="1:16" x14ac:dyDescent="0.35">
      <c r="A4775" t="s">
        <v>117</v>
      </c>
      <c r="B4775">
        <v>1700702247</v>
      </c>
      <c r="C4775" t="s">
        <v>18</v>
      </c>
      <c r="D4775" t="s">
        <v>20</v>
      </c>
      <c r="E4775" s="29">
        <v>46205</v>
      </c>
      <c r="F4775" t="s">
        <v>4</v>
      </c>
      <c r="G4775" s="28">
        <v>0.53888888888888886</v>
      </c>
      <c r="H4775" s="28">
        <v>0.53888888888888886</v>
      </c>
      <c r="I4775">
        <v>0</v>
      </c>
      <c r="J4775" t="s">
        <v>174</v>
      </c>
      <c r="K4775">
        <v>0</v>
      </c>
      <c r="L4775" t="s">
        <v>1481</v>
      </c>
      <c r="M4775" t="s">
        <v>11836</v>
      </c>
      <c r="N4775" t="s">
        <v>11837</v>
      </c>
      <c r="O4775" t="s">
        <v>6029</v>
      </c>
      <c r="P4775" t="s">
        <v>11838</v>
      </c>
    </row>
    <row r="4776" spans="1:16" x14ac:dyDescent="0.35">
      <c r="A4776" t="s">
        <v>117</v>
      </c>
      <c r="B4776">
        <v>1700702247</v>
      </c>
      <c r="C4776" t="s">
        <v>18</v>
      </c>
      <c r="D4776" t="s">
        <v>20</v>
      </c>
      <c r="E4776" s="29">
        <v>46205</v>
      </c>
      <c r="F4776" t="s">
        <v>4</v>
      </c>
      <c r="G4776" s="28">
        <v>0.54583333333333328</v>
      </c>
      <c r="H4776" s="28">
        <v>0.54583333333333328</v>
      </c>
      <c r="I4776">
        <v>0</v>
      </c>
      <c r="J4776" t="s">
        <v>174</v>
      </c>
      <c r="K4776">
        <v>0</v>
      </c>
      <c r="L4776" t="s">
        <v>2931</v>
      </c>
      <c r="M4776" t="s">
        <v>11839</v>
      </c>
      <c r="N4776" t="s">
        <v>11840</v>
      </c>
      <c r="O4776" t="s">
        <v>11841</v>
      </c>
      <c r="P4776" t="s">
        <v>11842</v>
      </c>
    </row>
    <row r="4777" spans="1:16" x14ac:dyDescent="0.35">
      <c r="A4777" t="s">
        <v>117</v>
      </c>
      <c r="B4777">
        <v>1700702247</v>
      </c>
      <c r="C4777" t="s">
        <v>18</v>
      </c>
      <c r="D4777" t="s">
        <v>20</v>
      </c>
      <c r="E4777" s="29">
        <v>46205</v>
      </c>
      <c r="F4777" t="s">
        <v>4</v>
      </c>
      <c r="G4777" s="28">
        <v>0.55277777777777781</v>
      </c>
      <c r="H4777" s="28">
        <v>0.55277777777777781</v>
      </c>
      <c r="I4777">
        <v>0</v>
      </c>
      <c r="J4777" t="s">
        <v>174</v>
      </c>
      <c r="K4777">
        <v>0</v>
      </c>
      <c r="L4777" t="s">
        <v>1084</v>
      </c>
      <c r="M4777" t="s">
        <v>11843</v>
      </c>
      <c r="N4777" t="s">
        <v>11844</v>
      </c>
      <c r="O4777" t="s">
        <v>11845</v>
      </c>
      <c r="P4777" t="s">
        <v>11846</v>
      </c>
    </row>
    <row r="4778" spans="1:16" x14ac:dyDescent="0.35">
      <c r="A4778" t="s">
        <v>117</v>
      </c>
      <c r="B4778">
        <v>1700702247</v>
      </c>
      <c r="C4778" t="s">
        <v>18</v>
      </c>
      <c r="D4778" t="s">
        <v>20</v>
      </c>
      <c r="E4778" s="29">
        <v>46205</v>
      </c>
      <c r="F4778" t="s">
        <v>4</v>
      </c>
      <c r="G4778" s="28">
        <v>0.55972222222222223</v>
      </c>
      <c r="H4778" s="28">
        <v>0.55972222222222223</v>
      </c>
      <c r="I4778">
        <v>0</v>
      </c>
      <c r="J4778" t="s">
        <v>174</v>
      </c>
      <c r="K4778">
        <v>0</v>
      </c>
      <c r="L4778" t="s">
        <v>4665</v>
      </c>
      <c r="M4778" t="s">
        <v>11847</v>
      </c>
      <c r="N4778" t="s">
        <v>11848</v>
      </c>
      <c r="O4778" t="s">
        <v>11849</v>
      </c>
      <c r="P4778" t="s">
        <v>11850</v>
      </c>
    </row>
    <row r="4779" spans="1:16" x14ac:dyDescent="0.35">
      <c r="A4779" t="s">
        <v>117</v>
      </c>
      <c r="B4779">
        <v>1700702247</v>
      </c>
      <c r="C4779" t="s">
        <v>18</v>
      </c>
      <c r="D4779" t="s">
        <v>20</v>
      </c>
      <c r="E4779" s="29">
        <v>46205</v>
      </c>
      <c r="F4779" t="s">
        <v>4</v>
      </c>
      <c r="G4779" s="28">
        <v>0.56666666666666665</v>
      </c>
      <c r="H4779" s="28">
        <v>0.56666666666666665</v>
      </c>
      <c r="I4779">
        <v>0</v>
      </c>
      <c r="J4779" t="s">
        <v>174</v>
      </c>
      <c r="K4779">
        <v>0</v>
      </c>
      <c r="L4779" t="s">
        <v>1183</v>
      </c>
      <c r="M4779" t="s">
        <v>11851</v>
      </c>
      <c r="N4779" t="s">
        <v>11852</v>
      </c>
      <c r="O4779" t="s">
        <v>11853</v>
      </c>
      <c r="P4779" t="s">
        <v>11854</v>
      </c>
    </row>
    <row r="4780" spans="1:16" x14ac:dyDescent="0.35">
      <c r="A4780" t="s">
        <v>117</v>
      </c>
      <c r="B4780">
        <v>1700702247</v>
      </c>
      <c r="C4780" t="s">
        <v>18</v>
      </c>
      <c r="D4780" t="s">
        <v>20</v>
      </c>
      <c r="E4780" s="29">
        <v>46205</v>
      </c>
      <c r="F4780" t="s">
        <v>4</v>
      </c>
      <c r="G4780" s="28">
        <v>0.57361111111111107</v>
      </c>
      <c r="H4780" s="28">
        <v>0.5805555555555556</v>
      </c>
      <c r="I4780">
        <v>0</v>
      </c>
      <c r="J4780" t="s">
        <v>146</v>
      </c>
      <c r="K4780">
        <v>1</v>
      </c>
      <c r="L4780" t="s">
        <v>147</v>
      </c>
      <c r="M4780" t="s">
        <v>9920</v>
      </c>
      <c r="N4780" t="s">
        <v>9921</v>
      </c>
      <c r="O4780" t="s">
        <v>9922</v>
      </c>
      <c r="P4780" t="s">
        <v>11855</v>
      </c>
    </row>
    <row r="4781" spans="1:16" x14ac:dyDescent="0.35">
      <c r="A4781" t="s">
        <v>117</v>
      </c>
      <c r="B4781">
        <v>1700702247</v>
      </c>
      <c r="C4781" t="s">
        <v>18</v>
      </c>
      <c r="D4781" t="s">
        <v>20</v>
      </c>
      <c r="E4781" s="29">
        <v>46205</v>
      </c>
      <c r="F4781" t="s">
        <v>4</v>
      </c>
      <c r="G4781" s="28">
        <v>0.58750000000000002</v>
      </c>
      <c r="H4781" s="28">
        <v>0.58750000000000002</v>
      </c>
      <c r="I4781">
        <v>0</v>
      </c>
      <c r="J4781" t="s">
        <v>174</v>
      </c>
      <c r="K4781">
        <v>0</v>
      </c>
      <c r="L4781" t="s">
        <v>8213</v>
      </c>
      <c r="M4781" t="s">
        <v>11856</v>
      </c>
      <c r="N4781" t="s">
        <v>11857</v>
      </c>
      <c r="O4781" t="s">
        <v>11858</v>
      </c>
      <c r="P4781" t="s">
        <v>11859</v>
      </c>
    </row>
    <row r="4782" spans="1:16" x14ac:dyDescent="0.35">
      <c r="A4782" t="s">
        <v>117</v>
      </c>
      <c r="B4782">
        <v>1700702247</v>
      </c>
      <c r="C4782" t="s">
        <v>18</v>
      </c>
      <c r="D4782" t="s">
        <v>20</v>
      </c>
      <c r="E4782" s="29">
        <v>46205</v>
      </c>
      <c r="F4782" t="s">
        <v>4</v>
      </c>
      <c r="G4782" s="28">
        <v>0.59444444444444444</v>
      </c>
      <c r="H4782" s="28">
        <v>0.67083333333333328</v>
      </c>
      <c r="I4782">
        <v>2</v>
      </c>
      <c r="J4782" t="s">
        <v>146</v>
      </c>
      <c r="K4782">
        <v>6</v>
      </c>
      <c r="L4782" t="s">
        <v>147</v>
      </c>
      <c r="M4782" t="s">
        <v>11860</v>
      </c>
      <c r="N4782" t="s">
        <v>11861</v>
      </c>
      <c r="O4782" t="s">
        <v>11862</v>
      </c>
      <c r="P4782" t="s">
        <v>9710</v>
      </c>
    </row>
    <row r="4783" spans="1:16" x14ac:dyDescent="0.35">
      <c r="A4783" t="s">
        <v>117</v>
      </c>
      <c r="B4783">
        <v>1700702247</v>
      </c>
      <c r="C4783" t="s">
        <v>18</v>
      </c>
      <c r="D4783" t="s">
        <v>20</v>
      </c>
      <c r="E4783" s="29">
        <v>46205</v>
      </c>
      <c r="F4783" t="s">
        <v>4</v>
      </c>
      <c r="G4783" s="28">
        <v>0.67777777777777781</v>
      </c>
      <c r="H4783" s="28">
        <v>0.67777777777777781</v>
      </c>
      <c r="I4783">
        <v>0</v>
      </c>
      <c r="J4783" t="s">
        <v>174</v>
      </c>
      <c r="K4783">
        <v>0</v>
      </c>
      <c r="L4783" t="s">
        <v>1855</v>
      </c>
      <c r="M4783" t="s">
        <v>11863</v>
      </c>
      <c r="N4783" t="s">
        <v>11864</v>
      </c>
      <c r="O4783" t="s">
        <v>11865</v>
      </c>
      <c r="P4783" t="s">
        <v>2184</v>
      </c>
    </row>
    <row r="4784" spans="1:16" x14ac:dyDescent="0.35">
      <c r="A4784" t="s">
        <v>117</v>
      </c>
      <c r="B4784">
        <v>1700702247</v>
      </c>
      <c r="C4784" t="s">
        <v>18</v>
      </c>
      <c r="D4784" t="s">
        <v>20</v>
      </c>
      <c r="E4784" s="29">
        <v>46205</v>
      </c>
      <c r="F4784" t="s">
        <v>4</v>
      </c>
      <c r="G4784" s="28">
        <v>0.68472222222222223</v>
      </c>
      <c r="H4784" s="28">
        <v>0.69861111111111107</v>
      </c>
      <c r="I4784">
        <v>0</v>
      </c>
      <c r="J4784" t="s">
        <v>146</v>
      </c>
      <c r="K4784">
        <v>1</v>
      </c>
      <c r="L4784" t="s">
        <v>147</v>
      </c>
      <c r="M4784" t="s">
        <v>11866</v>
      </c>
      <c r="N4784" t="s">
        <v>11867</v>
      </c>
      <c r="O4784" t="s">
        <v>11868</v>
      </c>
      <c r="P4784" t="s">
        <v>11869</v>
      </c>
    </row>
    <row r="4785" spans="1:16" x14ac:dyDescent="0.35">
      <c r="A4785" t="s">
        <v>117</v>
      </c>
      <c r="B4785">
        <v>1700702247</v>
      </c>
      <c r="C4785" t="s">
        <v>18</v>
      </c>
      <c r="D4785" t="s">
        <v>20</v>
      </c>
      <c r="E4785" s="29">
        <v>46205</v>
      </c>
      <c r="F4785" t="s">
        <v>4</v>
      </c>
      <c r="G4785" s="28">
        <v>0.7055555555555556</v>
      </c>
      <c r="H4785" s="28">
        <v>0.7055555555555556</v>
      </c>
      <c r="I4785">
        <v>0</v>
      </c>
      <c r="J4785" t="s">
        <v>174</v>
      </c>
      <c r="K4785">
        <v>0</v>
      </c>
      <c r="L4785" t="s">
        <v>340</v>
      </c>
      <c r="M4785" t="s">
        <v>11870</v>
      </c>
      <c r="N4785" t="s">
        <v>11871</v>
      </c>
      <c r="O4785" t="s">
        <v>11872</v>
      </c>
      <c r="P4785" t="s">
        <v>10513</v>
      </c>
    </row>
    <row r="4786" spans="1:16" x14ac:dyDescent="0.35">
      <c r="A4786" t="s">
        <v>117</v>
      </c>
      <c r="B4786">
        <v>1700702247</v>
      </c>
      <c r="C4786" t="s">
        <v>18</v>
      </c>
      <c r="D4786" t="s">
        <v>20</v>
      </c>
      <c r="E4786" s="29">
        <v>46205</v>
      </c>
      <c r="F4786" t="s">
        <v>4</v>
      </c>
      <c r="G4786" s="28">
        <v>0.71250000000000002</v>
      </c>
      <c r="H4786" s="28">
        <v>0.71944444444444444</v>
      </c>
      <c r="I4786">
        <v>0</v>
      </c>
      <c r="J4786" t="s">
        <v>146</v>
      </c>
      <c r="K4786">
        <v>0</v>
      </c>
      <c r="L4786" t="s">
        <v>147</v>
      </c>
      <c r="M4786" t="s">
        <v>11866</v>
      </c>
      <c r="N4786" t="s">
        <v>11867</v>
      </c>
      <c r="O4786" t="s">
        <v>11868</v>
      </c>
      <c r="P4786" t="s">
        <v>11869</v>
      </c>
    </row>
    <row r="4787" spans="1:16" x14ac:dyDescent="0.35">
      <c r="A4787" t="s">
        <v>117</v>
      </c>
      <c r="B4787">
        <v>1700702247</v>
      </c>
      <c r="C4787" t="s">
        <v>18</v>
      </c>
      <c r="D4787" t="s">
        <v>20</v>
      </c>
      <c r="E4787" s="29">
        <v>46205</v>
      </c>
      <c r="F4787" t="s">
        <v>4</v>
      </c>
      <c r="G4787" s="28">
        <v>0.74027777777777781</v>
      </c>
      <c r="H4787" s="28">
        <v>0.74027777777777781</v>
      </c>
      <c r="I4787">
        <v>0</v>
      </c>
      <c r="J4787" t="s">
        <v>174</v>
      </c>
      <c r="K4787">
        <v>0</v>
      </c>
      <c r="L4787" t="s">
        <v>11873</v>
      </c>
      <c r="M4787" t="s">
        <v>11874</v>
      </c>
      <c r="N4787" t="s">
        <v>11875</v>
      </c>
      <c r="O4787" t="s">
        <v>11876</v>
      </c>
      <c r="P4787" t="s">
        <v>11877</v>
      </c>
    </row>
    <row r="4788" spans="1:16" x14ac:dyDescent="0.35">
      <c r="A4788" t="s">
        <v>117</v>
      </c>
      <c r="B4788">
        <v>1700702247</v>
      </c>
      <c r="C4788" t="s">
        <v>18</v>
      </c>
      <c r="D4788" t="s">
        <v>20</v>
      </c>
      <c r="E4788" s="29">
        <v>46205</v>
      </c>
      <c r="F4788" t="s">
        <v>4</v>
      </c>
      <c r="G4788" s="28">
        <v>0.74722222222222223</v>
      </c>
      <c r="H4788" s="28">
        <v>0.74722222222222223</v>
      </c>
      <c r="I4788">
        <v>0</v>
      </c>
      <c r="J4788" t="s">
        <v>174</v>
      </c>
      <c r="K4788">
        <v>0</v>
      </c>
      <c r="L4788" t="s">
        <v>2466</v>
      </c>
      <c r="M4788" t="s">
        <v>11878</v>
      </c>
      <c r="N4788" t="s">
        <v>11879</v>
      </c>
      <c r="O4788" t="s">
        <v>11880</v>
      </c>
      <c r="P4788" t="s">
        <v>11881</v>
      </c>
    </row>
    <row r="4789" spans="1:16" x14ac:dyDescent="0.35">
      <c r="A4789" t="s">
        <v>117</v>
      </c>
      <c r="B4789">
        <v>1700702247</v>
      </c>
      <c r="C4789" t="s">
        <v>18</v>
      </c>
      <c r="D4789" t="s">
        <v>20</v>
      </c>
      <c r="E4789" s="29">
        <v>46205</v>
      </c>
      <c r="F4789" t="s">
        <v>4</v>
      </c>
      <c r="G4789" s="28">
        <v>0.75416666666666665</v>
      </c>
      <c r="H4789" s="28">
        <v>0.81736111111111109</v>
      </c>
      <c r="I4789">
        <v>2</v>
      </c>
      <c r="J4789" t="s">
        <v>146</v>
      </c>
      <c r="K4789">
        <v>5</v>
      </c>
      <c r="L4789" t="s">
        <v>147</v>
      </c>
      <c r="M4789" t="s">
        <v>11882</v>
      </c>
      <c r="N4789" t="s">
        <v>11883</v>
      </c>
      <c r="O4789" t="s">
        <v>11884</v>
      </c>
      <c r="P4789" t="s">
        <v>11885</v>
      </c>
    </row>
    <row r="4790" spans="1:16" x14ac:dyDescent="0.35">
      <c r="A4790" t="s">
        <v>117</v>
      </c>
      <c r="B4790">
        <v>1700702247</v>
      </c>
      <c r="C4790" t="s">
        <v>18</v>
      </c>
      <c r="D4790" t="s">
        <v>20</v>
      </c>
      <c r="E4790" s="29">
        <v>46207</v>
      </c>
      <c r="F4790" t="s">
        <v>5</v>
      </c>
      <c r="G4790" s="28">
        <v>0.4</v>
      </c>
      <c r="H4790" s="28">
        <v>0.4</v>
      </c>
      <c r="I4790">
        <v>0</v>
      </c>
      <c r="J4790" t="s">
        <v>174</v>
      </c>
      <c r="K4790">
        <v>0</v>
      </c>
      <c r="L4790" t="s">
        <v>4430</v>
      </c>
      <c r="M4790" t="s">
        <v>11886</v>
      </c>
      <c r="N4790" t="s">
        <v>11887</v>
      </c>
      <c r="O4790" t="s">
        <v>11888</v>
      </c>
      <c r="P4790" t="s">
        <v>11889</v>
      </c>
    </row>
    <row r="4791" spans="1:16" x14ac:dyDescent="0.35">
      <c r="A4791" t="s">
        <v>117</v>
      </c>
      <c r="B4791">
        <v>1700702247</v>
      </c>
      <c r="C4791" t="s">
        <v>18</v>
      </c>
      <c r="D4791" t="s">
        <v>20</v>
      </c>
      <c r="E4791" s="29">
        <v>46207</v>
      </c>
      <c r="F4791" t="s">
        <v>5</v>
      </c>
      <c r="G4791" s="28">
        <v>0.40694444444444444</v>
      </c>
      <c r="H4791" s="28">
        <v>0.42777777777777776</v>
      </c>
      <c r="I4791">
        <v>0</v>
      </c>
      <c r="J4791" t="s">
        <v>146</v>
      </c>
      <c r="K4791">
        <v>2</v>
      </c>
      <c r="L4791" t="s">
        <v>147</v>
      </c>
      <c r="M4791" t="s">
        <v>11890</v>
      </c>
      <c r="N4791" t="s">
        <v>11891</v>
      </c>
      <c r="O4791" t="s">
        <v>11892</v>
      </c>
      <c r="P4791" t="s">
        <v>11893</v>
      </c>
    </row>
    <row r="4792" spans="1:16" x14ac:dyDescent="0.35">
      <c r="A4792" t="s">
        <v>117</v>
      </c>
      <c r="B4792">
        <v>1700702247</v>
      </c>
      <c r="C4792" t="s">
        <v>18</v>
      </c>
      <c r="D4792" t="s">
        <v>20</v>
      </c>
      <c r="E4792" s="29">
        <v>46207</v>
      </c>
      <c r="F4792" t="s">
        <v>5</v>
      </c>
      <c r="G4792" s="28">
        <v>0.43472222222222223</v>
      </c>
      <c r="H4792" s="28">
        <v>0.43472222222222223</v>
      </c>
      <c r="I4792">
        <v>0</v>
      </c>
      <c r="J4792" t="s">
        <v>174</v>
      </c>
      <c r="K4792">
        <v>0</v>
      </c>
      <c r="L4792" t="s">
        <v>2416</v>
      </c>
      <c r="M4792" t="s">
        <v>11894</v>
      </c>
      <c r="N4792" t="s">
        <v>11895</v>
      </c>
      <c r="O4792" t="s">
        <v>11896</v>
      </c>
      <c r="P4792" t="s">
        <v>11897</v>
      </c>
    </row>
    <row r="4793" spans="1:16" x14ac:dyDescent="0.35">
      <c r="A4793" t="s">
        <v>117</v>
      </c>
      <c r="B4793">
        <v>1700702247</v>
      </c>
      <c r="C4793" t="s">
        <v>18</v>
      </c>
      <c r="D4793" t="s">
        <v>20</v>
      </c>
      <c r="E4793" s="29">
        <v>46207</v>
      </c>
      <c r="F4793" t="s">
        <v>5</v>
      </c>
      <c r="G4793" s="28">
        <v>0.44166666666666665</v>
      </c>
      <c r="H4793" s="28">
        <v>0.44166666666666665</v>
      </c>
      <c r="I4793">
        <v>0</v>
      </c>
      <c r="J4793" t="s">
        <v>174</v>
      </c>
      <c r="K4793">
        <v>0</v>
      </c>
      <c r="L4793" t="s">
        <v>11898</v>
      </c>
      <c r="M4793" t="s">
        <v>11899</v>
      </c>
      <c r="N4793" t="s">
        <v>11900</v>
      </c>
      <c r="O4793" t="s">
        <v>11901</v>
      </c>
      <c r="P4793" t="s">
        <v>11902</v>
      </c>
    </row>
    <row r="4794" spans="1:16" x14ac:dyDescent="0.35">
      <c r="A4794" t="s">
        <v>117</v>
      </c>
      <c r="B4794">
        <v>1700702247</v>
      </c>
      <c r="C4794" t="s">
        <v>18</v>
      </c>
      <c r="D4794" t="s">
        <v>20</v>
      </c>
      <c r="E4794" s="29">
        <v>46207</v>
      </c>
      <c r="F4794" t="s">
        <v>5</v>
      </c>
      <c r="G4794" s="28">
        <v>0.44861111111111113</v>
      </c>
      <c r="H4794" s="28">
        <v>0.44861111111111113</v>
      </c>
      <c r="I4794">
        <v>0</v>
      </c>
      <c r="J4794" t="s">
        <v>174</v>
      </c>
      <c r="K4794">
        <v>0</v>
      </c>
      <c r="L4794" t="s">
        <v>11903</v>
      </c>
      <c r="M4794" t="s">
        <v>11904</v>
      </c>
      <c r="N4794" t="s">
        <v>11905</v>
      </c>
      <c r="O4794" t="s">
        <v>11906</v>
      </c>
      <c r="P4794" t="s">
        <v>11907</v>
      </c>
    </row>
    <row r="4795" spans="1:16" x14ac:dyDescent="0.35">
      <c r="A4795" t="s">
        <v>117</v>
      </c>
      <c r="B4795">
        <v>1700702247</v>
      </c>
      <c r="C4795" t="s">
        <v>18</v>
      </c>
      <c r="D4795" t="s">
        <v>20</v>
      </c>
      <c r="E4795" s="29">
        <v>46207</v>
      </c>
      <c r="F4795" t="s">
        <v>5</v>
      </c>
      <c r="G4795" s="28">
        <v>0.45555555555555555</v>
      </c>
      <c r="H4795" s="28">
        <v>0.46250000000000002</v>
      </c>
      <c r="I4795">
        <v>0</v>
      </c>
      <c r="J4795" t="s">
        <v>146</v>
      </c>
      <c r="K4795">
        <v>1</v>
      </c>
      <c r="L4795" t="s">
        <v>147</v>
      </c>
      <c r="M4795" t="s">
        <v>11908</v>
      </c>
      <c r="N4795" t="s">
        <v>11909</v>
      </c>
      <c r="O4795" t="s">
        <v>11910</v>
      </c>
      <c r="P4795" t="s">
        <v>11911</v>
      </c>
    </row>
    <row r="4796" spans="1:16" x14ac:dyDescent="0.35">
      <c r="A4796" t="s">
        <v>117</v>
      </c>
      <c r="B4796">
        <v>1700702247</v>
      </c>
      <c r="C4796" t="s">
        <v>18</v>
      </c>
      <c r="D4796" t="s">
        <v>20</v>
      </c>
      <c r="E4796" s="29">
        <v>46207</v>
      </c>
      <c r="F4796" t="s">
        <v>5</v>
      </c>
      <c r="G4796" s="28">
        <v>0.46944444444444444</v>
      </c>
      <c r="H4796" s="28">
        <v>0.46944444444444444</v>
      </c>
      <c r="I4796">
        <v>0</v>
      </c>
      <c r="J4796" t="s">
        <v>174</v>
      </c>
      <c r="K4796">
        <v>0</v>
      </c>
      <c r="L4796" t="s">
        <v>11912</v>
      </c>
      <c r="M4796" t="s">
        <v>11904</v>
      </c>
      <c r="N4796" t="s">
        <v>11905</v>
      </c>
      <c r="O4796" t="s">
        <v>11906</v>
      </c>
      <c r="P4796" t="s">
        <v>11907</v>
      </c>
    </row>
    <row r="4797" spans="1:16" x14ac:dyDescent="0.35">
      <c r="A4797" t="s">
        <v>117</v>
      </c>
      <c r="B4797">
        <v>1700702247</v>
      </c>
      <c r="C4797" t="s">
        <v>18</v>
      </c>
      <c r="D4797" t="s">
        <v>20</v>
      </c>
      <c r="E4797" s="29">
        <v>46207</v>
      </c>
      <c r="F4797" t="s">
        <v>5</v>
      </c>
      <c r="G4797" s="28">
        <v>0.47638888888888886</v>
      </c>
      <c r="H4797" s="28">
        <v>0.47638888888888886</v>
      </c>
      <c r="I4797">
        <v>0</v>
      </c>
      <c r="J4797" t="s">
        <v>174</v>
      </c>
      <c r="K4797">
        <v>0</v>
      </c>
      <c r="L4797" t="s">
        <v>6841</v>
      </c>
      <c r="M4797" t="s">
        <v>11913</v>
      </c>
      <c r="N4797" t="s">
        <v>11914</v>
      </c>
      <c r="O4797" t="s">
        <v>11915</v>
      </c>
      <c r="P4797" t="s">
        <v>11916</v>
      </c>
    </row>
    <row r="4798" spans="1:16" x14ac:dyDescent="0.35">
      <c r="A4798" t="s">
        <v>117</v>
      </c>
      <c r="B4798">
        <v>1700702247</v>
      </c>
      <c r="C4798" t="s">
        <v>18</v>
      </c>
      <c r="D4798" t="s">
        <v>20</v>
      </c>
      <c r="E4798" s="29">
        <v>46207</v>
      </c>
      <c r="F4798" t="s">
        <v>5</v>
      </c>
      <c r="G4798" s="28">
        <v>0.48333333333333334</v>
      </c>
      <c r="H4798" s="28">
        <v>0.48333333333333334</v>
      </c>
      <c r="I4798">
        <v>0</v>
      </c>
      <c r="J4798" t="s">
        <v>174</v>
      </c>
      <c r="K4798">
        <v>0</v>
      </c>
      <c r="L4798" t="s">
        <v>8366</v>
      </c>
      <c r="M4798" t="s">
        <v>11917</v>
      </c>
      <c r="N4798" t="s">
        <v>11918</v>
      </c>
      <c r="O4798" t="s">
        <v>11919</v>
      </c>
      <c r="P4798" t="s">
        <v>11920</v>
      </c>
    </row>
    <row r="4799" spans="1:16" x14ac:dyDescent="0.35">
      <c r="A4799" t="s">
        <v>117</v>
      </c>
      <c r="B4799">
        <v>1700702247</v>
      </c>
      <c r="C4799" t="s">
        <v>18</v>
      </c>
      <c r="D4799" t="s">
        <v>20</v>
      </c>
      <c r="E4799" s="29">
        <v>46207</v>
      </c>
      <c r="F4799" t="s">
        <v>5</v>
      </c>
      <c r="G4799" s="28">
        <v>0.49027777777777776</v>
      </c>
      <c r="H4799" s="28">
        <v>0.49027777777777776</v>
      </c>
      <c r="I4799">
        <v>0</v>
      </c>
      <c r="J4799" t="s">
        <v>174</v>
      </c>
      <c r="K4799">
        <v>0</v>
      </c>
      <c r="L4799" t="s">
        <v>2884</v>
      </c>
      <c r="M4799" t="s">
        <v>11921</v>
      </c>
      <c r="N4799" t="s">
        <v>11922</v>
      </c>
      <c r="O4799" t="s">
        <v>11923</v>
      </c>
      <c r="P4799" t="s">
        <v>11924</v>
      </c>
    </row>
    <row r="4800" spans="1:16" x14ac:dyDescent="0.35">
      <c r="A4800" t="s">
        <v>117</v>
      </c>
      <c r="B4800">
        <v>1700702247</v>
      </c>
      <c r="C4800" t="s">
        <v>18</v>
      </c>
      <c r="D4800" t="s">
        <v>20</v>
      </c>
      <c r="E4800" s="29">
        <v>46207</v>
      </c>
      <c r="F4800" t="s">
        <v>5</v>
      </c>
      <c r="G4800" s="28">
        <v>0.49722222222222223</v>
      </c>
      <c r="H4800" s="28">
        <v>0.5180555555555556</v>
      </c>
      <c r="I4800">
        <v>1</v>
      </c>
      <c r="J4800" t="s">
        <v>146</v>
      </c>
      <c r="K4800">
        <v>2</v>
      </c>
      <c r="L4800" t="s">
        <v>147</v>
      </c>
      <c r="M4800" t="s">
        <v>6842</v>
      </c>
      <c r="N4800" t="s">
        <v>6843</v>
      </c>
      <c r="O4800" t="s">
        <v>6844</v>
      </c>
      <c r="P4800" t="s">
        <v>6845</v>
      </c>
    </row>
    <row r="4801" spans="1:16" x14ac:dyDescent="0.35">
      <c r="A4801" t="s">
        <v>117</v>
      </c>
      <c r="B4801">
        <v>1700702247</v>
      </c>
      <c r="C4801" t="s">
        <v>18</v>
      </c>
      <c r="D4801" t="s">
        <v>20</v>
      </c>
      <c r="E4801" s="29">
        <v>46207</v>
      </c>
      <c r="F4801" t="s">
        <v>5</v>
      </c>
      <c r="G4801" s="28">
        <v>0.52500000000000002</v>
      </c>
      <c r="H4801" s="28">
        <v>0.52500000000000002</v>
      </c>
      <c r="I4801">
        <v>0</v>
      </c>
      <c r="J4801" t="s">
        <v>174</v>
      </c>
      <c r="K4801">
        <v>0</v>
      </c>
      <c r="L4801" t="s">
        <v>1089</v>
      </c>
      <c r="M4801" t="s">
        <v>11925</v>
      </c>
      <c r="N4801" t="s">
        <v>11926</v>
      </c>
      <c r="O4801" t="s">
        <v>11927</v>
      </c>
      <c r="P4801" t="s">
        <v>11928</v>
      </c>
    </row>
    <row r="4802" spans="1:16" x14ac:dyDescent="0.35">
      <c r="A4802" t="s">
        <v>117</v>
      </c>
      <c r="B4802">
        <v>1700702247</v>
      </c>
      <c r="C4802" t="s">
        <v>18</v>
      </c>
      <c r="D4802" t="s">
        <v>20</v>
      </c>
      <c r="E4802" s="29">
        <v>46207</v>
      </c>
      <c r="F4802" t="s">
        <v>5</v>
      </c>
      <c r="G4802" s="28">
        <v>0.53194444444444444</v>
      </c>
      <c r="H4802" s="28">
        <v>0.53194444444444444</v>
      </c>
      <c r="I4802">
        <v>0</v>
      </c>
      <c r="J4802" t="s">
        <v>174</v>
      </c>
      <c r="K4802">
        <v>0</v>
      </c>
      <c r="L4802" t="s">
        <v>2884</v>
      </c>
      <c r="M4802" t="s">
        <v>6842</v>
      </c>
      <c r="N4802" t="s">
        <v>6843</v>
      </c>
      <c r="O4802" t="s">
        <v>6844</v>
      </c>
      <c r="P4802" t="s">
        <v>6845</v>
      </c>
    </row>
    <row r="4803" spans="1:16" x14ac:dyDescent="0.35">
      <c r="A4803" t="s">
        <v>117</v>
      </c>
      <c r="B4803">
        <v>1700702247</v>
      </c>
      <c r="C4803" t="s">
        <v>18</v>
      </c>
      <c r="D4803" t="s">
        <v>20</v>
      </c>
      <c r="E4803" s="29">
        <v>46207</v>
      </c>
      <c r="F4803" t="s">
        <v>5</v>
      </c>
      <c r="G4803" s="28">
        <v>0.53888888888888886</v>
      </c>
      <c r="H4803" s="28">
        <v>0.53888888888888886</v>
      </c>
      <c r="I4803">
        <v>0</v>
      </c>
      <c r="J4803" t="s">
        <v>174</v>
      </c>
      <c r="K4803">
        <v>0</v>
      </c>
      <c r="L4803" t="s">
        <v>2884</v>
      </c>
      <c r="M4803" t="s">
        <v>11921</v>
      </c>
      <c r="N4803" t="s">
        <v>11922</v>
      </c>
      <c r="O4803" t="s">
        <v>11923</v>
      </c>
      <c r="P4803" t="s">
        <v>11924</v>
      </c>
    </row>
    <row r="4804" spans="1:16" x14ac:dyDescent="0.35">
      <c r="A4804" t="s">
        <v>117</v>
      </c>
      <c r="B4804">
        <v>1700702247</v>
      </c>
      <c r="C4804" t="s">
        <v>18</v>
      </c>
      <c r="D4804" t="s">
        <v>20</v>
      </c>
      <c r="E4804" s="29">
        <v>46207</v>
      </c>
      <c r="F4804" t="s">
        <v>5</v>
      </c>
      <c r="G4804" s="28">
        <v>0.54583333333333328</v>
      </c>
      <c r="H4804" s="28">
        <v>0.54583333333333328</v>
      </c>
      <c r="I4804">
        <v>0</v>
      </c>
      <c r="J4804" t="s">
        <v>174</v>
      </c>
      <c r="K4804">
        <v>0</v>
      </c>
      <c r="L4804" t="s">
        <v>1089</v>
      </c>
      <c r="M4804" t="s">
        <v>6842</v>
      </c>
      <c r="N4804" t="s">
        <v>6843</v>
      </c>
      <c r="O4804" t="s">
        <v>6844</v>
      </c>
      <c r="P4804" t="s">
        <v>6845</v>
      </c>
    </row>
    <row r="4805" spans="1:16" x14ac:dyDescent="0.35">
      <c r="A4805" t="s">
        <v>117</v>
      </c>
      <c r="B4805">
        <v>1700702247</v>
      </c>
      <c r="C4805" t="s">
        <v>18</v>
      </c>
      <c r="D4805" t="s">
        <v>20</v>
      </c>
      <c r="E4805" s="29">
        <v>46207</v>
      </c>
      <c r="F4805" t="s">
        <v>5</v>
      </c>
      <c r="G4805" s="28">
        <v>0.55277777777777781</v>
      </c>
      <c r="H4805" s="28">
        <v>0.55972222222222223</v>
      </c>
      <c r="I4805">
        <v>0</v>
      </c>
      <c r="J4805" t="s">
        <v>146</v>
      </c>
      <c r="K4805">
        <v>0</v>
      </c>
      <c r="L4805" t="s">
        <v>147</v>
      </c>
      <c r="M4805" t="s">
        <v>11925</v>
      </c>
      <c r="N4805" t="s">
        <v>11926</v>
      </c>
      <c r="O4805" t="s">
        <v>11927</v>
      </c>
      <c r="P4805" t="s">
        <v>11928</v>
      </c>
    </row>
    <row r="4806" spans="1:16" x14ac:dyDescent="0.35">
      <c r="A4806" t="s">
        <v>117</v>
      </c>
      <c r="B4806">
        <v>1700702247</v>
      </c>
      <c r="C4806" t="s">
        <v>18</v>
      </c>
      <c r="D4806" t="s">
        <v>20</v>
      </c>
      <c r="E4806" s="29">
        <v>46207</v>
      </c>
      <c r="F4806" t="s">
        <v>5</v>
      </c>
      <c r="G4806" s="28">
        <v>0.56666666666666665</v>
      </c>
      <c r="H4806" s="28">
        <v>0.5805555555555556</v>
      </c>
      <c r="I4806">
        <v>0</v>
      </c>
      <c r="J4806" t="s">
        <v>146</v>
      </c>
      <c r="K4806">
        <v>1</v>
      </c>
      <c r="L4806" t="s">
        <v>147</v>
      </c>
      <c r="M4806" t="s">
        <v>6842</v>
      </c>
      <c r="N4806" t="s">
        <v>6843</v>
      </c>
      <c r="O4806" t="s">
        <v>6844</v>
      </c>
      <c r="P4806" t="s">
        <v>6845</v>
      </c>
    </row>
    <row r="4807" spans="1:16" x14ac:dyDescent="0.35">
      <c r="A4807" t="s">
        <v>117</v>
      </c>
      <c r="B4807">
        <v>1700702247</v>
      </c>
      <c r="C4807" t="s">
        <v>18</v>
      </c>
      <c r="D4807" t="s">
        <v>20</v>
      </c>
      <c r="E4807" s="29">
        <v>46207</v>
      </c>
      <c r="F4807" t="s">
        <v>5</v>
      </c>
      <c r="G4807" s="28">
        <v>0.58750000000000002</v>
      </c>
      <c r="H4807" s="28">
        <v>0.72638888888888886</v>
      </c>
      <c r="I4807">
        <v>3</v>
      </c>
      <c r="J4807" t="s">
        <v>146</v>
      </c>
      <c r="K4807">
        <v>10</v>
      </c>
      <c r="L4807" t="s">
        <v>147</v>
      </c>
      <c r="M4807" t="s">
        <v>11882</v>
      </c>
      <c r="N4807" t="s">
        <v>11883</v>
      </c>
      <c r="O4807" t="s">
        <v>11884</v>
      </c>
      <c r="P4807" t="s">
        <v>11885</v>
      </c>
    </row>
    <row r="4808" spans="1:16" x14ac:dyDescent="0.35">
      <c r="A4808" t="s">
        <v>117</v>
      </c>
      <c r="B4808">
        <v>1700702247</v>
      </c>
      <c r="C4808" t="s">
        <v>18</v>
      </c>
      <c r="D4808" t="s">
        <v>20</v>
      </c>
      <c r="E4808" s="29">
        <v>46207</v>
      </c>
      <c r="F4808" t="s">
        <v>5</v>
      </c>
      <c r="G4808" s="28">
        <v>0.73333333333333328</v>
      </c>
      <c r="H4808" s="28">
        <v>0.73333333333333328</v>
      </c>
      <c r="I4808">
        <v>0</v>
      </c>
      <c r="J4808" t="s">
        <v>174</v>
      </c>
      <c r="K4808">
        <v>0</v>
      </c>
      <c r="L4808" t="s">
        <v>399</v>
      </c>
      <c r="M4808" t="s">
        <v>580</v>
      </c>
      <c r="N4808" t="s">
        <v>581</v>
      </c>
      <c r="O4808" t="s">
        <v>582</v>
      </c>
      <c r="P4808" t="s">
        <v>2530</v>
      </c>
    </row>
    <row r="4809" spans="1:16" x14ac:dyDescent="0.35">
      <c r="A4809" t="s">
        <v>117</v>
      </c>
      <c r="B4809">
        <v>1700702247</v>
      </c>
      <c r="C4809" t="s">
        <v>18</v>
      </c>
      <c r="D4809" t="s">
        <v>20</v>
      </c>
      <c r="E4809" s="29">
        <v>46207</v>
      </c>
      <c r="F4809" t="s">
        <v>5</v>
      </c>
      <c r="G4809" s="28">
        <v>0.74027777777777781</v>
      </c>
      <c r="H4809" s="28">
        <v>0.74027777777777781</v>
      </c>
      <c r="I4809">
        <v>0</v>
      </c>
      <c r="J4809" t="s">
        <v>174</v>
      </c>
      <c r="K4809">
        <v>0</v>
      </c>
      <c r="L4809" t="s">
        <v>340</v>
      </c>
      <c r="M4809" t="s">
        <v>2870</v>
      </c>
      <c r="N4809" t="s">
        <v>2871</v>
      </c>
      <c r="O4809" t="s">
        <v>2872</v>
      </c>
      <c r="P4809" t="s">
        <v>2873</v>
      </c>
    </row>
    <row r="4810" spans="1:16" x14ac:dyDescent="0.35">
      <c r="A4810" t="s">
        <v>117</v>
      </c>
      <c r="B4810">
        <v>1700702247</v>
      </c>
      <c r="C4810" t="s">
        <v>18</v>
      </c>
      <c r="D4810" t="s">
        <v>20</v>
      </c>
      <c r="E4810" s="29">
        <v>46207</v>
      </c>
      <c r="F4810" t="s">
        <v>5</v>
      </c>
      <c r="G4810" s="28">
        <v>0.74722222222222223</v>
      </c>
      <c r="H4810" s="28">
        <v>0.75416666666666665</v>
      </c>
      <c r="I4810">
        <v>0</v>
      </c>
      <c r="J4810" t="s">
        <v>146</v>
      </c>
      <c r="K4810">
        <v>0</v>
      </c>
      <c r="L4810" t="s">
        <v>147</v>
      </c>
      <c r="M4810" t="s">
        <v>11768</v>
      </c>
      <c r="N4810" t="s">
        <v>11769</v>
      </c>
      <c r="O4810" t="s">
        <v>11770</v>
      </c>
      <c r="P4810" t="s">
        <v>11771</v>
      </c>
    </row>
    <row r="4811" spans="1:16" x14ac:dyDescent="0.35">
      <c r="A4811" t="s">
        <v>117</v>
      </c>
      <c r="B4811">
        <v>1700702247</v>
      </c>
      <c r="C4811" t="s">
        <v>18</v>
      </c>
      <c r="D4811" t="s">
        <v>20</v>
      </c>
      <c r="E4811" s="29">
        <v>46207</v>
      </c>
      <c r="F4811" t="s">
        <v>5</v>
      </c>
      <c r="G4811" s="28">
        <v>0.76111111111111107</v>
      </c>
      <c r="H4811" s="28">
        <v>0.7680555555555556</v>
      </c>
      <c r="I4811">
        <v>0</v>
      </c>
      <c r="J4811" t="s">
        <v>146</v>
      </c>
      <c r="K4811">
        <v>1</v>
      </c>
      <c r="L4811" t="s">
        <v>147</v>
      </c>
      <c r="M4811" t="s">
        <v>9951</v>
      </c>
      <c r="N4811" t="s">
        <v>9952</v>
      </c>
      <c r="O4811" t="s">
        <v>9953</v>
      </c>
      <c r="P4811" t="s">
        <v>11767</v>
      </c>
    </row>
    <row r="4812" spans="1:16" x14ac:dyDescent="0.35">
      <c r="A4812" t="s">
        <v>117</v>
      </c>
      <c r="B4812">
        <v>1700702247</v>
      </c>
      <c r="C4812" t="s">
        <v>18</v>
      </c>
      <c r="D4812" t="s">
        <v>20</v>
      </c>
      <c r="E4812" s="29">
        <v>46207</v>
      </c>
      <c r="F4812" t="s">
        <v>5</v>
      </c>
      <c r="G4812" s="28">
        <v>0.77500000000000002</v>
      </c>
      <c r="H4812" s="28">
        <v>0.77500000000000002</v>
      </c>
      <c r="I4812">
        <v>0</v>
      </c>
      <c r="J4812" t="s">
        <v>174</v>
      </c>
      <c r="K4812">
        <v>0</v>
      </c>
      <c r="L4812" t="s">
        <v>11929</v>
      </c>
      <c r="M4812" t="s">
        <v>9948</v>
      </c>
      <c r="N4812" t="s">
        <v>9949</v>
      </c>
      <c r="O4812" t="s">
        <v>9950</v>
      </c>
      <c r="P4812" t="s">
        <v>11804</v>
      </c>
    </row>
    <row r="4813" spans="1:16" x14ac:dyDescent="0.35">
      <c r="A4813" t="s">
        <v>117</v>
      </c>
      <c r="B4813">
        <v>1700702247</v>
      </c>
      <c r="C4813" t="s">
        <v>18</v>
      </c>
      <c r="D4813" t="s">
        <v>20</v>
      </c>
      <c r="E4813" s="29">
        <v>46207</v>
      </c>
      <c r="F4813" t="s">
        <v>5</v>
      </c>
      <c r="G4813" s="28">
        <v>0.78194444444444444</v>
      </c>
      <c r="H4813" s="28">
        <v>0.78194444444444444</v>
      </c>
      <c r="I4813">
        <v>0</v>
      </c>
      <c r="J4813" t="s">
        <v>174</v>
      </c>
      <c r="K4813">
        <v>0</v>
      </c>
      <c r="L4813" t="s">
        <v>624</v>
      </c>
      <c r="M4813" t="s">
        <v>11886</v>
      </c>
      <c r="N4813" t="s">
        <v>11887</v>
      </c>
      <c r="O4813" t="s">
        <v>11888</v>
      </c>
      <c r="P4813" t="s">
        <v>11889</v>
      </c>
    </row>
    <row r="4814" spans="1:16" x14ac:dyDescent="0.35">
      <c r="A4814" t="s">
        <v>117</v>
      </c>
      <c r="B4814">
        <v>1700702247</v>
      </c>
      <c r="C4814" t="s">
        <v>18</v>
      </c>
      <c r="D4814" t="s">
        <v>20</v>
      </c>
      <c r="E4814" s="29">
        <v>46207</v>
      </c>
      <c r="F4814" t="s">
        <v>5</v>
      </c>
      <c r="G4814" s="28">
        <v>0.78888888888888886</v>
      </c>
      <c r="H4814" s="28">
        <v>0.78888888888888886</v>
      </c>
      <c r="I4814">
        <v>0</v>
      </c>
      <c r="J4814" t="s">
        <v>174</v>
      </c>
      <c r="K4814">
        <v>0</v>
      </c>
      <c r="L4814" t="s">
        <v>2416</v>
      </c>
      <c r="M4814" t="s">
        <v>11930</v>
      </c>
      <c r="N4814" t="s">
        <v>11931</v>
      </c>
      <c r="O4814" t="s">
        <v>11932</v>
      </c>
      <c r="P4814" t="s">
        <v>11933</v>
      </c>
    </row>
    <row r="4815" spans="1:16" x14ac:dyDescent="0.35">
      <c r="A4815" t="s">
        <v>117</v>
      </c>
      <c r="B4815">
        <v>1700702247</v>
      </c>
      <c r="C4815" t="s">
        <v>18</v>
      </c>
      <c r="D4815" t="s">
        <v>20</v>
      </c>
      <c r="E4815" s="29">
        <v>46208</v>
      </c>
      <c r="F4815" t="s">
        <v>6</v>
      </c>
      <c r="G4815" s="28">
        <v>0.42777777777777776</v>
      </c>
      <c r="H4815" s="28">
        <v>0.42777777777777776</v>
      </c>
      <c r="I4815">
        <v>0</v>
      </c>
      <c r="J4815" t="s">
        <v>174</v>
      </c>
      <c r="K4815">
        <v>0</v>
      </c>
      <c r="L4815" t="s">
        <v>11934</v>
      </c>
      <c r="M4815" t="s">
        <v>9944</v>
      </c>
      <c r="N4815" t="s">
        <v>9945</v>
      </c>
      <c r="O4815" t="s">
        <v>9946</v>
      </c>
      <c r="P4815" t="s">
        <v>9716</v>
      </c>
    </row>
    <row r="4816" spans="1:16" x14ac:dyDescent="0.35">
      <c r="A4816" t="s">
        <v>117</v>
      </c>
      <c r="B4816">
        <v>1700702247</v>
      </c>
      <c r="C4816" t="s">
        <v>18</v>
      </c>
      <c r="D4816" t="s">
        <v>20</v>
      </c>
      <c r="E4816" s="29">
        <v>46208</v>
      </c>
      <c r="F4816" t="s">
        <v>6</v>
      </c>
      <c r="G4816" s="28">
        <v>0.43472222222222223</v>
      </c>
      <c r="H4816" s="28">
        <v>0.43472222222222223</v>
      </c>
      <c r="I4816">
        <v>0</v>
      </c>
      <c r="J4816" t="s">
        <v>174</v>
      </c>
      <c r="K4816">
        <v>0</v>
      </c>
      <c r="L4816" t="s">
        <v>1331</v>
      </c>
      <c r="M4816" t="s">
        <v>11890</v>
      </c>
      <c r="N4816" t="s">
        <v>11891</v>
      </c>
      <c r="O4816" t="s">
        <v>11892</v>
      </c>
      <c r="P4816" t="s">
        <v>11893</v>
      </c>
    </row>
    <row r="4817" spans="1:16" x14ac:dyDescent="0.35">
      <c r="A4817" t="s">
        <v>117</v>
      </c>
      <c r="B4817">
        <v>1700702247</v>
      </c>
      <c r="C4817" t="s">
        <v>18</v>
      </c>
      <c r="D4817" t="s">
        <v>20</v>
      </c>
      <c r="E4817" s="29">
        <v>46208</v>
      </c>
      <c r="F4817" t="s">
        <v>6</v>
      </c>
      <c r="G4817" s="28">
        <v>0.44166666666666665</v>
      </c>
      <c r="H4817" s="28">
        <v>0.44166666666666665</v>
      </c>
      <c r="I4817">
        <v>0</v>
      </c>
      <c r="J4817" t="s">
        <v>174</v>
      </c>
      <c r="K4817">
        <v>0</v>
      </c>
      <c r="L4817" t="s">
        <v>4583</v>
      </c>
      <c r="M4817" t="s">
        <v>11935</v>
      </c>
      <c r="N4817" t="s">
        <v>11936</v>
      </c>
      <c r="O4817" t="s">
        <v>11937</v>
      </c>
      <c r="P4817" t="s">
        <v>11938</v>
      </c>
    </row>
    <row r="4818" spans="1:16" x14ac:dyDescent="0.35">
      <c r="A4818" t="s">
        <v>117</v>
      </c>
      <c r="B4818">
        <v>1700702247</v>
      </c>
      <c r="C4818" t="s">
        <v>18</v>
      </c>
      <c r="D4818" t="s">
        <v>20</v>
      </c>
      <c r="E4818" s="29">
        <v>46208</v>
      </c>
      <c r="F4818" t="s">
        <v>6</v>
      </c>
      <c r="G4818" s="28">
        <v>0.44861111111111113</v>
      </c>
      <c r="H4818" s="28">
        <v>0.53888888888888886</v>
      </c>
      <c r="I4818">
        <v>2</v>
      </c>
      <c r="J4818" t="s">
        <v>146</v>
      </c>
      <c r="K4818">
        <v>6</v>
      </c>
      <c r="L4818" t="s">
        <v>147</v>
      </c>
      <c r="M4818" t="s">
        <v>605</v>
      </c>
      <c r="N4818" t="s">
        <v>606</v>
      </c>
      <c r="O4818" t="s">
        <v>607</v>
      </c>
      <c r="P4818" t="s">
        <v>11939</v>
      </c>
    </row>
    <row r="4819" spans="1:16" x14ac:dyDescent="0.35">
      <c r="A4819" t="s">
        <v>117</v>
      </c>
      <c r="B4819">
        <v>1700702247</v>
      </c>
      <c r="C4819" t="s">
        <v>18</v>
      </c>
      <c r="D4819" t="s">
        <v>20</v>
      </c>
      <c r="E4819" s="29">
        <v>46208</v>
      </c>
      <c r="F4819" t="s">
        <v>6</v>
      </c>
      <c r="G4819" s="28">
        <v>0.54583333333333328</v>
      </c>
      <c r="H4819" s="28">
        <v>0.56666666666666665</v>
      </c>
      <c r="I4819">
        <v>1</v>
      </c>
      <c r="J4819" t="s">
        <v>146</v>
      </c>
      <c r="K4819">
        <v>2</v>
      </c>
      <c r="L4819" t="s">
        <v>147</v>
      </c>
      <c r="M4819" t="s">
        <v>620</v>
      </c>
      <c r="N4819" t="s">
        <v>621</v>
      </c>
      <c r="O4819" t="s">
        <v>622</v>
      </c>
      <c r="P4819" t="s">
        <v>11940</v>
      </c>
    </row>
    <row r="4820" spans="1:16" x14ac:dyDescent="0.35">
      <c r="A4820" t="s">
        <v>117</v>
      </c>
      <c r="B4820">
        <v>1700702247</v>
      </c>
      <c r="C4820" t="s">
        <v>18</v>
      </c>
      <c r="D4820" t="s">
        <v>20</v>
      </c>
      <c r="E4820" s="29">
        <v>46208</v>
      </c>
      <c r="F4820" t="s">
        <v>6</v>
      </c>
      <c r="G4820" s="28">
        <v>0.5805555555555556</v>
      </c>
      <c r="H4820" s="28">
        <v>0.5805555555555556</v>
      </c>
      <c r="I4820">
        <v>0</v>
      </c>
      <c r="J4820" t="s">
        <v>174</v>
      </c>
      <c r="K4820">
        <v>0</v>
      </c>
      <c r="L4820" t="s">
        <v>4630</v>
      </c>
      <c r="M4820" t="s">
        <v>605</v>
      </c>
      <c r="N4820" t="s">
        <v>606</v>
      </c>
      <c r="O4820" t="s">
        <v>607</v>
      </c>
      <c r="P4820" t="s">
        <v>11939</v>
      </c>
    </row>
    <row r="4821" spans="1:16" x14ac:dyDescent="0.35">
      <c r="A4821" t="s">
        <v>117</v>
      </c>
      <c r="B4821">
        <v>1700702247</v>
      </c>
      <c r="C4821" t="s">
        <v>18</v>
      </c>
      <c r="D4821" t="s">
        <v>20</v>
      </c>
      <c r="E4821" s="29">
        <v>46208</v>
      </c>
      <c r="F4821" t="s">
        <v>6</v>
      </c>
      <c r="G4821" s="28">
        <v>0.58750000000000002</v>
      </c>
      <c r="H4821" s="28">
        <v>0.58750000000000002</v>
      </c>
      <c r="I4821">
        <v>0</v>
      </c>
      <c r="J4821" t="s">
        <v>174</v>
      </c>
      <c r="K4821">
        <v>0</v>
      </c>
      <c r="L4821" t="s">
        <v>318</v>
      </c>
      <c r="M4821" t="s">
        <v>634</v>
      </c>
      <c r="N4821" t="s">
        <v>635</v>
      </c>
      <c r="O4821" t="s">
        <v>636</v>
      </c>
      <c r="P4821" t="s">
        <v>11941</v>
      </c>
    </row>
    <row r="4822" spans="1:16" x14ac:dyDescent="0.35">
      <c r="A4822" t="s">
        <v>117</v>
      </c>
      <c r="B4822">
        <v>1700702247</v>
      </c>
      <c r="C4822" t="s">
        <v>18</v>
      </c>
      <c r="D4822" t="s">
        <v>20</v>
      </c>
      <c r="E4822" s="29">
        <v>46208</v>
      </c>
      <c r="F4822" t="s">
        <v>6</v>
      </c>
      <c r="G4822" s="28">
        <v>0.59444444444444444</v>
      </c>
      <c r="H4822" s="28">
        <v>0.59444444444444444</v>
      </c>
      <c r="I4822">
        <v>0</v>
      </c>
      <c r="J4822" t="s">
        <v>174</v>
      </c>
      <c r="K4822">
        <v>0</v>
      </c>
      <c r="L4822" t="s">
        <v>3371</v>
      </c>
      <c r="M4822" t="s">
        <v>11942</v>
      </c>
      <c r="N4822" t="s">
        <v>11943</v>
      </c>
      <c r="O4822" t="s">
        <v>11944</v>
      </c>
      <c r="P4822" t="s">
        <v>11945</v>
      </c>
    </row>
    <row r="4823" spans="1:16" x14ac:dyDescent="0.35">
      <c r="A4823" t="s">
        <v>117</v>
      </c>
      <c r="B4823">
        <v>1700702247</v>
      </c>
      <c r="C4823" t="s">
        <v>18</v>
      </c>
      <c r="D4823" t="s">
        <v>20</v>
      </c>
      <c r="E4823" s="29">
        <v>46208</v>
      </c>
      <c r="F4823" t="s">
        <v>6</v>
      </c>
      <c r="G4823" s="28">
        <v>0.60138888888888886</v>
      </c>
      <c r="H4823" s="28">
        <v>0.60138888888888886</v>
      </c>
      <c r="I4823">
        <v>0</v>
      </c>
      <c r="J4823" t="s">
        <v>174</v>
      </c>
      <c r="K4823">
        <v>0</v>
      </c>
      <c r="L4823" t="s">
        <v>379</v>
      </c>
      <c r="M4823" t="s">
        <v>9787</v>
      </c>
      <c r="N4823" t="s">
        <v>9788</v>
      </c>
      <c r="O4823" t="s">
        <v>9789</v>
      </c>
      <c r="P4823" t="s">
        <v>11946</v>
      </c>
    </row>
    <row r="4824" spans="1:16" x14ac:dyDescent="0.35">
      <c r="A4824" t="s">
        <v>117</v>
      </c>
      <c r="B4824">
        <v>1700702247</v>
      </c>
      <c r="C4824" t="s">
        <v>18</v>
      </c>
      <c r="D4824" t="s">
        <v>20</v>
      </c>
      <c r="E4824" s="29">
        <v>46208</v>
      </c>
      <c r="F4824" t="s">
        <v>6</v>
      </c>
      <c r="G4824" s="28">
        <v>0.60833333333333328</v>
      </c>
      <c r="H4824" s="28">
        <v>0.60833333333333328</v>
      </c>
      <c r="I4824">
        <v>0</v>
      </c>
      <c r="J4824" t="s">
        <v>174</v>
      </c>
      <c r="K4824">
        <v>0</v>
      </c>
      <c r="L4824" t="s">
        <v>1027</v>
      </c>
      <c r="M4824" t="s">
        <v>644</v>
      </c>
      <c r="N4824" t="s">
        <v>645</v>
      </c>
      <c r="O4824" t="s">
        <v>646</v>
      </c>
      <c r="P4824" t="s">
        <v>11788</v>
      </c>
    </row>
    <row r="4825" spans="1:16" x14ac:dyDescent="0.35">
      <c r="A4825" t="s">
        <v>117</v>
      </c>
      <c r="B4825">
        <v>1700702247</v>
      </c>
      <c r="C4825" t="s">
        <v>18</v>
      </c>
      <c r="D4825" t="s">
        <v>20</v>
      </c>
      <c r="E4825" s="29">
        <v>46208</v>
      </c>
      <c r="F4825" t="s">
        <v>6</v>
      </c>
      <c r="G4825" s="28">
        <v>0.61527777777777781</v>
      </c>
      <c r="H4825" s="28">
        <v>0.72638888888888886</v>
      </c>
      <c r="I4825">
        <v>3</v>
      </c>
      <c r="J4825" t="s">
        <v>146</v>
      </c>
      <c r="K4825">
        <v>8</v>
      </c>
      <c r="L4825" t="s">
        <v>147</v>
      </c>
      <c r="M4825" t="s">
        <v>9944</v>
      </c>
      <c r="N4825" t="s">
        <v>9945</v>
      </c>
      <c r="O4825" t="s">
        <v>9946</v>
      </c>
      <c r="P4825" t="s">
        <v>9716</v>
      </c>
    </row>
    <row r="4826" spans="1:16" x14ac:dyDescent="0.35">
      <c r="A4826" t="s">
        <v>117</v>
      </c>
      <c r="B4826">
        <v>1700702247</v>
      </c>
      <c r="C4826" t="s">
        <v>18</v>
      </c>
      <c r="D4826" t="s">
        <v>20</v>
      </c>
      <c r="E4826" s="29">
        <v>46208</v>
      </c>
      <c r="F4826" t="s">
        <v>6</v>
      </c>
      <c r="G4826" s="28">
        <v>0.73333333333333328</v>
      </c>
      <c r="H4826" s="28">
        <v>0.73333333333333328</v>
      </c>
      <c r="I4826">
        <v>0</v>
      </c>
      <c r="J4826" t="s">
        <v>174</v>
      </c>
      <c r="K4826">
        <v>0</v>
      </c>
      <c r="L4826" t="s">
        <v>9939</v>
      </c>
      <c r="M4826" t="s">
        <v>9940</v>
      </c>
      <c r="N4826" t="s">
        <v>9941</v>
      </c>
      <c r="O4826" t="s">
        <v>9942</v>
      </c>
      <c r="P4826" t="s">
        <v>11775</v>
      </c>
    </row>
    <row r="4827" spans="1:16" x14ac:dyDescent="0.35">
      <c r="A4827" t="s">
        <v>117</v>
      </c>
      <c r="B4827">
        <v>1700702247</v>
      </c>
      <c r="C4827" t="s">
        <v>18</v>
      </c>
      <c r="D4827" t="s">
        <v>20</v>
      </c>
      <c r="E4827" s="29">
        <v>46208</v>
      </c>
      <c r="F4827" t="s">
        <v>6</v>
      </c>
      <c r="G4827" s="28">
        <v>0.74027777777777781</v>
      </c>
      <c r="H4827" s="28">
        <v>0.74027777777777781</v>
      </c>
      <c r="I4827">
        <v>0</v>
      </c>
      <c r="J4827" t="s">
        <v>174</v>
      </c>
      <c r="K4827">
        <v>0</v>
      </c>
      <c r="L4827" t="s">
        <v>11947</v>
      </c>
      <c r="M4827" t="s">
        <v>9944</v>
      </c>
      <c r="N4827" t="s">
        <v>9945</v>
      </c>
      <c r="O4827" t="s">
        <v>9946</v>
      </c>
      <c r="P4827" t="s">
        <v>9716</v>
      </c>
    </row>
    <row r="4828" spans="1:16" x14ac:dyDescent="0.35">
      <c r="A4828" t="s">
        <v>117</v>
      </c>
      <c r="B4828">
        <v>1700702247</v>
      </c>
      <c r="C4828" t="s">
        <v>18</v>
      </c>
      <c r="D4828" t="s">
        <v>20</v>
      </c>
      <c r="E4828" s="29">
        <v>46208</v>
      </c>
      <c r="F4828" t="s">
        <v>6</v>
      </c>
      <c r="G4828" s="28">
        <v>0.74722222222222223</v>
      </c>
      <c r="H4828" s="28">
        <v>0.74722222222222223</v>
      </c>
      <c r="I4828">
        <v>0</v>
      </c>
      <c r="J4828" t="s">
        <v>174</v>
      </c>
      <c r="K4828">
        <v>0</v>
      </c>
      <c r="L4828" t="s">
        <v>340</v>
      </c>
      <c r="M4828" t="s">
        <v>587</v>
      </c>
      <c r="N4828" t="s">
        <v>588</v>
      </c>
      <c r="O4828" t="s">
        <v>372</v>
      </c>
      <c r="P4828" t="s">
        <v>11948</v>
      </c>
    </row>
    <row r="4829" spans="1:16" x14ac:dyDescent="0.35">
      <c r="A4829" t="s">
        <v>117</v>
      </c>
      <c r="B4829">
        <v>1700702247</v>
      </c>
      <c r="C4829" t="s">
        <v>18</v>
      </c>
      <c r="D4829" t="s">
        <v>20</v>
      </c>
      <c r="E4829" s="29">
        <v>46208</v>
      </c>
      <c r="F4829" t="s">
        <v>6</v>
      </c>
      <c r="G4829" s="28">
        <v>0.75416666666666665</v>
      </c>
      <c r="H4829" s="28">
        <v>0.75416666666666665</v>
      </c>
      <c r="I4829">
        <v>0</v>
      </c>
      <c r="J4829" t="s">
        <v>174</v>
      </c>
      <c r="K4829">
        <v>0</v>
      </c>
      <c r="L4829" t="s">
        <v>6620</v>
      </c>
      <c r="M4829" t="s">
        <v>11949</v>
      </c>
      <c r="N4829" t="s">
        <v>11950</v>
      </c>
      <c r="O4829" t="s">
        <v>11951</v>
      </c>
      <c r="P4829" t="s">
        <v>11952</v>
      </c>
    </row>
    <row r="4830" spans="1:16" x14ac:dyDescent="0.35">
      <c r="A4830" t="s">
        <v>117</v>
      </c>
      <c r="B4830">
        <v>1700702247</v>
      </c>
      <c r="C4830" t="s">
        <v>18</v>
      </c>
      <c r="D4830" t="s">
        <v>20</v>
      </c>
      <c r="E4830" s="29">
        <v>46208</v>
      </c>
      <c r="F4830" t="s">
        <v>6</v>
      </c>
      <c r="G4830" s="28">
        <v>0.76111111111111107</v>
      </c>
      <c r="H4830" s="28">
        <v>0.77500000000000002</v>
      </c>
      <c r="I4830">
        <v>0</v>
      </c>
      <c r="J4830" t="s">
        <v>146</v>
      </c>
      <c r="K4830">
        <v>1</v>
      </c>
      <c r="L4830" t="s">
        <v>147</v>
      </c>
      <c r="M4830" t="s">
        <v>649</v>
      </c>
      <c r="N4830" t="s">
        <v>650</v>
      </c>
      <c r="O4830" t="s">
        <v>651</v>
      </c>
      <c r="P4830" t="s">
        <v>11763</v>
      </c>
    </row>
    <row r="4831" spans="1:16" x14ac:dyDescent="0.35">
      <c r="A4831" t="s">
        <v>117</v>
      </c>
      <c r="B4831">
        <v>1700702247</v>
      </c>
      <c r="C4831" t="s">
        <v>18</v>
      </c>
      <c r="D4831" t="s">
        <v>20</v>
      </c>
      <c r="E4831" s="29">
        <v>46208</v>
      </c>
      <c r="F4831" t="s">
        <v>6</v>
      </c>
      <c r="G4831" s="28">
        <v>0.78194444444444444</v>
      </c>
      <c r="H4831" s="28">
        <v>0.78888888888888886</v>
      </c>
      <c r="I4831">
        <v>0</v>
      </c>
      <c r="J4831" t="s">
        <v>146</v>
      </c>
      <c r="K4831">
        <v>0</v>
      </c>
      <c r="L4831" t="s">
        <v>147</v>
      </c>
      <c r="M4831" t="s">
        <v>2870</v>
      </c>
      <c r="N4831" t="s">
        <v>2871</v>
      </c>
      <c r="O4831" t="s">
        <v>2872</v>
      </c>
      <c r="P4831" t="s">
        <v>2873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948975-8364-42C2-9C9C-03DB3E68FC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Summarize_data</vt:lpstr>
      <vt:lpstr>Image_URL</vt:lpstr>
      <vt:lpstr>SamePlace_Highest Hour</vt:lpstr>
      <vt:lpstr>Overall _Raw_data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Premio-Sr. Executive-Sales Admin-Shahinur Islam</dc:creator>
  <cp:lastModifiedBy>Premio-Sr. Executive-Sales Admin-Shahinur Islam</cp:lastModifiedBy>
  <dcterms:created xsi:type="dcterms:W3CDTF">2026-06-09T04:42:12Z</dcterms:created>
  <dcterms:modified xsi:type="dcterms:W3CDTF">2026-07-06T09:42:07Z</dcterms:modified>
</cp:coreProperties>
</file>